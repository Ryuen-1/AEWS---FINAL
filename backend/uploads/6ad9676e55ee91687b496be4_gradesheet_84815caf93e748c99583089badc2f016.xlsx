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4D1BD1FE-39E4-4303-95DE-EA07204B31BF}" xr6:coauthVersionLast="47" xr6:coauthVersionMax="47" xr10:uidLastSave="{00000000-0000-0000-0000-000000000000}"/>
  <bookViews>
    <workbookView xWindow="1520" yWindow="1520" windowWidth="19200" windowHeight="1051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10" i="2" l="1"/>
  <c r="F19" i="2"/>
  <c r="G19" i="2"/>
  <c r="F20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<sst xmlns="http://schemas.openxmlformats.org/spreadsheetml/2006/main" count="456" uniqueCount="136">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</sst>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1" zoomScale="79" workbookViewId="0">
      <selection activeCell="U40" sqref="U40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47" t="s">
        <v>0</v>
      </c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4.5">
      <c r="E3" s="248" t="s">
        <v>1</v>
      </c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 ht="14.5">
      <c r="E4" s="249" t="s">
        <v>2</v>
      </c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5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 ht="14.5">
      <c r="E7" s="229" t="s">
        <v>3</v>
      </c>
      <c r="F7" s="230"/>
      <c r="G7" s="4" t="s">
        <v>132</v>
      </c>
      <c r="H7" s="5"/>
      <c r="I7" s="3" t="s">
        <v>4</v>
      </c>
      <c r="J7" s="5"/>
      <c r="K7" s="231" t="s">
        <v>5</v>
      </c>
      <c r="L7" s="232"/>
      <c r="M7" s="232"/>
      <c r="N7" s="232"/>
      <c r="O7" s="232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6"/>
      <c r="AC7" s="239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29" t="s">
        <v>6</v>
      </c>
      <c r="F8" s="230"/>
      <c r="G8" s="7" t="s">
        <v>133</v>
      </c>
      <c r="H8" s="5"/>
      <c r="I8" s="3" t="s">
        <v>7</v>
      </c>
      <c r="J8" s="5"/>
      <c r="K8" s="231" t="s">
        <v>8</v>
      </c>
      <c r="L8" s="232"/>
      <c r="M8" s="232"/>
      <c r="N8" s="232"/>
      <c r="O8" s="232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6"/>
      <c r="AC8" s="239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29" t="s">
        <v>9</v>
      </c>
      <c r="F9" s="230"/>
      <c r="G9" s="7" t="s">
        <v>135</v>
      </c>
      <c r="H9" s="5"/>
      <c r="I9" s="3" t="s">
        <v>10</v>
      </c>
      <c r="J9" s="5"/>
      <c r="K9" s="231" t="s">
        <v>11</v>
      </c>
      <c r="L9" s="232"/>
      <c r="M9" s="232"/>
      <c r="N9" s="232"/>
      <c r="O9" s="232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6"/>
      <c r="AC9" s="239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29" t="s">
        <v>12</v>
      </c>
      <c r="F10" s="230"/>
      <c r="G10" s="7" t="s">
        <v>13</v>
      </c>
      <c r="H10" s="5"/>
      <c r="I10" s="3" t="s">
        <v>14</v>
      </c>
      <c r="J10" s="5"/>
      <c r="K10" s="246">
        <v>3</v>
      </c>
      <c r="L10" s="232"/>
      <c r="M10" s="232"/>
      <c r="N10" s="232"/>
      <c r="O10" s="232"/>
      <c r="P10" s="5"/>
      <c r="Q10" s="2"/>
      <c r="R10" s="6"/>
      <c r="S10" s="233" t="s">
        <v>15</v>
      </c>
      <c r="T10" s="230"/>
      <c r="U10" s="230"/>
      <c r="V10" s="246" t="s">
        <v>16</v>
      </c>
      <c r="W10" s="232"/>
      <c r="X10" s="232"/>
      <c r="Y10" s="232"/>
      <c r="Z10" s="232"/>
      <c r="AA10" s="2"/>
      <c r="AB10" s="6"/>
      <c r="AC10" s="239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29" t="s">
        <v>17</v>
      </c>
      <c r="F11" s="230"/>
      <c r="G11" s="7" t="s">
        <v>18</v>
      </c>
      <c r="H11" s="5"/>
      <c r="I11" s="3" t="s">
        <v>19</v>
      </c>
      <c r="J11" s="5"/>
      <c r="K11" s="231" t="s">
        <v>20</v>
      </c>
      <c r="L11" s="232"/>
      <c r="M11" s="232"/>
      <c r="N11" s="232"/>
      <c r="O11" s="232"/>
      <c r="P11" s="5"/>
      <c r="Q11" s="2"/>
      <c r="R11" s="6"/>
      <c r="S11" s="233" t="s">
        <v>21</v>
      </c>
      <c r="T11" s="230"/>
      <c r="U11" s="230"/>
      <c r="V11" s="234" t="s">
        <v>22</v>
      </c>
      <c r="W11" s="235"/>
      <c r="X11" s="235"/>
      <c r="Y11" s="235"/>
      <c r="Z11" s="235"/>
      <c r="AA11" s="2"/>
      <c r="AB11" s="233"/>
      <c r="AC11" s="230"/>
      <c r="AD11" s="23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36"/>
      <c r="BR11" s="23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40" t="s">
        <v>23</v>
      </c>
      <c r="F12" s="225"/>
      <c r="G12" s="11" t="s">
        <v>24</v>
      </c>
      <c r="H12" s="5"/>
      <c r="I12" s="10" t="s">
        <v>25</v>
      </c>
      <c r="J12" s="11"/>
      <c r="K12" s="241" t="s">
        <v>26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v>0.5</v>
      </c>
      <c r="X12" s="237"/>
      <c r="Y12" s="225"/>
      <c r="Z12" s="11"/>
      <c r="AA12" s="16"/>
      <c r="AB12" s="238"/>
      <c r="AC12" s="225"/>
      <c r="AD12" s="225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7"/>
      <c r="BR12" s="225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43"/>
      <c r="F16" s="243"/>
      <c r="G16" s="243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44"/>
      <c r="F17" s="244"/>
      <c r="G17" s="244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" zoomScale="56" zoomScaleNormal="100" workbookViewId="0">
      <selection activeCell="G10" sqref="G10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4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 ht="14.5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 ht="14.5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 ht="14.5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 ht="14.5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 ht="14.5">
      <c r="E10" s="233" t="s">
        <v>12</v>
      </c>
      <c r="F10" s="230"/>
      <c r="G10" s="5" t="str">
        <f>'Midterm OVPAA-F-INS-055A RAW SC'!G10</f>
        <v>1st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 ht="14.5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 ht="14.5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68</v>
      </c>
      <c r="DF13" s="256"/>
      <c r="DG13" s="257"/>
      <c r="DH13" s="258" t="s">
        <v>69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70</v>
      </c>
      <c r="DF14" s="78" t="s">
        <v>71</v>
      </c>
      <c r="DG14" s="79" t="s">
        <v>72</v>
      </c>
      <c r="DH14" s="224"/>
      <c r="DI14" s="228"/>
    </row>
    <row r="15" spans="5:113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73</v>
      </c>
      <c r="BV15" s="264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73</v>
      </c>
      <c r="DD15" s="253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3"/>
      <c r="F16" s="243"/>
      <c r="G16" s="243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2"/>
      <c r="BV16" s="254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2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2"/>
      <c r="DD16" s="254"/>
      <c r="DE16" s="90"/>
      <c r="DF16" s="91"/>
      <c r="DG16" s="92"/>
      <c r="DH16" s="93"/>
      <c r="DI16" s="94"/>
    </row>
    <row r="17" spans="5:113" ht="14.5">
      <c r="E17" s="244"/>
      <c r="F17" s="244"/>
      <c r="G17" s="244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3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4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 ht="14.5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 ht="14.5">
      <c r="E7" s="233" t="s">
        <v>3</v>
      </c>
      <c r="F7" s="230"/>
      <c r="G7" s="5" t="s">
        <v>132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3" t="s">
        <v>6</v>
      </c>
      <c r="F8" s="230"/>
      <c r="G8" s="5" t="s">
        <v>133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3" t="s">
        <v>9</v>
      </c>
      <c r="F9" s="230"/>
      <c r="G9" s="5" t="s">
        <v>134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3" t="s">
        <v>12</v>
      </c>
      <c r="F10" s="230"/>
      <c r="G10" s="5" t="str">
        <f>'Midterm OVPAA-F-INS-055A RAW SC'!G10</f>
        <v>1st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</row>
    <row r="12" spans="5:102" ht="14.5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43"/>
      <c r="F16" s="243"/>
      <c r="G16" s="243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44"/>
      <c r="F17" s="244"/>
      <c r="G17" s="244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4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 ht="14.5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0" t="s">
        <v>66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 ht="14.5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 ht="14.5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 ht="14.5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 ht="14.5">
      <c r="E10" s="233" t="s">
        <v>12</v>
      </c>
      <c r="F10" s="230"/>
      <c r="G10" s="5" t="str">
        <f>'Midterm OVPAA-F-INS-055A RAW SC'!G10</f>
        <v>1st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 ht="14.5">
      <c r="E11" s="233" t="s">
        <v>17</v>
      </c>
      <c r="F11" s="230"/>
      <c r="G11" s="6" t="str">
        <f>'Midterm OVPAA-F-INS-055A RAW SC'!G11</f>
        <v>2025-2026</v>
      </c>
      <c r="H11" s="6"/>
      <c r="I11" s="3" t="s">
        <v>67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 ht="14.5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68</v>
      </c>
      <c r="DF13" s="256"/>
      <c r="DG13" s="257"/>
      <c r="DH13" s="258" t="s">
        <v>89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70</v>
      </c>
      <c r="DF14" s="78" t="s">
        <v>71</v>
      </c>
      <c r="DG14" s="79" t="s">
        <v>72</v>
      </c>
      <c r="DH14" s="224"/>
      <c r="DI14" s="228"/>
    </row>
    <row r="15" spans="5:113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73</v>
      </c>
      <c r="BV15" s="264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73</v>
      </c>
      <c r="DD15" s="253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3"/>
      <c r="F16" s="243"/>
      <c r="G16" s="243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2"/>
      <c r="BV16" s="254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2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2"/>
      <c r="DD16" s="254"/>
      <c r="DE16" s="90"/>
      <c r="DF16" s="91"/>
      <c r="DG16" s="92"/>
      <c r="DH16" s="93"/>
      <c r="DI16" s="94"/>
    </row>
    <row r="17" spans="5:113" ht="14.5">
      <c r="E17" s="244"/>
      <c r="F17" s="244"/>
      <c r="G17" s="244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51</v>
      </c>
    </row>
    <row r="2" spans="1:33" ht="14.5">
      <c r="B2" s="247" t="s">
        <v>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</row>
    <row r="3" spans="1:33" ht="14.5">
      <c r="B3" s="248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</row>
    <row r="4" spans="1:33" ht="14.5">
      <c r="B4" s="24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76" t="s">
        <v>90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69" t="s">
        <v>3</v>
      </c>
      <c r="B7" s="270"/>
      <c r="C7" s="178" t="str">
        <f>IF('Midterm OVPAA-F-INS-055A RAW SC'!G7="","",'Midterm OVPAA-F-INS-055A RAW SC'!G7)</f>
        <v>T205</v>
      </c>
      <c r="D7" s="179"/>
      <c r="E7" s="179"/>
      <c r="F7" s="272" t="s">
        <v>91</v>
      </c>
      <c r="G7" s="235"/>
      <c r="H7" s="235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69" t="s">
        <v>6</v>
      </c>
      <c r="B8" s="270"/>
      <c r="C8" s="183" t="str">
        <f>IF('Midterm OVPAA-F-INS-055A RAW SC'!G8="","",'Midterm OVPAA-F-INS-055A RAW SC'!G8)</f>
        <v>BA 13131</v>
      </c>
      <c r="D8" s="184"/>
      <c r="E8" s="184"/>
      <c r="F8" s="272" t="s">
        <v>92</v>
      </c>
      <c r="G8" s="235"/>
      <c r="H8" s="235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69" t="s">
        <v>93</v>
      </c>
      <c r="B9" s="270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32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69" t="s">
        <v>95</v>
      </c>
      <c r="B10" s="270"/>
      <c r="C10" s="178" t="str">
        <f>'Midterm OVPAA-F-INS-055A RAW SC'!G10&amp;"/"&amp;'Midterm OVPAA-F-INS-055A RAW SC'!G11</f>
        <v>1st Sem/2025-2026</v>
      </c>
      <c r="D10" s="179"/>
      <c r="E10" s="186"/>
      <c r="F10" s="272"/>
      <c r="G10" s="235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73" t="s">
        <v>96</v>
      </c>
      <c r="G11" s="235"/>
      <c r="H11" s="235"/>
      <c r="I11" s="235"/>
      <c r="J11" s="270"/>
      <c r="K11" s="273" t="s">
        <v>97</v>
      </c>
      <c r="L11" s="235"/>
      <c r="M11" s="235"/>
      <c r="N11" s="270"/>
      <c r="O11" s="274" t="s">
        <v>98</v>
      </c>
      <c r="P11" s="230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99</v>
      </c>
      <c r="B12" s="191" t="s">
        <v>100</v>
      </c>
      <c r="C12" s="273" t="s">
        <v>101</v>
      </c>
      <c r="D12" s="235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2301102644</v>
      </c>
      <c r="C13" s="269" t="str">
        <f>IF(NOT(ISBLANK('Midterm OVPAA-F-INS-055A RAW SC'!G18)),'Midterm OVPAA-F-INS-055A RAW SC'!G18,"")</f>
        <v>Albarracin, Donna Igar</v>
      </c>
      <c r="D13" s="235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10</v>
      </c>
      <c r="C14" s="269" t="str">
        <f>IF(NOT(ISBLANK('Midterm OVPAA-F-INS-055A RAW SC'!G19)),'Midterm OVPAA-F-INS-055A RAW SC'!G19,"")</f>
        <v>Añonuevo, Thomas Franz</v>
      </c>
      <c r="D14" s="235"/>
      <c r="E14" s="270"/>
      <c r="F14" s="271">
        <f>'MidTerm OVPAA-F-INS-055B CLASS'!BV19</f>
        <v>2.25</v>
      </c>
      <c r="G14" s="270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11</v>
      </c>
      <c r="C15" s="269" t="str">
        <f>IF(NOT(ISBLANK('Midterm OVPAA-F-INS-055A RAW SC'!G20)),'Midterm OVPAA-F-INS-055A RAW SC'!G20,"")</f>
        <v>Cabuco, Dean Krist A.</v>
      </c>
      <c r="D15" s="235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12</v>
      </c>
      <c r="C16" s="269" t="str">
        <f>IF(NOT(ISBLANK('Midterm OVPAA-F-INS-055A RAW SC'!G21)),'Midterm OVPAA-F-INS-055A RAW SC'!G21,"")</f>
        <v>De Guzman, Jim Dale Manong</v>
      </c>
      <c r="D16" s="235"/>
      <c r="E16" s="270"/>
      <c r="F16" s="271">
        <f>'MidTerm OVPAA-F-INS-055B CLASS'!BV21</f>
        <v>2.25</v>
      </c>
      <c r="G16" s="270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13</v>
      </c>
      <c r="C17" s="269" t="str">
        <f>IF(NOT(ISBLANK('Midterm OVPAA-F-INS-055A RAW SC'!G22)),'Midterm OVPAA-F-INS-055A RAW SC'!G22,"")</f>
        <v>Dela Cerna, Johann Derek Javier</v>
      </c>
      <c r="D17" s="235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14</v>
      </c>
      <c r="C18" s="269" t="str">
        <f>IF(NOT(ISBLANK('Midterm OVPAA-F-INS-055A RAW SC'!G23)),'Midterm OVPAA-F-INS-055A RAW SC'!G23,"")</f>
        <v>Delfin, Kyle Arnie Jopson</v>
      </c>
      <c r="D18" s="235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15</v>
      </c>
      <c r="C19" s="269" t="str">
        <f>IF(NOT(ISBLANK('Midterm OVPAA-F-INS-055A RAW SC'!G24)),'Midterm OVPAA-F-INS-055A RAW SC'!G24,"")</f>
        <v>Gumapac, Jannerie</v>
      </c>
      <c r="D19" s="235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16</v>
      </c>
      <c r="C20" s="269" t="str">
        <f>IF(NOT(ISBLANK('Midterm OVPAA-F-INS-055A RAW SC'!G25)),'Midterm OVPAA-F-INS-055A RAW SC'!G25,"")</f>
        <v>Lantinay, Pol Edison</v>
      </c>
      <c r="D20" s="235"/>
      <c r="E20" s="270"/>
      <c r="F20" s="271">
        <f>'MidTerm OVPAA-F-INS-055B CLASS'!BV25</f>
        <v>2.25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9" t="str">
        <f>IF(NOT(ISBLANK('Midterm OVPAA-F-INS-055A RAW SC'!G26)),'Midterm OVPAA-F-INS-055A RAW SC'!G26,"")</f>
        <v>Lintawahan, Maria Elisabeth</v>
      </c>
      <c r="D21" s="235"/>
      <c r="E21" s="270"/>
      <c r="F21" s="271">
        <f>'MidTerm OVPAA-F-INS-055B CLASS'!BV26</f>
        <v>2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9" t="str">
        <f>IF(NOT(ISBLANK('Midterm OVPAA-F-INS-055A RAW SC'!G27)),'Midterm OVPAA-F-INS-055A RAW SC'!G27,"")</f>
        <v>Lisondra, Christian Earl</v>
      </c>
      <c r="D22" s="235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9" t="str">
        <f>IF(NOT(ISBLANK('Midterm OVPAA-F-INS-055A RAW SC'!G28)),'Midterm OVPAA-F-INS-055A RAW SC'!G28,"")</f>
        <v>Magante, Jerson</v>
      </c>
      <c r="D23" s="235"/>
      <c r="E23" s="270"/>
      <c r="F23" s="271">
        <f>'MidTerm OVPAA-F-INS-055B CLASS'!BV28</f>
        <v>2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9" t="str">
        <f>IF(NOT(ISBLANK('Midterm OVPAA-F-INS-055A RAW SC'!G29)),'Midterm OVPAA-F-INS-055A RAW SC'!G29,"")</f>
        <v>Maraon, EJ Kate</v>
      </c>
      <c r="D24" s="235"/>
      <c r="E24" s="270"/>
      <c r="F24" s="271">
        <f>'MidTerm OVPAA-F-INS-055B CLASS'!BV29</f>
        <v>2.25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9" t="str">
        <f>IF(NOT(ISBLANK('Midterm OVPAA-F-INS-055A RAW SC'!G30)),'Midterm OVPAA-F-INS-055A RAW SC'!G30,"")</f>
        <v>Melendez, Jeter Giambi</v>
      </c>
      <c r="D25" s="235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9" t="str">
        <f>IF(NOT(ISBLANK('Midterm OVPAA-F-INS-055A RAW SC'!G31)),'Midterm OVPAA-F-INS-055A RAW SC'!G31,"")</f>
        <v>Merina, Meljon G.</v>
      </c>
      <c r="D26" s="235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9" t="str">
        <f>IF(NOT(ISBLANK('Midterm OVPAA-F-INS-055A RAW SC'!G32)),'Midterm OVPAA-F-INS-055A RAW SC'!G32,"")</f>
        <v>Neri, Jaira Greist</v>
      </c>
      <c r="D27" s="235"/>
      <c r="E27" s="270"/>
      <c r="F27" s="271">
        <f>'MidTerm OVPAA-F-INS-055B CLASS'!BV32</f>
        <v>1.5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9" t="str">
        <f>IF(NOT(ISBLANK('Midterm OVPAA-F-INS-055A RAW SC'!G33)),'Midterm OVPAA-F-INS-055A RAW SC'!G33,"")</f>
        <v>Noval, Miky</v>
      </c>
      <c r="D28" s="235"/>
      <c r="E28" s="270"/>
      <c r="F28" s="271">
        <f>'MidTerm OVPAA-F-INS-055B CLASS'!BV33</f>
        <v>1.75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9" t="str">
        <f>IF(NOT(ISBLANK('Midterm OVPAA-F-INS-055A RAW SC'!G34)),'Midterm OVPAA-F-INS-055A RAW SC'!G34,"")</f>
        <v>Nuer, Jaymarc</v>
      </c>
      <c r="D29" s="235"/>
      <c r="E29" s="270"/>
      <c r="F29" s="271">
        <f>'MidTerm OVPAA-F-INS-055B CLASS'!BV34</f>
        <v>2.5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9" t="str">
        <f>IF(NOT(ISBLANK('Midterm OVPAA-F-INS-055A RAW SC'!G35)),'Midterm OVPAA-F-INS-055A RAW SC'!G35,"")</f>
        <v>Publico, Rogelio</v>
      </c>
      <c r="D30" s="235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9" t="str">
        <f>IF(NOT(ISBLANK('Midterm OVPAA-F-INS-055A RAW SC'!G36)),'Midterm OVPAA-F-INS-055A RAW SC'!G36,"")</f>
        <v>Rivera, Juvel</v>
      </c>
      <c r="D31" s="235"/>
      <c r="E31" s="270"/>
      <c r="F31" s="271">
        <f>'MidTerm OVPAA-F-INS-055B CLASS'!BV36</f>
        <v>1.5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9" t="str">
        <f>IF(NOT(ISBLANK('Midterm OVPAA-F-INS-055A RAW SC'!G37)),'Midterm OVPAA-F-INS-055A RAW SC'!G37,"")</f>
        <v>Rubio, Pia Pilar</v>
      </c>
      <c r="D32" s="235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9" t="str">
        <f>IF(NOT(ISBLANK('Midterm OVPAA-F-INS-055A RAW SC'!G38)),'Midterm OVPAA-F-INS-055A RAW SC'!G38,"")</f>
        <v>Salto, Mary Natalie</v>
      </c>
      <c r="D33" s="235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9" t="str">
        <f>IF(NOT(ISBLANK('Midterm OVPAA-F-INS-055A RAW SC'!G39)),'Midterm OVPAA-F-INS-055A RAW SC'!G39,"")</f>
        <v>Tilanduca, Khiara</v>
      </c>
      <c r="D34" s="235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9" t="str">
        <f>IF(NOT(ISBLANK('Midterm OVPAA-F-INS-055A RAW SC'!G40)),'Midterm OVPAA-F-INS-055A RAW SC'!G40,"")</f>
        <v>Valdez, John Winchel</v>
      </c>
      <c r="D35" s="235"/>
      <c r="E35" s="270"/>
      <c r="F35" s="271">
        <f>'MidTerm OVPAA-F-INS-055B CLASS'!BV40</f>
        <v>1.5</v>
      </c>
      <c r="G35" s="270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35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35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35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35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35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35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35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35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35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35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35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35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35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35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35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35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35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35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35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35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35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35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35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35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35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35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35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35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35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35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35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35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35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35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35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35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35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35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35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35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35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35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35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35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35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35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35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35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35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35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35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35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35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35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35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35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35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35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35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35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35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35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35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35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35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35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35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35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35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35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35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35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35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35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35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35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35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108</v>
      </c>
      <c r="B114" s="230"/>
      <c r="C114" s="181"/>
      <c r="D114" s="181" t="s">
        <v>109</v>
      </c>
      <c r="E114" s="181"/>
      <c r="F114" s="281"/>
      <c r="G114" s="230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30"/>
      <c r="C117" s="230"/>
      <c r="D117" s="266" t="str">
        <f>'Midterm OVPAA-F-INS-055A RAW SC'!K11</f>
        <v>Dr. Sales G. Aribe, Jr.</v>
      </c>
      <c r="E117" s="230"/>
      <c r="F117" s="230"/>
      <c r="G117" s="230"/>
      <c r="H117" s="200"/>
      <c r="I117" s="266" t="str">
        <f>'Midterm OVPAA-F-INS-055A RAW SC'!K12</f>
        <v>Dr. Marilou O. Espina</v>
      </c>
      <c r="J117" s="230"/>
      <c r="K117" s="230"/>
      <c r="L117" s="230"/>
      <c r="M117" s="230"/>
      <c r="N117" s="230"/>
      <c r="O117" s="230"/>
      <c r="P117" s="230"/>
      <c r="Q117" s="230"/>
      <c r="R117" s="230"/>
    </row>
    <row r="118" spans="1:33" ht="35.25" customHeight="1">
      <c r="A118" s="267" t="s">
        <v>111</v>
      </c>
      <c r="B118" s="230"/>
      <c r="C118" s="230"/>
      <c r="D118" s="267" t="str">
        <f>CONCATENATE("Department Head, ",'Midterm OVPAA-F-INS-055A RAW SC'!V10)</f>
        <v>Department Head, Information Technology</v>
      </c>
      <c r="E118" s="230"/>
      <c r="F118" s="230"/>
      <c r="G118" s="230"/>
      <c r="H118" s="201"/>
      <c r="I118" s="267" t="str">
        <f>CONCATENATE("Dean, ",'Midterm OVPAA-F-INS-055A RAW SC'!V11)</f>
        <v>Dean, College of Technologies</v>
      </c>
      <c r="J118" s="230"/>
      <c r="K118" s="230"/>
      <c r="L118" s="230"/>
      <c r="M118" s="230"/>
      <c r="N118" s="230"/>
      <c r="O118" s="230"/>
      <c r="P118" s="230"/>
      <c r="Q118" s="230"/>
      <c r="R118" s="230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112</v>
      </c>
      <c r="B119" s="230"/>
      <c r="C119" s="230"/>
      <c r="D119" s="268" t="s">
        <v>112</v>
      </c>
      <c r="E119" s="230"/>
      <c r="F119" s="230"/>
      <c r="G119" s="203"/>
      <c r="H119" s="203"/>
      <c r="I119" s="268" t="s">
        <v>112</v>
      </c>
      <c r="J119" s="230"/>
      <c r="K119" s="230"/>
      <c r="L119" s="230"/>
      <c r="M119" s="230"/>
      <c r="N119" s="230"/>
      <c r="O119" s="230"/>
      <c r="P119" s="230"/>
      <c r="Q119" s="230"/>
      <c r="R119" s="230"/>
    </row>
    <row r="120" spans="1:33" ht="15.75" customHeight="1"/>
    <row r="121" spans="1:33" ht="15.75" customHeight="1">
      <c r="A121" s="279"/>
      <c r="B121" s="230"/>
      <c r="C121" s="230"/>
      <c r="D121" s="280"/>
      <c r="E121" s="230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 ht="14.5">
      <c r="A2" s="5" t="s">
        <v>13</v>
      </c>
      <c r="B2" s="5" t="s">
        <v>117</v>
      </c>
    </row>
    <row r="3" spans="1:6" ht="14.5">
      <c r="A3" s="5" t="s">
        <v>118</v>
      </c>
      <c r="B3" s="5" t="s">
        <v>119</v>
      </c>
      <c r="C3" s="2" t="s">
        <v>120</v>
      </c>
    </row>
    <row r="4" spans="1:6" ht="14.5">
      <c r="B4" s="5" t="s">
        <v>121</v>
      </c>
      <c r="C4" s="2" t="s">
        <v>122</v>
      </c>
    </row>
    <row r="5" spans="1:6" ht="14.5">
      <c r="C5" s="2" t="s">
        <v>123</v>
      </c>
    </row>
    <row r="6" spans="1:6" ht="14.5">
      <c r="C6" s="2" t="s">
        <v>116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124</v>
      </c>
      <c r="C1" s="230"/>
      <c r="D1" s="230"/>
      <c r="F1" s="282" t="s">
        <v>125</v>
      </c>
      <c r="G1" s="230"/>
      <c r="H1" s="230"/>
    </row>
    <row r="2" spans="2:8" ht="15" customHeight="1">
      <c r="B2" s="230"/>
      <c r="C2" s="230"/>
      <c r="D2" s="230"/>
      <c r="F2" s="230"/>
      <c r="G2" s="230"/>
      <c r="H2" s="230"/>
    </row>
    <row r="3" spans="2:8" ht="14.5">
      <c r="C3" s="3" t="s">
        <v>126</v>
      </c>
      <c r="D3" s="3" t="s">
        <v>127</v>
      </c>
      <c r="G3" s="3" t="s">
        <v>126</v>
      </c>
      <c r="H3" s="3" t="s">
        <v>127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2026-10-22T01:13:46Z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