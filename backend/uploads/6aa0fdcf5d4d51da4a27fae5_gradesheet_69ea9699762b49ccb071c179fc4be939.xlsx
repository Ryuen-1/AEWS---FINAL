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ndr\Desktop\Ex.Data\"/>
    </mc:Choice>
  </mc:AlternateContent>
  <xr:revisionPtr revIDLastSave="0" documentId="13_ncr:1_{D4C6B7E5-3210-4FC5-AB5B-32F0304AEB33}" xr6:coauthVersionLast="47" xr6:coauthVersionMax="47" xr10:uidLastSave="{00000000-0000-0000-0000-000000000000}"/>
  <bookViews>
    <workbookView xWindow="-110" yWindow="-110" windowWidth="25820" windowHeight="13900" firstSheet="2" activeTab="4" xr2:uid="{00000000-000D-0000-FFFF-FFFF00000000}"/>
  </bookViews>
  <sheets>
    <sheet name="Midterm OVPAA-F-INS-055A RAW SC" sheetId="1" r:id="rId1"/>
    <sheet name="MidTerm OVPAA-F-INS-055B CLASS" sheetId="2" r:id="rId2"/>
    <sheet name="Finalterm OVPAA-F-INS-055A RAW " sheetId="3" r:id="rId3"/>
    <sheet name="Finalterm OVPAA-F-INS-055B CLAS" sheetId="4" r:id="rId4"/>
    <sheet name="OVPAA-F-INS-056 HFL GRADE SHEET" sheetId="5" r:id="rId5"/>
    <sheet name="COMBO BOX OPS" sheetId="6" state="hidden" r:id="rId6"/>
    <sheet name="TRANSMUTATION" sheetId="7" state="hidden" r:id="rId7"/>
  </sheets>
  <definedNames>
    <definedName name="PRate">#REF!</definedName>
    <definedName name="remarks">'COMBO BOX OPS'!$C$2:$C$7</definedName>
    <definedName name="SchoolYear">'COMBO BOX OPS'!$B$2:$B$4</definedName>
    <definedName name="Semester">'COMBO BOX OPS'!$A$2:$A$3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4G9ebe+TtOWmjbHHAxXNSy1T6OoIX9aDoxTesQn5r3Y="/>
    </ext>
  </extLst>
</workbook>
</file>

<file path=xl/calcChain.xml><?xml version="1.0" encoding="utf-8"?>
<calcChain xmlns="http://schemas.openxmlformats.org/spreadsheetml/2006/main">
  <c r="F30" i="2" l="1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C10" i="5"/>
  <c r="I12" i="5"/>
  <c r="H12" i="5"/>
  <c r="F12" i="5"/>
  <c r="M12" i="5"/>
  <c r="L12" i="5"/>
  <c r="K12" i="5"/>
  <c r="G18" i="4"/>
  <c r="H35" i="7"/>
  <c r="F35" i="7"/>
  <c r="D35" i="7"/>
  <c r="B35" i="7"/>
  <c r="H34" i="7"/>
  <c r="G34" i="7"/>
  <c r="F34" i="7"/>
  <c r="D34" i="7"/>
  <c r="C34" i="7"/>
  <c r="B34" i="7"/>
  <c r="H33" i="7"/>
  <c r="G33" i="7"/>
  <c r="F33" i="7"/>
  <c r="D33" i="7"/>
  <c r="C33" i="7"/>
  <c r="B33" i="7"/>
  <c r="H32" i="7"/>
  <c r="G32" i="7"/>
  <c r="F32" i="7"/>
  <c r="D32" i="7"/>
  <c r="C32" i="7"/>
  <c r="B32" i="7"/>
  <c r="H31" i="7"/>
  <c r="G31" i="7"/>
  <c r="F31" i="7"/>
  <c r="D31" i="7"/>
  <c r="C31" i="7"/>
  <c r="B31" i="7"/>
  <c r="H30" i="7"/>
  <c r="G30" i="7"/>
  <c r="F30" i="7"/>
  <c r="D30" i="7"/>
  <c r="C30" i="7"/>
  <c r="B30" i="7"/>
  <c r="H29" i="7"/>
  <c r="G29" i="7"/>
  <c r="F29" i="7"/>
  <c r="D29" i="7"/>
  <c r="C29" i="7"/>
  <c r="B29" i="7"/>
  <c r="H28" i="7"/>
  <c r="G28" i="7"/>
  <c r="F28" i="7"/>
  <c r="D28" i="7"/>
  <c r="C28" i="7"/>
  <c r="B28" i="7"/>
  <c r="H27" i="7"/>
  <c r="G27" i="7"/>
  <c r="F27" i="7"/>
  <c r="D27" i="7"/>
  <c r="C27" i="7"/>
  <c r="B27" i="7"/>
  <c r="H26" i="7"/>
  <c r="G26" i="7"/>
  <c r="F26" i="7"/>
  <c r="D26" i="7"/>
  <c r="C26" i="7"/>
  <c r="B26" i="7"/>
  <c r="H25" i="7"/>
  <c r="G25" i="7"/>
  <c r="F25" i="7"/>
  <c r="D25" i="7"/>
  <c r="C25" i="7"/>
  <c r="B25" i="7"/>
  <c r="H24" i="7"/>
  <c r="G24" i="7"/>
  <c r="F24" i="7"/>
  <c r="D24" i="7"/>
  <c r="C24" i="7"/>
  <c r="B24" i="7"/>
  <c r="H23" i="7"/>
  <c r="G23" i="7"/>
  <c r="F23" i="7"/>
  <c r="D23" i="7"/>
  <c r="C23" i="7"/>
  <c r="B23" i="7"/>
  <c r="H22" i="7"/>
  <c r="G22" i="7"/>
  <c r="F22" i="7"/>
  <c r="D22" i="7"/>
  <c r="C22" i="7"/>
  <c r="B22" i="7"/>
  <c r="I118" i="5"/>
  <c r="D118" i="5"/>
  <c r="I117" i="5"/>
  <c r="D117" i="5"/>
  <c r="A117" i="5"/>
  <c r="C112" i="5"/>
  <c r="R112" i="5" s="1"/>
  <c r="B112" i="5"/>
  <c r="C111" i="5"/>
  <c r="R111" i="5" s="1"/>
  <c r="B111" i="5"/>
  <c r="R110" i="5"/>
  <c r="C110" i="5"/>
  <c r="B110" i="5"/>
  <c r="R109" i="5"/>
  <c r="C109" i="5"/>
  <c r="B109" i="5"/>
  <c r="C108" i="5"/>
  <c r="R108" i="5" s="1"/>
  <c r="B108" i="5"/>
  <c r="C107" i="5"/>
  <c r="R107" i="5" s="1"/>
  <c r="B107" i="5"/>
  <c r="R106" i="5"/>
  <c r="C106" i="5"/>
  <c r="B106" i="5"/>
  <c r="R105" i="5"/>
  <c r="C105" i="5"/>
  <c r="B105" i="5"/>
  <c r="C104" i="5"/>
  <c r="R104" i="5" s="1"/>
  <c r="B104" i="5"/>
  <c r="C103" i="5"/>
  <c r="R103" i="5" s="1"/>
  <c r="B103" i="5"/>
  <c r="R102" i="5"/>
  <c r="C102" i="5"/>
  <c r="B102" i="5"/>
  <c r="R101" i="5"/>
  <c r="C101" i="5"/>
  <c r="B101" i="5"/>
  <c r="C100" i="5"/>
  <c r="R100" i="5" s="1"/>
  <c r="B100" i="5"/>
  <c r="C99" i="5"/>
  <c r="R99" i="5" s="1"/>
  <c r="B99" i="5"/>
  <c r="R98" i="5"/>
  <c r="C98" i="5"/>
  <c r="B98" i="5"/>
  <c r="R97" i="5"/>
  <c r="C97" i="5"/>
  <c r="B97" i="5"/>
  <c r="C96" i="5"/>
  <c r="R96" i="5" s="1"/>
  <c r="B96" i="5"/>
  <c r="C95" i="5"/>
  <c r="R95" i="5" s="1"/>
  <c r="B95" i="5"/>
  <c r="R94" i="5"/>
  <c r="C94" i="5"/>
  <c r="B94" i="5"/>
  <c r="R93" i="5"/>
  <c r="C93" i="5"/>
  <c r="B93" i="5"/>
  <c r="C92" i="5"/>
  <c r="R92" i="5" s="1"/>
  <c r="B92" i="5"/>
  <c r="C91" i="5"/>
  <c r="R91" i="5" s="1"/>
  <c r="B91" i="5"/>
  <c r="R90" i="5"/>
  <c r="C90" i="5"/>
  <c r="B90" i="5"/>
  <c r="R89" i="5"/>
  <c r="C89" i="5"/>
  <c r="B89" i="5"/>
  <c r="C88" i="5"/>
  <c r="R88" i="5" s="1"/>
  <c r="B88" i="5"/>
  <c r="C87" i="5"/>
  <c r="R87" i="5" s="1"/>
  <c r="B87" i="5"/>
  <c r="R86" i="5"/>
  <c r="C86" i="5"/>
  <c r="B86" i="5"/>
  <c r="R85" i="5"/>
  <c r="C85" i="5"/>
  <c r="B85" i="5"/>
  <c r="C84" i="5"/>
  <c r="R84" i="5" s="1"/>
  <c r="B84" i="5"/>
  <c r="C83" i="5"/>
  <c r="R83" i="5" s="1"/>
  <c r="B83" i="5"/>
  <c r="R82" i="5"/>
  <c r="C82" i="5"/>
  <c r="B82" i="5"/>
  <c r="R81" i="5"/>
  <c r="C81" i="5"/>
  <c r="B81" i="5"/>
  <c r="C80" i="5"/>
  <c r="R80" i="5" s="1"/>
  <c r="B80" i="5"/>
  <c r="C79" i="5"/>
  <c r="R79" i="5" s="1"/>
  <c r="B79" i="5"/>
  <c r="R78" i="5"/>
  <c r="C78" i="5"/>
  <c r="B78" i="5"/>
  <c r="R77" i="5"/>
  <c r="C77" i="5"/>
  <c r="B77" i="5"/>
  <c r="C76" i="5"/>
  <c r="R76" i="5" s="1"/>
  <c r="B76" i="5"/>
  <c r="C75" i="5"/>
  <c r="R75" i="5" s="1"/>
  <c r="B75" i="5"/>
  <c r="R74" i="5"/>
  <c r="C74" i="5"/>
  <c r="B74" i="5"/>
  <c r="R73" i="5"/>
  <c r="C73" i="5"/>
  <c r="B73" i="5"/>
  <c r="C72" i="5"/>
  <c r="R72" i="5" s="1"/>
  <c r="B72" i="5"/>
  <c r="C71" i="5"/>
  <c r="R71" i="5" s="1"/>
  <c r="B71" i="5"/>
  <c r="R70" i="5"/>
  <c r="C70" i="5"/>
  <c r="B70" i="5"/>
  <c r="R69" i="5"/>
  <c r="C69" i="5"/>
  <c r="B69" i="5"/>
  <c r="C68" i="5"/>
  <c r="R68" i="5" s="1"/>
  <c r="B68" i="5"/>
  <c r="C67" i="5"/>
  <c r="R67" i="5" s="1"/>
  <c r="B67" i="5"/>
  <c r="R66" i="5"/>
  <c r="C66" i="5"/>
  <c r="B66" i="5"/>
  <c r="R65" i="5"/>
  <c r="C65" i="5"/>
  <c r="B65" i="5"/>
  <c r="C64" i="5"/>
  <c r="R64" i="5" s="1"/>
  <c r="B64" i="5"/>
  <c r="C63" i="5"/>
  <c r="R63" i="5" s="1"/>
  <c r="B63" i="5"/>
  <c r="R62" i="5"/>
  <c r="C62" i="5"/>
  <c r="B62" i="5"/>
  <c r="R61" i="5"/>
  <c r="C61" i="5"/>
  <c r="B61" i="5"/>
  <c r="C60" i="5"/>
  <c r="R60" i="5" s="1"/>
  <c r="B60" i="5"/>
  <c r="C59" i="5"/>
  <c r="R59" i="5" s="1"/>
  <c r="B59" i="5"/>
  <c r="C58" i="5"/>
  <c r="R58" i="5" s="1"/>
  <c r="B58" i="5"/>
  <c r="R57" i="5"/>
  <c r="C57" i="5"/>
  <c r="B57" i="5"/>
  <c r="R56" i="5"/>
  <c r="C56" i="5"/>
  <c r="B56" i="5"/>
  <c r="C55" i="5"/>
  <c r="R55" i="5" s="1"/>
  <c r="B55" i="5"/>
  <c r="C54" i="5"/>
  <c r="R54" i="5" s="1"/>
  <c r="B54" i="5"/>
  <c r="R53" i="5"/>
  <c r="C53" i="5"/>
  <c r="B53" i="5"/>
  <c r="R52" i="5"/>
  <c r="C52" i="5"/>
  <c r="B52" i="5"/>
  <c r="C51" i="5"/>
  <c r="R51" i="5" s="1"/>
  <c r="B51" i="5"/>
  <c r="C50" i="5"/>
  <c r="R50" i="5" s="1"/>
  <c r="B50" i="5"/>
  <c r="R49" i="5"/>
  <c r="C49" i="5"/>
  <c r="B49" i="5"/>
  <c r="R48" i="5"/>
  <c r="C48" i="5"/>
  <c r="B48" i="5"/>
  <c r="C47" i="5"/>
  <c r="R47" i="5" s="1"/>
  <c r="B47" i="5"/>
  <c r="C46" i="5"/>
  <c r="R46" i="5" s="1"/>
  <c r="B46" i="5"/>
  <c r="R45" i="5"/>
  <c r="C45" i="5"/>
  <c r="B45" i="5"/>
  <c r="R44" i="5"/>
  <c r="C44" i="5"/>
  <c r="B44" i="5"/>
  <c r="C43" i="5"/>
  <c r="R43" i="5" s="1"/>
  <c r="B43" i="5"/>
  <c r="C42" i="5"/>
  <c r="R42" i="5" s="1"/>
  <c r="B42" i="5"/>
  <c r="R41" i="5"/>
  <c r="C41" i="5"/>
  <c r="B41" i="5"/>
  <c r="R40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I9" i="5"/>
  <c r="C9" i="5"/>
  <c r="I8" i="5"/>
  <c r="C8" i="5"/>
  <c r="I7" i="5"/>
  <c r="C7" i="5"/>
  <c r="DC117" i="4" a="1"/>
  <c r="DC117" i="4" s="1"/>
  <c r="DD117" i="4" s="1"/>
  <c r="DB117" i="4"/>
  <c r="DA117" i="4"/>
  <c r="CZ117" i="4"/>
  <c r="CY117" i="4"/>
  <c r="CX117" i="4"/>
  <c r="CW117" i="4"/>
  <c r="CV117" i="4"/>
  <c r="CU117" i="4"/>
  <c r="CT117" i="4"/>
  <c r="CS117" i="4"/>
  <c r="CQ117" i="4" a="1"/>
  <c r="CQ117" i="4" s="1"/>
  <c r="CR117" i="4" s="1"/>
  <c r="CP117" i="4"/>
  <c r="CO117" i="4"/>
  <c r="CN117" i="4"/>
  <c r="CM117" i="4"/>
  <c r="CL117" i="4"/>
  <c r="CK117" i="4"/>
  <c r="CJ117" i="4"/>
  <c r="CI117" i="4"/>
  <c r="CH117" i="4"/>
  <c r="CG117" i="4"/>
  <c r="CF117" i="4"/>
  <c r="CE117" i="4"/>
  <c r="CD117" i="4"/>
  <c r="CC117" i="4"/>
  <c r="CB117" i="4"/>
  <c r="CA117" i="4"/>
  <c r="BZ117" i="4"/>
  <c r="BY117" i="4"/>
  <c r="BX117" i="4"/>
  <c r="BW117" i="4"/>
  <c r="BT117" i="4"/>
  <c r="BS117" i="4"/>
  <c r="BR117" i="4"/>
  <c r="BQ117" i="4"/>
  <c r="BP117" i="4"/>
  <c r="BO117" i="4"/>
  <c r="BN117" i="4"/>
  <c r="BM117" i="4"/>
  <c r="BL117" i="4"/>
  <c r="BK117" i="4"/>
  <c r="BJ117" i="4"/>
  <c r="BI117" i="4"/>
  <c r="BH117" i="4"/>
  <c r="BG117" i="4"/>
  <c r="BF117" i="4"/>
  <c r="BE117" i="4"/>
  <c r="BD117" i="4"/>
  <c r="BC117" i="4"/>
  <c r="BB117" i="4"/>
  <c r="BA117" i="4"/>
  <c r="AZ117" i="4"/>
  <c r="AY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K117" i="4"/>
  <c r="AJ117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F117" i="4"/>
  <c r="DC116" i="4" a="1"/>
  <c r="DC116" i="4"/>
  <c r="DD116" i="4" s="1"/>
  <c r="DB116" i="4"/>
  <c r="DA116" i="4"/>
  <c r="CZ116" i="4"/>
  <c r="CY116" i="4"/>
  <c r="CX116" i="4"/>
  <c r="CW116" i="4"/>
  <c r="CV116" i="4"/>
  <c r="CU116" i="4"/>
  <c r="CT116" i="4"/>
  <c r="CS116" i="4"/>
  <c r="CQ116" i="4" a="1"/>
  <c r="CQ116" i="4"/>
  <c r="CR116" i="4" s="1"/>
  <c r="CP116" i="4"/>
  <c r="CO116" i="4"/>
  <c r="CN116" i="4"/>
  <c r="CM116" i="4"/>
  <c r="CL116" i="4"/>
  <c r="CK116" i="4"/>
  <c r="CJ116" i="4"/>
  <c r="CI116" i="4"/>
  <c r="CH116" i="4"/>
  <c r="CG116" i="4"/>
  <c r="CF116" i="4"/>
  <c r="CE116" i="4"/>
  <c r="CD116" i="4"/>
  <c r="CC116" i="4"/>
  <c r="CB116" i="4"/>
  <c r="CA116" i="4"/>
  <c r="BZ116" i="4"/>
  <c r="BY116" i="4"/>
  <c r="BX116" i="4"/>
  <c r="BW116" i="4"/>
  <c r="BT116" i="4"/>
  <c r="BS116" i="4"/>
  <c r="BR116" i="4"/>
  <c r="BQ116" i="4"/>
  <c r="BP116" i="4"/>
  <c r="BO116" i="4"/>
  <c r="BN116" i="4"/>
  <c r="BM116" i="4"/>
  <c r="BL116" i="4"/>
  <c r="BK116" i="4"/>
  <c r="BJ116" i="4"/>
  <c r="BI116" i="4"/>
  <c r="BH116" i="4"/>
  <c r="BG116" i="4"/>
  <c r="BF116" i="4"/>
  <c r="BE116" i="4"/>
  <c r="BD116" i="4"/>
  <c r="BC116" i="4"/>
  <c r="BB116" i="4"/>
  <c r="BA116" i="4"/>
  <c r="AZ116" i="4"/>
  <c r="AY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K116" i="4"/>
  <c r="AJ116" i="4"/>
  <c r="AI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U116" i="4"/>
  <c r="T116" i="4"/>
  <c r="S116" i="4"/>
  <c r="R116" i="4"/>
  <c r="Q116" i="4"/>
  <c r="P116" i="4"/>
  <c r="O116" i="4"/>
  <c r="N116" i="4"/>
  <c r="M116" i="4"/>
  <c r="L116" i="4"/>
  <c r="K116" i="4"/>
  <c r="J116" i="4"/>
  <c r="I116" i="4"/>
  <c r="H116" i="4"/>
  <c r="G116" i="4"/>
  <c r="F116" i="4"/>
  <c r="DD115" i="4"/>
  <c r="DC115" i="4" a="1"/>
  <c r="DC115" i="4"/>
  <c r="DB115" i="4"/>
  <c r="DA115" i="4"/>
  <c r="CZ115" i="4"/>
  <c r="CY115" i="4"/>
  <c r="CX115" i="4"/>
  <c r="CW115" i="4"/>
  <c r="CV115" i="4"/>
  <c r="CU115" i="4"/>
  <c r="CT115" i="4"/>
  <c r="CS115" i="4"/>
  <c r="CQ115" i="4" a="1"/>
  <c r="CQ115" i="4"/>
  <c r="CR115" i="4" s="1"/>
  <c r="CP115" i="4"/>
  <c r="CO115" i="4"/>
  <c r="CN115" i="4"/>
  <c r="CM115" i="4"/>
  <c r="CL115" i="4"/>
  <c r="CK115" i="4"/>
  <c r="CJ115" i="4"/>
  <c r="CI115" i="4"/>
  <c r="CH115" i="4"/>
  <c r="CG115" i="4"/>
  <c r="CF115" i="4"/>
  <c r="CE115" i="4"/>
  <c r="CD115" i="4"/>
  <c r="CC115" i="4"/>
  <c r="CB115" i="4"/>
  <c r="CA115" i="4"/>
  <c r="BZ115" i="4"/>
  <c r="BY115" i="4"/>
  <c r="BX115" i="4"/>
  <c r="BW115" i="4"/>
  <c r="BT115" i="4"/>
  <c r="BS115" i="4"/>
  <c r="BR115" i="4"/>
  <c r="BQ115" i="4"/>
  <c r="BP115" i="4"/>
  <c r="BO115" i="4"/>
  <c r="BN115" i="4"/>
  <c r="BM115" i="4"/>
  <c r="BL115" i="4"/>
  <c r="BK115" i="4"/>
  <c r="BJ115" i="4"/>
  <c r="BI115" i="4"/>
  <c r="BH115" i="4"/>
  <c r="BG115" i="4"/>
  <c r="BF115" i="4"/>
  <c r="BE115" i="4"/>
  <c r="BD115" i="4"/>
  <c r="BC115" i="4"/>
  <c r="BB115" i="4"/>
  <c r="BA115" i="4"/>
  <c r="AZ115" i="4"/>
  <c r="AY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K115" i="4"/>
  <c r="AJ115" i="4"/>
  <c r="AI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S115" i="4"/>
  <c r="R115" i="4"/>
  <c r="Q115" i="4"/>
  <c r="P115" i="4"/>
  <c r="O115" i="4"/>
  <c r="N115" i="4"/>
  <c r="M115" i="4"/>
  <c r="L115" i="4"/>
  <c r="K115" i="4"/>
  <c r="J115" i="4"/>
  <c r="I115" i="4"/>
  <c r="H115" i="4"/>
  <c r="G115" i="4"/>
  <c r="F115" i="4"/>
  <c r="DC114" i="4" a="1"/>
  <c r="DC114" i="4" s="1"/>
  <c r="DD114" i="4" s="1"/>
  <c r="DB114" i="4"/>
  <c r="DA114" i="4"/>
  <c r="CZ114" i="4"/>
  <c r="CY114" i="4"/>
  <c r="CX114" i="4"/>
  <c r="CW114" i="4"/>
  <c r="CV114" i="4"/>
  <c r="CU114" i="4"/>
  <c r="CT114" i="4"/>
  <c r="CS114" i="4"/>
  <c r="CQ114" i="4" a="1"/>
  <c r="CQ114" i="4"/>
  <c r="CR114" i="4" s="1"/>
  <c r="CP114" i="4"/>
  <c r="CO114" i="4"/>
  <c r="CN114" i="4"/>
  <c r="CM114" i="4"/>
  <c r="CL114" i="4"/>
  <c r="CK114" i="4"/>
  <c r="CJ114" i="4"/>
  <c r="CI114" i="4"/>
  <c r="CH114" i="4"/>
  <c r="CG114" i="4"/>
  <c r="CF114" i="4"/>
  <c r="CE114" i="4"/>
  <c r="CD114" i="4"/>
  <c r="CC114" i="4"/>
  <c r="CB114" i="4"/>
  <c r="CA114" i="4"/>
  <c r="BZ114" i="4"/>
  <c r="BY114" i="4"/>
  <c r="BX114" i="4"/>
  <c r="BW114" i="4"/>
  <c r="BT114" i="4"/>
  <c r="BS114" i="4"/>
  <c r="BR114" i="4"/>
  <c r="BQ114" i="4"/>
  <c r="BP114" i="4"/>
  <c r="BO114" i="4"/>
  <c r="BN114" i="4"/>
  <c r="BM114" i="4"/>
  <c r="BL114" i="4"/>
  <c r="BK114" i="4"/>
  <c r="BJ114" i="4"/>
  <c r="BI114" i="4"/>
  <c r="BH114" i="4"/>
  <c r="BG114" i="4"/>
  <c r="BF114" i="4"/>
  <c r="BE114" i="4"/>
  <c r="BD114" i="4"/>
  <c r="BC114" i="4"/>
  <c r="BB114" i="4"/>
  <c r="BA114" i="4"/>
  <c r="AZ114" i="4"/>
  <c r="AY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K114" i="4"/>
  <c r="AJ114" i="4"/>
  <c r="AI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S114" i="4"/>
  <c r="R114" i="4"/>
  <c r="Q114" i="4"/>
  <c r="P114" i="4"/>
  <c r="O114" i="4"/>
  <c r="N114" i="4"/>
  <c r="M114" i="4"/>
  <c r="L114" i="4"/>
  <c r="K114" i="4"/>
  <c r="J114" i="4"/>
  <c r="I114" i="4"/>
  <c r="H114" i="4"/>
  <c r="G114" i="4"/>
  <c r="F114" i="4"/>
  <c r="DC113" i="4" a="1"/>
  <c r="DC113" i="4"/>
  <c r="DD113" i="4" s="1"/>
  <c r="DB113" i="4"/>
  <c r="DA113" i="4"/>
  <c r="CZ113" i="4"/>
  <c r="CY113" i="4"/>
  <c r="CX113" i="4"/>
  <c r="CW113" i="4"/>
  <c r="CV113" i="4"/>
  <c r="CU113" i="4"/>
  <c r="CT113" i="4"/>
  <c r="CS113" i="4"/>
  <c r="CR113" i="4"/>
  <c r="L108" i="5" s="1"/>
  <c r="CQ113" i="4" a="1"/>
  <c r="CQ113" i="4"/>
  <c r="CP113" i="4"/>
  <c r="CO113" i="4"/>
  <c r="CN113" i="4"/>
  <c r="CM113" i="4"/>
  <c r="CL113" i="4"/>
  <c r="CK113" i="4"/>
  <c r="CJ113" i="4"/>
  <c r="CI113" i="4"/>
  <c r="CH113" i="4"/>
  <c r="CG113" i="4"/>
  <c r="CF113" i="4"/>
  <c r="CE113" i="4"/>
  <c r="CD113" i="4"/>
  <c r="CC113" i="4"/>
  <c r="CB113" i="4"/>
  <c r="CA113" i="4"/>
  <c r="BZ113" i="4"/>
  <c r="BY113" i="4"/>
  <c r="BX113" i="4"/>
  <c r="BW113" i="4"/>
  <c r="BT113" i="4"/>
  <c r="BS113" i="4"/>
  <c r="BR113" i="4"/>
  <c r="BQ113" i="4"/>
  <c r="BP113" i="4"/>
  <c r="BO113" i="4"/>
  <c r="BN113" i="4"/>
  <c r="BM113" i="4"/>
  <c r="BL113" i="4"/>
  <c r="BK113" i="4"/>
  <c r="BJ113" i="4"/>
  <c r="BI113" i="4"/>
  <c r="BH113" i="4"/>
  <c r="BG113" i="4"/>
  <c r="BF113" i="4"/>
  <c r="BE113" i="4"/>
  <c r="BD113" i="4"/>
  <c r="BC113" i="4"/>
  <c r="BB113" i="4"/>
  <c r="BA113" i="4"/>
  <c r="AZ113" i="4"/>
  <c r="AY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K113" i="4"/>
  <c r="AJ113" i="4"/>
  <c r="AI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S113" i="4"/>
  <c r="R113" i="4"/>
  <c r="Q113" i="4"/>
  <c r="P113" i="4"/>
  <c r="O113" i="4"/>
  <c r="N113" i="4"/>
  <c r="M113" i="4"/>
  <c r="L113" i="4"/>
  <c r="K113" i="4"/>
  <c r="J113" i="4"/>
  <c r="I113" i="4"/>
  <c r="H113" i="4"/>
  <c r="G113" i="4"/>
  <c r="F113" i="4"/>
  <c r="DC112" i="4" a="1"/>
  <c r="DC112" i="4"/>
  <c r="DD112" i="4" s="1"/>
  <c r="DB112" i="4"/>
  <c r="DA112" i="4"/>
  <c r="CZ112" i="4"/>
  <c r="CY112" i="4"/>
  <c r="CX112" i="4"/>
  <c r="CW112" i="4"/>
  <c r="CV112" i="4"/>
  <c r="CU112" i="4"/>
  <c r="CT112" i="4"/>
  <c r="CS112" i="4"/>
  <c r="CQ112" i="4" a="1"/>
  <c r="CQ112" i="4" s="1"/>
  <c r="CR112" i="4" s="1"/>
  <c r="CP112" i="4"/>
  <c r="CO112" i="4"/>
  <c r="CN112" i="4"/>
  <c r="CM112" i="4"/>
  <c r="CL112" i="4"/>
  <c r="CK112" i="4"/>
  <c r="CJ112" i="4"/>
  <c r="CI112" i="4"/>
  <c r="CH112" i="4"/>
  <c r="CG112" i="4"/>
  <c r="CF112" i="4"/>
  <c r="CE112" i="4"/>
  <c r="CD112" i="4"/>
  <c r="CC112" i="4"/>
  <c r="CB112" i="4"/>
  <c r="CA112" i="4"/>
  <c r="BZ112" i="4"/>
  <c r="BY112" i="4"/>
  <c r="BX112" i="4"/>
  <c r="BW112" i="4"/>
  <c r="BT112" i="4"/>
  <c r="BS112" i="4"/>
  <c r="BR112" i="4"/>
  <c r="BQ112" i="4"/>
  <c r="BP112" i="4"/>
  <c r="BO112" i="4"/>
  <c r="BN112" i="4"/>
  <c r="BM112" i="4"/>
  <c r="BL112" i="4"/>
  <c r="BK112" i="4"/>
  <c r="BJ112" i="4"/>
  <c r="BI112" i="4"/>
  <c r="BH112" i="4"/>
  <c r="BG112" i="4"/>
  <c r="BF112" i="4"/>
  <c r="BE112" i="4"/>
  <c r="BD112" i="4"/>
  <c r="BC112" i="4"/>
  <c r="BB112" i="4"/>
  <c r="BA112" i="4"/>
  <c r="AZ112" i="4"/>
  <c r="AY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K112" i="4"/>
  <c r="AJ112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DC111" i="4" a="1"/>
  <c r="DC111" i="4"/>
  <c r="DD111" i="4" s="1"/>
  <c r="DB111" i="4"/>
  <c r="DA111" i="4"/>
  <c r="CZ111" i="4"/>
  <c r="CY111" i="4"/>
  <c r="CX111" i="4"/>
  <c r="CW111" i="4"/>
  <c r="CV111" i="4"/>
  <c r="CU111" i="4"/>
  <c r="CT111" i="4"/>
  <c r="CS111" i="4"/>
  <c r="CQ111" i="4" a="1"/>
  <c r="CQ111" i="4"/>
  <c r="CR111" i="4" s="1"/>
  <c r="CP111" i="4"/>
  <c r="CO111" i="4"/>
  <c r="CN111" i="4"/>
  <c r="CM111" i="4"/>
  <c r="CL111" i="4"/>
  <c r="CK111" i="4"/>
  <c r="CJ111" i="4"/>
  <c r="CI111" i="4"/>
  <c r="CH111" i="4"/>
  <c r="CG111" i="4"/>
  <c r="CF111" i="4"/>
  <c r="CE111" i="4"/>
  <c r="CD111" i="4"/>
  <c r="CC111" i="4"/>
  <c r="CB111" i="4"/>
  <c r="CA111" i="4"/>
  <c r="BZ111" i="4"/>
  <c r="BY111" i="4"/>
  <c r="BX111" i="4"/>
  <c r="BW111" i="4"/>
  <c r="BT111" i="4"/>
  <c r="BS111" i="4"/>
  <c r="BR111" i="4"/>
  <c r="BQ111" i="4"/>
  <c r="BP111" i="4"/>
  <c r="BO111" i="4"/>
  <c r="BN111" i="4"/>
  <c r="BM111" i="4"/>
  <c r="BL111" i="4"/>
  <c r="BK111" i="4"/>
  <c r="BJ111" i="4"/>
  <c r="BI111" i="4"/>
  <c r="BH111" i="4"/>
  <c r="BG111" i="4"/>
  <c r="BF111" i="4"/>
  <c r="BE111" i="4"/>
  <c r="BD111" i="4"/>
  <c r="BC111" i="4"/>
  <c r="BB111" i="4"/>
  <c r="BA111" i="4"/>
  <c r="AZ111" i="4"/>
  <c r="AY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K111" i="4"/>
  <c r="AJ111" i="4"/>
  <c r="AI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S111" i="4"/>
  <c r="R111" i="4"/>
  <c r="Q111" i="4"/>
  <c r="P111" i="4"/>
  <c r="O111" i="4"/>
  <c r="N111" i="4"/>
  <c r="M111" i="4"/>
  <c r="L111" i="4"/>
  <c r="K111" i="4"/>
  <c r="J111" i="4"/>
  <c r="I111" i="4"/>
  <c r="H111" i="4"/>
  <c r="G111" i="4"/>
  <c r="F111" i="4"/>
  <c r="DG110" i="4"/>
  <c r="DD110" i="4"/>
  <c r="M105" i="5" s="1"/>
  <c r="DC110" i="4" a="1"/>
  <c r="DC110" i="4"/>
  <c r="DB110" i="4"/>
  <c r="DA110" i="4"/>
  <c r="CZ110" i="4"/>
  <c r="CY110" i="4"/>
  <c r="CX110" i="4"/>
  <c r="CW110" i="4"/>
  <c r="CV110" i="4"/>
  <c r="CU110" i="4"/>
  <c r="CT110" i="4"/>
  <c r="CS110" i="4"/>
  <c r="CR110" i="4"/>
  <c r="CQ110" i="4" a="1"/>
  <c r="CQ110" i="4"/>
  <c r="CP110" i="4"/>
  <c r="CO110" i="4"/>
  <c r="CN110" i="4"/>
  <c r="CM110" i="4"/>
  <c r="CL110" i="4"/>
  <c r="CK110" i="4"/>
  <c r="CJ110" i="4"/>
  <c r="CI110" i="4"/>
  <c r="CH110" i="4"/>
  <c r="CG110" i="4"/>
  <c r="CF110" i="4"/>
  <c r="CE110" i="4"/>
  <c r="CD110" i="4"/>
  <c r="CC110" i="4"/>
  <c r="CB110" i="4"/>
  <c r="CA110" i="4"/>
  <c r="BZ110" i="4"/>
  <c r="BY110" i="4"/>
  <c r="BX110" i="4"/>
  <c r="BW110" i="4"/>
  <c r="BT110" i="4"/>
  <c r="BS110" i="4"/>
  <c r="BR110" i="4"/>
  <c r="BQ110" i="4"/>
  <c r="BP110" i="4"/>
  <c r="BO110" i="4"/>
  <c r="BN110" i="4"/>
  <c r="BM110" i="4"/>
  <c r="BL110" i="4"/>
  <c r="BK110" i="4"/>
  <c r="BJ110" i="4"/>
  <c r="BI110" i="4"/>
  <c r="BH110" i="4"/>
  <c r="BG110" i="4"/>
  <c r="BF110" i="4"/>
  <c r="BE110" i="4"/>
  <c r="BD110" i="4"/>
  <c r="BC110" i="4"/>
  <c r="BB110" i="4"/>
  <c r="BA110" i="4"/>
  <c r="AZ110" i="4"/>
  <c r="AY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K110" i="4"/>
  <c r="AJ110" i="4"/>
  <c r="AI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S110" i="4"/>
  <c r="R110" i="4"/>
  <c r="Q110" i="4"/>
  <c r="P110" i="4"/>
  <c r="O110" i="4"/>
  <c r="N110" i="4"/>
  <c r="M110" i="4"/>
  <c r="L110" i="4"/>
  <c r="K110" i="4"/>
  <c r="J110" i="4"/>
  <c r="I110" i="4"/>
  <c r="H110" i="4"/>
  <c r="G110" i="4"/>
  <c r="F110" i="4"/>
  <c r="DC109" i="4" a="1"/>
  <c r="DC109" i="4" s="1"/>
  <c r="DD109" i="4" s="1"/>
  <c r="DB109" i="4"/>
  <c r="DA109" i="4"/>
  <c r="CZ109" i="4"/>
  <c r="CY109" i="4"/>
  <c r="CX109" i="4"/>
  <c r="CW109" i="4"/>
  <c r="CV109" i="4"/>
  <c r="CU109" i="4"/>
  <c r="CT109" i="4"/>
  <c r="CS109" i="4"/>
  <c r="CQ109" i="4" a="1"/>
  <c r="CQ109" i="4" s="1"/>
  <c r="CR109" i="4" s="1"/>
  <c r="L104" i="5" s="1"/>
  <c r="CP109" i="4"/>
  <c r="CO109" i="4"/>
  <c r="CN109" i="4"/>
  <c r="CM109" i="4"/>
  <c r="CL109" i="4"/>
  <c r="CK109" i="4"/>
  <c r="CJ109" i="4"/>
  <c r="CI109" i="4"/>
  <c r="CH109" i="4"/>
  <c r="CG109" i="4"/>
  <c r="CF109" i="4"/>
  <c r="CE109" i="4"/>
  <c r="CD109" i="4"/>
  <c r="CC109" i="4"/>
  <c r="CB109" i="4"/>
  <c r="CA109" i="4"/>
  <c r="BZ109" i="4"/>
  <c r="BY109" i="4"/>
  <c r="BX109" i="4"/>
  <c r="BW109" i="4"/>
  <c r="BT109" i="4"/>
  <c r="BS109" i="4"/>
  <c r="BR109" i="4"/>
  <c r="BQ109" i="4"/>
  <c r="BP109" i="4"/>
  <c r="BO109" i="4"/>
  <c r="BN109" i="4"/>
  <c r="BM109" i="4"/>
  <c r="BL109" i="4"/>
  <c r="BK109" i="4"/>
  <c r="BJ109" i="4"/>
  <c r="BI109" i="4"/>
  <c r="BH109" i="4"/>
  <c r="BG109" i="4"/>
  <c r="BF109" i="4"/>
  <c r="BE109" i="4"/>
  <c r="BD109" i="4"/>
  <c r="BC109" i="4"/>
  <c r="BB109" i="4"/>
  <c r="BA109" i="4"/>
  <c r="AZ109" i="4"/>
  <c r="AY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K109" i="4"/>
  <c r="AJ109" i="4"/>
  <c r="AI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S109" i="4"/>
  <c r="R109" i="4"/>
  <c r="Q109" i="4"/>
  <c r="P109" i="4"/>
  <c r="O109" i="4"/>
  <c r="N109" i="4"/>
  <c r="M109" i="4"/>
  <c r="L109" i="4"/>
  <c r="K109" i="4"/>
  <c r="J109" i="4"/>
  <c r="I109" i="4"/>
  <c r="H109" i="4"/>
  <c r="G109" i="4"/>
  <c r="F109" i="4"/>
  <c r="DC108" i="4" a="1"/>
  <c r="DC108" i="4"/>
  <c r="DD108" i="4" s="1"/>
  <c r="DB108" i="4"/>
  <c r="DA108" i="4"/>
  <c r="CZ108" i="4"/>
  <c r="CY108" i="4"/>
  <c r="CX108" i="4"/>
  <c r="CW108" i="4"/>
  <c r="CV108" i="4"/>
  <c r="CU108" i="4"/>
  <c r="CT108" i="4"/>
  <c r="CS108" i="4"/>
  <c r="CQ108" i="4" a="1"/>
  <c r="CQ108" i="4"/>
  <c r="CR108" i="4" s="1"/>
  <c r="CP108" i="4"/>
  <c r="CO108" i="4"/>
  <c r="CN108" i="4"/>
  <c r="CM108" i="4"/>
  <c r="CL108" i="4"/>
  <c r="CK108" i="4"/>
  <c r="CJ108" i="4"/>
  <c r="CI108" i="4"/>
  <c r="CH108" i="4"/>
  <c r="CG108" i="4"/>
  <c r="CF108" i="4"/>
  <c r="CE108" i="4"/>
  <c r="CD108" i="4"/>
  <c r="CC108" i="4"/>
  <c r="CB108" i="4"/>
  <c r="CA108" i="4"/>
  <c r="BZ108" i="4"/>
  <c r="BY108" i="4"/>
  <c r="BX108" i="4"/>
  <c r="BW108" i="4"/>
  <c r="BT108" i="4"/>
  <c r="BS108" i="4"/>
  <c r="BR108" i="4"/>
  <c r="BQ108" i="4"/>
  <c r="BP108" i="4"/>
  <c r="BO108" i="4"/>
  <c r="BN108" i="4"/>
  <c r="BM108" i="4"/>
  <c r="BL108" i="4"/>
  <c r="BK108" i="4"/>
  <c r="BJ108" i="4"/>
  <c r="BI108" i="4"/>
  <c r="BH108" i="4"/>
  <c r="BG108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DD107" i="4"/>
  <c r="DC107" i="4" a="1"/>
  <c r="DC107" i="4"/>
  <c r="DB107" i="4"/>
  <c r="DA107" i="4"/>
  <c r="CZ107" i="4"/>
  <c r="CY107" i="4"/>
  <c r="CX107" i="4"/>
  <c r="CW107" i="4"/>
  <c r="CV107" i="4"/>
  <c r="CU107" i="4"/>
  <c r="CT107" i="4"/>
  <c r="CS107" i="4"/>
  <c r="CQ107" i="4" a="1"/>
  <c r="CQ107" i="4"/>
  <c r="CR107" i="4" s="1"/>
  <c r="CP107" i="4"/>
  <c r="CO107" i="4"/>
  <c r="CN107" i="4"/>
  <c r="CM107" i="4"/>
  <c r="CL107" i="4"/>
  <c r="CK107" i="4"/>
  <c r="CJ107" i="4"/>
  <c r="CI107" i="4"/>
  <c r="CH107" i="4"/>
  <c r="CG107" i="4"/>
  <c r="CF107" i="4"/>
  <c r="CE107" i="4"/>
  <c r="CD107" i="4"/>
  <c r="CC107" i="4"/>
  <c r="CB107" i="4"/>
  <c r="CA107" i="4"/>
  <c r="BZ107" i="4"/>
  <c r="BY107" i="4"/>
  <c r="BX107" i="4"/>
  <c r="BW107" i="4"/>
  <c r="BT107" i="4"/>
  <c r="BS107" i="4"/>
  <c r="BR107" i="4"/>
  <c r="BQ107" i="4"/>
  <c r="BP107" i="4"/>
  <c r="BO107" i="4"/>
  <c r="BN107" i="4"/>
  <c r="BM107" i="4"/>
  <c r="BL107" i="4"/>
  <c r="BK107" i="4"/>
  <c r="BJ107" i="4"/>
  <c r="BI107" i="4"/>
  <c r="BH107" i="4"/>
  <c r="BG107" i="4"/>
  <c r="BF107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DC106" i="4" a="1"/>
  <c r="DC106" i="4" s="1"/>
  <c r="DD106" i="4" s="1"/>
  <c r="DB106" i="4"/>
  <c r="DA106" i="4"/>
  <c r="CZ106" i="4"/>
  <c r="CY106" i="4"/>
  <c r="CX106" i="4"/>
  <c r="CW106" i="4"/>
  <c r="CV106" i="4"/>
  <c r="CU106" i="4"/>
  <c r="CT106" i="4"/>
  <c r="CS106" i="4"/>
  <c r="CQ106" i="4" a="1"/>
  <c r="CQ106" i="4"/>
  <c r="CR106" i="4" s="1"/>
  <c r="CP106" i="4"/>
  <c r="CO106" i="4"/>
  <c r="CN106" i="4"/>
  <c r="CM106" i="4"/>
  <c r="CL106" i="4"/>
  <c r="CK106" i="4"/>
  <c r="CJ106" i="4"/>
  <c r="CI106" i="4"/>
  <c r="CH106" i="4"/>
  <c r="CG106" i="4"/>
  <c r="CF106" i="4"/>
  <c r="CE106" i="4"/>
  <c r="CD106" i="4"/>
  <c r="CC106" i="4"/>
  <c r="CB106" i="4"/>
  <c r="CA106" i="4"/>
  <c r="BZ106" i="4"/>
  <c r="BY106" i="4"/>
  <c r="BX106" i="4"/>
  <c r="BW106" i="4"/>
  <c r="BT106" i="4"/>
  <c r="BS106" i="4"/>
  <c r="BR106" i="4"/>
  <c r="BQ106" i="4"/>
  <c r="BP106" i="4"/>
  <c r="BO106" i="4"/>
  <c r="BN106" i="4"/>
  <c r="BM106" i="4"/>
  <c r="BL106" i="4"/>
  <c r="BK106" i="4"/>
  <c r="BJ106" i="4"/>
  <c r="BI106" i="4"/>
  <c r="BH106" i="4"/>
  <c r="BG106" i="4"/>
  <c r="BF106" i="4"/>
  <c r="BE106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DC105" i="4" a="1"/>
  <c r="DC105" i="4"/>
  <c r="DD105" i="4" s="1"/>
  <c r="DB105" i="4"/>
  <c r="DA105" i="4"/>
  <c r="CZ105" i="4"/>
  <c r="CY105" i="4"/>
  <c r="CX105" i="4"/>
  <c r="CW105" i="4"/>
  <c r="CV105" i="4"/>
  <c r="CU105" i="4"/>
  <c r="CT105" i="4"/>
  <c r="CS105" i="4"/>
  <c r="CQ105" i="4" a="1"/>
  <c r="CQ105" i="4"/>
  <c r="CR105" i="4" s="1"/>
  <c r="CP105" i="4"/>
  <c r="CO105" i="4"/>
  <c r="CN105" i="4"/>
  <c r="CM105" i="4"/>
  <c r="CL105" i="4"/>
  <c r="CK105" i="4"/>
  <c r="CJ105" i="4"/>
  <c r="CI105" i="4"/>
  <c r="CH105" i="4"/>
  <c r="CG105" i="4"/>
  <c r="CF105" i="4"/>
  <c r="CE105" i="4"/>
  <c r="CD105" i="4"/>
  <c r="CC105" i="4"/>
  <c r="CB105" i="4"/>
  <c r="CA105" i="4"/>
  <c r="BZ105" i="4"/>
  <c r="BY105" i="4"/>
  <c r="BX105" i="4"/>
  <c r="BW105" i="4"/>
  <c r="BT105" i="4"/>
  <c r="BS105" i="4"/>
  <c r="BR105" i="4"/>
  <c r="BQ105" i="4"/>
  <c r="BP105" i="4"/>
  <c r="BO105" i="4"/>
  <c r="BN105" i="4"/>
  <c r="BM105" i="4"/>
  <c r="BL105" i="4"/>
  <c r="BK105" i="4"/>
  <c r="BJ105" i="4"/>
  <c r="BI105" i="4"/>
  <c r="BH105" i="4"/>
  <c r="BG105" i="4"/>
  <c r="BF105" i="4"/>
  <c r="BE105" i="4"/>
  <c r="BD105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DC104" i="4" a="1"/>
  <c r="DC104" i="4"/>
  <c r="DD104" i="4" s="1"/>
  <c r="DB104" i="4"/>
  <c r="DA104" i="4"/>
  <c r="CZ104" i="4"/>
  <c r="CY104" i="4"/>
  <c r="CX104" i="4"/>
  <c r="CW104" i="4"/>
  <c r="CV104" i="4"/>
  <c r="CU104" i="4"/>
  <c r="CT104" i="4"/>
  <c r="CS104" i="4"/>
  <c r="CQ104" i="4" a="1"/>
  <c r="CQ104" i="4" s="1"/>
  <c r="CR104" i="4" s="1"/>
  <c r="CP104" i="4"/>
  <c r="CO104" i="4"/>
  <c r="CN104" i="4"/>
  <c r="CM104" i="4"/>
  <c r="CL104" i="4"/>
  <c r="CK104" i="4"/>
  <c r="CJ104" i="4"/>
  <c r="CI104" i="4"/>
  <c r="CH104" i="4"/>
  <c r="CG104" i="4"/>
  <c r="CF104" i="4"/>
  <c r="CE104" i="4"/>
  <c r="CD104" i="4"/>
  <c r="CC104" i="4"/>
  <c r="CB104" i="4"/>
  <c r="CA104" i="4"/>
  <c r="BZ104" i="4"/>
  <c r="BY104" i="4"/>
  <c r="BX104" i="4"/>
  <c r="BW104" i="4"/>
  <c r="BT104" i="4"/>
  <c r="BS104" i="4"/>
  <c r="BR104" i="4"/>
  <c r="BQ104" i="4"/>
  <c r="BP104" i="4"/>
  <c r="BO104" i="4"/>
  <c r="BN104" i="4"/>
  <c r="BM104" i="4"/>
  <c r="BL104" i="4"/>
  <c r="BK104" i="4"/>
  <c r="BJ104" i="4"/>
  <c r="BI104" i="4"/>
  <c r="BH104" i="4"/>
  <c r="BG104" i="4"/>
  <c r="BF104" i="4"/>
  <c r="BE104" i="4"/>
  <c r="BD104" i="4"/>
  <c r="BC104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DC103" i="4" a="1"/>
  <c r="DC103" i="4" s="1"/>
  <c r="DD103" i="4" s="1"/>
  <c r="DB103" i="4"/>
  <c r="DA103" i="4"/>
  <c r="CZ103" i="4"/>
  <c r="CY103" i="4"/>
  <c r="CX103" i="4"/>
  <c r="CW103" i="4"/>
  <c r="CV103" i="4"/>
  <c r="CU103" i="4"/>
  <c r="CT103" i="4"/>
  <c r="CS103" i="4"/>
  <c r="CQ103" i="4" a="1"/>
  <c r="CQ103" i="4"/>
  <c r="CR103" i="4" s="1"/>
  <c r="CP103" i="4"/>
  <c r="CO103" i="4"/>
  <c r="CN103" i="4"/>
  <c r="CM103" i="4"/>
  <c r="CL103" i="4"/>
  <c r="CK103" i="4"/>
  <c r="CJ103" i="4"/>
  <c r="CI103" i="4"/>
  <c r="CH103" i="4"/>
  <c r="CG103" i="4"/>
  <c r="CF103" i="4"/>
  <c r="CE103" i="4"/>
  <c r="CD103" i="4"/>
  <c r="CC103" i="4"/>
  <c r="CB103" i="4"/>
  <c r="CA103" i="4"/>
  <c r="BZ103" i="4"/>
  <c r="BY103" i="4"/>
  <c r="BX103" i="4"/>
  <c r="BW103" i="4"/>
  <c r="BT103" i="4"/>
  <c r="BS103" i="4"/>
  <c r="BR103" i="4"/>
  <c r="BQ103" i="4"/>
  <c r="BP103" i="4"/>
  <c r="BO103" i="4"/>
  <c r="BN103" i="4"/>
  <c r="BM103" i="4"/>
  <c r="BL103" i="4"/>
  <c r="BK103" i="4"/>
  <c r="BJ103" i="4"/>
  <c r="BI103" i="4"/>
  <c r="BH103" i="4"/>
  <c r="BG103" i="4"/>
  <c r="BF103" i="4"/>
  <c r="BE103" i="4"/>
  <c r="BD103" i="4"/>
  <c r="BC103" i="4"/>
  <c r="BB103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DG102" i="4"/>
  <c r="DC102" i="4" a="1"/>
  <c r="DC102" i="4"/>
  <c r="DD102" i="4" s="1"/>
  <c r="M97" i="5" s="1"/>
  <c r="DB102" i="4"/>
  <c r="DA102" i="4"/>
  <c r="CZ102" i="4"/>
  <c r="CY102" i="4"/>
  <c r="CX102" i="4"/>
  <c r="CW102" i="4"/>
  <c r="CV102" i="4"/>
  <c r="CU102" i="4"/>
  <c r="CT102" i="4"/>
  <c r="CS102" i="4"/>
  <c r="CR102" i="4"/>
  <c r="CQ102" i="4" a="1"/>
  <c r="CQ102" i="4"/>
  <c r="CP102" i="4"/>
  <c r="CO102" i="4"/>
  <c r="CN102" i="4"/>
  <c r="CM102" i="4"/>
  <c r="CL102" i="4"/>
  <c r="CK102" i="4"/>
  <c r="CJ102" i="4"/>
  <c r="CI102" i="4"/>
  <c r="CH102" i="4"/>
  <c r="CG102" i="4"/>
  <c r="CF102" i="4"/>
  <c r="CE102" i="4"/>
  <c r="CD102" i="4"/>
  <c r="CC102" i="4"/>
  <c r="CB102" i="4"/>
  <c r="CA102" i="4"/>
  <c r="BZ102" i="4"/>
  <c r="BY102" i="4"/>
  <c r="BX102" i="4"/>
  <c r="BW102" i="4"/>
  <c r="BT102" i="4"/>
  <c r="BS102" i="4"/>
  <c r="BR102" i="4"/>
  <c r="BQ102" i="4"/>
  <c r="BP102" i="4"/>
  <c r="BO102" i="4"/>
  <c r="BN102" i="4"/>
  <c r="BM102" i="4"/>
  <c r="BL102" i="4"/>
  <c r="BK102" i="4"/>
  <c r="BJ102" i="4"/>
  <c r="BI102" i="4"/>
  <c r="BH102" i="4"/>
  <c r="BG102" i="4"/>
  <c r="BF102" i="4"/>
  <c r="BE102" i="4"/>
  <c r="BD102" i="4"/>
  <c r="BC102" i="4"/>
  <c r="BB102" i="4"/>
  <c r="BA102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DF101" i="4"/>
  <c r="DC101" i="4" a="1"/>
  <c r="DC101" i="4" s="1"/>
  <c r="DD101" i="4" s="1"/>
  <c r="DB101" i="4"/>
  <c r="DA101" i="4"/>
  <c r="CZ101" i="4"/>
  <c r="CY101" i="4"/>
  <c r="CX101" i="4"/>
  <c r="CW101" i="4"/>
  <c r="CV101" i="4"/>
  <c r="CU101" i="4"/>
  <c r="CT101" i="4"/>
  <c r="CS101" i="4"/>
  <c r="CQ101" i="4" a="1"/>
  <c r="CQ101" i="4" s="1"/>
  <c r="CR101" i="4" s="1"/>
  <c r="L96" i="5" s="1"/>
  <c r="CP101" i="4"/>
  <c r="CO101" i="4"/>
  <c r="CN101" i="4"/>
  <c r="CM101" i="4"/>
  <c r="CL101" i="4"/>
  <c r="CK101" i="4"/>
  <c r="CJ101" i="4"/>
  <c r="CI101" i="4"/>
  <c r="CH101" i="4"/>
  <c r="CG101" i="4"/>
  <c r="CF101" i="4"/>
  <c r="CE101" i="4"/>
  <c r="CD101" i="4"/>
  <c r="CC101" i="4"/>
  <c r="CB101" i="4"/>
  <c r="CA101" i="4"/>
  <c r="BZ101" i="4"/>
  <c r="BY101" i="4"/>
  <c r="BX101" i="4"/>
  <c r="BW101" i="4"/>
  <c r="BT101" i="4"/>
  <c r="BS101" i="4"/>
  <c r="BR101" i="4"/>
  <c r="BQ101" i="4"/>
  <c r="BP101" i="4"/>
  <c r="BO101" i="4"/>
  <c r="BN101" i="4"/>
  <c r="BM101" i="4"/>
  <c r="BL101" i="4"/>
  <c r="BK101" i="4"/>
  <c r="BJ101" i="4"/>
  <c r="BI101" i="4"/>
  <c r="BH101" i="4"/>
  <c r="BG101" i="4"/>
  <c r="BF101" i="4"/>
  <c r="BE101" i="4"/>
  <c r="BD101" i="4"/>
  <c r="BC101" i="4"/>
  <c r="BB101" i="4"/>
  <c r="BA101" i="4"/>
  <c r="AZ101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DC100" i="4" a="1"/>
  <c r="DC100" i="4" s="1"/>
  <c r="DD100" i="4" s="1"/>
  <c r="DB100" i="4"/>
  <c r="DA100" i="4"/>
  <c r="CZ100" i="4"/>
  <c r="CY100" i="4"/>
  <c r="CX100" i="4"/>
  <c r="CW100" i="4"/>
  <c r="CV100" i="4"/>
  <c r="CU100" i="4"/>
  <c r="CT100" i="4"/>
  <c r="CS100" i="4"/>
  <c r="CQ100" i="4" a="1"/>
  <c r="CQ100" i="4"/>
  <c r="CR100" i="4" s="1"/>
  <c r="CP100" i="4"/>
  <c r="CO100" i="4"/>
  <c r="CN100" i="4"/>
  <c r="CM100" i="4"/>
  <c r="CL100" i="4"/>
  <c r="CK100" i="4"/>
  <c r="CJ100" i="4"/>
  <c r="CI100" i="4"/>
  <c r="CH100" i="4"/>
  <c r="CG100" i="4"/>
  <c r="CF100" i="4"/>
  <c r="CE100" i="4"/>
  <c r="CD100" i="4"/>
  <c r="CC100" i="4"/>
  <c r="CB100" i="4"/>
  <c r="CA100" i="4"/>
  <c r="BZ100" i="4"/>
  <c r="BY100" i="4"/>
  <c r="BX100" i="4"/>
  <c r="BW100" i="4"/>
  <c r="BT100" i="4"/>
  <c r="BS100" i="4"/>
  <c r="BR100" i="4"/>
  <c r="BQ100" i="4"/>
  <c r="BP100" i="4"/>
  <c r="BO100" i="4"/>
  <c r="BN100" i="4"/>
  <c r="BM100" i="4"/>
  <c r="BL100" i="4"/>
  <c r="BK100" i="4"/>
  <c r="BJ100" i="4"/>
  <c r="BI100" i="4"/>
  <c r="BH100" i="4"/>
  <c r="BG100" i="4"/>
  <c r="BF100" i="4"/>
  <c r="BE100" i="4"/>
  <c r="BD100" i="4"/>
  <c r="BC100" i="4"/>
  <c r="BB100" i="4"/>
  <c r="BA100" i="4"/>
  <c r="AZ100" i="4"/>
  <c r="AY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DD99" i="4"/>
  <c r="DC99" i="4" a="1"/>
  <c r="DC99" i="4"/>
  <c r="DB99" i="4"/>
  <c r="DA99" i="4"/>
  <c r="CZ99" i="4"/>
  <c r="CY99" i="4"/>
  <c r="CX99" i="4"/>
  <c r="CW99" i="4"/>
  <c r="CV99" i="4"/>
  <c r="CU99" i="4"/>
  <c r="CT99" i="4"/>
  <c r="CS99" i="4"/>
  <c r="CQ99" i="4" a="1"/>
  <c r="CQ99" i="4"/>
  <c r="CR99" i="4" s="1"/>
  <c r="CP99" i="4"/>
  <c r="CO99" i="4"/>
  <c r="CN99" i="4"/>
  <c r="CM99" i="4"/>
  <c r="CL99" i="4"/>
  <c r="CK99" i="4"/>
  <c r="CJ99" i="4"/>
  <c r="CI99" i="4"/>
  <c r="CH99" i="4"/>
  <c r="CG99" i="4"/>
  <c r="CF99" i="4"/>
  <c r="CE99" i="4"/>
  <c r="CD99" i="4"/>
  <c r="CC99" i="4"/>
  <c r="CB99" i="4"/>
  <c r="CA99" i="4"/>
  <c r="BZ99" i="4"/>
  <c r="BY99" i="4"/>
  <c r="BX99" i="4"/>
  <c r="BW99" i="4"/>
  <c r="BT99" i="4"/>
  <c r="BS99" i="4"/>
  <c r="BR99" i="4"/>
  <c r="BQ99" i="4"/>
  <c r="BP99" i="4"/>
  <c r="BO99" i="4"/>
  <c r="BN99" i="4"/>
  <c r="BM99" i="4"/>
  <c r="BL99" i="4"/>
  <c r="BK99" i="4"/>
  <c r="BJ99" i="4"/>
  <c r="BI99" i="4"/>
  <c r="BH99" i="4"/>
  <c r="BG99" i="4"/>
  <c r="BF99" i="4"/>
  <c r="BE99" i="4"/>
  <c r="BD99" i="4"/>
  <c r="BC99" i="4"/>
  <c r="BB99" i="4"/>
  <c r="BA99" i="4"/>
  <c r="AZ99" i="4"/>
  <c r="AY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DC98" i="4" a="1"/>
  <c r="DC98" i="4" s="1"/>
  <c r="DD98" i="4" s="1"/>
  <c r="DB98" i="4"/>
  <c r="DA98" i="4"/>
  <c r="CZ98" i="4"/>
  <c r="CY98" i="4"/>
  <c r="CX98" i="4"/>
  <c r="CW98" i="4"/>
  <c r="CV98" i="4"/>
  <c r="CU98" i="4"/>
  <c r="CT98" i="4"/>
  <c r="CS98" i="4"/>
  <c r="CQ98" i="4" a="1"/>
  <c r="CQ98" i="4" s="1"/>
  <c r="CR98" i="4" s="1"/>
  <c r="CP98" i="4"/>
  <c r="CO98" i="4"/>
  <c r="CN98" i="4"/>
  <c r="CM98" i="4"/>
  <c r="CL98" i="4"/>
  <c r="CK98" i="4"/>
  <c r="CJ98" i="4"/>
  <c r="CI98" i="4"/>
  <c r="CH98" i="4"/>
  <c r="CG98" i="4"/>
  <c r="CF98" i="4"/>
  <c r="CE98" i="4"/>
  <c r="CD98" i="4"/>
  <c r="CC98" i="4"/>
  <c r="CB98" i="4"/>
  <c r="CA98" i="4"/>
  <c r="BZ98" i="4"/>
  <c r="BY98" i="4"/>
  <c r="BX98" i="4"/>
  <c r="BW98" i="4"/>
  <c r="BT98" i="4"/>
  <c r="BS98" i="4"/>
  <c r="BR98" i="4"/>
  <c r="BQ98" i="4"/>
  <c r="BP98" i="4"/>
  <c r="BO98" i="4"/>
  <c r="BN98" i="4"/>
  <c r="BM98" i="4"/>
  <c r="BL98" i="4"/>
  <c r="BK98" i="4"/>
  <c r="BJ98" i="4"/>
  <c r="BI98" i="4"/>
  <c r="BH98" i="4"/>
  <c r="BG98" i="4"/>
  <c r="BF98" i="4"/>
  <c r="BE98" i="4"/>
  <c r="BD98" i="4"/>
  <c r="BC98" i="4"/>
  <c r="BB98" i="4"/>
  <c r="BA98" i="4"/>
  <c r="AZ98" i="4"/>
  <c r="AY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DC97" i="4" a="1"/>
  <c r="DC97" i="4"/>
  <c r="DD97" i="4" s="1"/>
  <c r="DB97" i="4"/>
  <c r="DA97" i="4"/>
  <c r="CZ97" i="4"/>
  <c r="CY97" i="4"/>
  <c r="CX97" i="4"/>
  <c r="CW97" i="4"/>
  <c r="CV97" i="4"/>
  <c r="CU97" i="4"/>
  <c r="CT97" i="4"/>
  <c r="CS97" i="4"/>
  <c r="CQ97" i="4" a="1"/>
  <c r="CQ97" i="4"/>
  <c r="CR97" i="4" s="1"/>
  <c r="CP97" i="4"/>
  <c r="CO97" i="4"/>
  <c r="CN97" i="4"/>
  <c r="CM97" i="4"/>
  <c r="CL97" i="4"/>
  <c r="CK97" i="4"/>
  <c r="CJ97" i="4"/>
  <c r="CI97" i="4"/>
  <c r="CH97" i="4"/>
  <c r="CG97" i="4"/>
  <c r="CF97" i="4"/>
  <c r="CE97" i="4"/>
  <c r="CD97" i="4"/>
  <c r="CC97" i="4"/>
  <c r="CB97" i="4"/>
  <c r="CA97" i="4"/>
  <c r="BZ97" i="4"/>
  <c r="BY97" i="4"/>
  <c r="BX97" i="4"/>
  <c r="BW97" i="4"/>
  <c r="BT97" i="4"/>
  <c r="BS97" i="4"/>
  <c r="BR97" i="4"/>
  <c r="BQ97" i="4"/>
  <c r="BP97" i="4"/>
  <c r="BO97" i="4"/>
  <c r="BN97" i="4"/>
  <c r="BM97" i="4"/>
  <c r="BL97" i="4"/>
  <c r="BK97" i="4"/>
  <c r="BJ97" i="4"/>
  <c r="BI97" i="4"/>
  <c r="BH97" i="4"/>
  <c r="BG97" i="4"/>
  <c r="BF97" i="4"/>
  <c r="BE97" i="4"/>
  <c r="BD97" i="4"/>
  <c r="BC97" i="4"/>
  <c r="BB97" i="4"/>
  <c r="BA97" i="4"/>
  <c r="AZ97" i="4"/>
  <c r="AY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DC96" i="4" a="1"/>
  <c r="DC96" i="4"/>
  <c r="DD96" i="4" s="1"/>
  <c r="DB96" i="4"/>
  <c r="DA96" i="4"/>
  <c r="CZ96" i="4"/>
  <c r="CY96" i="4"/>
  <c r="CX96" i="4"/>
  <c r="CW96" i="4"/>
  <c r="CV96" i="4"/>
  <c r="CU96" i="4"/>
  <c r="CT96" i="4"/>
  <c r="CS96" i="4"/>
  <c r="CQ96" i="4" a="1"/>
  <c r="CQ96" i="4"/>
  <c r="CR96" i="4" s="1"/>
  <c r="CP96" i="4"/>
  <c r="CO96" i="4"/>
  <c r="CN96" i="4"/>
  <c r="CM96" i="4"/>
  <c r="CL96" i="4"/>
  <c r="CK96" i="4"/>
  <c r="CJ96" i="4"/>
  <c r="CI96" i="4"/>
  <c r="CH96" i="4"/>
  <c r="CG96" i="4"/>
  <c r="CF96" i="4"/>
  <c r="CE96" i="4"/>
  <c r="CD96" i="4"/>
  <c r="CC96" i="4"/>
  <c r="CB96" i="4"/>
  <c r="CA96" i="4"/>
  <c r="BZ96" i="4"/>
  <c r="BY96" i="4"/>
  <c r="BX96" i="4"/>
  <c r="BW96" i="4"/>
  <c r="BT96" i="4"/>
  <c r="BS96" i="4"/>
  <c r="BR96" i="4"/>
  <c r="BQ96" i="4"/>
  <c r="BP96" i="4"/>
  <c r="BO96" i="4"/>
  <c r="BN96" i="4"/>
  <c r="BM96" i="4"/>
  <c r="BL96" i="4"/>
  <c r="BK96" i="4"/>
  <c r="BJ96" i="4"/>
  <c r="BI96" i="4"/>
  <c r="BH96" i="4"/>
  <c r="BG96" i="4"/>
  <c r="BF96" i="4"/>
  <c r="BE96" i="4"/>
  <c r="BD96" i="4"/>
  <c r="BC96" i="4"/>
  <c r="BB96" i="4"/>
  <c r="BA96" i="4"/>
  <c r="AZ96" i="4"/>
  <c r="AY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DC95" i="4" a="1"/>
  <c r="DC95" i="4" s="1"/>
  <c r="DD95" i="4" s="1"/>
  <c r="DB95" i="4"/>
  <c r="DA95" i="4"/>
  <c r="CZ95" i="4"/>
  <c r="CY95" i="4"/>
  <c r="CX95" i="4"/>
  <c r="CW95" i="4"/>
  <c r="CV95" i="4"/>
  <c r="CU95" i="4"/>
  <c r="CT95" i="4"/>
  <c r="CS95" i="4"/>
  <c r="CQ95" i="4" a="1"/>
  <c r="CQ95" i="4" s="1"/>
  <c r="CR95" i="4" s="1"/>
  <c r="CP95" i="4"/>
  <c r="CO95" i="4"/>
  <c r="CN95" i="4"/>
  <c r="CM95" i="4"/>
  <c r="CL95" i="4"/>
  <c r="CK95" i="4"/>
  <c r="CJ95" i="4"/>
  <c r="CI95" i="4"/>
  <c r="CH95" i="4"/>
  <c r="CG95" i="4"/>
  <c r="CF95" i="4"/>
  <c r="CE95" i="4"/>
  <c r="CD95" i="4"/>
  <c r="CC95" i="4"/>
  <c r="CB95" i="4"/>
  <c r="CA95" i="4"/>
  <c r="BZ95" i="4"/>
  <c r="BY95" i="4"/>
  <c r="BX95" i="4"/>
  <c r="BW95" i="4"/>
  <c r="BT95" i="4"/>
  <c r="BS95" i="4"/>
  <c r="BR95" i="4"/>
  <c r="BQ95" i="4"/>
  <c r="BP95" i="4"/>
  <c r="BO95" i="4"/>
  <c r="BN95" i="4"/>
  <c r="BM95" i="4"/>
  <c r="BL95" i="4"/>
  <c r="BK95" i="4"/>
  <c r="BJ95" i="4"/>
  <c r="BI95" i="4"/>
  <c r="BH95" i="4"/>
  <c r="BG95" i="4"/>
  <c r="BF95" i="4"/>
  <c r="BE95" i="4"/>
  <c r="BD95" i="4"/>
  <c r="BC95" i="4"/>
  <c r="BB95" i="4"/>
  <c r="BA95" i="4"/>
  <c r="AZ95" i="4"/>
  <c r="AY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K95" i="4"/>
  <c r="AJ95" i="4"/>
  <c r="AI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O95" i="4"/>
  <c r="N95" i="4"/>
  <c r="M95" i="4"/>
  <c r="L95" i="4"/>
  <c r="K95" i="4"/>
  <c r="J95" i="4"/>
  <c r="I95" i="4"/>
  <c r="H95" i="4"/>
  <c r="G95" i="4"/>
  <c r="F95" i="4"/>
  <c r="DG94" i="4"/>
  <c r="DC94" i="4" a="1"/>
  <c r="DC94" i="4"/>
  <c r="DD94" i="4" s="1"/>
  <c r="M89" i="5" s="1"/>
  <c r="DB94" i="4"/>
  <c r="DA94" i="4"/>
  <c r="CZ94" i="4"/>
  <c r="CY94" i="4"/>
  <c r="CX94" i="4"/>
  <c r="CW94" i="4"/>
  <c r="CV94" i="4"/>
  <c r="CU94" i="4"/>
  <c r="CT94" i="4"/>
  <c r="CS94" i="4"/>
  <c r="CR94" i="4"/>
  <c r="CQ94" i="4" a="1"/>
  <c r="CQ94" i="4"/>
  <c r="CP94" i="4"/>
  <c r="CO94" i="4"/>
  <c r="CN94" i="4"/>
  <c r="CM94" i="4"/>
  <c r="CL94" i="4"/>
  <c r="CK94" i="4"/>
  <c r="CJ94" i="4"/>
  <c r="CI94" i="4"/>
  <c r="CH94" i="4"/>
  <c r="CG94" i="4"/>
  <c r="CF94" i="4"/>
  <c r="CE94" i="4"/>
  <c r="CD94" i="4"/>
  <c r="CC94" i="4"/>
  <c r="CB94" i="4"/>
  <c r="CA94" i="4"/>
  <c r="BZ94" i="4"/>
  <c r="BY94" i="4"/>
  <c r="BX94" i="4"/>
  <c r="BW94" i="4"/>
  <c r="BT94" i="4"/>
  <c r="BS94" i="4"/>
  <c r="BR94" i="4"/>
  <c r="BQ94" i="4"/>
  <c r="BP94" i="4"/>
  <c r="BO94" i="4"/>
  <c r="BN94" i="4"/>
  <c r="BM94" i="4"/>
  <c r="BL94" i="4"/>
  <c r="BK94" i="4"/>
  <c r="BJ94" i="4"/>
  <c r="BI94" i="4"/>
  <c r="BH94" i="4"/>
  <c r="BG94" i="4"/>
  <c r="BF94" i="4"/>
  <c r="BE94" i="4"/>
  <c r="BD94" i="4"/>
  <c r="BC94" i="4"/>
  <c r="BB94" i="4"/>
  <c r="BA94" i="4"/>
  <c r="AZ94" i="4"/>
  <c r="AY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K94" i="4"/>
  <c r="AJ94" i="4"/>
  <c r="AI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O94" i="4"/>
  <c r="N94" i="4"/>
  <c r="M94" i="4"/>
  <c r="L94" i="4"/>
  <c r="K94" i="4"/>
  <c r="J94" i="4"/>
  <c r="I94" i="4"/>
  <c r="H94" i="4"/>
  <c r="G94" i="4"/>
  <c r="F94" i="4"/>
  <c r="DC93" i="4" a="1"/>
  <c r="DC93" i="4"/>
  <c r="DD93" i="4" s="1"/>
  <c r="DB93" i="4"/>
  <c r="DA93" i="4"/>
  <c r="CZ93" i="4"/>
  <c r="CY93" i="4"/>
  <c r="CX93" i="4"/>
  <c r="CW93" i="4"/>
  <c r="CV93" i="4"/>
  <c r="CU93" i="4"/>
  <c r="CT93" i="4"/>
  <c r="CS93" i="4"/>
  <c r="CQ93" i="4" a="1"/>
  <c r="CQ93" i="4" s="1"/>
  <c r="CR93" i="4" s="1"/>
  <c r="L88" i="5" s="1"/>
  <c r="CP93" i="4"/>
  <c r="CO93" i="4"/>
  <c r="CN93" i="4"/>
  <c r="CM93" i="4"/>
  <c r="CL93" i="4"/>
  <c r="CK93" i="4"/>
  <c r="CJ93" i="4"/>
  <c r="CI93" i="4"/>
  <c r="CH93" i="4"/>
  <c r="CG93" i="4"/>
  <c r="CF93" i="4"/>
  <c r="CE93" i="4"/>
  <c r="CD93" i="4"/>
  <c r="CC93" i="4"/>
  <c r="CB93" i="4"/>
  <c r="CA93" i="4"/>
  <c r="BZ93" i="4"/>
  <c r="BY93" i="4"/>
  <c r="BX93" i="4"/>
  <c r="BW93" i="4"/>
  <c r="BT93" i="4"/>
  <c r="BS93" i="4"/>
  <c r="BR93" i="4"/>
  <c r="BQ93" i="4"/>
  <c r="BP93" i="4"/>
  <c r="BO93" i="4"/>
  <c r="BN93" i="4"/>
  <c r="BM93" i="4"/>
  <c r="BL93" i="4"/>
  <c r="BK93" i="4"/>
  <c r="BJ93" i="4"/>
  <c r="BI93" i="4"/>
  <c r="BH93" i="4"/>
  <c r="BG93" i="4"/>
  <c r="BF93" i="4"/>
  <c r="BE93" i="4"/>
  <c r="BD93" i="4"/>
  <c r="BC93" i="4"/>
  <c r="BB93" i="4"/>
  <c r="BA93" i="4"/>
  <c r="AZ93" i="4"/>
  <c r="AY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K93" i="4"/>
  <c r="AJ93" i="4"/>
  <c r="AI93" i="4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O93" i="4"/>
  <c r="N93" i="4"/>
  <c r="M93" i="4"/>
  <c r="L93" i="4"/>
  <c r="K93" i="4"/>
  <c r="J93" i="4"/>
  <c r="I93" i="4"/>
  <c r="H93" i="4"/>
  <c r="G93" i="4"/>
  <c r="F93" i="4"/>
  <c r="DC92" i="4" a="1"/>
  <c r="DC92" i="4" s="1"/>
  <c r="DD92" i="4" s="1"/>
  <c r="DB92" i="4"/>
  <c r="DA92" i="4"/>
  <c r="CZ92" i="4"/>
  <c r="CY92" i="4"/>
  <c r="CX92" i="4"/>
  <c r="CW92" i="4"/>
  <c r="CV92" i="4"/>
  <c r="CU92" i="4"/>
  <c r="CT92" i="4"/>
  <c r="CS92" i="4"/>
  <c r="CQ92" i="4" a="1"/>
  <c r="CQ92" i="4"/>
  <c r="CR92" i="4" s="1"/>
  <c r="CP92" i="4"/>
  <c r="CO92" i="4"/>
  <c r="CN92" i="4"/>
  <c r="CM92" i="4"/>
  <c r="CL92" i="4"/>
  <c r="CK92" i="4"/>
  <c r="CJ92" i="4"/>
  <c r="CI92" i="4"/>
  <c r="CH92" i="4"/>
  <c r="CG92" i="4"/>
  <c r="CF92" i="4"/>
  <c r="CE92" i="4"/>
  <c r="CD92" i="4"/>
  <c r="CC92" i="4"/>
  <c r="CB92" i="4"/>
  <c r="CA92" i="4"/>
  <c r="BZ92" i="4"/>
  <c r="BY92" i="4"/>
  <c r="BX92" i="4"/>
  <c r="BW92" i="4"/>
  <c r="BT92" i="4"/>
  <c r="BS92" i="4"/>
  <c r="BR92" i="4"/>
  <c r="BQ92" i="4"/>
  <c r="BP92" i="4"/>
  <c r="BO92" i="4"/>
  <c r="BN92" i="4"/>
  <c r="BM92" i="4"/>
  <c r="BL92" i="4"/>
  <c r="BK92" i="4"/>
  <c r="BJ92" i="4"/>
  <c r="BI92" i="4"/>
  <c r="BH92" i="4"/>
  <c r="BG92" i="4"/>
  <c r="BF92" i="4"/>
  <c r="BE92" i="4"/>
  <c r="BD92" i="4"/>
  <c r="BC92" i="4"/>
  <c r="BB92" i="4"/>
  <c r="BA92" i="4"/>
  <c r="AZ92" i="4"/>
  <c r="AY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K92" i="4"/>
  <c r="AJ92" i="4"/>
  <c r="AI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O92" i="4"/>
  <c r="N92" i="4"/>
  <c r="M92" i="4"/>
  <c r="L92" i="4"/>
  <c r="K92" i="4"/>
  <c r="J92" i="4"/>
  <c r="I92" i="4"/>
  <c r="H92" i="4"/>
  <c r="G92" i="4"/>
  <c r="F92" i="4"/>
  <c r="DD91" i="4"/>
  <c r="DC91" i="4" a="1"/>
  <c r="DC91" i="4"/>
  <c r="DB91" i="4"/>
  <c r="DA91" i="4"/>
  <c r="CZ91" i="4"/>
  <c r="CY91" i="4"/>
  <c r="CX91" i="4"/>
  <c r="CW91" i="4"/>
  <c r="CV91" i="4"/>
  <c r="CU91" i="4"/>
  <c r="CT91" i="4"/>
  <c r="CS91" i="4"/>
  <c r="CQ91" i="4" a="1"/>
  <c r="CQ91" i="4"/>
  <c r="CR91" i="4" s="1"/>
  <c r="CP91" i="4"/>
  <c r="CO91" i="4"/>
  <c r="CN91" i="4"/>
  <c r="CM91" i="4"/>
  <c r="CL91" i="4"/>
  <c r="CK91" i="4"/>
  <c r="CJ91" i="4"/>
  <c r="CI91" i="4"/>
  <c r="CH91" i="4"/>
  <c r="CG91" i="4"/>
  <c r="CF91" i="4"/>
  <c r="CE91" i="4"/>
  <c r="CD91" i="4"/>
  <c r="CC91" i="4"/>
  <c r="CB91" i="4"/>
  <c r="CA91" i="4"/>
  <c r="BZ91" i="4"/>
  <c r="BY91" i="4"/>
  <c r="BX91" i="4"/>
  <c r="BW91" i="4"/>
  <c r="BT91" i="4"/>
  <c r="BS91" i="4"/>
  <c r="BR91" i="4"/>
  <c r="BQ91" i="4"/>
  <c r="BP91" i="4"/>
  <c r="BO91" i="4"/>
  <c r="BN91" i="4"/>
  <c r="BM91" i="4"/>
  <c r="BL91" i="4"/>
  <c r="BK91" i="4"/>
  <c r="BJ91" i="4"/>
  <c r="BI91" i="4"/>
  <c r="BH91" i="4"/>
  <c r="BG91" i="4"/>
  <c r="BF91" i="4"/>
  <c r="BE91" i="4"/>
  <c r="BD91" i="4"/>
  <c r="BC91" i="4"/>
  <c r="BB91" i="4"/>
  <c r="BA91" i="4"/>
  <c r="AZ91" i="4"/>
  <c r="AY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K91" i="4"/>
  <c r="AJ91" i="4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O91" i="4"/>
  <c r="N91" i="4"/>
  <c r="M91" i="4"/>
  <c r="L91" i="4"/>
  <c r="K91" i="4"/>
  <c r="J91" i="4"/>
  <c r="I91" i="4"/>
  <c r="H91" i="4"/>
  <c r="G91" i="4"/>
  <c r="F91" i="4"/>
  <c r="DC90" i="4" a="1"/>
  <c r="DC90" i="4" s="1"/>
  <c r="DD90" i="4" s="1"/>
  <c r="DB90" i="4"/>
  <c r="DA90" i="4"/>
  <c r="CZ90" i="4"/>
  <c r="CY90" i="4"/>
  <c r="CX90" i="4"/>
  <c r="CW90" i="4"/>
  <c r="CV90" i="4"/>
  <c r="CU90" i="4"/>
  <c r="CT90" i="4"/>
  <c r="CS90" i="4"/>
  <c r="CQ90" i="4" a="1"/>
  <c r="CQ90" i="4" s="1"/>
  <c r="CR90" i="4" s="1"/>
  <c r="CP90" i="4"/>
  <c r="CO90" i="4"/>
  <c r="CN90" i="4"/>
  <c r="CM90" i="4"/>
  <c r="CL90" i="4"/>
  <c r="CK90" i="4"/>
  <c r="CJ90" i="4"/>
  <c r="CI90" i="4"/>
  <c r="CH90" i="4"/>
  <c r="CG90" i="4"/>
  <c r="CF90" i="4"/>
  <c r="CE90" i="4"/>
  <c r="CD90" i="4"/>
  <c r="CC90" i="4"/>
  <c r="CB90" i="4"/>
  <c r="CA90" i="4"/>
  <c r="BZ90" i="4"/>
  <c r="BY90" i="4"/>
  <c r="BX90" i="4"/>
  <c r="BW90" i="4"/>
  <c r="BT90" i="4"/>
  <c r="BS90" i="4"/>
  <c r="BR90" i="4"/>
  <c r="BQ90" i="4"/>
  <c r="BP90" i="4"/>
  <c r="BO90" i="4"/>
  <c r="BN90" i="4"/>
  <c r="BM90" i="4"/>
  <c r="BL90" i="4"/>
  <c r="BK90" i="4"/>
  <c r="BJ90" i="4"/>
  <c r="BI90" i="4"/>
  <c r="BH90" i="4"/>
  <c r="BG90" i="4"/>
  <c r="BF90" i="4"/>
  <c r="BE90" i="4"/>
  <c r="BD90" i="4"/>
  <c r="BC90" i="4"/>
  <c r="BB90" i="4"/>
  <c r="BA90" i="4"/>
  <c r="AZ90" i="4"/>
  <c r="AY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K90" i="4"/>
  <c r="AJ90" i="4"/>
  <c r="AI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O90" i="4"/>
  <c r="N90" i="4"/>
  <c r="M90" i="4"/>
  <c r="L90" i="4"/>
  <c r="K90" i="4"/>
  <c r="J90" i="4"/>
  <c r="I90" i="4"/>
  <c r="H90" i="4"/>
  <c r="G90" i="4"/>
  <c r="F90" i="4"/>
  <c r="DC89" i="4" a="1"/>
  <c r="DC89" i="4"/>
  <c r="DD89" i="4" s="1"/>
  <c r="DB89" i="4"/>
  <c r="DA89" i="4"/>
  <c r="CZ89" i="4"/>
  <c r="CY89" i="4"/>
  <c r="CX89" i="4"/>
  <c r="CW89" i="4"/>
  <c r="CV89" i="4"/>
  <c r="CU89" i="4"/>
  <c r="CT89" i="4"/>
  <c r="CS89" i="4"/>
  <c r="CQ89" i="4" a="1"/>
  <c r="CQ89" i="4"/>
  <c r="CR89" i="4" s="1"/>
  <c r="CP89" i="4"/>
  <c r="CO89" i="4"/>
  <c r="CN89" i="4"/>
  <c r="CM89" i="4"/>
  <c r="CL89" i="4"/>
  <c r="CK89" i="4"/>
  <c r="CJ89" i="4"/>
  <c r="CI89" i="4"/>
  <c r="CH89" i="4"/>
  <c r="CG89" i="4"/>
  <c r="CF89" i="4"/>
  <c r="CE89" i="4"/>
  <c r="CD89" i="4"/>
  <c r="CC89" i="4"/>
  <c r="CB89" i="4"/>
  <c r="CA89" i="4"/>
  <c r="BZ89" i="4"/>
  <c r="BY89" i="4"/>
  <c r="BX89" i="4"/>
  <c r="BW89" i="4"/>
  <c r="BT89" i="4"/>
  <c r="BS89" i="4"/>
  <c r="BR89" i="4"/>
  <c r="BQ89" i="4"/>
  <c r="BP89" i="4"/>
  <c r="BO89" i="4"/>
  <c r="BN89" i="4"/>
  <c r="BM89" i="4"/>
  <c r="BL89" i="4"/>
  <c r="BK89" i="4"/>
  <c r="BJ89" i="4"/>
  <c r="BI89" i="4"/>
  <c r="BH89" i="4"/>
  <c r="BG89" i="4"/>
  <c r="BF89" i="4"/>
  <c r="BE89" i="4"/>
  <c r="BD89" i="4"/>
  <c r="BC89" i="4"/>
  <c r="BB89" i="4"/>
  <c r="BA89" i="4"/>
  <c r="AZ89" i="4"/>
  <c r="AY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K89" i="4"/>
  <c r="AJ89" i="4"/>
  <c r="AI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H89" i="4"/>
  <c r="G89" i="4"/>
  <c r="F89" i="4"/>
  <c r="DC88" i="4" a="1"/>
  <c r="DC88" i="4"/>
  <c r="DD88" i="4" s="1"/>
  <c r="DB88" i="4"/>
  <c r="DA88" i="4"/>
  <c r="CZ88" i="4"/>
  <c r="CY88" i="4"/>
  <c r="CX88" i="4"/>
  <c r="CW88" i="4"/>
  <c r="CV88" i="4"/>
  <c r="CU88" i="4"/>
  <c r="CT88" i="4"/>
  <c r="CS88" i="4"/>
  <c r="CQ88" i="4" a="1"/>
  <c r="CQ88" i="4"/>
  <c r="CR88" i="4" s="1"/>
  <c r="CP88" i="4"/>
  <c r="CO88" i="4"/>
  <c r="CN88" i="4"/>
  <c r="CM88" i="4"/>
  <c r="CL88" i="4"/>
  <c r="CK88" i="4"/>
  <c r="CJ88" i="4"/>
  <c r="CI88" i="4"/>
  <c r="CH88" i="4"/>
  <c r="CG88" i="4"/>
  <c r="CF88" i="4"/>
  <c r="CE88" i="4"/>
  <c r="CD88" i="4"/>
  <c r="CC88" i="4"/>
  <c r="CB88" i="4"/>
  <c r="CA88" i="4"/>
  <c r="BZ88" i="4"/>
  <c r="BY88" i="4"/>
  <c r="BX88" i="4"/>
  <c r="BW88" i="4"/>
  <c r="BT88" i="4"/>
  <c r="BS88" i="4"/>
  <c r="BR88" i="4"/>
  <c r="BQ88" i="4"/>
  <c r="BP88" i="4"/>
  <c r="BO88" i="4"/>
  <c r="BN88" i="4"/>
  <c r="BM88" i="4"/>
  <c r="BL88" i="4"/>
  <c r="BK88" i="4"/>
  <c r="BJ88" i="4"/>
  <c r="BI88" i="4"/>
  <c r="BH88" i="4"/>
  <c r="BG88" i="4"/>
  <c r="BF88" i="4"/>
  <c r="BE88" i="4"/>
  <c r="BD88" i="4"/>
  <c r="BC88" i="4"/>
  <c r="BB88" i="4"/>
  <c r="BA88" i="4"/>
  <c r="AZ88" i="4"/>
  <c r="AY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K88" i="4"/>
  <c r="AJ88" i="4"/>
  <c r="AI88" i="4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O88" i="4"/>
  <c r="N88" i="4"/>
  <c r="M88" i="4"/>
  <c r="L88" i="4"/>
  <c r="K88" i="4"/>
  <c r="J88" i="4"/>
  <c r="I88" i="4"/>
  <c r="H88" i="4"/>
  <c r="G88" i="4"/>
  <c r="F88" i="4"/>
  <c r="DC87" i="4" a="1"/>
  <c r="DC87" i="4" s="1"/>
  <c r="DD87" i="4" s="1"/>
  <c r="DB87" i="4"/>
  <c r="DA87" i="4"/>
  <c r="CZ87" i="4"/>
  <c r="CY87" i="4"/>
  <c r="CX87" i="4"/>
  <c r="CW87" i="4"/>
  <c r="CV87" i="4"/>
  <c r="CU87" i="4"/>
  <c r="CT87" i="4"/>
  <c r="CS87" i="4"/>
  <c r="CQ87" i="4" a="1"/>
  <c r="CQ87" i="4" s="1"/>
  <c r="CR87" i="4" s="1"/>
  <c r="CP87" i="4"/>
  <c r="CO87" i="4"/>
  <c r="CN87" i="4"/>
  <c r="CM87" i="4"/>
  <c r="CL87" i="4"/>
  <c r="CK87" i="4"/>
  <c r="CJ87" i="4"/>
  <c r="CI87" i="4"/>
  <c r="CH87" i="4"/>
  <c r="CG87" i="4"/>
  <c r="CF87" i="4"/>
  <c r="CE87" i="4"/>
  <c r="CD87" i="4"/>
  <c r="CC87" i="4"/>
  <c r="CB87" i="4"/>
  <c r="CA87" i="4"/>
  <c r="BZ87" i="4"/>
  <c r="BY87" i="4"/>
  <c r="BX87" i="4"/>
  <c r="BW87" i="4"/>
  <c r="BT87" i="4"/>
  <c r="BS87" i="4"/>
  <c r="BR87" i="4"/>
  <c r="BQ87" i="4"/>
  <c r="BP87" i="4"/>
  <c r="BO87" i="4"/>
  <c r="BN87" i="4"/>
  <c r="BM87" i="4"/>
  <c r="BL87" i="4"/>
  <c r="BK87" i="4"/>
  <c r="BJ87" i="4"/>
  <c r="BI87" i="4"/>
  <c r="BH87" i="4"/>
  <c r="BG87" i="4"/>
  <c r="BF87" i="4"/>
  <c r="BE87" i="4"/>
  <c r="BD87" i="4"/>
  <c r="BC87" i="4"/>
  <c r="BB87" i="4"/>
  <c r="BA87" i="4"/>
  <c r="AZ87" i="4"/>
  <c r="AY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K87" i="4"/>
  <c r="AJ87" i="4"/>
  <c r="AI87" i="4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O87" i="4"/>
  <c r="N87" i="4"/>
  <c r="M87" i="4"/>
  <c r="L87" i="4"/>
  <c r="K87" i="4"/>
  <c r="J87" i="4"/>
  <c r="I87" i="4"/>
  <c r="H87" i="4"/>
  <c r="G87" i="4"/>
  <c r="F87" i="4"/>
  <c r="DG86" i="4"/>
  <c r="DC86" i="4" a="1"/>
  <c r="DC86" i="4"/>
  <c r="DD86" i="4" s="1"/>
  <c r="M81" i="5" s="1"/>
  <c r="DB86" i="4"/>
  <c r="DA86" i="4"/>
  <c r="CZ86" i="4"/>
  <c r="CY86" i="4"/>
  <c r="CX86" i="4"/>
  <c r="CW86" i="4"/>
  <c r="CV86" i="4"/>
  <c r="CU86" i="4"/>
  <c r="CT86" i="4"/>
  <c r="CS86" i="4"/>
  <c r="CR86" i="4"/>
  <c r="CQ86" i="4" a="1"/>
  <c r="CQ86" i="4"/>
  <c r="CP86" i="4"/>
  <c r="CO86" i="4"/>
  <c r="CN86" i="4"/>
  <c r="CM86" i="4"/>
  <c r="CL86" i="4"/>
  <c r="CK86" i="4"/>
  <c r="CJ86" i="4"/>
  <c r="CI86" i="4"/>
  <c r="CH86" i="4"/>
  <c r="CG86" i="4"/>
  <c r="CF86" i="4"/>
  <c r="CE86" i="4"/>
  <c r="CD86" i="4"/>
  <c r="CC86" i="4"/>
  <c r="CB86" i="4"/>
  <c r="CA86" i="4"/>
  <c r="BZ86" i="4"/>
  <c r="BY86" i="4"/>
  <c r="BX86" i="4"/>
  <c r="BW86" i="4"/>
  <c r="BT86" i="4"/>
  <c r="BS86" i="4"/>
  <c r="BR86" i="4"/>
  <c r="BQ86" i="4"/>
  <c r="BP86" i="4"/>
  <c r="BO86" i="4"/>
  <c r="BN86" i="4"/>
  <c r="BM86" i="4"/>
  <c r="BL86" i="4"/>
  <c r="BK86" i="4"/>
  <c r="BJ86" i="4"/>
  <c r="BI86" i="4"/>
  <c r="BH86" i="4"/>
  <c r="BG86" i="4"/>
  <c r="BF86" i="4"/>
  <c r="BE86" i="4"/>
  <c r="BD86" i="4"/>
  <c r="BC86" i="4"/>
  <c r="BB86" i="4"/>
  <c r="BA86" i="4"/>
  <c r="AZ86" i="4"/>
  <c r="AY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L86" i="4"/>
  <c r="AK86" i="4"/>
  <c r="AJ86" i="4"/>
  <c r="AI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O86" i="4"/>
  <c r="N86" i="4"/>
  <c r="M86" i="4"/>
  <c r="L86" i="4"/>
  <c r="K86" i="4"/>
  <c r="J86" i="4"/>
  <c r="I86" i="4"/>
  <c r="H86" i="4"/>
  <c r="G86" i="4"/>
  <c r="F86" i="4"/>
  <c r="DC85" i="4" a="1"/>
  <c r="DC85" i="4"/>
  <c r="DD85" i="4" s="1"/>
  <c r="DB85" i="4"/>
  <c r="DA85" i="4"/>
  <c r="CZ85" i="4"/>
  <c r="CY85" i="4"/>
  <c r="CX85" i="4"/>
  <c r="CW85" i="4"/>
  <c r="CV85" i="4"/>
  <c r="CU85" i="4"/>
  <c r="CT85" i="4"/>
  <c r="CS85" i="4"/>
  <c r="CQ85" i="4" a="1"/>
  <c r="CQ85" i="4" s="1"/>
  <c r="CR85" i="4" s="1"/>
  <c r="L80" i="5" s="1"/>
  <c r="CP85" i="4"/>
  <c r="CO85" i="4"/>
  <c r="CN85" i="4"/>
  <c r="CM85" i="4"/>
  <c r="CL85" i="4"/>
  <c r="CK85" i="4"/>
  <c r="CJ85" i="4"/>
  <c r="CI85" i="4"/>
  <c r="CH85" i="4"/>
  <c r="CG85" i="4"/>
  <c r="CF85" i="4"/>
  <c r="CE85" i="4"/>
  <c r="CD85" i="4"/>
  <c r="CC85" i="4"/>
  <c r="CB85" i="4"/>
  <c r="CA85" i="4"/>
  <c r="BZ85" i="4"/>
  <c r="BY85" i="4"/>
  <c r="BX85" i="4"/>
  <c r="BW85" i="4"/>
  <c r="BT85" i="4"/>
  <c r="BS85" i="4"/>
  <c r="BR85" i="4"/>
  <c r="BQ85" i="4"/>
  <c r="BP85" i="4"/>
  <c r="BO85" i="4"/>
  <c r="BN85" i="4"/>
  <c r="BM85" i="4"/>
  <c r="BL85" i="4"/>
  <c r="BK85" i="4"/>
  <c r="BJ85" i="4"/>
  <c r="BI85" i="4"/>
  <c r="BH85" i="4"/>
  <c r="BG85" i="4"/>
  <c r="BF85" i="4"/>
  <c r="BE85" i="4"/>
  <c r="BD85" i="4"/>
  <c r="BC85" i="4"/>
  <c r="BB85" i="4"/>
  <c r="BA85" i="4"/>
  <c r="AZ85" i="4"/>
  <c r="AY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K85" i="4"/>
  <c r="AJ85" i="4"/>
  <c r="AI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O85" i="4"/>
  <c r="N85" i="4"/>
  <c r="M85" i="4"/>
  <c r="L85" i="4"/>
  <c r="K85" i="4"/>
  <c r="J85" i="4"/>
  <c r="I85" i="4"/>
  <c r="H85" i="4"/>
  <c r="G85" i="4"/>
  <c r="F85" i="4"/>
  <c r="DC84" i="4" a="1"/>
  <c r="DC84" i="4" s="1"/>
  <c r="DD84" i="4" s="1"/>
  <c r="DB84" i="4"/>
  <c r="DA84" i="4"/>
  <c r="CZ84" i="4"/>
  <c r="CY84" i="4"/>
  <c r="CX84" i="4"/>
  <c r="CW84" i="4"/>
  <c r="CV84" i="4"/>
  <c r="CU84" i="4"/>
  <c r="CT84" i="4"/>
  <c r="CS84" i="4"/>
  <c r="CQ84" i="4" a="1"/>
  <c r="CQ84" i="4"/>
  <c r="CR84" i="4" s="1"/>
  <c r="CP84" i="4"/>
  <c r="CO84" i="4"/>
  <c r="CN84" i="4"/>
  <c r="CM84" i="4"/>
  <c r="CL84" i="4"/>
  <c r="CK84" i="4"/>
  <c r="CJ84" i="4"/>
  <c r="CI84" i="4"/>
  <c r="CH84" i="4"/>
  <c r="CG84" i="4"/>
  <c r="CF84" i="4"/>
  <c r="CE84" i="4"/>
  <c r="CD84" i="4"/>
  <c r="CC84" i="4"/>
  <c r="CB84" i="4"/>
  <c r="CA84" i="4"/>
  <c r="BZ84" i="4"/>
  <c r="BY84" i="4"/>
  <c r="BX84" i="4"/>
  <c r="BW84" i="4"/>
  <c r="BT84" i="4"/>
  <c r="BS84" i="4"/>
  <c r="BR84" i="4"/>
  <c r="BQ84" i="4"/>
  <c r="BP84" i="4"/>
  <c r="BO84" i="4"/>
  <c r="BN84" i="4"/>
  <c r="BM84" i="4"/>
  <c r="BL84" i="4"/>
  <c r="BK84" i="4"/>
  <c r="BJ84" i="4"/>
  <c r="BI84" i="4"/>
  <c r="BH84" i="4"/>
  <c r="BG84" i="4"/>
  <c r="BF84" i="4"/>
  <c r="BE84" i="4"/>
  <c r="BD84" i="4"/>
  <c r="BC84" i="4"/>
  <c r="BB84" i="4"/>
  <c r="BA84" i="4"/>
  <c r="AZ84" i="4"/>
  <c r="AY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K84" i="4"/>
  <c r="AJ84" i="4"/>
  <c r="AI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O84" i="4"/>
  <c r="N84" i="4"/>
  <c r="M84" i="4"/>
  <c r="L84" i="4"/>
  <c r="K84" i="4"/>
  <c r="J84" i="4"/>
  <c r="I84" i="4"/>
  <c r="H84" i="4"/>
  <c r="G84" i="4"/>
  <c r="F84" i="4"/>
  <c r="DC83" i="4" a="1"/>
  <c r="DC83" i="4"/>
  <c r="DD83" i="4" s="1"/>
  <c r="DB83" i="4"/>
  <c r="DA83" i="4"/>
  <c r="CZ83" i="4"/>
  <c r="CY83" i="4"/>
  <c r="CX83" i="4"/>
  <c r="CW83" i="4"/>
  <c r="CV83" i="4"/>
  <c r="CU83" i="4"/>
  <c r="CT83" i="4"/>
  <c r="CS83" i="4"/>
  <c r="CQ83" i="4" a="1"/>
  <c r="CQ83" i="4"/>
  <c r="CR83" i="4" s="1"/>
  <c r="CP83" i="4"/>
  <c r="CO83" i="4"/>
  <c r="CN83" i="4"/>
  <c r="CM83" i="4"/>
  <c r="CL83" i="4"/>
  <c r="CK83" i="4"/>
  <c r="CJ83" i="4"/>
  <c r="CI83" i="4"/>
  <c r="CH83" i="4"/>
  <c r="CG83" i="4"/>
  <c r="CF83" i="4"/>
  <c r="CE83" i="4"/>
  <c r="CD83" i="4"/>
  <c r="CC83" i="4"/>
  <c r="CB83" i="4"/>
  <c r="CA83" i="4"/>
  <c r="BZ83" i="4"/>
  <c r="BY83" i="4"/>
  <c r="BX83" i="4"/>
  <c r="BW83" i="4"/>
  <c r="BT83" i="4"/>
  <c r="BS83" i="4"/>
  <c r="BR83" i="4"/>
  <c r="BQ83" i="4"/>
  <c r="BP83" i="4"/>
  <c r="BO83" i="4"/>
  <c r="BN83" i="4"/>
  <c r="BM83" i="4"/>
  <c r="BL83" i="4"/>
  <c r="BK83" i="4"/>
  <c r="BJ83" i="4"/>
  <c r="BI83" i="4"/>
  <c r="BH83" i="4"/>
  <c r="BG83" i="4"/>
  <c r="BF83" i="4"/>
  <c r="BE83" i="4"/>
  <c r="BD83" i="4"/>
  <c r="BC83" i="4"/>
  <c r="BB83" i="4"/>
  <c r="BA83" i="4"/>
  <c r="AZ83" i="4"/>
  <c r="AY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K83" i="4"/>
  <c r="AJ83" i="4"/>
  <c r="AI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O83" i="4"/>
  <c r="N83" i="4"/>
  <c r="M83" i="4"/>
  <c r="L83" i="4"/>
  <c r="K83" i="4"/>
  <c r="J83" i="4"/>
  <c r="I83" i="4"/>
  <c r="H83" i="4"/>
  <c r="G83" i="4"/>
  <c r="F83" i="4"/>
  <c r="DC82" i="4" a="1"/>
  <c r="DC82" i="4" s="1"/>
  <c r="DD82" i="4" s="1"/>
  <c r="DB82" i="4"/>
  <c r="DA82" i="4"/>
  <c r="CZ82" i="4"/>
  <c r="CY82" i="4"/>
  <c r="CX82" i="4"/>
  <c r="CW82" i="4"/>
  <c r="CV82" i="4"/>
  <c r="CU82" i="4"/>
  <c r="CT82" i="4"/>
  <c r="CS82" i="4"/>
  <c r="CQ82" i="4" a="1"/>
  <c r="CQ82" i="4"/>
  <c r="CR82" i="4" s="1"/>
  <c r="CP82" i="4"/>
  <c r="CO82" i="4"/>
  <c r="CN82" i="4"/>
  <c r="CM82" i="4"/>
  <c r="CL82" i="4"/>
  <c r="CK82" i="4"/>
  <c r="CJ82" i="4"/>
  <c r="CI82" i="4"/>
  <c r="CH82" i="4"/>
  <c r="CG82" i="4"/>
  <c r="CF82" i="4"/>
  <c r="CE82" i="4"/>
  <c r="CD82" i="4"/>
  <c r="CC82" i="4"/>
  <c r="CB82" i="4"/>
  <c r="CA82" i="4"/>
  <c r="BZ82" i="4"/>
  <c r="BY82" i="4"/>
  <c r="BX82" i="4"/>
  <c r="BW82" i="4"/>
  <c r="BT82" i="4"/>
  <c r="BS82" i="4"/>
  <c r="BR82" i="4"/>
  <c r="BQ82" i="4"/>
  <c r="BP82" i="4"/>
  <c r="BO82" i="4"/>
  <c r="BN82" i="4"/>
  <c r="BM82" i="4"/>
  <c r="BL82" i="4"/>
  <c r="BK82" i="4"/>
  <c r="BJ82" i="4"/>
  <c r="BI82" i="4"/>
  <c r="BH82" i="4"/>
  <c r="BG82" i="4"/>
  <c r="BF82" i="4"/>
  <c r="BE82" i="4"/>
  <c r="BD82" i="4"/>
  <c r="BC82" i="4"/>
  <c r="BB82" i="4"/>
  <c r="BA82" i="4"/>
  <c r="AZ82" i="4"/>
  <c r="AY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K82" i="4"/>
  <c r="AJ82" i="4"/>
  <c r="AI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O82" i="4"/>
  <c r="N82" i="4"/>
  <c r="M82" i="4"/>
  <c r="L82" i="4"/>
  <c r="K82" i="4"/>
  <c r="J82" i="4"/>
  <c r="I82" i="4"/>
  <c r="H82" i="4"/>
  <c r="G82" i="4"/>
  <c r="F82" i="4"/>
  <c r="DC81" i="4" a="1"/>
  <c r="DC81" i="4"/>
  <c r="DD81" i="4" s="1"/>
  <c r="DB81" i="4"/>
  <c r="DA81" i="4"/>
  <c r="CZ81" i="4"/>
  <c r="CY81" i="4"/>
  <c r="CX81" i="4"/>
  <c r="CW81" i="4"/>
  <c r="CV81" i="4"/>
  <c r="CU81" i="4"/>
  <c r="CT81" i="4"/>
  <c r="CS81" i="4"/>
  <c r="CQ81" i="4" a="1"/>
  <c r="CQ81" i="4"/>
  <c r="CR81" i="4" s="1"/>
  <c r="L76" i="5" s="1"/>
  <c r="CP81" i="4"/>
  <c r="CO81" i="4"/>
  <c r="CN81" i="4"/>
  <c r="CM81" i="4"/>
  <c r="CL81" i="4"/>
  <c r="CK81" i="4"/>
  <c r="CJ81" i="4"/>
  <c r="CI81" i="4"/>
  <c r="CH81" i="4"/>
  <c r="CG81" i="4"/>
  <c r="CF81" i="4"/>
  <c r="CE81" i="4"/>
  <c r="CD81" i="4"/>
  <c r="CC81" i="4"/>
  <c r="CB81" i="4"/>
  <c r="CA81" i="4"/>
  <c r="BZ81" i="4"/>
  <c r="BY81" i="4"/>
  <c r="BX81" i="4"/>
  <c r="BW81" i="4"/>
  <c r="BT81" i="4"/>
  <c r="BS81" i="4"/>
  <c r="BR81" i="4"/>
  <c r="BQ81" i="4"/>
  <c r="BP81" i="4"/>
  <c r="BO81" i="4"/>
  <c r="BN81" i="4"/>
  <c r="BM81" i="4"/>
  <c r="BL81" i="4"/>
  <c r="BK81" i="4"/>
  <c r="BJ81" i="4"/>
  <c r="BI81" i="4"/>
  <c r="BH81" i="4"/>
  <c r="BG81" i="4"/>
  <c r="BF81" i="4"/>
  <c r="BE81" i="4"/>
  <c r="BD81" i="4"/>
  <c r="BC81" i="4"/>
  <c r="BB81" i="4"/>
  <c r="BA81" i="4"/>
  <c r="AZ81" i="4"/>
  <c r="AY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K81" i="4"/>
  <c r="AJ81" i="4"/>
  <c r="AI81" i="4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J81" i="4"/>
  <c r="I81" i="4"/>
  <c r="H81" i="4"/>
  <c r="G81" i="4"/>
  <c r="F81" i="4"/>
  <c r="DC80" i="4" a="1"/>
  <c r="DC80" i="4" s="1"/>
  <c r="DD80" i="4" s="1"/>
  <c r="DB80" i="4"/>
  <c r="DA80" i="4"/>
  <c r="CZ80" i="4"/>
  <c r="CY80" i="4"/>
  <c r="CX80" i="4"/>
  <c r="CW80" i="4"/>
  <c r="CV80" i="4"/>
  <c r="CU80" i="4"/>
  <c r="CT80" i="4"/>
  <c r="CS80" i="4"/>
  <c r="CQ80" i="4" a="1"/>
  <c r="CQ80" i="4" s="1"/>
  <c r="CR80" i="4" s="1"/>
  <c r="CP80" i="4"/>
  <c r="CO80" i="4"/>
  <c r="CN80" i="4"/>
  <c r="CM80" i="4"/>
  <c r="CL80" i="4"/>
  <c r="CK80" i="4"/>
  <c r="CJ80" i="4"/>
  <c r="CI80" i="4"/>
  <c r="CH80" i="4"/>
  <c r="CG80" i="4"/>
  <c r="CF80" i="4"/>
  <c r="CE80" i="4"/>
  <c r="CD80" i="4"/>
  <c r="CC80" i="4"/>
  <c r="CB80" i="4"/>
  <c r="CA80" i="4"/>
  <c r="BZ80" i="4"/>
  <c r="BY80" i="4"/>
  <c r="BX80" i="4"/>
  <c r="BW80" i="4"/>
  <c r="BT80" i="4"/>
  <c r="BS80" i="4"/>
  <c r="BR80" i="4"/>
  <c r="BQ80" i="4"/>
  <c r="BP80" i="4"/>
  <c r="BO80" i="4"/>
  <c r="BN80" i="4"/>
  <c r="BM80" i="4"/>
  <c r="BL80" i="4"/>
  <c r="BK80" i="4"/>
  <c r="BJ80" i="4"/>
  <c r="BI80" i="4"/>
  <c r="BH80" i="4"/>
  <c r="BG80" i="4"/>
  <c r="BF80" i="4"/>
  <c r="BE80" i="4"/>
  <c r="BD80" i="4"/>
  <c r="BC80" i="4"/>
  <c r="BB80" i="4"/>
  <c r="BA80" i="4"/>
  <c r="AZ80" i="4"/>
  <c r="AY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K80" i="4"/>
  <c r="AJ80" i="4"/>
  <c r="AI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DC79" i="4" a="1"/>
  <c r="DC79" i="4"/>
  <c r="DD79" i="4" s="1"/>
  <c r="DB79" i="4"/>
  <c r="DA79" i="4"/>
  <c r="CZ79" i="4"/>
  <c r="CY79" i="4"/>
  <c r="CX79" i="4"/>
  <c r="CW79" i="4"/>
  <c r="CV79" i="4"/>
  <c r="CU79" i="4"/>
  <c r="CT79" i="4"/>
  <c r="CS79" i="4"/>
  <c r="CQ79" i="4" a="1"/>
  <c r="CQ79" i="4"/>
  <c r="CR79" i="4" s="1"/>
  <c r="CP79" i="4"/>
  <c r="CO79" i="4"/>
  <c r="CN79" i="4"/>
  <c r="CM79" i="4"/>
  <c r="CL79" i="4"/>
  <c r="CK79" i="4"/>
  <c r="CJ79" i="4"/>
  <c r="CI79" i="4"/>
  <c r="CH79" i="4"/>
  <c r="CG79" i="4"/>
  <c r="CF79" i="4"/>
  <c r="CE79" i="4"/>
  <c r="CD79" i="4"/>
  <c r="CC79" i="4"/>
  <c r="CB79" i="4"/>
  <c r="CA79" i="4"/>
  <c r="BZ79" i="4"/>
  <c r="BY79" i="4"/>
  <c r="BX79" i="4"/>
  <c r="BW79" i="4"/>
  <c r="BT79" i="4"/>
  <c r="BS79" i="4"/>
  <c r="BR79" i="4"/>
  <c r="BQ79" i="4"/>
  <c r="BP79" i="4"/>
  <c r="BO79" i="4"/>
  <c r="BN79" i="4"/>
  <c r="BM79" i="4"/>
  <c r="BL79" i="4"/>
  <c r="BK79" i="4"/>
  <c r="BJ79" i="4"/>
  <c r="BI79" i="4"/>
  <c r="BH79" i="4"/>
  <c r="BG79" i="4"/>
  <c r="BF79" i="4"/>
  <c r="BE79" i="4"/>
  <c r="BD79" i="4"/>
  <c r="BC79" i="4"/>
  <c r="BB79" i="4"/>
  <c r="BA79" i="4"/>
  <c r="AZ79" i="4"/>
  <c r="AY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K79" i="4"/>
  <c r="AJ79" i="4"/>
  <c r="AI79" i="4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S79" i="4"/>
  <c r="R79" i="4"/>
  <c r="Q79" i="4"/>
  <c r="P79" i="4"/>
  <c r="O79" i="4"/>
  <c r="N79" i="4"/>
  <c r="M79" i="4"/>
  <c r="L79" i="4"/>
  <c r="K79" i="4"/>
  <c r="J79" i="4"/>
  <c r="I79" i="4"/>
  <c r="H79" i="4"/>
  <c r="G79" i="4"/>
  <c r="F79" i="4"/>
  <c r="DD78" i="4"/>
  <c r="M73" i="5" s="1"/>
  <c r="DC78" i="4" a="1"/>
  <c r="DC78" i="4"/>
  <c r="DB78" i="4"/>
  <c r="DA78" i="4"/>
  <c r="CZ78" i="4"/>
  <c r="CY78" i="4"/>
  <c r="CX78" i="4"/>
  <c r="CW78" i="4"/>
  <c r="CV78" i="4"/>
  <c r="CU78" i="4"/>
  <c r="CT78" i="4"/>
  <c r="CS78" i="4"/>
  <c r="CQ78" i="4" a="1"/>
  <c r="CQ78" i="4" s="1"/>
  <c r="CR78" i="4" s="1"/>
  <c r="CP78" i="4"/>
  <c r="CO78" i="4"/>
  <c r="CN78" i="4"/>
  <c r="CM78" i="4"/>
  <c r="CL78" i="4"/>
  <c r="CK78" i="4"/>
  <c r="CJ78" i="4"/>
  <c r="CI78" i="4"/>
  <c r="CH78" i="4"/>
  <c r="CG78" i="4"/>
  <c r="CF78" i="4"/>
  <c r="CE78" i="4"/>
  <c r="CD78" i="4"/>
  <c r="CC78" i="4"/>
  <c r="CB78" i="4"/>
  <c r="CA78" i="4"/>
  <c r="BZ78" i="4"/>
  <c r="BY78" i="4"/>
  <c r="BX78" i="4"/>
  <c r="BW78" i="4"/>
  <c r="BT78" i="4"/>
  <c r="BS78" i="4"/>
  <c r="BR78" i="4"/>
  <c r="BQ78" i="4"/>
  <c r="BP78" i="4"/>
  <c r="BO78" i="4"/>
  <c r="BN78" i="4"/>
  <c r="BM78" i="4"/>
  <c r="BL78" i="4"/>
  <c r="BK78" i="4"/>
  <c r="BJ78" i="4"/>
  <c r="BI78" i="4"/>
  <c r="BH78" i="4"/>
  <c r="BG78" i="4"/>
  <c r="BF78" i="4"/>
  <c r="BE78" i="4"/>
  <c r="BD78" i="4"/>
  <c r="BC78" i="4"/>
  <c r="BB78" i="4"/>
  <c r="BA78" i="4"/>
  <c r="AZ78" i="4"/>
  <c r="AY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K78" i="4"/>
  <c r="AJ78" i="4"/>
  <c r="AI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U78" i="4"/>
  <c r="T78" i="4"/>
  <c r="S78" i="4"/>
  <c r="R78" i="4"/>
  <c r="Q78" i="4"/>
  <c r="P78" i="4"/>
  <c r="O78" i="4"/>
  <c r="N78" i="4"/>
  <c r="M78" i="4"/>
  <c r="L78" i="4"/>
  <c r="K78" i="4"/>
  <c r="J78" i="4"/>
  <c r="I78" i="4"/>
  <c r="H78" i="4"/>
  <c r="G78" i="4"/>
  <c r="F78" i="4"/>
  <c r="DC77" i="4" a="1"/>
  <c r="DC77" i="4" s="1"/>
  <c r="DD77" i="4" s="1"/>
  <c r="DB77" i="4"/>
  <c r="DA77" i="4"/>
  <c r="CZ77" i="4"/>
  <c r="CY77" i="4"/>
  <c r="CX77" i="4"/>
  <c r="CW77" i="4"/>
  <c r="CV77" i="4"/>
  <c r="CU77" i="4"/>
  <c r="CT77" i="4"/>
  <c r="CS77" i="4"/>
  <c r="CQ77" i="4" a="1"/>
  <c r="CQ77" i="4"/>
  <c r="CR77" i="4" s="1"/>
  <c r="CP77" i="4"/>
  <c r="CO77" i="4"/>
  <c r="CN77" i="4"/>
  <c r="CM77" i="4"/>
  <c r="CL77" i="4"/>
  <c r="CK77" i="4"/>
  <c r="CJ77" i="4"/>
  <c r="CI77" i="4"/>
  <c r="CH77" i="4"/>
  <c r="CG77" i="4"/>
  <c r="CF77" i="4"/>
  <c r="CE77" i="4"/>
  <c r="CD77" i="4"/>
  <c r="CC77" i="4"/>
  <c r="CB77" i="4"/>
  <c r="CA77" i="4"/>
  <c r="BZ77" i="4"/>
  <c r="BY77" i="4"/>
  <c r="BX77" i="4"/>
  <c r="BW77" i="4"/>
  <c r="BT77" i="4"/>
  <c r="BS77" i="4"/>
  <c r="BR77" i="4"/>
  <c r="BQ77" i="4"/>
  <c r="BP77" i="4"/>
  <c r="BO77" i="4"/>
  <c r="BN77" i="4"/>
  <c r="BM77" i="4"/>
  <c r="BL77" i="4"/>
  <c r="BK77" i="4"/>
  <c r="BJ77" i="4"/>
  <c r="BI77" i="4"/>
  <c r="BH77" i="4"/>
  <c r="BG77" i="4"/>
  <c r="BF77" i="4"/>
  <c r="BE77" i="4"/>
  <c r="BD77" i="4"/>
  <c r="BC77" i="4"/>
  <c r="BB77" i="4"/>
  <c r="BA77" i="4"/>
  <c r="AZ77" i="4"/>
  <c r="AY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K77" i="4"/>
  <c r="AJ77" i="4"/>
  <c r="AI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U77" i="4"/>
  <c r="T77" i="4"/>
  <c r="S77" i="4"/>
  <c r="R77" i="4"/>
  <c r="Q77" i="4"/>
  <c r="P77" i="4"/>
  <c r="O77" i="4"/>
  <c r="N77" i="4"/>
  <c r="M77" i="4"/>
  <c r="L77" i="4"/>
  <c r="K77" i="4"/>
  <c r="J77" i="4"/>
  <c r="I77" i="4"/>
  <c r="H77" i="4"/>
  <c r="G77" i="4"/>
  <c r="F77" i="4"/>
  <c r="DC76" i="4" a="1"/>
  <c r="DC76" i="4"/>
  <c r="DD76" i="4" s="1"/>
  <c r="DB76" i="4"/>
  <c r="DA76" i="4"/>
  <c r="CZ76" i="4"/>
  <c r="CY76" i="4"/>
  <c r="CX76" i="4"/>
  <c r="CW76" i="4"/>
  <c r="CV76" i="4"/>
  <c r="CU76" i="4"/>
  <c r="CT76" i="4"/>
  <c r="CS76" i="4"/>
  <c r="CQ76" i="4" a="1"/>
  <c r="CQ76" i="4" s="1"/>
  <c r="CR76" i="4" s="1"/>
  <c r="CP76" i="4"/>
  <c r="CO76" i="4"/>
  <c r="CN76" i="4"/>
  <c r="CM76" i="4"/>
  <c r="CL76" i="4"/>
  <c r="CK76" i="4"/>
  <c r="CJ76" i="4"/>
  <c r="CI76" i="4"/>
  <c r="CH76" i="4"/>
  <c r="CG76" i="4"/>
  <c r="CF76" i="4"/>
  <c r="CE76" i="4"/>
  <c r="CD76" i="4"/>
  <c r="CC76" i="4"/>
  <c r="CB76" i="4"/>
  <c r="CA76" i="4"/>
  <c r="BZ76" i="4"/>
  <c r="BY76" i="4"/>
  <c r="BX76" i="4"/>
  <c r="BW76" i="4"/>
  <c r="BT76" i="4"/>
  <c r="BS76" i="4"/>
  <c r="BR76" i="4"/>
  <c r="BQ76" i="4"/>
  <c r="BP76" i="4"/>
  <c r="BO76" i="4"/>
  <c r="BN76" i="4"/>
  <c r="BM76" i="4"/>
  <c r="BL76" i="4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DC75" i="4" a="1"/>
  <c r="DC75" i="4"/>
  <c r="DD75" i="4" s="1"/>
  <c r="DB75" i="4"/>
  <c r="DA75" i="4"/>
  <c r="CZ75" i="4"/>
  <c r="CY75" i="4"/>
  <c r="CX75" i="4"/>
  <c r="CW75" i="4"/>
  <c r="CV75" i="4"/>
  <c r="CU75" i="4"/>
  <c r="CT75" i="4"/>
  <c r="CS75" i="4"/>
  <c r="CQ75" i="4" a="1"/>
  <c r="CQ75" i="4" s="1"/>
  <c r="CR75" i="4" s="1"/>
  <c r="CP75" i="4"/>
  <c r="CO75" i="4"/>
  <c r="CN75" i="4"/>
  <c r="CM75" i="4"/>
  <c r="CL75" i="4"/>
  <c r="CK75" i="4"/>
  <c r="CJ75" i="4"/>
  <c r="CI75" i="4"/>
  <c r="CH75" i="4"/>
  <c r="CG75" i="4"/>
  <c r="CF75" i="4"/>
  <c r="CE75" i="4"/>
  <c r="CD75" i="4"/>
  <c r="CC75" i="4"/>
  <c r="CB75" i="4"/>
  <c r="CA75" i="4"/>
  <c r="BZ75" i="4"/>
  <c r="BY75" i="4"/>
  <c r="BX75" i="4"/>
  <c r="BW75" i="4"/>
  <c r="BT75" i="4"/>
  <c r="BS75" i="4"/>
  <c r="BR75" i="4"/>
  <c r="BQ75" i="4"/>
  <c r="BP75" i="4"/>
  <c r="BO75" i="4"/>
  <c r="BN75" i="4"/>
  <c r="BM75" i="4"/>
  <c r="BL75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DC74" i="4" a="1"/>
  <c r="DC74" i="4"/>
  <c r="DD74" i="4" s="1"/>
  <c r="DB74" i="4"/>
  <c r="DA74" i="4"/>
  <c r="CZ74" i="4"/>
  <c r="CY74" i="4"/>
  <c r="CX74" i="4"/>
  <c r="CW74" i="4"/>
  <c r="CV74" i="4"/>
  <c r="CU74" i="4"/>
  <c r="CT74" i="4"/>
  <c r="CS74" i="4"/>
  <c r="CQ74" i="4" a="1"/>
  <c r="CQ74" i="4"/>
  <c r="CR74" i="4" s="1"/>
  <c r="CP74" i="4"/>
  <c r="CO74" i="4"/>
  <c r="CN74" i="4"/>
  <c r="CM74" i="4"/>
  <c r="CL74" i="4"/>
  <c r="CK74" i="4"/>
  <c r="CJ74" i="4"/>
  <c r="CI74" i="4"/>
  <c r="CH74" i="4"/>
  <c r="CG74" i="4"/>
  <c r="CF74" i="4"/>
  <c r="CE74" i="4"/>
  <c r="CD74" i="4"/>
  <c r="CC74" i="4"/>
  <c r="CB74" i="4"/>
  <c r="CA74" i="4"/>
  <c r="BZ74" i="4"/>
  <c r="BY74" i="4"/>
  <c r="BX74" i="4"/>
  <c r="BW74" i="4"/>
  <c r="BT74" i="4"/>
  <c r="BS74" i="4"/>
  <c r="BR74" i="4"/>
  <c r="BQ74" i="4"/>
  <c r="BP74" i="4"/>
  <c r="BO74" i="4"/>
  <c r="BN74" i="4"/>
  <c r="BM74" i="4"/>
  <c r="BL74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DC73" i="4" a="1"/>
  <c r="DC73" i="4" s="1"/>
  <c r="DD73" i="4" s="1"/>
  <c r="DB73" i="4"/>
  <c r="DA73" i="4"/>
  <c r="CZ73" i="4"/>
  <c r="CY73" i="4"/>
  <c r="CX73" i="4"/>
  <c r="CW73" i="4"/>
  <c r="CV73" i="4"/>
  <c r="CU73" i="4"/>
  <c r="CT73" i="4"/>
  <c r="CS73" i="4"/>
  <c r="CR73" i="4"/>
  <c r="L68" i="5" s="1"/>
  <c r="CQ73" i="4" a="1"/>
  <c r="CQ73" i="4"/>
  <c r="CP73" i="4"/>
  <c r="CO73" i="4"/>
  <c r="CN73" i="4"/>
  <c r="CM73" i="4"/>
  <c r="CL73" i="4"/>
  <c r="CK73" i="4"/>
  <c r="CJ73" i="4"/>
  <c r="CI73" i="4"/>
  <c r="CH73" i="4"/>
  <c r="CG73" i="4"/>
  <c r="CF73" i="4"/>
  <c r="CE73" i="4"/>
  <c r="CD73" i="4"/>
  <c r="CC73" i="4"/>
  <c r="CB73" i="4"/>
  <c r="CA73" i="4"/>
  <c r="BZ73" i="4"/>
  <c r="BY73" i="4"/>
  <c r="BX73" i="4"/>
  <c r="BW73" i="4"/>
  <c r="BT73" i="4"/>
  <c r="BS73" i="4"/>
  <c r="BR73" i="4"/>
  <c r="BQ73" i="4"/>
  <c r="BP73" i="4"/>
  <c r="BO73" i="4"/>
  <c r="BN73" i="4"/>
  <c r="BM73" i="4"/>
  <c r="BL73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DC72" i="4" a="1"/>
  <c r="DC72" i="4" s="1"/>
  <c r="DD72" i="4" s="1"/>
  <c r="DB72" i="4"/>
  <c r="DA72" i="4"/>
  <c r="CZ72" i="4"/>
  <c r="CY72" i="4"/>
  <c r="CX72" i="4"/>
  <c r="CW72" i="4"/>
  <c r="CV72" i="4"/>
  <c r="CU72" i="4"/>
  <c r="CT72" i="4"/>
  <c r="CS72" i="4"/>
  <c r="CQ72" i="4" a="1"/>
  <c r="CQ72" i="4" s="1"/>
  <c r="CR72" i="4" s="1"/>
  <c r="CP72" i="4"/>
  <c r="CO72" i="4"/>
  <c r="CN72" i="4"/>
  <c r="CM72" i="4"/>
  <c r="CL72" i="4"/>
  <c r="CK72" i="4"/>
  <c r="CJ72" i="4"/>
  <c r="CI72" i="4"/>
  <c r="CH72" i="4"/>
  <c r="CG72" i="4"/>
  <c r="CF72" i="4"/>
  <c r="CE72" i="4"/>
  <c r="CD72" i="4"/>
  <c r="CC72" i="4"/>
  <c r="CB72" i="4"/>
  <c r="CA72" i="4"/>
  <c r="BZ72" i="4"/>
  <c r="BY72" i="4"/>
  <c r="BX72" i="4"/>
  <c r="BW72" i="4"/>
  <c r="BT72" i="4"/>
  <c r="BS72" i="4"/>
  <c r="BR72" i="4"/>
  <c r="BQ72" i="4"/>
  <c r="BP72" i="4"/>
  <c r="BO72" i="4"/>
  <c r="BN72" i="4"/>
  <c r="BM72" i="4"/>
  <c r="BL72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DC71" i="4" a="1"/>
  <c r="DC71" i="4"/>
  <c r="DD71" i="4" s="1"/>
  <c r="DB71" i="4"/>
  <c r="DA71" i="4"/>
  <c r="CZ71" i="4"/>
  <c r="CY71" i="4"/>
  <c r="CX71" i="4"/>
  <c r="CW71" i="4"/>
  <c r="CV71" i="4"/>
  <c r="CU71" i="4"/>
  <c r="CT71" i="4"/>
  <c r="CS71" i="4"/>
  <c r="CQ71" i="4" a="1"/>
  <c r="CQ71" i="4"/>
  <c r="CR71" i="4" s="1"/>
  <c r="CP71" i="4"/>
  <c r="CO71" i="4"/>
  <c r="CN71" i="4"/>
  <c r="CM71" i="4"/>
  <c r="CL71" i="4"/>
  <c r="CK71" i="4"/>
  <c r="CJ71" i="4"/>
  <c r="CI71" i="4"/>
  <c r="CH71" i="4"/>
  <c r="CG71" i="4"/>
  <c r="CF71" i="4"/>
  <c r="CE71" i="4"/>
  <c r="CD71" i="4"/>
  <c r="CC71" i="4"/>
  <c r="CB71" i="4"/>
  <c r="CA71" i="4"/>
  <c r="BZ71" i="4"/>
  <c r="BY71" i="4"/>
  <c r="BX71" i="4"/>
  <c r="BW71" i="4"/>
  <c r="BT71" i="4"/>
  <c r="BS71" i="4"/>
  <c r="BR71" i="4"/>
  <c r="BQ71" i="4"/>
  <c r="BP71" i="4"/>
  <c r="BO71" i="4"/>
  <c r="BN71" i="4"/>
  <c r="BM71" i="4"/>
  <c r="BL71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DD70" i="4"/>
  <c r="M65" i="5" s="1"/>
  <c r="DC70" i="4" a="1"/>
  <c r="DC70" i="4"/>
  <c r="DB70" i="4"/>
  <c r="DA70" i="4"/>
  <c r="CZ70" i="4"/>
  <c r="CY70" i="4"/>
  <c r="CX70" i="4"/>
  <c r="CW70" i="4"/>
  <c r="CV70" i="4"/>
  <c r="CU70" i="4"/>
  <c r="CT70" i="4"/>
  <c r="CS70" i="4"/>
  <c r="CQ70" i="4" a="1"/>
  <c r="CQ70" i="4"/>
  <c r="CR70" i="4" s="1"/>
  <c r="CP70" i="4"/>
  <c r="CO70" i="4"/>
  <c r="CN70" i="4"/>
  <c r="CM70" i="4"/>
  <c r="CL70" i="4"/>
  <c r="CK70" i="4"/>
  <c r="CJ70" i="4"/>
  <c r="CI70" i="4"/>
  <c r="CH70" i="4"/>
  <c r="CG70" i="4"/>
  <c r="CF70" i="4"/>
  <c r="CE70" i="4"/>
  <c r="CD70" i="4"/>
  <c r="CC70" i="4"/>
  <c r="CB70" i="4"/>
  <c r="CA70" i="4"/>
  <c r="BZ70" i="4"/>
  <c r="BY70" i="4"/>
  <c r="BX70" i="4"/>
  <c r="BW70" i="4"/>
  <c r="BT70" i="4"/>
  <c r="BS70" i="4"/>
  <c r="BR70" i="4"/>
  <c r="BQ70" i="4"/>
  <c r="BP70" i="4"/>
  <c r="BO70" i="4"/>
  <c r="BN70" i="4"/>
  <c r="BM70" i="4"/>
  <c r="BL70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DC69" i="4" a="1"/>
  <c r="DC69" i="4" s="1"/>
  <c r="DD69" i="4" s="1"/>
  <c r="DB69" i="4"/>
  <c r="DA69" i="4"/>
  <c r="CZ69" i="4"/>
  <c r="CY69" i="4"/>
  <c r="CX69" i="4"/>
  <c r="CW69" i="4"/>
  <c r="CV69" i="4"/>
  <c r="CU69" i="4"/>
  <c r="CT69" i="4"/>
  <c r="CS69" i="4"/>
  <c r="CQ69" i="4" a="1"/>
  <c r="CQ69" i="4"/>
  <c r="CR69" i="4" s="1"/>
  <c r="CP69" i="4"/>
  <c r="CO69" i="4"/>
  <c r="CN69" i="4"/>
  <c r="CM69" i="4"/>
  <c r="CL69" i="4"/>
  <c r="CK69" i="4"/>
  <c r="CJ69" i="4"/>
  <c r="CI69" i="4"/>
  <c r="CH69" i="4"/>
  <c r="CG69" i="4"/>
  <c r="CF69" i="4"/>
  <c r="CE69" i="4"/>
  <c r="CD69" i="4"/>
  <c r="CC69" i="4"/>
  <c r="CB69" i="4"/>
  <c r="CA69" i="4"/>
  <c r="BZ69" i="4"/>
  <c r="BY69" i="4"/>
  <c r="BX69" i="4"/>
  <c r="BW69" i="4"/>
  <c r="BT69" i="4"/>
  <c r="BS69" i="4"/>
  <c r="BR69" i="4"/>
  <c r="BQ69" i="4"/>
  <c r="BP69" i="4"/>
  <c r="BO69" i="4"/>
  <c r="BN69" i="4"/>
  <c r="BM69" i="4"/>
  <c r="BL69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DC68" i="4" a="1"/>
  <c r="DC68" i="4"/>
  <c r="DD68" i="4" s="1"/>
  <c r="DB68" i="4"/>
  <c r="DA68" i="4"/>
  <c r="CZ68" i="4"/>
  <c r="CY68" i="4"/>
  <c r="CX68" i="4"/>
  <c r="CW68" i="4"/>
  <c r="CV68" i="4"/>
  <c r="CU68" i="4"/>
  <c r="CT68" i="4"/>
  <c r="CS68" i="4"/>
  <c r="CQ68" i="4" a="1"/>
  <c r="CQ68" i="4" s="1"/>
  <c r="CR68" i="4" s="1"/>
  <c r="CP68" i="4"/>
  <c r="CO68" i="4"/>
  <c r="CN68" i="4"/>
  <c r="CM68" i="4"/>
  <c r="CL68" i="4"/>
  <c r="CK68" i="4"/>
  <c r="CJ68" i="4"/>
  <c r="CI68" i="4"/>
  <c r="CH68" i="4"/>
  <c r="CG68" i="4"/>
  <c r="CF68" i="4"/>
  <c r="CE68" i="4"/>
  <c r="CD68" i="4"/>
  <c r="CC68" i="4"/>
  <c r="CB68" i="4"/>
  <c r="CA68" i="4"/>
  <c r="BZ68" i="4"/>
  <c r="BY68" i="4"/>
  <c r="BX68" i="4"/>
  <c r="BW68" i="4"/>
  <c r="BT68" i="4"/>
  <c r="BS68" i="4"/>
  <c r="BR68" i="4"/>
  <c r="BQ68" i="4"/>
  <c r="BP68" i="4"/>
  <c r="BO68" i="4"/>
  <c r="BN68" i="4"/>
  <c r="BM68" i="4"/>
  <c r="BL68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DC67" i="4" a="1"/>
  <c r="DC67" i="4"/>
  <c r="DD67" i="4" s="1"/>
  <c r="DB67" i="4"/>
  <c r="DA67" i="4"/>
  <c r="CZ67" i="4"/>
  <c r="CY67" i="4"/>
  <c r="CX67" i="4"/>
  <c r="CW67" i="4"/>
  <c r="CV67" i="4"/>
  <c r="CU67" i="4"/>
  <c r="CT67" i="4"/>
  <c r="CS67" i="4"/>
  <c r="CQ67" i="4" a="1"/>
  <c r="CQ67" i="4" s="1"/>
  <c r="CR67" i="4" s="1"/>
  <c r="CP67" i="4"/>
  <c r="CO67" i="4"/>
  <c r="CN67" i="4"/>
  <c r="CM67" i="4"/>
  <c r="CL67" i="4"/>
  <c r="CK67" i="4"/>
  <c r="CJ67" i="4"/>
  <c r="CI67" i="4"/>
  <c r="CH67" i="4"/>
  <c r="CG67" i="4"/>
  <c r="CF67" i="4"/>
  <c r="CE67" i="4"/>
  <c r="CD67" i="4"/>
  <c r="CC67" i="4"/>
  <c r="CB67" i="4"/>
  <c r="CA67" i="4"/>
  <c r="BZ67" i="4"/>
  <c r="BY67" i="4"/>
  <c r="BX67" i="4"/>
  <c r="BW67" i="4"/>
  <c r="BT67" i="4"/>
  <c r="BS67" i="4"/>
  <c r="BR67" i="4"/>
  <c r="BQ67" i="4"/>
  <c r="BP67" i="4"/>
  <c r="BO67" i="4"/>
  <c r="BN67" i="4"/>
  <c r="BM67" i="4"/>
  <c r="BL67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DC66" i="4" a="1"/>
  <c r="DC66" i="4"/>
  <c r="DD66" i="4" s="1"/>
  <c r="DB66" i="4"/>
  <c r="DA66" i="4"/>
  <c r="CZ66" i="4"/>
  <c r="CY66" i="4"/>
  <c r="CX66" i="4"/>
  <c r="CW66" i="4"/>
  <c r="CV66" i="4"/>
  <c r="CU66" i="4"/>
  <c r="CT66" i="4"/>
  <c r="CS66" i="4"/>
  <c r="CQ66" i="4" a="1"/>
  <c r="CQ66" i="4"/>
  <c r="CR66" i="4" s="1"/>
  <c r="CP66" i="4"/>
  <c r="CO66" i="4"/>
  <c r="CN66" i="4"/>
  <c r="CM66" i="4"/>
  <c r="CL66" i="4"/>
  <c r="CK66" i="4"/>
  <c r="CJ66" i="4"/>
  <c r="CI66" i="4"/>
  <c r="CH66" i="4"/>
  <c r="CG66" i="4"/>
  <c r="CF66" i="4"/>
  <c r="CE66" i="4"/>
  <c r="CD66" i="4"/>
  <c r="CC66" i="4"/>
  <c r="CB66" i="4"/>
  <c r="CA66" i="4"/>
  <c r="BZ66" i="4"/>
  <c r="BY66" i="4"/>
  <c r="BX66" i="4"/>
  <c r="BW66" i="4"/>
  <c r="BT66" i="4"/>
  <c r="BS66" i="4"/>
  <c r="BR66" i="4"/>
  <c r="BQ66" i="4"/>
  <c r="BP66" i="4"/>
  <c r="BO66" i="4"/>
  <c r="BN66" i="4"/>
  <c r="BM66" i="4"/>
  <c r="BL66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DC65" i="4" a="1"/>
  <c r="DC65" i="4" s="1"/>
  <c r="DD65" i="4" s="1"/>
  <c r="DB65" i="4"/>
  <c r="DA65" i="4"/>
  <c r="CZ65" i="4"/>
  <c r="CY65" i="4"/>
  <c r="CX65" i="4"/>
  <c r="CW65" i="4"/>
  <c r="CV65" i="4"/>
  <c r="CU65" i="4"/>
  <c r="CT65" i="4"/>
  <c r="CS65" i="4"/>
  <c r="CR65" i="4"/>
  <c r="L60" i="5" s="1"/>
  <c r="CQ65" i="4" a="1"/>
  <c r="CQ65" i="4"/>
  <c r="CP65" i="4"/>
  <c r="CO65" i="4"/>
  <c r="CN65" i="4"/>
  <c r="CM65" i="4"/>
  <c r="CL65" i="4"/>
  <c r="CK65" i="4"/>
  <c r="CJ65" i="4"/>
  <c r="CI65" i="4"/>
  <c r="CH65" i="4"/>
  <c r="CG65" i="4"/>
  <c r="CF65" i="4"/>
  <c r="CE65" i="4"/>
  <c r="CD65" i="4"/>
  <c r="CC65" i="4"/>
  <c r="CB65" i="4"/>
  <c r="CA65" i="4"/>
  <c r="BZ65" i="4"/>
  <c r="BY65" i="4"/>
  <c r="BX65" i="4"/>
  <c r="BW65" i="4"/>
  <c r="BT65" i="4"/>
  <c r="BS65" i="4"/>
  <c r="BR65" i="4"/>
  <c r="BQ65" i="4"/>
  <c r="BP65" i="4"/>
  <c r="BO65" i="4"/>
  <c r="BN65" i="4"/>
  <c r="BM65" i="4"/>
  <c r="BL65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DC64" i="4" a="1"/>
  <c r="DC64" i="4" s="1"/>
  <c r="DD64" i="4" s="1"/>
  <c r="DB64" i="4"/>
  <c r="DA64" i="4"/>
  <c r="CZ64" i="4"/>
  <c r="CY64" i="4"/>
  <c r="CX64" i="4"/>
  <c r="CW64" i="4"/>
  <c r="CV64" i="4"/>
  <c r="CU64" i="4"/>
  <c r="CT64" i="4"/>
  <c r="CS64" i="4"/>
  <c r="CQ64" i="4" a="1"/>
  <c r="CQ64" i="4" s="1"/>
  <c r="CR64" i="4" s="1"/>
  <c r="CP64" i="4"/>
  <c r="CO64" i="4"/>
  <c r="CN64" i="4"/>
  <c r="CM64" i="4"/>
  <c r="CL64" i="4"/>
  <c r="CK64" i="4"/>
  <c r="CJ64" i="4"/>
  <c r="CI64" i="4"/>
  <c r="CH64" i="4"/>
  <c r="CG64" i="4"/>
  <c r="CF64" i="4"/>
  <c r="CE64" i="4"/>
  <c r="CD64" i="4"/>
  <c r="CC64" i="4"/>
  <c r="CB64" i="4"/>
  <c r="CA64" i="4"/>
  <c r="BZ64" i="4"/>
  <c r="BY64" i="4"/>
  <c r="BX64" i="4"/>
  <c r="BW64" i="4"/>
  <c r="BT64" i="4"/>
  <c r="BS64" i="4"/>
  <c r="BR64" i="4"/>
  <c r="BQ64" i="4"/>
  <c r="BP64" i="4"/>
  <c r="BO64" i="4"/>
  <c r="BN64" i="4"/>
  <c r="BM64" i="4"/>
  <c r="BL64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DC63" i="4" a="1"/>
  <c r="DC63" i="4"/>
  <c r="DD63" i="4" s="1"/>
  <c r="DB63" i="4"/>
  <c r="DA63" i="4"/>
  <c r="CZ63" i="4"/>
  <c r="CY63" i="4"/>
  <c r="CX63" i="4"/>
  <c r="CW63" i="4"/>
  <c r="CV63" i="4"/>
  <c r="CU63" i="4"/>
  <c r="CT63" i="4"/>
  <c r="CS63" i="4"/>
  <c r="CQ63" i="4" a="1"/>
  <c r="CQ63" i="4"/>
  <c r="CR63" i="4" s="1"/>
  <c r="CP63" i="4"/>
  <c r="CO63" i="4"/>
  <c r="CN63" i="4"/>
  <c r="CM63" i="4"/>
  <c r="CL63" i="4"/>
  <c r="CK63" i="4"/>
  <c r="CJ63" i="4"/>
  <c r="CI63" i="4"/>
  <c r="CH63" i="4"/>
  <c r="CG63" i="4"/>
  <c r="CF63" i="4"/>
  <c r="CE63" i="4"/>
  <c r="CD63" i="4"/>
  <c r="CC63" i="4"/>
  <c r="CB63" i="4"/>
  <c r="CA63" i="4"/>
  <c r="BZ63" i="4"/>
  <c r="BY63" i="4"/>
  <c r="BX63" i="4"/>
  <c r="BW63" i="4"/>
  <c r="BT63" i="4"/>
  <c r="BS63" i="4"/>
  <c r="BR63" i="4"/>
  <c r="BQ63" i="4"/>
  <c r="BP63" i="4"/>
  <c r="BO63" i="4"/>
  <c r="BN63" i="4"/>
  <c r="BM63" i="4"/>
  <c r="BL63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DD62" i="4"/>
  <c r="M57" i="5" s="1"/>
  <c r="DC62" i="4" a="1"/>
  <c r="DC62" i="4"/>
  <c r="DB62" i="4"/>
  <c r="DA62" i="4"/>
  <c r="CZ62" i="4"/>
  <c r="CY62" i="4"/>
  <c r="CX62" i="4"/>
  <c r="CW62" i="4"/>
  <c r="CV62" i="4"/>
  <c r="CU62" i="4"/>
  <c r="CT62" i="4"/>
  <c r="CS62" i="4"/>
  <c r="CQ62" i="4" a="1"/>
  <c r="CQ62" i="4"/>
  <c r="CR62" i="4" s="1"/>
  <c r="CP62" i="4"/>
  <c r="CO62" i="4"/>
  <c r="CN62" i="4"/>
  <c r="CM62" i="4"/>
  <c r="CL62" i="4"/>
  <c r="CK62" i="4"/>
  <c r="CJ62" i="4"/>
  <c r="CI62" i="4"/>
  <c r="CH62" i="4"/>
  <c r="CG62" i="4"/>
  <c r="CF62" i="4"/>
  <c r="CE62" i="4"/>
  <c r="CD62" i="4"/>
  <c r="CC62" i="4"/>
  <c r="CB62" i="4"/>
  <c r="CA62" i="4"/>
  <c r="BZ62" i="4"/>
  <c r="BY62" i="4"/>
  <c r="BX62" i="4"/>
  <c r="BW62" i="4"/>
  <c r="BT62" i="4"/>
  <c r="BS62" i="4"/>
  <c r="BR62" i="4"/>
  <c r="BQ62" i="4"/>
  <c r="BP62" i="4"/>
  <c r="BO62" i="4"/>
  <c r="BN62" i="4"/>
  <c r="BM62" i="4"/>
  <c r="BL62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DC61" i="4" a="1"/>
  <c r="DC61" i="4" s="1"/>
  <c r="DD61" i="4" s="1"/>
  <c r="DB61" i="4"/>
  <c r="DA61" i="4"/>
  <c r="CZ61" i="4"/>
  <c r="CY61" i="4"/>
  <c r="CX61" i="4"/>
  <c r="CW61" i="4"/>
  <c r="CV61" i="4"/>
  <c r="CU61" i="4"/>
  <c r="CT61" i="4"/>
  <c r="CS61" i="4"/>
  <c r="CQ61" i="4" a="1"/>
  <c r="CQ61" i="4"/>
  <c r="CR61" i="4" s="1"/>
  <c r="CP61" i="4"/>
  <c r="CO61" i="4"/>
  <c r="CN61" i="4"/>
  <c r="CM61" i="4"/>
  <c r="CL61" i="4"/>
  <c r="CK61" i="4"/>
  <c r="CJ61" i="4"/>
  <c r="CI61" i="4"/>
  <c r="CH61" i="4"/>
  <c r="CG61" i="4"/>
  <c r="CF61" i="4"/>
  <c r="CE61" i="4"/>
  <c r="CD61" i="4"/>
  <c r="CC61" i="4"/>
  <c r="CB61" i="4"/>
  <c r="CA61" i="4"/>
  <c r="BZ61" i="4"/>
  <c r="BY61" i="4"/>
  <c r="BX61" i="4"/>
  <c r="BW61" i="4"/>
  <c r="BT61" i="4"/>
  <c r="BS61" i="4"/>
  <c r="BR61" i="4"/>
  <c r="BQ61" i="4"/>
  <c r="BP61" i="4"/>
  <c r="BO61" i="4"/>
  <c r="BN61" i="4"/>
  <c r="BM61" i="4"/>
  <c r="BL61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DC60" i="4" a="1"/>
  <c r="DC60" i="4"/>
  <c r="DD60" i="4" s="1"/>
  <c r="DB60" i="4"/>
  <c r="DA60" i="4"/>
  <c r="CZ60" i="4"/>
  <c r="CY60" i="4"/>
  <c r="CX60" i="4"/>
  <c r="CW60" i="4"/>
  <c r="CV60" i="4"/>
  <c r="CU60" i="4"/>
  <c r="CT60" i="4"/>
  <c r="CS60" i="4"/>
  <c r="CQ60" i="4" a="1"/>
  <c r="CQ60" i="4" s="1"/>
  <c r="CR60" i="4" s="1"/>
  <c r="CP60" i="4"/>
  <c r="CO60" i="4"/>
  <c r="CN60" i="4"/>
  <c r="CM60" i="4"/>
  <c r="CL60" i="4"/>
  <c r="CK60" i="4"/>
  <c r="CJ60" i="4"/>
  <c r="CI60" i="4"/>
  <c r="CH60" i="4"/>
  <c r="CG60" i="4"/>
  <c r="CF60" i="4"/>
  <c r="CE60" i="4"/>
  <c r="CD60" i="4"/>
  <c r="CC60" i="4"/>
  <c r="CB60" i="4"/>
  <c r="CA60" i="4"/>
  <c r="BZ60" i="4"/>
  <c r="BY60" i="4"/>
  <c r="BX60" i="4"/>
  <c r="BW60" i="4"/>
  <c r="BT60" i="4"/>
  <c r="BS60" i="4"/>
  <c r="BR60" i="4"/>
  <c r="BQ60" i="4"/>
  <c r="BP60" i="4"/>
  <c r="BO60" i="4"/>
  <c r="BN60" i="4"/>
  <c r="BM60" i="4"/>
  <c r="BL60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DC59" i="4" a="1"/>
  <c r="DC59" i="4"/>
  <c r="DD59" i="4" s="1"/>
  <c r="DB59" i="4"/>
  <c r="DA59" i="4"/>
  <c r="CZ59" i="4"/>
  <c r="CY59" i="4"/>
  <c r="CX59" i="4"/>
  <c r="CW59" i="4"/>
  <c r="CV59" i="4"/>
  <c r="CU59" i="4"/>
  <c r="CT59" i="4"/>
  <c r="CS59" i="4"/>
  <c r="CQ59" i="4" a="1"/>
  <c r="CQ59" i="4" s="1"/>
  <c r="CR59" i="4" s="1"/>
  <c r="CP59" i="4"/>
  <c r="CO59" i="4"/>
  <c r="CN59" i="4"/>
  <c r="CM59" i="4"/>
  <c r="CL59" i="4"/>
  <c r="CK59" i="4"/>
  <c r="CJ59" i="4"/>
  <c r="CI59" i="4"/>
  <c r="CH59" i="4"/>
  <c r="CG59" i="4"/>
  <c r="CF59" i="4"/>
  <c r="CE59" i="4"/>
  <c r="CD59" i="4"/>
  <c r="CC59" i="4"/>
  <c r="CB59" i="4"/>
  <c r="CA59" i="4"/>
  <c r="BZ59" i="4"/>
  <c r="BY59" i="4"/>
  <c r="BX59" i="4"/>
  <c r="BW59" i="4"/>
  <c r="BT59" i="4"/>
  <c r="BS59" i="4"/>
  <c r="BR59" i="4"/>
  <c r="BQ59" i="4"/>
  <c r="BP59" i="4"/>
  <c r="BO59" i="4"/>
  <c r="BN59" i="4"/>
  <c r="BM59" i="4"/>
  <c r="BL59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DC58" i="4" a="1"/>
  <c r="DC58" i="4"/>
  <c r="DD58" i="4" s="1"/>
  <c r="DB58" i="4"/>
  <c r="DA58" i="4"/>
  <c r="CZ58" i="4"/>
  <c r="CY58" i="4"/>
  <c r="CX58" i="4"/>
  <c r="CW58" i="4"/>
  <c r="CV58" i="4"/>
  <c r="CU58" i="4"/>
  <c r="CT58" i="4"/>
  <c r="CS58" i="4"/>
  <c r="CQ58" i="4" a="1"/>
  <c r="CQ58" i="4"/>
  <c r="CR58" i="4" s="1"/>
  <c r="CP58" i="4"/>
  <c r="CO58" i="4"/>
  <c r="CN58" i="4"/>
  <c r="CM58" i="4"/>
  <c r="CL58" i="4"/>
  <c r="CK58" i="4"/>
  <c r="CJ58" i="4"/>
  <c r="CI58" i="4"/>
  <c r="CH58" i="4"/>
  <c r="CG58" i="4"/>
  <c r="CF58" i="4"/>
  <c r="CE58" i="4"/>
  <c r="CD58" i="4"/>
  <c r="CC58" i="4"/>
  <c r="CB58" i="4"/>
  <c r="CA58" i="4"/>
  <c r="BZ58" i="4"/>
  <c r="BY58" i="4"/>
  <c r="BX58" i="4"/>
  <c r="BW58" i="4"/>
  <c r="BT58" i="4"/>
  <c r="BS58" i="4"/>
  <c r="BR58" i="4"/>
  <c r="BQ58" i="4"/>
  <c r="BP58" i="4"/>
  <c r="BO58" i="4"/>
  <c r="BN58" i="4"/>
  <c r="BM58" i="4"/>
  <c r="BL58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DC57" i="4" a="1"/>
  <c r="DC57" i="4" s="1"/>
  <c r="DD57" i="4" s="1"/>
  <c r="DB57" i="4"/>
  <c r="DA57" i="4"/>
  <c r="CZ57" i="4"/>
  <c r="CY57" i="4"/>
  <c r="CX57" i="4"/>
  <c r="CW57" i="4"/>
  <c r="CV57" i="4"/>
  <c r="CU57" i="4"/>
  <c r="CT57" i="4"/>
  <c r="CS57" i="4"/>
  <c r="CR57" i="4"/>
  <c r="L52" i="5" s="1"/>
  <c r="CQ57" i="4" a="1"/>
  <c r="CQ57" i="4"/>
  <c r="CP57" i="4"/>
  <c r="CO57" i="4"/>
  <c r="CN57" i="4"/>
  <c r="CM57" i="4"/>
  <c r="CL57" i="4"/>
  <c r="CK57" i="4"/>
  <c r="CJ57" i="4"/>
  <c r="CI57" i="4"/>
  <c r="CH57" i="4"/>
  <c r="CG57" i="4"/>
  <c r="CF57" i="4"/>
  <c r="CE57" i="4"/>
  <c r="CD57" i="4"/>
  <c r="CC57" i="4"/>
  <c r="CB57" i="4"/>
  <c r="CA57" i="4"/>
  <c r="BZ57" i="4"/>
  <c r="BY57" i="4"/>
  <c r="BX57" i="4"/>
  <c r="BW57" i="4"/>
  <c r="BT57" i="4"/>
  <c r="BS57" i="4"/>
  <c r="BR57" i="4"/>
  <c r="BQ57" i="4"/>
  <c r="BP57" i="4"/>
  <c r="BO57" i="4"/>
  <c r="BN57" i="4"/>
  <c r="BM57" i="4"/>
  <c r="BL57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DC56" i="4" a="1"/>
  <c r="DC56" i="4" s="1"/>
  <c r="DD56" i="4" s="1"/>
  <c r="DB56" i="4"/>
  <c r="DA56" i="4"/>
  <c r="CZ56" i="4"/>
  <c r="CY56" i="4"/>
  <c r="CX56" i="4"/>
  <c r="CW56" i="4"/>
  <c r="CV56" i="4"/>
  <c r="CU56" i="4"/>
  <c r="CT56" i="4"/>
  <c r="CS56" i="4"/>
  <c r="CQ56" i="4" a="1"/>
  <c r="CQ56" i="4" s="1"/>
  <c r="CR56" i="4" s="1"/>
  <c r="CP56" i="4"/>
  <c r="CO56" i="4"/>
  <c r="CN56" i="4"/>
  <c r="CM56" i="4"/>
  <c r="CL56" i="4"/>
  <c r="CK56" i="4"/>
  <c r="CJ56" i="4"/>
  <c r="CI56" i="4"/>
  <c r="CH56" i="4"/>
  <c r="CG56" i="4"/>
  <c r="CF56" i="4"/>
  <c r="CE56" i="4"/>
  <c r="CD56" i="4"/>
  <c r="CC56" i="4"/>
  <c r="CB56" i="4"/>
  <c r="CA56" i="4"/>
  <c r="BZ56" i="4"/>
  <c r="BY56" i="4"/>
  <c r="BX56" i="4"/>
  <c r="BW56" i="4"/>
  <c r="BT56" i="4"/>
  <c r="BS56" i="4"/>
  <c r="BR56" i="4"/>
  <c r="BQ56" i="4"/>
  <c r="BP56" i="4"/>
  <c r="BO56" i="4"/>
  <c r="BN56" i="4"/>
  <c r="BM56" i="4"/>
  <c r="BL56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DC55" i="4" a="1"/>
  <c r="DC55" i="4"/>
  <c r="DD55" i="4" s="1"/>
  <c r="DB55" i="4"/>
  <c r="DA55" i="4"/>
  <c r="CZ55" i="4"/>
  <c r="CY55" i="4"/>
  <c r="CX55" i="4"/>
  <c r="CW55" i="4"/>
  <c r="CV55" i="4"/>
  <c r="CU55" i="4"/>
  <c r="CT55" i="4"/>
  <c r="CS55" i="4"/>
  <c r="CQ55" i="4" a="1"/>
  <c r="CQ55" i="4"/>
  <c r="CR55" i="4" s="1"/>
  <c r="CP55" i="4"/>
  <c r="CO55" i="4"/>
  <c r="CN55" i="4"/>
  <c r="CM55" i="4"/>
  <c r="CL55" i="4"/>
  <c r="CK55" i="4"/>
  <c r="CJ55" i="4"/>
  <c r="CI55" i="4"/>
  <c r="CH55" i="4"/>
  <c r="CG55" i="4"/>
  <c r="CF55" i="4"/>
  <c r="CE55" i="4"/>
  <c r="CD55" i="4"/>
  <c r="CC55" i="4"/>
  <c r="CB55" i="4"/>
  <c r="CA55" i="4"/>
  <c r="BZ55" i="4"/>
  <c r="BY55" i="4"/>
  <c r="BX55" i="4"/>
  <c r="BW55" i="4"/>
  <c r="BT55" i="4"/>
  <c r="BS55" i="4"/>
  <c r="BR55" i="4"/>
  <c r="BQ55" i="4"/>
  <c r="BP55" i="4"/>
  <c r="BO55" i="4"/>
  <c r="BN55" i="4"/>
  <c r="BM55" i="4"/>
  <c r="BL55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DC54" i="4" a="1"/>
  <c r="DC54" i="4" s="1"/>
  <c r="DD54" i="4" s="1"/>
  <c r="DB54" i="4"/>
  <c r="DA54" i="4"/>
  <c r="CZ54" i="4"/>
  <c r="CY54" i="4"/>
  <c r="CX54" i="4"/>
  <c r="CW54" i="4"/>
  <c r="CV54" i="4"/>
  <c r="CU54" i="4"/>
  <c r="CT54" i="4"/>
  <c r="CS54" i="4"/>
  <c r="CQ54" i="4" a="1"/>
  <c r="CQ54" i="4"/>
  <c r="CR54" i="4" s="1"/>
  <c r="CP54" i="4"/>
  <c r="CO54" i="4"/>
  <c r="CN54" i="4"/>
  <c r="CM54" i="4"/>
  <c r="CL54" i="4"/>
  <c r="CK54" i="4"/>
  <c r="CJ54" i="4"/>
  <c r="CI54" i="4"/>
  <c r="CH54" i="4"/>
  <c r="CG54" i="4"/>
  <c r="CF54" i="4"/>
  <c r="CE54" i="4"/>
  <c r="CD54" i="4"/>
  <c r="CC54" i="4"/>
  <c r="CB54" i="4"/>
  <c r="CA54" i="4"/>
  <c r="BZ54" i="4"/>
  <c r="BY54" i="4"/>
  <c r="BX54" i="4"/>
  <c r="BW54" i="4"/>
  <c r="BT54" i="4"/>
  <c r="BS54" i="4"/>
  <c r="BR54" i="4"/>
  <c r="BQ54" i="4"/>
  <c r="BP54" i="4"/>
  <c r="BO54" i="4"/>
  <c r="BN54" i="4"/>
  <c r="BM54" i="4"/>
  <c r="BL54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DC53" i="4" a="1"/>
  <c r="DC53" i="4" s="1"/>
  <c r="DD53" i="4" s="1"/>
  <c r="DB53" i="4"/>
  <c r="DA53" i="4"/>
  <c r="CZ53" i="4"/>
  <c r="CY53" i="4"/>
  <c r="CX53" i="4"/>
  <c r="CW53" i="4"/>
  <c r="CV53" i="4"/>
  <c r="CU53" i="4"/>
  <c r="CT53" i="4"/>
  <c r="CS53" i="4"/>
  <c r="CQ53" i="4" a="1"/>
  <c r="CQ53" i="4"/>
  <c r="CR53" i="4" s="1"/>
  <c r="CP53" i="4"/>
  <c r="CO53" i="4"/>
  <c r="CN53" i="4"/>
  <c r="CM53" i="4"/>
  <c r="CL53" i="4"/>
  <c r="CK53" i="4"/>
  <c r="CJ53" i="4"/>
  <c r="CI53" i="4"/>
  <c r="CH53" i="4"/>
  <c r="CG53" i="4"/>
  <c r="CF53" i="4"/>
  <c r="CE53" i="4"/>
  <c r="CD53" i="4"/>
  <c r="CC53" i="4"/>
  <c r="CB53" i="4"/>
  <c r="CA53" i="4"/>
  <c r="BZ53" i="4"/>
  <c r="BY53" i="4"/>
  <c r="BX53" i="4"/>
  <c r="BW53" i="4"/>
  <c r="BT53" i="4"/>
  <c r="BS53" i="4"/>
  <c r="BR53" i="4"/>
  <c r="BQ53" i="4"/>
  <c r="BP53" i="4"/>
  <c r="BO53" i="4"/>
  <c r="BN53" i="4"/>
  <c r="BM53" i="4"/>
  <c r="BL53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DC52" i="4" a="1"/>
  <c r="DC52" i="4"/>
  <c r="DD52" i="4" s="1"/>
  <c r="DB52" i="4"/>
  <c r="DA52" i="4"/>
  <c r="CZ52" i="4"/>
  <c r="CY52" i="4"/>
  <c r="CX52" i="4"/>
  <c r="CW52" i="4"/>
  <c r="CV52" i="4"/>
  <c r="CU52" i="4"/>
  <c r="CT52" i="4"/>
  <c r="CS52" i="4"/>
  <c r="CQ52" i="4" a="1"/>
  <c r="CQ52" i="4" s="1"/>
  <c r="CR52" i="4" s="1"/>
  <c r="CP52" i="4"/>
  <c r="CO52" i="4"/>
  <c r="CN52" i="4"/>
  <c r="CM52" i="4"/>
  <c r="CL52" i="4"/>
  <c r="CK52" i="4"/>
  <c r="CJ52" i="4"/>
  <c r="CI52" i="4"/>
  <c r="CH52" i="4"/>
  <c r="CG52" i="4"/>
  <c r="CF52" i="4"/>
  <c r="CE52" i="4"/>
  <c r="CD52" i="4"/>
  <c r="CC52" i="4"/>
  <c r="CB52" i="4"/>
  <c r="CA52" i="4"/>
  <c r="BZ52" i="4"/>
  <c r="BY52" i="4"/>
  <c r="BX52" i="4"/>
  <c r="BW52" i="4"/>
  <c r="BT52" i="4"/>
  <c r="BS52" i="4"/>
  <c r="BR52" i="4"/>
  <c r="BQ52" i="4"/>
  <c r="BP52" i="4"/>
  <c r="BO52" i="4"/>
  <c r="BN52" i="4"/>
  <c r="BM52" i="4"/>
  <c r="BL52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DC51" i="4" a="1"/>
  <c r="DC51" i="4"/>
  <c r="DD51" i="4" s="1"/>
  <c r="DB51" i="4"/>
  <c r="DA51" i="4"/>
  <c r="CZ51" i="4"/>
  <c r="CY51" i="4"/>
  <c r="CX51" i="4"/>
  <c r="CW51" i="4"/>
  <c r="CV51" i="4"/>
  <c r="CU51" i="4"/>
  <c r="CT51" i="4"/>
  <c r="CS51" i="4"/>
  <c r="CQ51" i="4" a="1"/>
  <c r="CQ51" i="4" s="1"/>
  <c r="CR51" i="4" s="1"/>
  <c r="CP51" i="4"/>
  <c r="CO51" i="4"/>
  <c r="CN51" i="4"/>
  <c r="CM51" i="4"/>
  <c r="CL51" i="4"/>
  <c r="CK51" i="4"/>
  <c r="CJ51" i="4"/>
  <c r="CI51" i="4"/>
  <c r="CH51" i="4"/>
  <c r="CG51" i="4"/>
  <c r="CF51" i="4"/>
  <c r="CE51" i="4"/>
  <c r="CD51" i="4"/>
  <c r="CC51" i="4"/>
  <c r="CB51" i="4"/>
  <c r="CA51" i="4"/>
  <c r="BZ51" i="4"/>
  <c r="BY51" i="4"/>
  <c r="BX51" i="4"/>
  <c r="BW51" i="4"/>
  <c r="BT51" i="4"/>
  <c r="BS51" i="4"/>
  <c r="BR51" i="4"/>
  <c r="BQ51" i="4"/>
  <c r="BP51" i="4"/>
  <c r="BO51" i="4"/>
  <c r="BN51" i="4"/>
  <c r="BM51" i="4"/>
  <c r="BL51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DC50" i="4" a="1"/>
  <c r="DC50" i="4"/>
  <c r="DD50" i="4" s="1"/>
  <c r="DB50" i="4"/>
  <c r="DA50" i="4"/>
  <c r="CZ50" i="4"/>
  <c r="CY50" i="4"/>
  <c r="CX50" i="4"/>
  <c r="CW50" i="4"/>
  <c r="CV50" i="4"/>
  <c r="CU50" i="4"/>
  <c r="CT50" i="4"/>
  <c r="CS50" i="4"/>
  <c r="CQ50" i="4" a="1"/>
  <c r="CQ50" i="4"/>
  <c r="CR50" i="4" s="1"/>
  <c r="CP50" i="4"/>
  <c r="CO50" i="4"/>
  <c r="CN50" i="4"/>
  <c r="CM50" i="4"/>
  <c r="CL50" i="4"/>
  <c r="CK50" i="4"/>
  <c r="CJ50" i="4"/>
  <c r="CI50" i="4"/>
  <c r="CH50" i="4"/>
  <c r="CG50" i="4"/>
  <c r="CF50" i="4"/>
  <c r="CE50" i="4"/>
  <c r="CD50" i="4"/>
  <c r="CC50" i="4"/>
  <c r="CB50" i="4"/>
  <c r="CA50" i="4"/>
  <c r="BZ50" i="4"/>
  <c r="BY50" i="4"/>
  <c r="BX50" i="4"/>
  <c r="BW50" i="4"/>
  <c r="BT50" i="4"/>
  <c r="BS50" i="4"/>
  <c r="BR50" i="4"/>
  <c r="BQ50" i="4"/>
  <c r="BP50" i="4"/>
  <c r="BO50" i="4"/>
  <c r="BN50" i="4"/>
  <c r="BM50" i="4"/>
  <c r="BL50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DC49" i="4" a="1"/>
  <c r="DC49" i="4" s="1"/>
  <c r="DD49" i="4" s="1"/>
  <c r="DB49" i="4"/>
  <c r="DA49" i="4"/>
  <c r="CZ49" i="4"/>
  <c r="CY49" i="4"/>
  <c r="CX49" i="4"/>
  <c r="CW49" i="4"/>
  <c r="CV49" i="4"/>
  <c r="CU49" i="4"/>
  <c r="CT49" i="4"/>
  <c r="CS49" i="4"/>
  <c r="CQ49" i="4" a="1"/>
  <c r="CQ49" i="4" s="1"/>
  <c r="CR49" i="4" s="1"/>
  <c r="CP49" i="4"/>
  <c r="CO49" i="4"/>
  <c r="CN49" i="4"/>
  <c r="CM49" i="4"/>
  <c r="CL49" i="4"/>
  <c r="CK49" i="4"/>
  <c r="CJ49" i="4"/>
  <c r="CI49" i="4"/>
  <c r="CH49" i="4"/>
  <c r="CG49" i="4"/>
  <c r="CF49" i="4"/>
  <c r="CE49" i="4"/>
  <c r="CD49" i="4"/>
  <c r="CC49" i="4"/>
  <c r="CB49" i="4"/>
  <c r="CA49" i="4"/>
  <c r="BZ49" i="4"/>
  <c r="BY49" i="4"/>
  <c r="BX49" i="4"/>
  <c r="BW49" i="4"/>
  <c r="BT49" i="4"/>
  <c r="BS49" i="4"/>
  <c r="BR49" i="4"/>
  <c r="BQ49" i="4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DC48" i="4" a="1"/>
  <c r="DC48" i="4" s="1"/>
  <c r="DD48" i="4" s="1"/>
  <c r="DB48" i="4"/>
  <c r="DA48" i="4"/>
  <c r="CZ48" i="4"/>
  <c r="CY48" i="4"/>
  <c r="CX48" i="4"/>
  <c r="CW48" i="4"/>
  <c r="CV48" i="4"/>
  <c r="CU48" i="4"/>
  <c r="CT48" i="4"/>
  <c r="CS48" i="4"/>
  <c r="CQ48" i="4" a="1"/>
  <c r="CQ48" i="4" s="1"/>
  <c r="CR48" i="4" s="1"/>
  <c r="CP48" i="4"/>
  <c r="CO48" i="4"/>
  <c r="CN48" i="4"/>
  <c r="CM48" i="4"/>
  <c r="CL48" i="4"/>
  <c r="CK48" i="4"/>
  <c r="CJ48" i="4"/>
  <c r="CI48" i="4"/>
  <c r="CH48" i="4"/>
  <c r="CG48" i="4"/>
  <c r="CF48" i="4"/>
  <c r="CE48" i="4"/>
  <c r="CD48" i="4"/>
  <c r="CC48" i="4"/>
  <c r="CB48" i="4"/>
  <c r="CA48" i="4"/>
  <c r="BZ48" i="4"/>
  <c r="BY48" i="4"/>
  <c r="BX48" i="4"/>
  <c r="BW48" i="4"/>
  <c r="BT48" i="4"/>
  <c r="BS48" i="4"/>
  <c r="BR48" i="4"/>
  <c r="BQ48" i="4"/>
  <c r="BP48" i="4"/>
  <c r="BO48" i="4"/>
  <c r="BN48" i="4"/>
  <c r="BM48" i="4"/>
  <c r="BL48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DC47" i="4" a="1"/>
  <c r="DC47" i="4"/>
  <c r="DD47" i="4" s="1"/>
  <c r="DB47" i="4"/>
  <c r="DA47" i="4"/>
  <c r="CZ47" i="4"/>
  <c r="CY47" i="4"/>
  <c r="CX47" i="4"/>
  <c r="CW47" i="4"/>
  <c r="CV47" i="4"/>
  <c r="CU47" i="4"/>
  <c r="CT47" i="4"/>
  <c r="CS47" i="4"/>
  <c r="CQ47" i="4" a="1"/>
  <c r="CQ47" i="4"/>
  <c r="CR47" i="4" s="1"/>
  <c r="CP47" i="4"/>
  <c r="CO47" i="4"/>
  <c r="CN47" i="4"/>
  <c r="CM47" i="4"/>
  <c r="CL47" i="4"/>
  <c r="CK47" i="4"/>
  <c r="CJ47" i="4"/>
  <c r="CI47" i="4"/>
  <c r="CH47" i="4"/>
  <c r="CG47" i="4"/>
  <c r="CF47" i="4"/>
  <c r="CE47" i="4"/>
  <c r="CD47" i="4"/>
  <c r="CC47" i="4"/>
  <c r="CB47" i="4"/>
  <c r="CA47" i="4"/>
  <c r="BZ47" i="4"/>
  <c r="BY47" i="4"/>
  <c r="BX47" i="4"/>
  <c r="BW47" i="4"/>
  <c r="BT47" i="4"/>
  <c r="BS47" i="4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DD46" i="4"/>
  <c r="M41" i="5" s="1"/>
  <c r="DC46" i="4" a="1"/>
  <c r="DC46" i="4"/>
  <c r="DB46" i="4"/>
  <c r="DA46" i="4"/>
  <c r="CZ46" i="4"/>
  <c r="CY46" i="4"/>
  <c r="CX46" i="4"/>
  <c r="CW46" i="4"/>
  <c r="CV46" i="4"/>
  <c r="CU46" i="4"/>
  <c r="CT46" i="4"/>
  <c r="CS46" i="4"/>
  <c r="CQ46" i="4" a="1"/>
  <c r="CQ46" i="4"/>
  <c r="CR46" i="4" s="1"/>
  <c r="CP46" i="4"/>
  <c r="CO46" i="4"/>
  <c r="CN46" i="4"/>
  <c r="CM46" i="4"/>
  <c r="CL46" i="4"/>
  <c r="CK46" i="4"/>
  <c r="CJ46" i="4"/>
  <c r="CI46" i="4"/>
  <c r="CH46" i="4"/>
  <c r="CG46" i="4"/>
  <c r="CF46" i="4"/>
  <c r="CE46" i="4"/>
  <c r="CD46" i="4"/>
  <c r="CC46" i="4"/>
  <c r="CB46" i="4"/>
  <c r="CA46" i="4"/>
  <c r="BZ46" i="4"/>
  <c r="BY46" i="4"/>
  <c r="BX46" i="4"/>
  <c r="BW46" i="4"/>
  <c r="BT46" i="4"/>
  <c r="BS46" i="4"/>
  <c r="BR46" i="4"/>
  <c r="BQ46" i="4"/>
  <c r="BP46" i="4"/>
  <c r="BO46" i="4"/>
  <c r="BN46" i="4"/>
  <c r="BM46" i="4"/>
  <c r="BL46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DC45" i="4" a="1"/>
  <c r="DC45" i="4" s="1"/>
  <c r="DD45" i="4" s="1"/>
  <c r="DB45" i="4"/>
  <c r="DA45" i="4"/>
  <c r="CZ45" i="4"/>
  <c r="CY45" i="4"/>
  <c r="CX45" i="4"/>
  <c r="CW45" i="4"/>
  <c r="CV45" i="4"/>
  <c r="CU45" i="4"/>
  <c r="CT45" i="4"/>
  <c r="CS45" i="4"/>
  <c r="CR45" i="4"/>
  <c r="L40" i="5" s="1"/>
  <c r="CQ45" i="4" a="1"/>
  <c r="CQ45" i="4"/>
  <c r="CP45" i="4"/>
  <c r="CO45" i="4"/>
  <c r="CN45" i="4"/>
  <c r="CM45" i="4"/>
  <c r="CL45" i="4"/>
  <c r="CK45" i="4"/>
  <c r="CJ45" i="4"/>
  <c r="CI45" i="4"/>
  <c r="CH45" i="4"/>
  <c r="CG45" i="4"/>
  <c r="CF45" i="4"/>
  <c r="CE45" i="4"/>
  <c r="CD45" i="4"/>
  <c r="CC45" i="4"/>
  <c r="CB45" i="4"/>
  <c r="CA45" i="4"/>
  <c r="BZ45" i="4"/>
  <c r="BY45" i="4"/>
  <c r="BX45" i="4"/>
  <c r="BW45" i="4"/>
  <c r="BT45" i="4"/>
  <c r="BS45" i="4"/>
  <c r="BR45" i="4"/>
  <c r="BQ45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DC44" i="4" a="1"/>
  <c r="DC44" i="4"/>
  <c r="DD44" i="4" s="1"/>
  <c r="DB44" i="4"/>
  <c r="DA44" i="4"/>
  <c r="CZ44" i="4"/>
  <c r="CY44" i="4"/>
  <c r="CX44" i="4"/>
  <c r="CW44" i="4"/>
  <c r="CV44" i="4"/>
  <c r="CU44" i="4"/>
  <c r="CT44" i="4"/>
  <c r="CS44" i="4"/>
  <c r="CQ44" i="4" a="1"/>
  <c r="CQ44" i="4" s="1"/>
  <c r="CR44" i="4" s="1"/>
  <c r="CP44" i="4"/>
  <c r="CO44" i="4"/>
  <c r="CN44" i="4"/>
  <c r="CM44" i="4"/>
  <c r="CL44" i="4"/>
  <c r="CK44" i="4"/>
  <c r="CJ44" i="4"/>
  <c r="CI44" i="4"/>
  <c r="CH44" i="4"/>
  <c r="CG44" i="4"/>
  <c r="CF44" i="4"/>
  <c r="CE44" i="4"/>
  <c r="CD44" i="4"/>
  <c r="CC44" i="4"/>
  <c r="CB44" i="4"/>
  <c r="CA44" i="4"/>
  <c r="BZ44" i="4"/>
  <c r="BY44" i="4"/>
  <c r="BX44" i="4"/>
  <c r="BW44" i="4"/>
  <c r="BT44" i="4"/>
  <c r="BS44" i="4"/>
  <c r="BR44" i="4"/>
  <c r="BQ44" i="4"/>
  <c r="BP44" i="4"/>
  <c r="BO44" i="4"/>
  <c r="BN44" i="4"/>
  <c r="BM44" i="4"/>
  <c r="BL44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DC43" i="4" a="1"/>
  <c r="DC43" i="4"/>
  <c r="DD43" i="4" s="1"/>
  <c r="DB43" i="4"/>
  <c r="DA43" i="4"/>
  <c r="CZ43" i="4"/>
  <c r="CY43" i="4"/>
  <c r="CX43" i="4"/>
  <c r="CW43" i="4"/>
  <c r="CV43" i="4"/>
  <c r="CU43" i="4"/>
  <c r="CT43" i="4"/>
  <c r="CS43" i="4"/>
  <c r="CQ43" i="4" a="1"/>
  <c r="CQ43" i="4" s="1"/>
  <c r="CR43" i="4" s="1"/>
  <c r="CP43" i="4"/>
  <c r="CO43" i="4"/>
  <c r="CN43" i="4"/>
  <c r="CM43" i="4"/>
  <c r="CL43" i="4"/>
  <c r="CK43" i="4"/>
  <c r="CJ43" i="4"/>
  <c r="CI43" i="4"/>
  <c r="CH43" i="4"/>
  <c r="CG43" i="4"/>
  <c r="CF43" i="4"/>
  <c r="CE43" i="4"/>
  <c r="CD43" i="4"/>
  <c r="CC43" i="4"/>
  <c r="CB43" i="4"/>
  <c r="CA43" i="4"/>
  <c r="BZ43" i="4"/>
  <c r="BY43" i="4"/>
  <c r="BX43" i="4"/>
  <c r="BW43" i="4"/>
  <c r="BT43" i="4"/>
  <c r="BS43" i="4"/>
  <c r="BR43" i="4"/>
  <c r="BQ43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DC42" i="4" a="1"/>
  <c r="DC42" i="4"/>
  <c r="DD42" i="4" s="1"/>
  <c r="DB42" i="4"/>
  <c r="DA42" i="4"/>
  <c r="CZ42" i="4"/>
  <c r="CY42" i="4"/>
  <c r="CX42" i="4"/>
  <c r="CW42" i="4"/>
  <c r="CV42" i="4"/>
  <c r="CU42" i="4"/>
  <c r="CT42" i="4"/>
  <c r="CS42" i="4"/>
  <c r="CQ42" i="4" a="1"/>
  <c r="CQ42" i="4"/>
  <c r="CR42" i="4" s="1"/>
  <c r="CP42" i="4"/>
  <c r="CO42" i="4"/>
  <c r="CN42" i="4"/>
  <c r="CM42" i="4"/>
  <c r="CL42" i="4"/>
  <c r="CK42" i="4"/>
  <c r="CJ42" i="4"/>
  <c r="CI42" i="4"/>
  <c r="CH42" i="4"/>
  <c r="CG42" i="4"/>
  <c r="CF42" i="4"/>
  <c r="CE42" i="4"/>
  <c r="CD42" i="4"/>
  <c r="CC42" i="4"/>
  <c r="CB42" i="4"/>
  <c r="CA42" i="4"/>
  <c r="BZ42" i="4"/>
  <c r="BY42" i="4"/>
  <c r="BX42" i="4"/>
  <c r="BW42" i="4"/>
  <c r="BT42" i="4"/>
  <c r="BS42" i="4"/>
  <c r="BR42" i="4"/>
  <c r="BQ42" i="4"/>
  <c r="BP42" i="4"/>
  <c r="BO42" i="4"/>
  <c r="BN42" i="4"/>
  <c r="BM42" i="4"/>
  <c r="BL42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DC41" i="4" a="1"/>
  <c r="DC41" i="4" s="1"/>
  <c r="DD41" i="4" s="1"/>
  <c r="DB41" i="4"/>
  <c r="DA41" i="4"/>
  <c r="CZ41" i="4"/>
  <c r="CY41" i="4"/>
  <c r="CX41" i="4"/>
  <c r="CW41" i="4"/>
  <c r="CV41" i="4"/>
  <c r="CU41" i="4"/>
  <c r="CT41" i="4"/>
  <c r="CS41" i="4"/>
  <c r="CR41" i="4"/>
  <c r="L36" i="5" s="1"/>
  <c r="CQ41" i="4" a="1"/>
  <c r="CQ41" i="4"/>
  <c r="CP41" i="4"/>
  <c r="CO41" i="4"/>
  <c r="CN41" i="4"/>
  <c r="CM41" i="4"/>
  <c r="CL41" i="4"/>
  <c r="CK41" i="4"/>
  <c r="CJ41" i="4"/>
  <c r="CI41" i="4"/>
  <c r="CH41" i="4"/>
  <c r="CG41" i="4"/>
  <c r="CF41" i="4"/>
  <c r="CE41" i="4"/>
  <c r="CD41" i="4"/>
  <c r="CC41" i="4"/>
  <c r="CB41" i="4"/>
  <c r="CA41" i="4"/>
  <c r="BZ41" i="4"/>
  <c r="BY41" i="4"/>
  <c r="BX41" i="4"/>
  <c r="BW41" i="4"/>
  <c r="BT41" i="4"/>
  <c r="BS41" i="4"/>
  <c r="BR41" i="4"/>
  <c r="BQ41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DB40" i="4"/>
  <c r="DA40" i="4"/>
  <c r="CZ40" i="4"/>
  <c r="CY40" i="4"/>
  <c r="CX40" i="4"/>
  <c r="CW40" i="4"/>
  <c r="CV40" i="4"/>
  <c r="DC40" i="4" s="1" a="1"/>
  <c r="DC40" i="4" s="1"/>
  <c r="DD40" i="4" s="1"/>
  <c r="CU40" i="4"/>
  <c r="CT40" i="4"/>
  <c r="CS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Q40" i="4" s="1" a="1"/>
  <c r="CQ40" i="4" s="1"/>
  <c r="CR40" i="4" s="1"/>
  <c r="CA40" i="4"/>
  <c r="BZ40" i="4"/>
  <c r="BY40" i="4"/>
  <c r="BX40" i="4"/>
  <c r="BW40" i="4"/>
  <c r="BT40" i="4"/>
  <c r="BS40" i="4"/>
  <c r="BR40" i="4"/>
  <c r="BQ40" i="4"/>
  <c r="BP40" i="4"/>
  <c r="BO40" i="4"/>
  <c r="BN40" i="4"/>
  <c r="BM40" i="4"/>
  <c r="BL40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DB39" i="4"/>
  <c r="DA39" i="4"/>
  <c r="CZ39" i="4"/>
  <c r="CY39" i="4"/>
  <c r="CX39" i="4"/>
  <c r="CW39" i="4"/>
  <c r="CV39" i="4"/>
  <c r="CU39" i="4"/>
  <c r="DC39" i="4" s="1" a="1"/>
  <c r="DC39" i="4" s="1"/>
  <c r="DD39" i="4" s="1"/>
  <c r="CT39" i="4"/>
  <c r="CS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Q39" i="4" s="1" a="1"/>
  <c r="CQ39" i="4" s="1"/>
  <c r="CR39" i="4" s="1"/>
  <c r="CA39" i="4"/>
  <c r="BZ39" i="4"/>
  <c r="BY39" i="4"/>
  <c r="BX39" i="4"/>
  <c r="BW39" i="4"/>
  <c r="BT39" i="4"/>
  <c r="BS39" i="4"/>
  <c r="BR39" i="4"/>
  <c r="BQ39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DB38" i="4"/>
  <c r="DA38" i="4"/>
  <c r="CZ38" i="4"/>
  <c r="CY38" i="4"/>
  <c r="CX38" i="4"/>
  <c r="CW38" i="4"/>
  <c r="CV38" i="4"/>
  <c r="CU38" i="4"/>
  <c r="CT38" i="4"/>
  <c r="CS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CQ38" i="4" s="1" a="1"/>
  <c r="CQ38" i="4" s="1"/>
  <c r="CR38" i="4" s="1"/>
  <c r="BX38" i="4"/>
  <c r="BW38" i="4"/>
  <c r="BT38" i="4"/>
  <c r="BS38" i="4"/>
  <c r="BR38" i="4"/>
  <c r="BQ38" i="4"/>
  <c r="BP38" i="4"/>
  <c r="BO38" i="4"/>
  <c r="BN38" i="4"/>
  <c r="BM38" i="4"/>
  <c r="BL38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DB37" i="4"/>
  <c r="DA37" i="4"/>
  <c r="CZ37" i="4"/>
  <c r="CY37" i="4"/>
  <c r="CX37" i="4"/>
  <c r="CW37" i="4"/>
  <c r="CV37" i="4"/>
  <c r="CU37" i="4"/>
  <c r="CT37" i="4"/>
  <c r="CS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CQ37" i="4" s="1" a="1"/>
  <c r="CQ37" i="4" s="1"/>
  <c r="CR37" i="4" s="1"/>
  <c r="BT37" i="4"/>
  <c r="BS37" i="4"/>
  <c r="BR37" i="4"/>
  <c r="BQ37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DB36" i="4"/>
  <c r="DA36" i="4"/>
  <c r="CZ36" i="4"/>
  <c r="CY36" i="4"/>
  <c r="CX36" i="4"/>
  <c r="CW36" i="4"/>
  <c r="CV36" i="4"/>
  <c r="CU36" i="4"/>
  <c r="CT36" i="4"/>
  <c r="DC36" i="4" s="1" a="1"/>
  <c r="DC36" i="4" s="1"/>
  <c r="DD36" i="4" s="1"/>
  <c r="CS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DB35" i="4"/>
  <c r="DA35" i="4"/>
  <c r="CZ35" i="4"/>
  <c r="CY35" i="4"/>
  <c r="CX35" i="4"/>
  <c r="CW35" i="4"/>
  <c r="CV35" i="4"/>
  <c r="DC35" i="4" s="1" a="1"/>
  <c r="DC35" i="4" s="1"/>
  <c r="DD35" i="4" s="1"/>
  <c r="CU35" i="4"/>
  <c r="CT35" i="4"/>
  <c r="CS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CQ35" i="4" s="1" a="1"/>
  <c r="CQ35" i="4" s="1"/>
  <c r="CR35" i="4" s="1"/>
  <c r="BT35" i="4"/>
  <c r="BS35" i="4"/>
  <c r="BR35" i="4"/>
  <c r="BQ35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DB34" i="4"/>
  <c r="DA34" i="4"/>
  <c r="CZ34" i="4"/>
  <c r="CY34" i="4"/>
  <c r="CX34" i="4"/>
  <c r="CW34" i="4"/>
  <c r="CV34" i="4"/>
  <c r="CU34" i="4"/>
  <c r="CT34" i="4"/>
  <c r="CS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CQ34" i="4" s="1" a="1"/>
  <c r="CQ34" i="4" s="1"/>
  <c r="CR34" i="4" s="1"/>
  <c r="BT34" i="4"/>
  <c r="BS34" i="4"/>
  <c r="BR34" i="4"/>
  <c r="BQ34" i="4"/>
  <c r="BP34" i="4"/>
  <c r="BO34" i="4"/>
  <c r="BN34" i="4"/>
  <c r="BM34" i="4"/>
  <c r="BL34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DB33" i="4"/>
  <c r="DA33" i="4"/>
  <c r="CZ33" i="4"/>
  <c r="CY33" i="4"/>
  <c r="CX33" i="4"/>
  <c r="CW33" i="4"/>
  <c r="CV33" i="4"/>
  <c r="CU33" i="4"/>
  <c r="CT33" i="4"/>
  <c r="CS33" i="4"/>
  <c r="CQ33" i="4" a="1"/>
  <c r="CQ33" i="4" s="1"/>
  <c r="CR33" i="4" s="1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T33" i="4"/>
  <c r="BS33" i="4"/>
  <c r="BR33" i="4"/>
  <c r="BQ33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DB32" i="4"/>
  <c r="DA32" i="4"/>
  <c r="CZ32" i="4"/>
  <c r="CY32" i="4"/>
  <c r="CX32" i="4"/>
  <c r="CW32" i="4"/>
  <c r="CV32" i="4"/>
  <c r="CU32" i="4"/>
  <c r="CT32" i="4"/>
  <c r="CS32" i="4"/>
  <c r="DC32" i="4" s="1" a="1"/>
  <c r="DC32" i="4" s="1"/>
  <c r="DD32" i="4" s="1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Q32" i="4" s="1" a="1"/>
  <c r="CQ32" i="4" s="1"/>
  <c r="CR32" i="4" s="1"/>
  <c r="CA32" i="4"/>
  <c r="BZ32" i="4"/>
  <c r="BY32" i="4"/>
  <c r="BX32" i="4"/>
  <c r="BW32" i="4"/>
  <c r="BT32" i="4"/>
  <c r="BS32" i="4"/>
  <c r="BR32" i="4"/>
  <c r="BQ32" i="4"/>
  <c r="BP32" i="4"/>
  <c r="BO32" i="4"/>
  <c r="BN32" i="4"/>
  <c r="BM32" i="4"/>
  <c r="BL32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DB31" i="4"/>
  <c r="DA31" i="4"/>
  <c r="CZ31" i="4"/>
  <c r="CY31" i="4"/>
  <c r="CX31" i="4"/>
  <c r="CW31" i="4"/>
  <c r="CV31" i="4"/>
  <c r="CU31" i="4"/>
  <c r="CT31" i="4"/>
  <c r="CS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CQ31" i="4" s="1" a="1"/>
  <c r="CQ31" i="4" s="1"/>
  <c r="CR31" i="4" s="1"/>
  <c r="BW31" i="4"/>
  <c r="BT31" i="4"/>
  <c r="BS31" i="4"/>
  <c r="BR31" i="4"/>
  <c r="BQ31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DB30" i="4"/>
  <c r="DA30" i="4"/>
  <c r="CZ30" i="4"/>
  <c r="CY30" i="4"/>
  <c r="CX30" i="4"/>
  <c r="CW30" i="4"/>
  <c r="CV30" i="4"/>
  <c r="CU30" i="4"/>
  <c r="CT30" i="4"/>
  <c r="CS30" i="4"/>
  <c r="DC30" i="4" s="1" a="1"/>
  <c r="DC30" i="4" s="1"/>
  <c r="DD30" i="4" s="1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CQ30" i="4" s="1" a="1"/>
  <c r="CQ30" i="4" s="1"/>
  <c r="CR30" i="4" s="1"/>
  <c r="BT30" i="4"/>
  <c r="BS30" i="4"/>
  <c r="BR30" i="4"/>
  <c r="BQ30" i="4"/>
  <c r="BP30" i="4"/>
  <c r="BO30" i="4"/>
  <c r="BN30" i="4"/>
  <c r="BM30" i="4"/>
  <c r="BL30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DB29" i="4"/>
  <c r="DA29" i="4"/>
  <c r="CZ29" i="4"/>
  <c r="CY29" i="4"/>
  <c r="CX29" i="4"/>
  <c r="CW29" i="4"/>
  <c r="CV29" i="4"/>
  <c r="CU29" i="4"/>
  <c r="CT29" i="4"/>
  <c r="CS29" i="4"/>
  <c r="DC29" i="4" s="1" a="1"/>
  <c r="DC29" i="4" s="1"/>
  <c r="DD29" i="4" s="1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Q29" i="4" s="1" a="1"/>
  <c r="CQ29" i="4" s="1"/>
  <c r="CR29" i="4" s="1"/>
  <c r="CA29" i="4"/>
  <c r="BZ29" i="4"/>
  <c r="BY29" i="4"/>
  <c r="BX29" i="4"/>
  <c r="BW29" i="4"/>
  <c r="BT29" i="4"/>
  <c r="BS29" i="4"/>
  <c r="BR29" i="4"/>
  <c r="BQ29" i="4"/>
  <c r="BP29" i="4"/>
  <c r="BO29" i="4"/>
  <c r="BN29" i="4"/>
  <c r="BM29" i="4"/>
  <c r="BL29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BU29" i="4" s="1" a="1"/>
  <c r="BU29" i="4" s="1"/>
  <c r="BV29" i="4" s="1"/>
  <c r="G29" i="4"/>
  <c r="F29" i="4"/>
  <c r="DB28" i="4"/>
  <c r="DA28" i="4"/>
  <c r="CZ28" i="4"/>
  <c r="CY28" i="4"/>
  <c r="CX28" i="4"/>
  <c r="CW28" i="4"/>
  <c r="CV28" i="4"/>
  <c r="CU28" i="4"/>
  <c r="CT28" i="4"/>
  <c r="DC28" i="4" s="1" a="1"/>
  <c r="DC28" i="4" s="1"/>
  <c r="DD28" i="4" s="1"/>
  <c r="CS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CQ28" i="4" s="1" a="1"/>
  <c r="CQ28" i="4" s="1"/>
  <c r="CR28" i="4" s="1"/>
  <c r="BY28" i="4"/>
  <c r="BX28" i="4"/>
  <c r="BW28" i="4"/>
  <c r="BT28" i="4"/>
  <c r="BS28" i="4"/>
  <c r="BR28" i="4"/>
  <c r="BQ28" i="4"/>
  <c r="BP28" i="4"/>
  <c r="BO28" i="4"/>
  <c r="BN28" i="4"/>
  <c r="BM28" i="4"/>
  <c r="BL28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DB27" i="4"/>
  <c r="DA27" i="4"/>
  <c r="CZ27" i="4"/>
  <c r="CY27" i="4"/>
  <c r="CX27" i="4"/>
  <c r="CW27" i="4"/>
  <c r="CV27" i="4"/>
  <c r="DC27" i="4" s="1" a="1"/>
  <c r="DC27" i="4" s="1"/>
  <c r="DD27" i="4" s="1"/>
  <c r="CU27" i="4"/>
  <c r="CT27" i="4"/>
  <c r="CS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Q27" i="4" s="1" a="1"/>
  <c r="CQ27" i="4" s="1"/>
  <c r="CR27" i="4" s="1"/>
  <c r="CA27" i="4"/>
  <c r="BZ27" i="4"/>
  <c r="BY27" i="4"/>
  <c r="BX27" i="4"/>
  <c r="BW27" i="4"/>
  <c r="BT27" i="4"/>
  <c r="BS27" i="4"/>
  <c r="BR27" i="4"/>
  <c r="BQ27" i="4"/>
  <c r="BP27" i="4"/>
  <c r="BO27" i="4"/>
  <c r="BN27" i="4"/>
  <c r="BM27" i="4"/>
  <c r="BL27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DB26" i="4"/>
  <c r="DA26" i="4"/>
  <c r="CZ26" i="4"/>
  <c r="CY26" i="4"/>
  <c r="CX26" i="4"/>
  <c r="CW26" i="4"/>
  <c r="CV26" i="4"/>
  <c r="DC26" i="4" s="1" a="1"/>
  <c r="DC26" i="4" s="1"/>
  <c r="DD26" i="4" s="1"/>
  <c r="CU26" i="4"/>
  <c r="CT26" i="4"/>
  <c r="CS26" i="4"/>
  <c r="CP26" i="4"/>
  <c r="CO26" i="4"/>
  <c r="CN26" i="4"/>
  <c r="CM26" i="4"/>
  <c r="CL26" i="4"/>
  <c r="CK26" i="4"/>
  <c r="CJ26" i="4"/>
  <c r="CI26" i="4"/>
  <c r="CH26" i="4"/>
  <c r="CG26" i="4"/>
  <c r="CF26" i="4"/>
  <c r="CE26" i="4"/>
  <c r="CD26" i="4"/>
  <c r="CC26" i="4"/>
  <c r="CB26" i="4"/>
  <c r="CA26" i="4"/>
  <c r="BZ26" i="4"/>
  <c r="BY26" i="4"/>
  <c r="BX26" i="4"/>
  <c r="CQ26" i="4" s="1" a="1"/>
  <c r="CQ26" i="4" s="1"/>
  <c r="CR26" i="4" s="1"/>
  <c r="BW26" i="4"/>
  <c r="BT26" i="4"/>
  <c r="BS26" i="4"/>
  <c r="BR26" i="4"/>
  <c r="BQ26" i="4"/>
  <c r="BP26" i="4"/>
  <c r="BO26" i="4"/>
  <c r="BN26" i="4"/>
  <c r="BM26" i="4"/>
  <c r="BL26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DB25" i="4"/>
  <c r="DA25" i="4"/>
  <c r="CZ25" i="4"/>
  <c r="CY25" i="4"/>
  <c r="CX25" i="4"/>
  <c r="CW25" i="4"/>
  <c r="CV25" i="4"/>
  <c r="CU25" i="4"/>
  <c r="CT25" i="4"/>
  <c r="DC25" i="4" s="1" a="1"/>
  <c r="DC25" i="4" s="1"/>
  <c r="DD25" i="4" s="1"/>
  <c r="CS25" i="4"/>
  <c r="CP25" i="4"/>
  <c r="CO25" i="4"/>
  <c r="CN25" i="4"/>
  <c r="CM25" i="4"/>
  <c r="CL25" i="4"/>
  <c r="CK25" i="4"/>
  <c r="CJ25" i="4"/>
  <c r="CI25" i="4"/>
  <c r="CH25" i="4"/>
  <c r="CG25" i="4"/>
  <c r="CF25" i="4"/>
  <c r="CE25" i="4"/>
  <c r="CD25" i="4"/>
  <c r="CC25" i="4"/>
  <c r="CB25" i="4"/>
  <c r="CA25" i="4"/>
  <c r="BZ25" i="4"/>
  <c r="BY25" i="4"/>
  <c r="BX25" i="4"/>
  <c r="BW25" i="4"/>
  <c r="CQ25" i="4" s="1" a="1"/>
  <c r="CQ25" i="4" s="1"/>
  <c r="CR25" i="4" s="1"/>
  <c r="BT25" i="4"/>
  <c r="BS25" i="4"/>
  <c r="BR25" i="4"/>
  <c r="BQ25" i="4"/>
  <c r="BP25" i="4"/>
  <c r="BO25" i="4"/>
  <c r="BN25" i="4"/>
  <c r="BM25" i="4"/>
  <c r="BL25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DB24" i="4"/>
  <c r="DA24" i="4"/>
  <c r="CZ24" i="4"/>
  <c r="CY24" i="4"/>
  <c r="CX24" i="4"/>
  <c r="CW24" i="4"/>
  <c r="CV24" i="4"/>
  <c r="DC24" i="4" s="1" a="1"/>
  <c r="DC24" i="4" s="1"/>
  <c r="DD24" i="4" s="1"/>
  <c r="CU24" i="4"/>
  <c r="CT24" i="4"/>
  <c r="CS24" i="4"/>
  <c r="CP24" i="4"/>
  <c r="CO24" i="4"/>
  <c r="CN24" i="4"/>
  <c r="CM24" i="4"/>
  <c r="CL24" i="4"/>
  <c r="CK24" i="4"/>
  <c r="CJ24" i="4"/>
  <c r="CI24" i="4"/>
  <c r="CH24" i="4"/>
  <c r="CG24" i="4"/>
  <c r="CF24" i="4"/>
  <c r="CE24" i="4"/>
  <c r="CD24" i="4"/>
  <c r="CC24" i="4"/>
  <c r="CB24" i="4"/>
  <c r="CA24" i="4"/>
  <c r="BZ24" i="4"/>
  <c r="BY24" i="4"/>
  <c r="BX24" i="4"/>
  <c r="BW24" i="4"/>
  <c r="CQ24" i="4" s="1" a="1"/>
  <c r="CQ24" i="4" s="1"/>
  <c r="CR24" i="4" s="1"/>
  <c r="BT24" i="4"/>
  <c r="BS24" i="4"/>
  <c r="BR24" i="4"/>
  <c r="BQ24" i="4"/>
  <c r="BP24" i="4"/>
  <c r="BO24" i="4"/>
  <c r="BN24" i="4"/>
  <c r="BM24" i="4"/>
  <c r="BL24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DB23" i="4"/>
  <c r="DA23" i="4"/>
  <c r="CZ23" i="4"/>
  <c r="CY23" i="4"/>
  <c r="CX23" i="4"/>
  <c r="CW23" i="4"/>
  <c r="CV23" i="4"/>
  <c r="CU23" i="4"/>
  <c r="CT23" i="4"/>
  <c r="CS23" i="4"/>
  <c r="DC23" i="4" s="1" a="1"/>
  <c r="DC23" i="4" s="1"/>
  <c r="DD23" i="4" s="1"/>
  <c r="CP23" i="4"/>
  <c r="CO23" i="4"/>
  <c r="CN23" i="4"/>
  <c r="CM23" i="4"/>
  <c r="CL23" i="4"/>
  <c r="CK23" i="4"/>
  <c r="CJ23" i="4"/>
  <c r="CI23" i="4"/>
  <c r="CH23" i="4"/>
  <c r="CG23" i="4"/>
  <c r="CF23" i="4"/>
  <c r="CE23" i="4"/>
  <c r="CD23" i="4"/>
  <c r="CC23" i="4"/>
  <c r="CB23" i="4"/>
  <c r="CA23" i="4"/>
  <c r="BZ23" i="4"/>
  <c r="BY23" i="4"/>
  <c r="BX23" i="4"/>
  <c r="BW23" i="4"/>
  <c r="CQ23" i="4" s="1" a="1"/>
  <c r="CQ23" i="4" s="1"/>
  <c r="CR23" i="4" s="1"/>
  <c r="BT23" i="4"/>
  <c r="BS23" i="4"/>
  <c r="BR23" i="4"/>
  <c r="BQ23" i="4"/>
  <c r="BP23" i="4"/>
  <c r="BO23" i="4"/>
  <c r="BN23" i="4"/>
  <c r="BM23" i="4"/>
  <c r="BL23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DB22" i="4"/>
  <c r="DA22" i="4"/>
  <c r="CZ22" i="4"/>
  <c r="CY22" i="4"/>
  <c r="CX22" i="4"/>
  <c r="CW22" i="4"/>
  <c r="CV22" i="4"/>
  <c r="CU22" i="4"/>
  <c r="CT22" i="4"/>
  <c r="CS22" i="4"/>
  <c r="DC22" i="4" s="1" a="1"/>
  <c r="DC22" i="4" s="1"/>
  <c r="DD22" i="4" s="1"/>
  <c r="CP22" i="4"/>
  <c r="CO22" i="4"/>
  <c r="CN22" i="4"/>
  <c r="CM22" i="4"/>
  <c r="CL22" i="4"/>
  <c r="CK22" i="4"/>
  <c r="CJ22" i="4"/>
  <c r="CI22" i="4"/>
  <c r="CH22" i="4"/>
  <c r="CG22" i="4"/>
  <c r="CF22" i="4"/>
  <c r="CE22" i="4"/>
  <c r="CD22" i="4"/>
  <c r="CC22" i="4"/>
  <c r="CB22" i="4"/>
  <c r="CA22" i="4"/>
  <c r="BZ22" i="4"/>
  <c r="BY22" i="4"/>
  <c r="BX22" i="4"/>
  <c r="BW22" i="4"/>
  <c r="CQ22" i="4" s="1" a="1"/>
  <c r="CQ22" i="4" s="1"/>
  <c r="CR22" i="4" s="1"/>
  <c r="BT22" i="4"/>
  <c r="BS22" i="4"/>
  <c r="BR22" i="4"/>
  <c r="BQ22" i="4"/>
  <c r="BP22" i="4"/>
  <c r="BO22" i="4"/>
  <c r="BN22" i="4"/>
  <c r="BM22" i="4"/>
  <c r="BL22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DB21" i="4"/>
  <c r="DA21" i="4"/>
  <c r="CZ21" i="4"/>
  <c r="CY21" i="4"/>
  <c r="CX21" i="4"/>
  <c r="CW21" i="4"/>
  <c r="CV21" i="4"/>
  <c r="CU21" i="4"/>
  <c r="CT21" i="4"/>
  <c r="CS21" i="4"/>
  <c r="DC21" i="4" s="1" a="1"/>
  <c r="DC21" i="4" s="1"/>
  <c r="DD21" i="4" s="1"/>
  <c r="CP21" i="4"/>
  <c r="CO21" i="4"/>
  <c r="CN21" i="4"/>
  <c r="CM21" i="4"/>
  <c r="CL21" i="4"/>
  <c r="CK21" i="4"/>
  <c r="CJ21" i="4"/>
  <c r="CI21" i="4"/>
  <c r="CH21" i="4"/>
  <c r="CG21" i="4"/>
  <c r="CF21" i="4"/>
  <c r="CE21" i="4"/>
  <c r="CD21" i="4"/>
  <c r="CC21" i="4"/>
  <c r="CB21" i="4"/>
  <c r="CA21" i="4"/>
  <c r="BZ21" i="4"/>
  <c r="BY21" i="4"/>
  <c r="BX21" i="4"/>
  <c r="BW21" i="4"/>
  <c r="BT21" i="4"/>
  <c r="BS21" i="4"/>
  <c r="BR21" i="4"/>
  <c r="BQ21" i="4"/>
  <c r="BP21" i="4"/>
  <c r="BO21" i="4"/>
  <c r="BN21" i="4"/>
  <c r="BM21" i="4"/>
  <c r="BL21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DB20" i="4"/>
  <c r="DA20" i="4"/>
  <c r="CZ20" i="4"/>
  <c r="CY20" i="4"/>
  <c r="CX20" i="4"/>
  <c r="CW20" i="4"/>
  <c r="CV20" i="4"/>
  <c r="CU20" i="4"/>
  <c r="CT20" i="4"/>
  <c r="CS20" i="4"/>
  <c r="CP20" i="4"/>
  <c r="CO20" i="4"/>
  <c r="CN20" i="4"/>
  <c r="CM20" i="4"/>
  <c r="CL20" i="4"/>
  <c r="CK20" i="4"/>
  <c r="CJ20" i="4"/>
  <c r="CI20" i="4"/>
  <c r="CH20" i="4"/>
  <c r="CG20" i="4"/>
  <c r="CF20" i="4"/>
  <c r="CE20" i="4"/>
  <c r="CD20" i="4"/>
  <c r="CC20" i="4"/>
  <c r="CB20" i="4"/>
  <c r="CA20" i="4"/>
  <c r="BZ20" i="4"/>
  <c r="BY20" i="4"/>
  <c r="BX20" i="4"/>
  <c r="BW20" i="4"/>
  <c r="BT20" i="4"/>
  <c r="BS20" i="4"/>
  <c r="BR20" i="4"/>
  <c r="BQ20" i="4"/>
  <c r="BP20" i="4"/>
  <c r="BO20" i="4"/>
  <c r="BN20" i="4"/>
  <c r="BM20" i="4"/>
  <c r="BL20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DB19" i="4"/>
  <c r="DA19" i="4"/>
  <c r="CZ19" i="4"/>
  <c r="CY19" i="4"/>
  <c r="CX19" i="4"/>
  <c r="CW19" i="4"/>
  <c r="CV19" i="4"/>
  <c r="CU19" i="4"/>
  <c r="CT19" i="4"/>
  <c r="CS19" i="4"/>
  <c r="CP19" i="4"/>
  <c r="CO19" i="4"/>
  <c r="CN19" i="4"/>
  <c r="CM19" i="4"/>
  <c r="CL19" i="4"/>
  <c r="CK19" i="4"/>
  <c r="CJ19" i="4"/>
  <c r="CI19" i="4"/>
  <c r="CH19" i="4"/>
  <c r="CG19" i="4"/>
  <c r="CF19" i="4"/>
  <c r="CE19" i="4"/>
  <c r="CD19" i="4"/>
  <c r="CC19" i="4"/>
  <c r="CB19" i="4"/>
  <c r="CQ19" i="4" s="1" a="1"/>
  <c r="CQ19" i="4" s="1"/>
  <c r="CR19" i="4" s="1"/>
  <c r="CA19" i="4"/>
  <c r="BZ19" i="4"/>
  <c r="BT19" i="4"/>
  <c r="BS19" i="4"/>
  <c r="BR19" i="4"/>
  <c r="BQ19" i="4"/>
  <c r="BP19" i="4"/>
  <c r="BO19" i="4"/>
  <c r="BN19" i="4"/>
  <c r="BM19" i="4"/>
  <c r="BL19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DB18" i="4"/>
  <c r="DA18" i="4"/>
  <c r="CZ18" i="4"/>
  <c r="CY18" i="4"/>
  <c r="CX18" i="4"/>
  <c r="CW18" i="4"/>
  <c r="CV18" i="4"/>
  <c r="CU18" i="4"/>
  <c r="CP18" i="4"/>
  <c r="CO18" i="4"/>
  <c r="CN18" i="4"/>
  <c r="CM18" i="4"/>
  <c r="CL18" i="4"/>
  <c r="CK18" i="4"/>
  <c r="CJ18" i="4"/>
  <c r="CI18" i="4"/>
  <c r="CH18" i="4"/>
  <c r="CG18" i="4"/>
  <c r="CF18" i="4"/>
  <c r="CE18" i="4"/>
  <c r="CD18" i="4"/>
  <c r="CC18" i="4"/>
  <c r="CB18" i="4"/>
  <c r="CA18" i="4"/>
  <c r="BZ18" i="4"/>
  <c r="BX18" i="4"/>
  <c r="CR18" i="4"/>
  <c r="BT18" i="4"/>
  <c r="BS18" i="4"/>
  <c r="BR18" i="4"/>
  <c r="BQ18" i="4"/>
  <c r="BP18" i="4"/>
  <c r="BO18" i="4"/>
  <c r="BN18" i="4"/>
  <c r="BM18" i="4"/>
  <c r="BL18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F18" i="4"/>
  <c r="DG17" i="4"/>
  <c r="DF17" i="4"/>
  <c r="DE17" i="4"/>
  <c r="DB16" i="4"/>
  <c r="DA16" i="4"/>
  <c r="CZ16" i="4"/>
  <c r="CY16" i="4"/>
  <c r="CX16" i="4"/>
  <c r="CW16" i="4"/>
  <c r="CV16" i="4"/>
  <c r="CU16" i="4"/>
  <c r="CT16" i="4"/>
  <c r="CS16" i="4"/>
  <c r="CP16" i="4"/>
  <c r="CO16" i="4"/>
  <c r="CN16" i="4"/>
  <c r="CM16" i="4"/>
  <c r="CL16" i="4"/>
  <c r="CK16" i="4"/>
  <c r="CJ16" i="4"/>
  <c r="CI16" i="4"/>
  <c r="CH16" i="4"/>
  <c r="CG16" i="4"/>
  <c r="CF16" i="4"/>
  <c r="CE16" i="4"/>
  <c r="CD16" i="4"/>
  <c r="CC16" i="4"/>
  <c r="CB16" i="4"/>
  <c r="CA16" i="4"/>
  <c r="BZ16" i="4"/>
  <c r="BY16" i="4"/>
  <c r="BX16" i="4"/>
  <c r="BW16" i="4"/>
  <c r="BT16" i="4"/>
  <c r="BS16" i="4"/>
  <c r="BR16" i="4"/>
  <c r="BQ16" i="4"/>
  <c r="BP16" i="4"/>
  <c r="BO16" i="4"/>
  <c r="BN16" i="4"/>
  <c r="BM16" i="4"/>
  <c r="BL16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V12" i="4"/>
  <c r="K12" i="4"/>
  <c r="G12" i="4"/>
  <c r="V11" i="4"/>
  <c r="K11" i="4"/>
  <c r="G11" i="4"/>
  <c r="V10" i="4"/>
  <c r="K10" i="4"/>
  <c r="G10" i="4"/>
  <c r="K9" i="4"/>
  <c r="G9" i="4"/>
  <c r="K8" i="4"/>
  <c r="G8" i="4"/>
  <c r="K7" i="4"/>
  <c r="G7" i="4"/>
  <c r="G117" i="3"/>
  <c r="BU117" i="4" s="1" a="1"/>
  <c r="BU117" i="4" s="1"/>
  <c r="BV117" i="4" s="1"/>
  <c r="F117" i="3"/>
  <c r="G116" i="3"/>
  <c r="BU116" i="4" s="1" a="1"/>
  <c r="BU116" i="4" s="1"/>
  <c r="BV116" i="4" s="1"/>
  <c r="F116" i="3"/>
  <c r="G115" i="3"/>
  <c r="BU115" i="4" s="1" a="1"/>
  <c r="BU115" i="4" s="1"/>
  <c r="BV115" i="4" s="1"/>
  <c r="F115" i="3"/>
  <c r="G114" i="3"/>
  <c r="BU114" i="4" s="1" a="1"/>
  <c r="BU114" i="4" s="1"/>
  <c r="BV114" i="4" s="1"/>
  <c r="F114" i="3"/>
  <c r="G113" i="3"/>
  <c r="BU113" i="4" s="1" a="1"/>
  <c r="BU113" i="4" s="1"/>
  <c r="BV113" i="4" s="1"/>
  <c r="F113" i="3"/>
  <c r="G112" i="3"/>
  <c r="BU112" i="4" s="1" a="1"/>
  <c r="BU112" i="4" s="1"/>
  <c r="BV112" i="4" s="1"/>
  <c r="F112" i="3"/>
  <c r="G111" i="3"/>
  <c r="BU111" i="4" s="1" a="1"/>
  <c r="BU111" i="4" s="1"/>
  <c r="BV111" i="4" s="1"/>
  <c r="F111" i="3"/>
  <c r="G110" i="3"/>
  <c r="BU110" i="4" s="1" a="1"/>
  <c r="BU110" i="4" s="1"/>
  <c r="BV110" i="4" s="1"/>
  <c r="F110" i="3"/>
  <c r="G109" i="3"/>
  <c r="BU109" i="4" s="1" a="1"/>
  <c r="BU109" i="4" s="1"/>
  <c r="BV109" i="4" s="1"/>
  <c r="F109" i="3"/>
  <c r="G108" i="3"/>
  <c r="BU108" i="4" s="1" a="1"/>
  <c r="BU108" i="4" s="1"/>
  <c r="BV108" i="4" s="1"/>
  <c r="F108" i="3"/>
  <c r="G107" i="3"/>
  <c r="BU107" i="4" s="1" a="1"/>
  <c r="BU107" i="4" s="1"/>
  <c r="BV107" i="4" s="1"/>
  <c r="F107" i="3"/>
  <c r="G106" i="3"/>
  <c r="BU106" i="4" s="1" a="1"/>
  <c r="BU106" i="4" s="1"/>
  <c r="BV106" i="4" s="1"/>
  <c r="F106" i="3"/>
  <c r="G105" i="3"/>
  <c r="BU105" i="4" s="1" a="1"/>
  <c r="BU105" i="4" s="1"/>
  <c r="BV105" i="4" s="1"/>
  <c r="F105" i="3"/>
  <c r="G104" i="3"/>
  <c r="BU104" i="4" s="1" a="1"/>
  <c r="BU104" i="4" s="1"/>
  <c r="BV104" i="4" s="1"/>
  <c r="F104" i="3"/>
  <c r="G103" i="3"/>
  <c r="BU103" i="4" s="1" a="1"/>
  <c r="BU103" i="4" s="1"/>
  <c r="BV103" i="4" s="1"/>
  <c r="F103" i="3"/>
  <c r="G102" i="3"/>
  <c r="BU102" i="4" s="1" a="1"/>
  <c r="BU102" i="4" s="1"/>
  <c r="BV102" i="4" s="1"/>
  <c r="F102" i="3"/>
  <c r="G101" i="3"/>
  <c r="BU101" i="4" s="1" a="1"/>
  <c r="BU101" i="4" s="1"/>
  <c r="BV101" i="4" s="1"/>
  <c r="F101" i="3"/>
  <c r="G100" i="3"/>
  <c r="BU100" i="4" s="1" a="1"/>
  <c r="BU100" i="4" s="1"/>
  <c r="BV100" i="4" s="1"/>
  <c r="F100" i="3"/>
  <c r="G99" i="3"/>
  <c r="BU99" i="4" s="1" a="1"/>
  <c r="BU99" i="4" s="1"/>
  <c r="BV99" i="4" s="1"/>
  <c r="F99" i="3"/>
  <c r="G98" i="3"/>
  <c r="BU98" i="4" s="1" a="1"/>
  <c r="BU98" i="4" s="1"/>
  <c r="BV98" i="4" s="1"/>
  <c r="F98" i="3"/>
  <c r="G97" i="3"/>
  <c r="BU97" i="4" s="1" a="1"/>
  <c r="BU97" i="4" s="1"/>
  <c r="BV97" i="4" s="1"/>
  <c r="F97" i="3"/>
  <c r="G96" i="3"/>
  <c r="BU96" i="4" s="1" a="1"/>
  <c r="BU96" i="4" s="1"/>
  <c r="BV96" i="4" s="1"/>
  <c r="F96" i="3"/>
  <c r="G95" i="3"/>
  <c r="BU95" i="4" s="1" a="1"/>
  <c r="BU95" i="4" s="1"/>
  <c r="BV95" i="4" s="1"/>
  <c r="F95" i="3"/>
  <c r="G94" i="3"/>
  <c r="BU94" i="4" s="1" a="1"/>
  <c r="BU94" i="4" s="1"/>
  <c r="BV94" i="4" s="1"/>
  <c r="F94" i="3"/>
  <c r="G93" i="3"/>
  <c r="BU93" i="4" s="1" a="1"/>
  <c r="BU93" i="4" s="1"/>
  <c r="BV93" i="4" s="1"/>
  <c r="F93" i="3"/>
  <c r="G92" i="3"/>
  <c r="BU92" i="4" s="1" a="1"/>
  <c r="BU92" i="4" s="1"/>
  <c r="BV92" i="4" s="1"/>
  <c r="F92" i="3"/>
  <c r="G91" i="3"/>
  <c r="BU91" i="4" s="1" a="1"/>
  <c r="BU91" i="4" s="1"/>
  <c r="BV91" i="4" s="1"/>
  <c r="F91" i="3"/>
  <c r="G90" i="3"/>
  <c r="BU90" i="4" s="1" a="1"/>
  <c r="BU90" i="4" s="1"/>
  <c r="BV90" i="4" s="1"/>
  <c r="F90" i="3"/>
  <c r="G89" i="3"/>
  <c r="BU89" i="4" s="1" a="1"/>
  <c r="BU89" i="4" s="1"/>
  <c r="BV89" i="4" s="1"/>
  <c r="F89" i="3"/>
  <c r="G88" i="3"/>
  <c r="BU88" i="4" s="1" a="1"/>
  <c r="BU88" i="4" s="1"/>
  <c r="BV88" i="4" s="1"/>
  <c r="F88" i="3"/>
  <c r="G87" i="3"/>
  <c r="BU87" i="4" s="1" a="1"/>
  <c r="BU87" i="4" s="1"/>
  <c r="BV87" i="4" s="1"/>
  <c r="F87" i="3"/>
  <c r="G86" i="3"/>
  <c r="BU86" i="4" s="1" a="1"/>
  <c r="BU86" i="4" s="1"/>
  <c r="BV86" i="4" s="1"/>
  <c r="F86" i="3"/>
  <c r="G85" i="3"/>
  <c r="BU85" i="4" s="1" a="1"/>
  <c r="BU85" i="4" s="1"/>
  <c r="BV85" i="4" s="1"/>
  <c r="F85" i="3"/>
  <c r="G84" i="3"/>
  <c r="BU84" i="4" s="1" a="1"/>
  <c r="BU84" i="4" s="1"/>
  <c r="BV84" i="4" s="1"/>
  <c r="F84" i="3"/>
  <c r="G83" i="3"/>
  <c r="BU83" i="4" s="1" a="1"/>
  <c r="BU83" i="4" s="1"/>
  <c r="BV83" i="4" s="1"/>
  <c r="F83" i="3"/>
  <c r="G82" i="3"/>
  <c r="BU82" i="4" s="1" a="1"/>
  <c r="BU82" i="4" s="1"/>
  <c r="BV82" i="4" s="1"/>
  <c r="F82" i="3"/>
  <c r="G81" i="3"/>
  <c r="BU81" i="4" s="1" a="1"/>
  <c r="BU81" i="4" s="1"/>
  <c r="BV81" i="4" s="1"/>
  <c r="F81" i="3"/>
  <c r="G80" i="3"/>
  <c r="BU80" i="4" s="1" a="1"/>
  <c r="BU80" i="4" s="1"/>
  <c r="BV80" i="4" s="1"/>
  <c r="F80" i="3"/>
  <c r="G79" i="3"/>
  <c r="BU79" i="4" s="1" a="1"/>
  <c r="BU79" i="4" s="1"/>
  <c r="BV79" i="4" s="1"/>
  <c r="F79" i="3"/>
  <c r="G78" i="3"/>
  <c r="BU78" i="4" s="1" a="1"/>
  <c r="BU78" i="4" s="1"/>
  <c r="BV78" i="4" s="1"/>
  <c r="F78" i="3"/>
  <c r="G77" i="3"/>
  <c r="BU77" i="4" s="1" a="1"/>
  <c r="BU77" i="4" s="1"/>
  <c r="BV77" i="4" s="1"/>
  <c r="F77" i="3"/>
  <c r="G76" i="3"/>
  <c r="BU76" i="4" s="1" a="1"/>
  <c r="BU76" i="4" s="1"/>
  <c r="BV76" i="4" s="1"/>
  <c r="F76" i="3"/>
  <c r="G75" i="3"/>
  <c r="BU75" i="4" s="1" a="1"/>
  <c r="BU75" i="4" s="1"/>
  <c r="BV75" i="4" s="1"/>
  <c r="F75" i="3"/>
  <c r="G74" i="3"/>
  <c r="BU74" i="4" s="1" a="1"/>
  <c r="BU74" i="4" s="1"/>
  <c r="BV74" i="4" s="1"/>
  <c r="F74" i="3"/>
  <c r="G73" i="3"/>
  <c r="BU73" i="4" s="1" a="1"/>
  <c r="BU73" i="4" s="1"/>
  <c r="BV73" i="4" s="1"/>
  <c r="F73" i="3"/>
  <c r="G72" i="3"/>
  <c r="BU72" i="4" s="1" a="1"/>
  <c r="BU72" i="4" s="1"/>
  <c r="BV72" i="4" s="1"/>
  <c r="F72" i="3"/>
  <c r="G71" i="3"/>
  <c r="BU71" i="4" s="1" a="1"/>
  <c r="BU71" i="4" s="1"/>
  <c r="BV71" i="4" s="1"/>
  <c r="F71" i="3"/>
  <c r="G70" i="3"/>
  <c r="BU70" i="4" s="1" a="1"/>
  <c r="BU70" i="4" s="1"/>
  <c r="BV70" i="4" s="1"/>
  <c r="F70" i="3"/>
  <c r="G69" i="3"/>
  <c r="BU69" i="4" s="1" a="1"/>
  <c r="BU69" i="4" s="1"/>
  <c r="BV69" i="4" s="1"/>
  <c r="F69" i="3"/>
  <c r="G68" i="3"/>
  <c r="BU68" i="4" s="1" a="1"/>
  <c r="BU68" i="4" s="1"/>
  <c r="BV68" i="4" s="1"/>
  <c r="F68" i="3"/>
  <c r="G67" i="3"/>
  <c r="BU67" i="4" s="1" a="1"/>
  <c r="BU67" i="4" s="1"/>
  <c r="BV67" i="4" s="1"/>
  <c r="F67" i="3"/>
  <c r="G66" i="3"/>
  <c r="BU66" i="4" s="1" a="1"/>
  <c r="BU66" i="4" s="1"/>
  <c r="BV66" i="4" s="1"/>
  <c r="F66" i="3"/>
  <c r="G65" i="3"/>
  <c r="BU65" i="4" s="1" a="1"/>
  <c r="BU65" i="4" s="1"/>
  <c r="BV65" i="4" s="1"/>
  <c r="F65" i="3"/>
  <c r="G64" i="3"/>
  <c r="BU64" i="4" s="1" a="1"/>
  <c r="BU64" i="4" s="1"/>
  <c r="BV64" i="4" s="1"/>
  <c r="F64" i="3"/>
  <c r="G63" i="3"/>
  <c r="BU63" i="4" s="1" a="1"/>
  <c r="BU63" i="4" s="1"/>
  <c r="BV63" i="4" s="1"/>
  <c r="F63" i="3"/>
  <c r="G62" i="3"/>
  <c r="BU62" i="4" s="1" a="1"/>
  <c r="BU62" i="4" s="1"/>
  <c r="BV62" i="4" s="1"/>
  <c r="F62" i="3"/>
  <c r="G61" i="3"/>
  <c r="BU61" i="4" s="1" a="1"/>
  <c r="BU61" i="4" s="1"/>
  <c r="BV61" i="4" s="1"/>
  <c r="F61" i="3"/>
  <c r="G60" i="3"/>
  <c r="BU60" i="4" s="1" a="1"/>
  <c r="BU60" i="4" s="1"/>
  <c r="BV60" i="4" s="1"/>
  <c r="F60" i="3"/>
  <c r="G59" i="3"/>
  <c r="BU59" i="4" s="1" a="1"/>
  <c r="BU59" i="4" s="1"/>
  <c r="BV59" i="4" s="1"/>
  <c r="F59" i="3"/>
  <c r="G58" i="3"/>
  <c r="BU58" i="4" s="1" a="1"/>
  <c r="BU58" i="4" s="1"/>
  <c r="BV58" i="4" s="1"/>
  <c r="F58" i="3"/>
  <c r="G57" i="3"/>
  <c r="BU57" i="4" s="1" a="1"/>
  <c r="BU57" i="4" s="1"/>
  <c r="BV57" i="4" s="1"/>
  <c r="F57" i="3"/>
  <c r="G56" i="3"/>
  <c r="BU56" i="4" s="1" a="1"/>
  <c r="BU56" i="4" s="1"/>
  <c r="BV56" i="4" s="1"/>
  <c r="F56" i="3"/>
  <c r="G55" i="3"/>
  <c r="BU55" i="4" s="1" a="1"/>
  <c r="BU55" i="4" s="1"/>
  <c r="BV55" i="4" s="1"/>
  <c r="F55" i="3"/>
  <c r="G54" i="3"/>
  <c r="BU54" i="4" s="1" a="1"/>
  <c r="BU54" i="4" s="1"/>
  <c r="BV54" i="4" s="1"/>
  <c r="F54" i="3"/>
  <c r="G53" i="3"/>
  <c r="BU53" i="4" s="1" a="1"/>
  <c r="BU53" i="4" s="1"/>
  <c r="BV53" i="4" s="1"/>
  <c r="F53" i="3"/>
  <c r="G52" i="3"/>
  <c r="BU52" i="4" s="1" a="1"/>
  <c r="BU52" i="4" s="1"/>
  <c r="BV52" i="4" s="1"/>
  <c r="F52" i="3"/>
  <c r="G51" i="3"/>
  <c r="BU51" i="4" s="1" a="1"/>
  <c r="BU51" i="4" s="1"/>
  <c r="BV51" i="4" s="1"/>
  <c r="F51" i="3"/>
  <c r="G50" i="3"/>
  <c r="BU50" i="4" s="1" a="1"/>
  <c r="BU50" i="4" s="1"/>
  <c r="BV50" i="4" s="1"/>
  <c r="F50" i="3"/>
  <c r="G49" i="3"/>
  <c r="BU49" i="4" s="1" a="1"/>
  <c r="BU49" i="4" s="1"/>
  <c r="BV49" i="4" s="1"/>
  <c r="F49" i="3"/>
  <c r="G48" i="3"/>
  <c r="BU48" i="4" s="1" a="1"/>
  <c r="BU48" i="4" s="1"/>
  <c r="BV48" i="4" s="1"/>
  <c r="F48" i="3"/>
  <c r="G47" i="3"/>
  <c r="BU47" i="4" s="1" a="1"/>
  <c r="BU47" i="4" s="1"/>
  <c r="BV47" i="4" s="1"/>
  <c r="F47" i="3"/>
  <c r="G46" i="3"/>
  <c r="BU46" i="4" s="1" a="1"/>
  <c r="BU46" i="4" s="1"/>
  <c r="BV46" i="4" s="1"/>
  <c r="F46" i="3"/>
  <c r="G45" i="3"/>
  <c r="BU45" i="4" s="1" a="1"/>
  <c r="BU45" i="4" s="1"/>
  <c r="BV45" i="4" s="1"/>
  <c r="F45" i="3"/>
  <c r="G44" i="3"/>
  <c r="BU44" i="4" s="1" a="1"/>
  <c r="BU44" i="4" s="1"/>
  <c r="BV44" i="4" s="1"/>
  <c r="F44" i="3"/>
  <c r="G43" i="3"/>
  <c r="BU43" i="4" s="1" a="1"/>
  <c r="BU43" i="4" s="1"/>
  <c r="BV43" i="4" s="1"/>
  <c r="F43" i="3"/>
  <c r="G42" i="3"/>
  <c r="BU42" i="4" s="1" a="1"/>
  <c r="BU42" i="4" s="1"/>
  <c r="BV42" i="4" s="1"/>
  <c r="F42" i="3"/>
  <c r="G41" i="3"/>
  <c r="BU41" i="4" s="1" a="1"/>
  <c r="BU41" i="4" s="1"/>
  <c r="BV41" i="4" s="1"/>
  <c r="F41" i="3"/>
  <c r="G40" i="3"/>
  <c r="BU40" i="4" s="1" a="1"/>
  <c r="BU40" i="4" s="1"/>
  <c r="BV40" i="4" s="1"/>
  <c r="F40" i="3"/>
  <c r="G39" i="3"/>
  <c r="BU39" i="4" s="1" a="1"/>
  <c r="BU39" i="4" s="1"/>
  <c r="BV39" i="4" s="1"/>
  <c r="F39" i="3"/>
  <c r="G38" i="3"/>
  <c r="BU38" i="4" s="1" a="1"/>
  <c r="BU38" i="4" s="1"/>
  <c r="BV38" i="4" s="1"/>
  <c r="F38" i="3"/>
  <c r="G37" i="3"/>
  <c r="F37" i="3"/>
  <c r="G36" i="3"/>
  <c r="BU36" i="4" s="1" a="1"/>
  <c r="BU36" i="4" s="1"/>
  <c r="BV36" i="4" s="1"/>
  <c r="F36" i="3"/>
  <c r="G35" i="3"/>
  <c r="BU35" i="4" s="1" a="1"/>
  <c r="BU35" i="4" s="1"/>
  <c r="BV35" i="4" s="1"/>
  <c r="F35" i="3"/>
  <c r="G34" i="3"/>
  <c r="BU34" i="4" s="1" a="1"/>
  <c r="BU34" i="4" s="1"/>
  <c r="BV34" i="4" s="1"/>
  <c r="F34" i="3"/>
  <c r="G33" i="3"/>
  <c r="BU33" i="4" s="1" a="1"/>
  <c r="BU33" i="4" s="1"/>
  <c r="BV33" i="4" s="1"/>
  <c r="F33" i="3"/>
  <c r="G32" i="3"/>
  <c r="BU32" i="4" s="1" a="1"/>
  <c r="BU32" i="4" s="1"/>
  <c r="BV32" i="4" s="1"/>
  <c r="F32" i="3"/>
  <c r="G31" i="3"/>
  <c r="BU31" i="4" s="1" a="1"/>
  <c r="BU31" i="4" s="1"/>
  <c r="BV31" i="4" s="1"/>
  <c r="F31" i="3"/>
  <c r="G30" i="3"/>
  <c r="BU30" i="4" s="1" a="1"/>
  <c r="BU30" i="4" s="1"/>
  <c r="BV30" i="4" s="1"/>
  <c r="F30" i="3"/>
  <c r="G29" i="3"/>
  <c r="F29" i="3"/>
  <c r="G28" i="3"/>
  <c r="BU28" i="4" s="1" a="1"/>
  <c r="BU28" i="4" s="1"/>
  <c r="BV28" i="4" s="1"/>
  <c r="F28" i="3"/>
  <c r="G27" i="3"/>
  <c r="BU27" i="4" s="1" a="1"/>
  <c r="BU27" i="4" s="1"/>
  <c r="BV27" i="4" s="1"/>
  <c r="F27" i="3"/>
  <c r="G26" i="3"/>
  <c r="BU26" i="4" s="1" a="1"/>
  <c r="BU26" i="4" s="1"/>
  <c r="BV26" i="4" s="1"/>
  <c r="F26" i="3"/>
  <c r="G25" i="3"/>
  <c r="BU25" i="4" s="1" a="1"/>
  <c r="BU25" i="4" s="1"/>
  <c r="BV25" i="4" s="1"/>
  <c r="F25" i="3"/>
  <c r="G24" i="3"/>
  <c r="BU24" i="4" s="1" a="1"/>
  <c r="BU24" i="4" s="1"/>
  <c r="BV24" i="4" s="1"/>
  <c r="F24" i="3"/>
  <c r="G23" i="3"/>
  <c r="BU23" i="4" s="1" a="1"/>
  <c r="BU23" i="4" s="1"/>
  <c r="BV23" i="4" s="1"/>
  <c r="F23" i="3"/>
  <c r="G22" i="3"/>
  <c r="F22" i="3"/>
  <c r="G21" i="3"/>
  <c r="F21" i="3"/>
  <c r="G20" i="3"/>
  <c r="F20" i="3"/>
  <c r="G19" i="3"/>
  <c r="BU19" i="4" s="1" a="1"/>
  <c r="BU19" i="4" s="1"/>
  <c r="BV19" i="4" s="1"/>
  <c r="F19" i="3"/>
  <c r="G18" i="3"/>
  <c r="BU18" i="4" s="1" a="1"/>
  <c r="BU18" i="4" s="1"/>
  <c r="BV18" i="4" s="1"/>
  <c r="F18" i="3"/>
  <c r="V12" i="3"/>
  <c r="K12" i="3"/>
  <c r="G12" i="3"/>
  <c r="V11" i="3"/>
  <c r="K11" i="3"/>
  <c r="G11" i="3"/>
  <c r="V10" i="3"/>
  <c r="K10" i="3"/>
  <c r="G10" i="3"/>
  <c r="K9" i="3"/>
  <c r="K8" i="3"/>
  <c r="K7" i="3"/>
  <c r="DC117" i="2" a="1"/>
  <c r="DC117" i="2"/>
  <c r="DD117" i="2" s="1"/>
  <c r="DB117" i="2"/>
  <c r="DA117" i="2"/>
  <c r="CZ117" i="2"/>
  <c r="CY117" i="2"/>
  <c r="CX117" i="2"/>
  <c r="CW117" i="2"/>
  <c r="CV117" i="2"/>
  <c r="CU117" i="2"/>
  <c r="CT117" i="2"/>
  <c r="CS117" i="2"/>
  <c r="CQ117" i="2" a="1"/>
  <c r="CQ117" i="2" s="1"/>
  <c r="CR117" i="2" s="1"/>
  <c r="H112" i="5" s="1"/>
  <c r="CP117" i="2"/>
  <c r="CO117" i="2"/>
  <c r="CN117" i="2"/>
  <c r="CM117" i="2"/>
  <c r="CL117" i="2"/>
  <c r="CK117" i="2"/>
  <c r="CJ117" i="2"/>
  <c r="CI117" i="2"/>
  <c r="CH117" i="2"/>
  <c r="CG117" i="2"/>
  <c r="CF117" i="2"/>
  <c r="CE117" i="2"/>
  <c r="CD117" i="2"/>
  <c r="CC117" i="2"/>
  <c r="CB117" i="2"/>
  <c r="CA117" i="2"/>
  <c r="BZ117" i="2"/>
  <c r="BY117" i="2"/>
  <c r="BX117" i="2"/>
  <c r="BW117" i="2"/>
  <c r="BU117" i="2" a="1"/>
  <c r="BU117" i="2"/>
  <c r="BV117" i="2" s="1"/>
  <c r="BT117" i="2"/>
  <c r="BS117" i="2"/>
  <c r="BR117" i="2"/>
  <c r="BQ117" i="2"/>
  <c r="BP117" i="2"/>
  <c r="BO117" i="2"/>
  <c r="BN117" i="2"/>
  <c r="BM117" i="2"/>
  <c r="BL117" i="2"/>
  <c r="BK117" i="2"/>
  <c r="BJ117" i="2"/>
  <c r="BI117" i="2"/>
  <c r="BH117" i="2"/>
  <c r="BG117" i="2"/>
  <c r="BF117" i="2"/>
  <c r="BE117" i="2"/>
  <c r="BD117" i="2"/>
  <c r="BC117" i="2"/>
  <c r="BB117" i="2"/>
  <c r="BA117" i="2"/>
  <c r="AZ117" i="2"/>
  <c r="AY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DC116" i="2" a="1"/>
  <c r="DC116" i="2" s="1"/>
  <c r="DD116" i="2" s="1"/>
  <c r="DB116" i="2"/>
  <c r="DA116" i="2"/>
  <c r="CZ116" i="2"/>
  <c r="CY116" i="2"/>
  <c r="CX116" i="2"/>
  <c r="CW116" i="2"/>
  <c r="CV116" i="2"/>
  <c r="CU116" i="2"/>
  <c r="CT116" i="2"/>
  <c r="CS116" i="2"/>
  <c r="CQ116" i="2" a="1"/>
  <c r="CQ116" i="2"/>
  <c r="CR116" i="2" s="1"/>
  <c r="CP116" i="2"/>
  <c r="CO116" i="2"/>
  <c r="CN116" i="2"/>
  <c r="CM116" i="2"/>
  <c r="CL116" i="2"/>
  <c r="CK116" i="2"/>
  <c r="CJ116" i="2"/>
  <c r="CI116" i="2"/>
  <c r="CH116" i="2"/>
  <c r="CG116" i="2"/>
  <c r="CF116" i="2"/>
  <c r="CE116" i="2"/>
  <c r="CD116" i="2"/>
  <c r="CC116" i="2"/>
  <c r="CB116" i="2"/>
  <c r="CA116" i="2"/>
  <c r="BZ116" i="2"/>
  <c r="BY116" i="2"/>
  <c r="BX116" i="2"/>
  <c r="BW116" i="2"/>
  <c r="BU116" i="2" a="1"/>
  <c r="BU116" i="2" s="1"/>
  <c r="BV116" i="2" s="1"/>
  <c r="F111" i="5" s="1"/>
  <c r="BT116" i="2"/>
  <c r="BS116" i="2"/>
  <c r="BR116" i="2"/>
  <c r="BQ116" i="2"/>
  <c r="BP116" i="2"/>
  <c r="BO116" i="2"/>
  <c r="BN116" i="2"/>
  <c r="BM116" i="2"/>
  <c r="BL116" i="2"/>
  <c r="BK116" i="2"/>
  <c r="BJ116" i="2"/>
  <c r="BI116" i="2"/>
  <c r="BH116" i="2"/>
  <c r="BG116" i="2"/>
  <c r="BF116" i="2"/>
  <c r="BE116" i="2"/>
  <c r="BD116" i="2"/>
  <c r="BC116" i="2"/>
  <c r="BB116" i="2"/>
  <c r="BA116" i="2"/>
  <c r="AZ116" i="2"/>
  <c r="AY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DC115" i="2" a="1"/>
  <c r="DC115" i="2"/>
  <c r="DD115" i="2" s="1"/>
  <c r="DB115" i="2"/>
  <c r="DA115" i="2"/>
  <c r="CZ115" i="2"/>
  <c r="CY115" i="2"/>
  <c r="CX115" i="2"/>
  <c r="CW115" i="2"/>
  <c r="CV115" i="2"/>
  <c r="CU115" i="2"/>
  <c r="CT115" i="2"/>
  <c r="CS115" i="2"/>
  <c r="CQ115" i="2" a="1"/>
  <c r="CQ115" i="2" s="1"/>
  <c r="CR115" i="2" s="1"/>
  <c r="CP115" i="2"/>
  <c r="CO115" i="2"/>
  <c r="CN115" i="2"/>
  <c r="CM115" i="2"/>
  <c r="CL115" i="2"/>
  <c r="CK115" i="2"/>
  <c r="CJ115" i="2"/>
  <c r="CI115" i="2"/>
  <c r="CH115" i="2"/>
  <c r="CG115" i="2"/>
  <c r="CF115" i="2"/>
  <c r="CE115" i="2"/>
  <c r="CD115" i="2"/>
  <c r="CC115" i="2"/>
  <c r="CB115" i="2"/>
  <c r="CA115" i="2"/>
  <c r="BZ115" i="2"/>
  <c r="BY115" i="2"/>
  <c r="BX115" i="2"/>
  <c r="BW115" i="2"/>
  <c r="BU115" i="2" a="1"/>
  <c r="BU115" i="2" s="1"/>
  <c r="BV115" i="2" s="1"/>
  <c r="BT115" i="2"/>
  <c r="BS115" i="2"/>
  <c r="BR115" i="2"/>
  <c r="BQ115" i="2"/>
  <c r="BP115" i="2"/>
  <c r="BO115" i="2"/>
  <c r="BN115" i="2"/>
  <c r="BM115" i="2"/>
  <c r="BL115" i="2"/>
  <c r="BK115" i="2"/>
  <c r="BJ115" i="2"/>
  <c r="BI115" i="2"/>
  <c r="BH115" i="2"/>
  <c r="BG115" i="2"/>
  <c r="BF115" i="2"/>
  <c r="BE115" i="2"/>
  <c r="BD115" i="2"/>
  <c r="BC115" i="2"/>
  <c r="BB115" i="2"/>
  <c r="BA115" i="2"/>
  <c r="AZ115" i="2"/>
  <c r="AY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K115" i="2"/>
  <c r="AJ115" i="2"/>
  <c r="AI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DC114" i="2" a="1"/>
  <c r="DC114" i="2" s="1"/>
  <c r="DD114" i="2" s="1"/>
  <c r="I109" i="5" s="1"/>
  <c r="DB114" i="2"/>
  <c r="DA114" i="2"/>
  <c r="CZ114" i="2"/>
  <c r="CY114" i="2"/>
  <c r="CX114" i="2"/>
  <c r="CW114" i="2"/>
  <c r="CV114" i="2"/>
  <c r="CU114" i="2"/>
  <c r="CT114" i="2"/>
  <c r="CS114" i="2"/>
  <c r="CQ114" i="2" a="1"/>
  <c r="CQ114" i="2" s="1"/>
  <c r="CR114" i="2" s="1"/>
  <c r="CP114" i="2"/>
  <c r="CO114" i="2"/>
  <c r="CN114" i="2"/>
  <c r="CM114" i="2"/>
  <c r="CL114" i="2"/>
  <c r="CK114" i="2"/>
  <c r="CJ114" i="2"/>
  <c r="CI114" i="2"/>
  <c r="CH114" i="2"/>
  <c r="CG114" i="2"/>
  <c r="CF114" i="2"/>
  <c r="CE114" i="2"/>
  <c r="CD114" i="2"/>
  <c r="CC114" i="2"/>
  <c r="CB114" i="2"/>
  <c r="CA114" i="2"/>
  <c r="BZ114" i="2"/>
  <c r="BY114" i="2"/>
  <c r="BX114" i="2"/>
  <c r="BW114" i="2"/>
  <c r="BU114" i="2" a="1"/>
  <c r="BU114" i="2" s="1"/>
  <c r="BV114" i="2" s="1"/>
  <c r="BT114" i="2"/>
  <c r="BS114" i="2"/>
  <c r="BR114" i="2"/>
  <c r="BQ114" i="2"/>
  <c r="BP114" i="2"/>
  <c r="BO114" i="2"/>
  <c r="BN114" i="2"/>
  <c r="BM114" i="2"/>
  <c r="BL114" i="2"/>
  <c r="BK114" i="2"/>
  <c r="BJ114" i="2"/>
  <c r="BI114" i="2"/>
  <c r="BH114" i="2"/>
  <c r="BG114" i="2"/>
  <c r="BF114" i="2"/>
  <c r="BE114" i="2"/>
  <c r="BD114" i="2"/>
  <c r="BC114" i="2"/>
  <c r="BB114" i="2"/>
  <c r="BA114" i="2"/>
  <c r="AZ114" i="2"/>
  <c r="AY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DF113" i="2"/>
  <c r="DC113" i="2" a="1"/>
  <c r="DC113" i="2"/>
  <c r="DD113" i="2" s="1"/>
  <c r="DB113" i="2"/>
  <c r="DA113" i="2"/>
  <c r="CZ113" i="2"/>
  <c r="CY113" i="2"/>
  <c r="CX113" i="2"/>
  <c r="CW113" i="2"/>
  <c r="CV113" i="2"/>
  <c r="CU113" i="2"/>
  <c r="CT113" i="2"/>
  <c r="CS113" i="2"/>
  <c r="CQ113" i="2" a="1"/>
  <c r="CQ113" i="2" s="1"/>
  <c r="CR113" i="2" s="1"/>
  <c r="H108" i="5" s="1"/>
  <c r="CP113" i="2"/>
  <c r="CO113" i="2"/>
  <c r="CN113" i="2"/>
  <c r="CM113" i="2"/>
  <c r="CL113" i="2"/>
  <c r="CK113" i="2"/>
  <c r="CJ113" i="2"/>
  <c r="CI113" i="2"/>
  <c r="CH113" i="2"/>
  <c r="CG113" i="2"/>
  <c r="CF113" i="2"/>
  <c r="CE113" i="2"/>
  <c r="CD113" i="2"/>
  <c r="CC113" i="2"/>
  <c r="CB113" i="2"/>
  <c r="CA113" i="2"/>
  <c r="BZ113" i="2"/>
  <c r="BY113" i="2"/>
  <c r="BX113" i="2"/>
  <c r="BW113" i="2"/>
  <c r="BU113" i="2" a="1"/>
  <c r="BU113" i="2"/>
  <c r="BV113" i="2" s="1"/>
  <c r="BT113" i="2"/>
  <c r="BS113" i="2"/>
  <c r="BR113" i="2"/>
  <c r="BQ113" i="2"/>
  <c r="BP113" i="2"/>
  <c r="BO113" i="2"/>
  <c r="BN113" i="2"/>
  <c r="BM113" i="2"/>
  <c r="BL113" i="2"/>
  <c r="BK113" i="2"/>
  <c r="BJ113" i="2"/>
  <c r="BI113" i="2"/>
  <c r="BH113" i="2"/>
  <c r="BG113" i="2"/>
  <c r="BF113" i="2"/>
  <c r="BE113" i="2"/>
  <c r="BD113" i="2"/>
  <c r="BC113" i="2"/>
  <c r="BB113" i="2"/>
  <c r="BA113" i="2"/>
  <c r="AZ113" i="2"/>
  <c r="AY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DE112" i="2"/>
  <c r="DC112" i="2" a="1"/>
  <c r="DC112" i="2" s="1"/>
  <c r="DD112" i="2" s="1"/>
  <c r="I107" i="5" s="1"/>
  <c r="DB112" i="2"/>
  <c r="DA112" i="2"/>
  <c r="CZ112" i="2"/>
  <c r="CY112" i="2"/>
  <c r="CX112" i="2"/>
  <c r="CW112" i="2"/>
  <c r="CV112" i="2"/>
  <c r="CU112" i="2"/>
  <c r="CT112" i="2"/>
  <c r="CS112" i="2"/>
  <c r="CQ112" i="2" a="1"/>
  <c r="CQ112" i="2"/>
  <c r="CR112" i="2" s="1"/>
  <c r="CP112" i="2"/>
  <c r="CO112" i="2"/>
  <c r="CN112" i="2"/>
  <c r="CM112" i="2"/>
  <c r="CL112" i="2"/>
  <c r="CK112" i="2"/>
  <c r="CJ112" i="2"/>
  <c r="CI112" i="2"/>
  <c r="CH112" i="2"/>
  <c r="CG112" i="2"/>
  <c r="CF112" i="2"/>
  <c r="CE112" i="2"/>
  <c r="CD112" i="2"/>
  <c r="CC112" i="2"/>
  <c r="CB112" i="2"/>
  <c r="CA112" i="2"/>
  <c r="BZ112" i="2"/>
  <c r="BY112" i="2"/>
  <c r="BX112" i="2"/>
  <c r="BW112" i="2"/>
  <c r="BU112" i="2" a="1"/>
  <c r="BU112" i="2" s="1"/>
  <c r="BV112" i="2" s="1"/>
  <c r="F107" i="5" s="1"/>
  <c r="BT112" i="2"/>
  <c r="BS112" i="2"/>
  <c r="BR112" i="2"/>
  <c r="BQ112" i="2"/>
  <c r="BP112" i="2"/>
  <c r="BO112" i="2"/>
  <c r="BN112" i="2"/>
  <c r="BM112" i="2"/>
  <c r="BL112" i="2"/>
  <c r="BK112" i="2"/>
  <c r="BJ112" i="2"/>
  <c r="BI112" i="2"/>
  <c r="BH112" i="2"/>
  <c r="BG112" i="2"/>
  <c r="BF112" i="2"/>
  <c r="BE112" i="2"/>
  <c r="BD112" i="2"/>
  <c r="BC112" i="2"/>
  <c r="BB112" i="2"/>
  <c r="BA112" i="2"/>
  <c r="AZ112" i="2"/>
  <c r="AY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DF111" i="2"/>
  <c r="DC111" i="2" a="1"/>
  <c r="DC111" i="2" s="1"/>
  <c r="DD111" i="2" s="1"/>
  <c r="DB111" i="2"/>
  <c r="DA111" i="2"/>
  <c r="CZ111" i="2"/>
  <c r="CY111" i="2"/>
  <c r="CX111" i="2"/>
  <c r="CW111" i="2"/>
  <c r="CV111" i="2"/>
  <c r="CU111" i="2"/>
  <c r="CT111" i="2"/>
  <c r="CS111" i="2"/>
  <c r="CQ111" i="2" a="1"/>
  <c r="CQ111" i="2" s="1"/>
  <c r="CR111" i="2" s="1"/>
  <c r="H106" i="5" s="1"/>
  <c r="CP111" i="2"/>
  <c r="CO111" i="2"/>
  <c r="CN111" i="2"/>
  <c r="CM111" i="2"/>
  <c r="CL111" i="2"/>
  <c r="CK111" i="2"/>
  <c r="CJ111" i="2"/>
  <c r="CI111" i="2"/>
  <c r="CH111" i="2"/>
  <c r="CG111" i="2"/>
  <c r="CF111" i="2"/>
  <c r="CE111" i="2"/>
  <c r="CD111" i="2"/>
  <c r="CC111" i="2"/>
  <c r="CB111" i="2"/>
  <c r="CA111" i="2"/>
  <c r="BZ111" i="2"/>
  <c r="BY111" i="2"/>
  <c r="BX111" i="2"/>
  <c r="BW111" i="2"/>
  <c r="BU111" i="2" a="1"/>
  <c r="BU111" i="2"/>
  <c r="BV111" i="2" s="1"/>
  <c r="BT111" i="2"/>
  <c r="BS111" i="2"/>
  <c r="BR111" i="2"/>
  <c r="BQ111" i="2"/>
  <c r="BP111" i="2"/>
  <c r="BO111" i="2"/>
  <c r="BN111" i="2"/>
  <c r="BM111" i="2"/>
  <c r="BL111" i="2"/>
  <c r="BK111" i="2"/>
  <c r="BJ111" i="2"/>
  <c r="BI111" i="2"/>
  <c r="BH111" i="2"/>
  <c r="BG111" i="2"/>
  <c r="BF111" i="2"/>
  <c r="BE111" i="2"/>
  <c r="BD111" i="2"/>
  <c r="BC111" i="2"/>
  <c r="BB111" i="2"/>
  <c r="BA111" i="2"/>
  <c r="AZ111" i="2"/>
  <c r="AY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DC110" i="2" a="1"/>
  <c r="DC110" i="2" s="1"/>
  <c r="DD110" i="2" s="1"/>
  <c r="I105" i="5" s="1"/>
  <c r="DB110" i="2"/>
  <c r="DA110" i="2"/>
  <c r="CZ110" i="2"/>
  <c r="CY110" i="2"/>
  <c r="CX110" i="2"/>
  <c r="CW110" i="2"/>
  <c r="CV110" i="2"/>
  <c r="CU110" i="2"/>
  <c r="CT110" i="2"/>
  <c r="CS110" i="2"/>
  <c r="CR110" i="2"/>
  <c r="CQ110" i="2" a="1"/>
  <c r="CQ110" i="2"/>
  <c r="CP110" i="2"/>
  <c r="CO110" i="2"/>
  <c r="CN110" i="2"/>
  <c r="CM110" i="2"/>
  <c r="CL110" i="2"/>
  <c r="CK110" i="2"/>
  <c r="CJ110" i="2"/>
  <c r="CI110" i="2"/>
  <c r="CH110" i="2"/>
  <c r="CG110" i="2"/>
  <c r="CF110" i="2"/>
  <c r="CE110" i="2"/>
  <c r="CD110" i="2"/>
  <c r="CC110" i="2"/>
  <c r="CB110" i="2"/>
  <c r="CA110" i="2"/>
  <c r="BZ110" i="2"/>
  <c r="BY110" i="2"/>
  <c r="BX110" i="2"/>
  <c r="BW110" i="2"/>
  <c r="BU110" i="2" a="1"/>
  <c r="BU110" i="2" s="1"/>
  <c r="BV110" i="2" s="1"/>
  <c r="F105" i="5" s="1"/>
  <c r="BT110" i="2"/>
  <c r="BS110" i="2"/>
  <c r="BR110" i="2"/>
  <c r="BQ110" i="2"/>
  <c r="BP110" i="2"/>
  <c r="BO110" i="2"/>
  <c r="BN110" i="2"/>
  <c r="BM110" i="2"/>
  <c r="BL110" i="2"/>
  <c r="BK110" i="2"/>
  <c r="BJ110" i="2"/>
  <c r="BI110" i="2"/>
  <c r="BH110" i="2"/>
  <c r="BG110" i="2"/>
  <c r="BF110" i="2"/>
  <c r="BE110" i="2"/>
  <c r="BD110" i="2"/>
  <c r="BC110" i="2"/>
  <c r="BB110" i="2"/>
  <c r="BA110" i="2"/>
  <c r="AZ110" i="2"/>
  <c r="AY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K110" i="2"/>
  <c r="AJ110" i="2"/>
  <c r="AI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U110" i="2"/>
  <c r="T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DC109" i="2" a="1"/>
  <c r="DC109" i="2"/>
  <c r="DD109" i="2" s="1"/>
  <c r="DB109" i="2"/>
  <c r="DA109" i="2"/>
  <c r="CZ109" i="2"/>
  <c r="CY109" i="2"/>
  <c r="CX109" i="2"/>
  <c r="CW109" i="2"/>
  <c r="CV109" i="2"/>
  <c r="CU109" i="2"/>
  <c r="CT109" i="2"/>
  <c r="CS109" i="2"/>
  <c r="CQ109" i="2" a="1"/>
  <c r="CQ109" i="2" s="1"/>
  <c r="CR109" i="2" s="1"/>
  <c r="CP109" i="2"/>
  <c r="CO109" i="2"/>
  <c r="CN109" i="2"/>
  <c r="CM109" i="2"/>
  <c r="CL109" i="2"/>
  <c r="CK109" i="2"/>
  <c r="CJ109" i="2"/>
  <c r="CI109" i="2"/>
  <c r="CH109" i="2"/>
  <c r="CG109" i="2"/>
  <c r="CF109" i="2"/>
  <c r="CE109" i="2"/>
  <c r="CD109" i="2"/>
  <c r="CC109" i="2"/>
  <c r="CB109" i="2"/>
  <c r="CA109" i="2"/>
  <c r="BZ109" i="2"/>
  <c r="BY109" i="2"/>
  <c r="BX109" i="2"/>
  <c r="BW109" i="2"/>
  <c r="BU109" i="2" a="1"/>
  <c r="BU109" i="2"/>
  <c r="BV109" i="2" s="1"/>
  <c r="BT109" i="2"/>
  <c r="BS109" i="2"/>
  <c r="BR109" i="2"/>
  <c r="BQ109" i="2"/>
  <c r="BP109" i="2"/>
  <c r="BO109" i="2"/>
  <c r="BN109" i="2"/>
  <c r="BM109" i="2"/>
  <c r="BL109" i="2"/>
  <c r="BK109" i="2"/>
  <c r="BJ109" i="2"/>
  <c r="BI109" i="2"/>
  <c r="BH109" i="2"/>
  <c r="BG109" i="2"/>
  <c r="BF109" i="2"/>
  <c r="BE109" i="2"/>
  <c r="BD109" i="2"/>
  <c r="BC109" i="2"/>
  <c r="BB109" i="2"/>
  <c r="BA109" i="2"/>
  <c r="AZ109" i="2"/>
  <c r="AY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DC108" i="2" a="1"/>
  <c r="DC108" i="2" s="1"/>
  <c r="DD108" i="2" s="1"/>
  <c r="DB108" i="2"/>
  <c r="DA108" i="2"/>
  <c r="CZ108" i="2"/>
  <c r="CY108" i="2"/>
  <c r="CX108" i="2"/>
  <c r="CW108" i="2"/>
  <c r="CV108" i="2"/>
  <c r="CU108" i="2"/>
  <c r="CT108" i="2"/>
  <c r="CS108" i="2"/>
  <c r="CQ108" i="2" a="1"/>
  <c r="CQ108" i="2"/>
  <c r="CR108" i="2" s="1"/>
  <c r="CP108" i="2"/>
  <c r="CO108" i="2"/>
  <c r="CN108" i="2"/>
  <c r="CM108" i="2"/>
  <c r="CL108" i="2"/>
  <c r="CK108" i="2"/>
  <c r="CJ108" i="2"/>
  <c r="CI108" i="2"/>
  <c r="CH108" i="2"/>
  <c r="CG108" i="2"/>
  <c r="CF108" i="2"/>
  <c r="CE108" i="2"/>
  <c r="CD108" i="2"/>
  <c r="CC108" i="2"/>
  <c r="CB108" i="2"/>
  <c r="CA108" i="2"/>
  <c r="BZ108" i="2"/>
  <c r="BY108" i="2"/>
  <c r="BX108" i="2"/>
  <c r="BW108" i="2"/>
  <c r="BU108" i="2" a="1"/>
  <c r="BU108" i="2" s="1"/>
  <c r="BV108" i="2" s="1"/>
  <c r="F103" i="5" s="1"/>
  <c r="BT108" i="2"/>
  <c r="BS108" i="2"/>
  <c r="BR108" i="2"/>
  <c r="BQ108" i="2"/>
  <c r="BP108" i="2"/>
  <c r="BO108" i="2"/>
  <c r="BN108" i="2"/>
  <c r="BM108" i="2"/>
  <c r="BL108" i="2"/>
  <c r="BK108" i="2"/>
  <c r="BJ108" i="2"/>
  <c r="BI108" i="2"/>
  <c r="BH108" i="2"/>
  <c r="BG108" i="2"/>
  <c r="BF108" i="2"/>
  <c r="BE108" i="2"/>
  <c r="BD108" i="2"/>
  <c r="BC108" i="2"/>
  <c r="BB108" i="2"/>
  <c r="BA108" i="2"/>
  <c r="AZ108" i="2"/>
  <c r="AY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DC107" i="2" a="1"/>
  <c r="DC107" i="2"/>
  <c r="DD107" i="2" s="1"/>
  <c r="DB107" i="2"/>
  <c r="DA107" i="2"/>
  <c r="CZ107" i="2"/>
  <c r="CY107" i="2"/>
  <c r="CX107" i="2"/>
  <c r="CW107" i="2"/>
  <c r="CV107" i="2"/>
  <c r="CU107" i="2"/>
  <c r="CT107" i="2"/>
  <c r="CS107" i="2"/>
  <c r="CR107" i="2"/>
  <c r="CQ107" i="2" a="1"/>
  <c r="CQ107" i="2" s="1"/>
  <c r="CP107" i="2"/>
  <c r="CO107" i="2"/>
  <c r="CN107" i="2"/>
  <c r="CM107" i="2"/>
  <c r="CL107" i="2"/>
  <c r="CK107" i="2"/>
  <c r="CJ107" i="2"/>
  <c r="CI107" i="2"/>
  <c r="CH107" i="2"/>
  <c r="CG107" i="2"/>
  <c r="CF107" i="2"/>
  <c r="CE107" i="2"/>
  <c r="CD107" i="2"/>
  <c r="CC107" i="2"/>
  <c r="CB107" i="2"/>
  <c r="CA107" i="2"/>
  <c r="BZ107" i="2"/>
  <c r="BY107" i="2"/>
  <c r="BX107" i="2"/>
  <c r="BW107" i="2"/>
  <c r="BV107" i="2"/>
  <c r="BU107" i="2" a="1"/>
  <c r="BU107" i="2" s="1"/>
  <c r="BT107" i="2"/>
  <c r="BS107" i="2"/>
  <c r="BR107" i="2"/>
  <c r="BQ107" i="2"/>
  <c r="BP107" i="2"/>
  <c r="BO107" i="2"/>
  <c r="BN107" i="2"/>
  <c r="BM107" i="2"/>
  <c r="BL107" i="2"/>
  <c r="BK107" i="2"/>
  <c r="BJ107" i="2"/>
  <c r="BI107" i="2"/>
  <c r="BH107" i="2"/>
  <c r="BG107" i="2"/>
  <c r="BF107" i="2"/>
  <c r="BE107" i="2"/>
  <c r="BD107" i="2"/>
  <c r="BC107" i="2"/>
  <c r="BB107" i="2"/>
  <c r="BA107" i="2"/>
  <c r="AZ107" i="2"/>
  <c r="AY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DC106" i="2" a="1"/>
  <c r="DC106" i="2" s="1"/>
  <c r="DD106" i="2" s="1"/>
  <c r="I101" i="5" s="1"/>
  <c r="DB106" i="2"/>
  <c r="DA106" i="2"/>
  <c r="CZ106" i="2"/>
  <c r="CY106" i="2"/>
  <c r="CX106" i="2"/>
  <c r="CW106" i="2"/>
  <c r="CV106" i="2"/>
  <c r="CU106" i="2"/>
  <c r="CT106" i="2"/>
  <c r="CS106" i="2"/>
  <c r="CQ106" i="2" a="1"/>
  <c r="CQ106" i="2" s="1"/>
  <c r="CR106" i="2" s="1"/>
  <c r="CP106" i="2"/>
  <c r="CO106" i="2"/>
  <c r="CN106" i="2"/>
  <c r="CM106" i="2"/>
  <c r="CL106" i="2"/>
  <c r="CK106" i="2"/>
  <c r="CJ106" i="2"/>
  <c r="CI106" i="2"/>
  <c r="CH106" i="2"/>
  <c r="CG106" i="2"/>
  <c r="CF106" i="2"/>
  <c r="CE106" i="2"/>
  <c r="CD106" i="2"/>
  <c r="CC106" i="2"/>
  <c r="CB106" i="2"/>
  <c r="CA106" i="2"/>
  <c r="BZ106" i="2"/>
  <c r="BY106" i="2"/>
  <c r="BX106" i="2"/>
  <c r="BW106" i="2"/>
  <c r="BU106" i="2" a="1"/>
  <c r="BU106" i="2"/>
  <c r="BV106" i="2" s="1"/>
  <c r="BT106" i="2"/>
  <c r="BS106" i="2"/>
  <c r="BR106" i="2"/>
  <c r="BQ106" i="2"/>
  <c r="BP106" i="2"/>
  <c r="BO106" i="2"/>
  <c r="BN106" i="2"/>
  <c r="BM106" i="2"/>
  <c r="BL106" i="2"/>
  <c r="BK106" i="2"/>
  <c r="BJ106" i="2"/>
  <c r="BI106" i="2"/>
  <c r="BH106" i="2"/>
  <c r="BG106" i="2"/>
  <c r="BF106" i="2"/>
  <c r="BE106" i="2"/>
  <c r="BD106" i="2"/>
  <c r="BC106" i="2"/>
  <c r="BB106" i="2"/>
  <c r="BA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DC105" i="2" a="1"/>
  <c r="DC105" i="2"/>
  <c r="DD105" i="2" s="1"/>
  <c r="DB105" i="2"/>
  <c r="DA105" i="2"/>
  <c r="CZ105" i="2"/>
  <c r="CY105" i="2"/>
  <c r="CX105" i="2"/>
  <c r="CW105" i="2"/>
  <c r="CV105" i="2"/>
  <c r="CU105" i="2"/>
  <c r="CT105" i="2"/>
  <c r="CS105" i="2"/>
  <c r="CQ105" i="2" a="1"/>
  <c r="CQ105" i="2"/>
  <c r="CR105" i="2" s="1"/>
  <c r="H100" i="5" s="1"/>
  <c r="CP105" i="2"/>
  <c r="CO105" i="2"/>
  <c r="CN105" i="2"/>
  <c r="CM105" i="2"/>
  <c r="CL105" i="2"/>
  <c r="CK105" i="2"/>
  <c r="CJ105" i="2"/>
  <c r="CI105" i="2"/>
  <c r="CH105" i="2"/>
  <c r="CG105" i="2"/>
  <c r="CF105" i="2"/>
  <c r="CE105" i="2"/>
  <c r="CD105" i="2"/>
  <c r="CC105" i="2"/>
  <c r="CB105" i="2"/>
  <c r="CA105" i="2"/>
  <c r="BZ105" i="2"/>
  <c r="BY105" i="2"/>
  <c r="BX105" i="2"/>
  <c r="BW105" i="2"/>
  <c r="BU105" i="2" a="1"/>
  <c r="BU105" i="2"/>
  <c r="BV105" i="2" s="1"/>
  <c r="BT105" i="2"/>
  <c r="BS105" i="2"/>
  <c r="BR105" i="2"/>
  <c r="BQ105" i="2"/>
  <c r="BP105" i="2"/>
  <c r="BO105" i="2"/>
  <c r="BN105" i="2"/>
  <c r="BM105" i="2"/>
  <c r="BL105" i="2"/>
  <c r="BK105" i="2"/>
  <c r="BJ105" i="2"/>
  <c r="BI105" i="2"/>
  <c r="BH105" i="2"/>
  <c r="BG105" i="2"/>
  <c r="BF105" i="2"/>
  <c r="BE105" i="2"/>
  <c r="BD105" i="2"/>
  <c r="BC105" i="2"/>
  <c r="BB105" i="2"/>
  <c r="BA105" i="2"/>
  <c r="AZ105" i="2"/>
  <c r="AY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DC104" i="2" a="1"/>
  <c r="DC104" i="2" s="1"/>
  <c r="DD104" i="2" s="1"/>
  <c r="I99" i="5" s="1"/>
  <c r="DB104" i="2"/>
  <c r="DA104" i="2"/>
  <c r="CZ104" i="2"/>
  <c r="CY104" i="2"/>
  <c r="CX104" i="2"/>
  <c r="CW104" i="2"/>
  <c r="CV104" i="2"/>
  <c r="CU104" i="2"/>
  <c r="CT104" i="2"/>
  <c r="CS104" i="2"/>
  <c r="CQ104" i="2" a="1"/>
  <c r="CQ104" i="2" s="1"/>
  <c r="CR104" i="2" s="1"/>
  <c r="CP104" i="2"/>
  <c r="CO104" i="2"/>
  <c r="CN104" i="2"/>
  <c r="CM104" i="2"/>
  <c r="CL104" i="2"/>
  <c r="CK104" i="2"/>
  <c r="CJ104" i="2"/>
  <c r="CI104" i="2"/>
  <c r="CH104" i="2"/>
  <c r="CG104" i="2"/>
  <c r="CF104" i="2"/>
  <c r="CE104" i="2"/>
  <c r="CD104" i="2"/>
  <c r="CC104" i="2"/>
  <c r="CB104" i="2"/>
  <c r="CA104" i="2"/>
  <c r="BZ104" i="2"/>
  <c r="BY104" i="2"/>
  <c r="BX104" i="2"/>
  <c r="BW104" i="2"/>
  <c r="BU104" i="2" a="1"/>
  <c r="BU104" i="2" s="1"/>
  <c r="BV104" i="2" s="1"/>
  <c r="BT104" i="2"/>
  <c r="BS104" i="2"/>
  <c r="BR104" i="2"/>
  <c r="BQ104" i="2"/>
  <c r="BP104" i="2"/>
  <c r="BO104" i="2"/>
  <c r="BN104" i="2"/>
  <c r="BM104" i="2"/>
  <c r="BL104" i="2"/>
  <c r="BK104" i="2"/>
  <c r="BJ104" i="2"/>
  <c r="BI104" i="2"/>
  <c r="BH104" i="2"/>
  <c r="BG104" i="2"/>
  <c r="BF104" i="2"/>
  <c r="BE104" i="2"/>
  <c r="BD104" i="2"/>
  <c r="BC104" i="2"/>
  <c r="BB104" i="2"/>
  <c r="BA104" i="2"/>
  <c r="AZ104" i="2"/>
  <c r="AY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DD103" i="2"/>
  <c r="DC103" i="2" a="1"/>
  <c r="DC103" i="2" s="1"/>
  <c r="DB103" i="2"/>
  <c r="DA103" i="2"/>
  <c r="CZ103" i="2"/>
  <c r="CY103" i="2"/>
  <c r="CX103" i="2"/>
  <c r="CW103" i="2"/>
  <c r="CV103" i="2"/>
  <c r="CU103" i="2"/>
  <c r="CT103" i="2"/>
  <c r="CS103" i="2"/>
  <c r="CQ103" i="2" a="1"/>
  <c r="CQ103" i="2" s="1"/>
  <c r="CR103" i="2" s="1"/>
  <c r="CP103" i="2"/>
  <c r="CO103" i="2"/>
  <c r="CN103" i="2"/>
  <c r="CM103" i="2"/>
  <c r="CL103" i="2"/>
  <c r="CK103" i="2"/>
  <c r="CJ103" i="2"/>
  <c r="CI103" i="2"/>
  <c r="CH103" i="2"/>
  <c r="CG103" i="2"/>
  <c r="CF103" i="2"/>
  <c r="CE103" i="2"/>
  <c r="CD103" i="2"/>
  <c r="CC103" i="2"/>
  <c r="CB103" i="2"/>
  <c r="CA103" i="2"/>
  <c r="BZ103" i="2"/>
  <c r="BY103" i="2"/>
  <c r="BX103" i="2"/>
  <c r="BW103" i="2"/>
  <c r="BV103" i="2"/>
  <c r="BU103" i="2" a="1"/>
  <c r="BU103" i="2"/>
  <c r="BT103" i="2"/>
  <c r="BS103" i="2"/>
  <c r="BR103" i="2"/>
  <c r="BQ103" i="2"/>
  <c r="BP103" i="2"/>
  <c r="BO103" i="2"/>
  <c r="BN103" i="2"/>
  <c r="BM103" i="2"/>
  <c r="BL103" i="2"/>
  <c r="BK103" i="2"/>
  <c r="BJ103" i="2"/>
  <c r="BI103" i="2"/>
  <c r="BH103" i="2"/>
  <c r="BG103" i="2"/>
  <c r="BF103" i="2"/>
  <c r="BE103" i="2"/>
  <c r="BD103" i="2"/>
  <c r="BC103" i="2"/>
  <c r="BB103" i="2"/>
  <c r="BA103" i="2"/>
  <c r="AZ103" i="2"/>
  <c r="AY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DD102" i="2"/>
  <c r="DC102" i="2" a="1"/>
  <c r="DC102" i="2" s="1"/>
  <c r="DB102" i="2"/>
  <c r="DA102" i="2"/>
  <c r="CZ102" i="2"/>
  <c r="CY102" i="2"/>
  <c r="CX102" i="2"/>
  <c r="CW102" i="2"/>
  <c r="CV102" i="2"/>
  <c r="CU102" i="2"/>
  <c r="CT102" i="2"/>
  <c r="CS102" i="2"/>
  <c r="CR102" i="2"/>
  <c r="CQ102" i="2" a="1"/>
  <c r="CQ102" i="2"/>
  <c r="CP102" i="2"/>
  <c r="CO102" i="2"/>
  <c r="CN102" i="2"/>
  <c r="CM102" i="2"/>
  <c r="CL102" i="2"/>
  <c r="CK102" i="2"/>
  <c r="CJ102" i="2"/>
  <c r="CI102" i="2"/>
  <c r="CH102" i="2"/>
  <c r="CG102" i="2"/>
  <c r="CF102" i="2"/>
  <c r="CE102" i="2"/>
  <c r="CD102" i="2"/>
  <c r="CC102" i="2"/>
  <c r="CB102" i="2"/>
  <c r="CA102" i="2"/>
  <c r="BZ102" i="2"/>
  <c r="BY102" i="2"/>
  <c r="BX102" i="2"/>
  <c r="BW102" i="2"/>
  <c r="BU102" i="2" a="1"/>
  <c r="BU102" i="2" s="1"/>
  <c r="BV102" i="2" s="1"/>
  <c r="F97" i="5" s="1"/>
  <c r="BT102" i="2"/>
  <c r="BS102" i="2"/>
  <c r="BR102" i="2"/>
  <c r="BQ102" i="2"/>
  <c r="BP102" i="2"/>
  <c r="BO102" i="2"/>
  <c r="BN102" i="2"/>
  <c r="BM102" i="2"/>
  <c r="BL102" i="2"/>
  <c r="BK102" i="2"/>
  <c r="BJ102" i="2"/>
  <c r="BI102" i="2"/>
  <c r="BH102" i="2"/>
  <c r="BG102" i="2"/>
  <c r="BF102" i="2"/>
  <c r="BE102" i="2"/>
  <c r="BD102" i="2"/>
  <c r="BC102" i="2"/>
  <c r="BB102" i="2"/>
  <c r="BA102" i="2"/>
  <c r="AZ102" i="2"/>
  <c r="AY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DF101" i="2"/>
  <c r="DC101" i="2" a="1"/>
  <c r="DC101" i="2"/>
  <c r="DD101" i="2" s="1"/>
  <c r="DB101" i="2"/>
  <c r="DA101" i="2"/>
  <c r="CZ101" i="2"/>
  <c r="CY101" i="2"/>
  <c r="CX101" i="2"/>
  <c r="CW101" i="2"/>
  <c r="CV101" i="2"/>
  <c r="CU101" i="2"/>
  <c r="CT101" i="2"/>
  <c r="CS101" i="2"/>
  <c r="CQ101" i="2" a="1"/>
  <c r="CQ101" i="2" s="1"/>
  <c r="CR101" i="2" s="1"/>
  <c r="H96" i="5" s="1"/>
  <c r="CP101" i="2"/>
  <c r="CO101" i="2"/>
  <c r="CN101" i="2"/>
  <c r="CM101" i="2"/>
  <c r="CL101" i="2"/>
  <c r="CK101" i="2"/>
  <c r="CJ101" i="2"/>
  <c r="CI101" i="2"/>
  <c r="CH101" i="2"/>
  <c r="CG101" i="2"/>
  <c r="CF101" i="2"/>
  <c r="CE101" i="2"/>
  <c r="CD101" i="2"/>
  <c r="CC101" i="2"/>
  <c r="CB101" i="2"/>
  <c r="CA101" i="2"/>
  <c r="BZ101" i="2"/>
  <c r="BY101" i="2"/>
  <c r="BX101" i="2"/>
  <c r="BW101" i="2"/>
  <c r="BU101" i="2" a="1"/>
  <c r="BU101" i="2"/>
  <c r="BV101" i="2" s="1"/>
  <c r="BT101" i="2"/>
  <c r="BS101" i="2"/>
  <c r="BR101" i="2"/>
  <c r="BQ101" i="2"/>
  <c r="BP101" i="2"/>
  <c r="BO101" i="2"/>
  <c r="BN101" i="2"/>
  <c r="BM101" i="2"/>
  <c r="BL101" i="2"/>
  <c r="BK101" i="2"/>
  <c r="BJ101" i="2"/>
  <c r="BI101" i="2"/>
  <c r="BH101" i="2"/>
  <c r="BG101" i="2"/>
  <c r="BF101" i="2"/>
  <c r="BE101" i="2"/>
  <c r="BD101" i="2"/>
  <c r="BC101" i="2"/>
  <c r="BB101" i="2"/>
  <c r="BA101" i="2"/>
  <c r="AZ101" i="2"/>
  <c r="AY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DC100" i="2" a="1"/>
  <c r="DC100" i="2" s="1"/>
  <c r="DD100" i="2" s="1"/>
  <c r="DB100" i="2"/>
  <c r="DA100" i="2"/>
  <c r="CZ100" i="2"/>
  <c r="CY100" i="2"/>
  <c r="CX100" i="2"/>
  <c r="CW100" i="2"/>
  <c r="CV100" i="2"/>
  <c r="CU100" i="2"/>
  <c r="CT100" i="2"/>
  <c r="CS100" i="2"/>
  <c r="CQ100" i="2" a="1"/>
  <c r="CQ100" i="2"/>
  <c r="CR100" i="2" s="1"/>
  <c r="CP100" i="2"/>
  <c r="CO100" i="2"/>
  <c r="CN100" i="2"/>
  <c r="CM100" i="2"/>
  <c r="CL100" i="2"/>
  <c r="CK100" i="2"/>
  <c r="CJ100" i="2"/>
  <c r="CI100" i="2"/>
  <c r="CH100" i="2"/>
  <c r="CG100" i="2"/>
  <c r="CF100" i="2"/>
  <c r="CE100" i="2"/>
  <c r="CD100" i="2"/>
  <c r="CC100" i="2"/>
  <c r="CB100" i="2"/>
  <c r="CA100" i="2"/>
  <c r="BZ100" i="2"/>
  <c r="BY100" i="2"/>
  <c r="BX100" i="2"/>
  <c r="BW100" i="2"/>
  <c r="BV100" i="2"/>
  <c r="F95" i="5" s="1"/>
  <c r="BU100" i="2" a="1"/>
  <c r="BU100" i="2" s="1"/>
  <c r="BT100" i="2"/>
  <c r="BS100" i="2"/>
  <c r="BR100" i="2"/>
  <c r="BQ100" i="2"/>
  <c r="BP100" i="2"/>
  <c r="BO100" i="2"/>
  <c r="BN100" i="2"/>
  <c r="BM100" i="2"/>
  <c r="BL100" i="2"/>
  <c r="BK100" i="2"/>
  <c r="BJ100" i="2"/>
  <c r="BI100" i="2"/>
  <c r="BH100" i="2"/>
  <c r="BG100" i="2"/>
  <c r="BF100" i="2"/>
  <c r="BE100" i="2"/>
  <c r="BD100" i="2"/>
  <c r="BC100" i="2"/>
  <c r="BB100" i="2"/>
  <c r="BA100" i="2"/>
  <c r="AZ100" i="2"/>
  <c r="AY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DC99" i="2" a="1"/>
  <c r="DC99" i="2"/>
  <c r="DD99" i="2" s="1"/>
  <c r="DB99" i="2"/>
  <c r="DA99" i="2"/>
  <c r="CZ99" i="2"/>
  <c r="CY99" i="2"/>
  <c r="CX99" i="2"/>
  <c r="CW99" i="2"/>
  <c r="CV99" i="2"/>
  <c r="CU99" i="2"/>
  <c r="CT99" i="2"/>
  <c r="CS99" i="2"/>
  <c r="CQ99" i="2" a="1"/>
  <c r="CQ99" i="2" s="1"/>
  <c r="CR99" i="2" s="1"/>
  <c r="CP99" i="2"/>
  <c r="CO99" i="2"/>
  <c r="CN99" i="2"/>
  <c r="CM99" i="2"/>
  <c r="CL99" i="2"/>
  <c r="CK99" i="2"/>
  <c r="CJ99" i="2"/>
  <c r="CI99" i="2"/>
  <c r="CH99" i="2"/>
  <c r="CG99" i="2"/>
  <c r="CF99" i="2"/>
  <c r="CE99" i="2"/>
  <c r="CD99" i="2"/>
  <c r="CC99" i="2"/>
  <c r="CB99" i="2"/>
  <c r="CA99" i="2"/>
  <c r="BZ99" i="2"/>
  <c r="BY99" i="2"/>
  <c r="BX99" i="2"/>
  <c r="BW99" i="2"/>
  <c r="BV99" i="2"/>
  <c r="BU99" i="2" a="1"/>
  <c r="BU99" i="2" s="1"/>
  <c r="BT99" i="2"/>
  <c r="BS99" i="2"/>
  <c r="BR99" i="2"/>
  <c r="BQ99" i="2"/>
  <c r="BP99" i="2"/>
  <c r="BO99" i="2"/>
  <c r="BN99" i="2"/>
  <c r="BM99" i="2"/>
  <c r="BL99" i="2"/>
  <c r="BK99" i="2"/>
  <c r="BJ99" i="2"/>
  <c r="BI99" i="2"/>
  <c r="BH99" i="2"/>
  <c r="BG99" i="2"/>
  <c r="BF99" i="2"/>
  <c r="BE99" i="2"/>
  <c r="BD99" i="2"/>
  <c r="BC99" i="2"/>
  <c r="BB99" i="2"/>
  <c r="BA99" i="2"/>
  <c r="AZ99" i="2"/>
  <c r="AY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DG98" i="2"/>
  <c r="DC98" i="2" a="1"/>
  <c r="DC98" i="2" s="1"/>
  <c r="DD98" i="2" s="1"/>
  <c r="I93" i="5" s="1"/>
  <c r="DB98" i="2"/>
  <c r="DA98" i="2"/>
  <c r="CZ98" i="2"/>
  <c r="CY98" i="2"/>
  <c r="CX98" i="2"/>
  <c r="CW98" i="2"/>
  <c r="CV98" i="2"/>
  <c r="CU98" i="2"/>
  <c r="CT98" i="2"/>
  <c r="CS98" i="2"/>
  <c r="CQ98" i="2" a="1"/>
  <c r="CQ98" i="2" s="1"/>
  <c r="CR98" i="2" s="1"/>
  <c r="CP98" i="2"/>
  <c r="CO98" i="2"/>
  <c r="CN98" i="2"/>
  <c r="CM98" i="2"/>
  <c r="CL98" i="2"/>
  <c r="CK98" i="2"/>
  <c r="CJ98" i="2"/>
  <c r="CI98" i="2"/>
  <c r="CH98" i="2"/>
  <c r="CG98" i="2"/>
  <c r="CF98" i="2"/>
  <c r="CE98" i="2"/>
  <c r="CD98" i="2"/>
  <c r="CC98" i="2"/>
  <c r="CB98" i="2"/>
  <c r="CA98" i="2"/>
  <c r="BZ98" i="2"/>
  <c r="BY98" i="2"/>
  <c r="BX98" i="2"/>
  <c r="BW98" i="2"/>
  <c r="BU98" i="2" a="1"/>
  <c r="BU98" i="2" s="1"/>
  <c r="BV98" i="2" s="1"/>
  <c r="BT98" i="2"/>
  <c r="BS98" i="2"/>
  <c r="BR98" i="2"/>
  <c r="BQ98" i="2"/>
  <c r="BP98" i="2"/>
  <c r="BO98" i="2"/>
  <c r="BN98" i="2"/>
  <c r="BM98" i="2"/>
  <c r="BL98" i="2"/>
  <c r="BK98" i="2"/>
  <c r="BJ98" i="2"/>
  <c r="BI98" i="2"/>
  <c r="BH98" i="2"/>
  <c r="BG98" i="2"/>
  <c r="BF98" i="2"/>
  <c r="BE98" i="2"/>
  <c r="BD98" i="2"/>
  <c r="BC98" i="2"/>
  <c r="BB98" i="2"/>
  <c r="BA98" i="2"/>
  <c r="AZ98" i="2"/>
  <c r="AY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DC97" i="2" a="1"/>
  <c r="DC97" i="2"/>
  <c r="DD97" i="2" s="1"/>
  <c r="I92" i="5" s="1"/>
  <c r="DB97" i="2"/>
  <c r="DA97" i="2"/>
  <c r="CZ97" i="2"/>
  <c r="CY97" i="2"/>
  <c r="CX97" i="2"/>
  <c r="CW97" i="2"/>
  <c r="CV97" i="2"/>
  <c r="CU97" i="2"/>
  <c r="CT97" i="2"/>
  <c r="CS97" i="2"/>
  <c r="CQ97" i="2" a="1"/>
  <c r="CQ97" i="2" s="1"/>
  <c r="CR97" i="2" s="1"/>
  <c r="CP97" i="2"/>
  <c r="CO97" i="2"/>
  <c r="CN97" i="2"/>
  <c r="CM97" i="2"/>
  <c r="CL97" i="2"/>
  <c r="CK97" i="2"/>
  <c r="CJ97" i="2"/>
  <c r="CI97" i="2"/>
  <c r="CH97" i="2"/>
  <c r="CG97" i="2"/>
  <c r="CF97" i="2"/>
  <c r="CE97" i="2"/>
  <c r="CD97" i="2"/>
  <c r="CC97" i="2"/>
  <c r="CB97" i="2"/>
  <c r="CA97" i="2"/>
  <c r="BZ97" i="2"/>
  <c r="BY97" i="2"/>
  <c r="BX97" i="2"/>
  <c r="BW97" i="2"/>
  <c r="BU97" i="2" a="1"/>
  <c r="BU97" i="2" s="1"/>
  <c r="BV97" i="2" s="1"/>
  <c r="BT97" i="2"/>
  <c r="BS97" i="2"/>
  <c r="BR97" i="2"/>
  <c r="BQ97" i="2"/>
  <c r="BP97" i="2"/>
  <c r="BO97" i="2"/>
  <c r="BN97" i="2"/>
  <c r="BM97" i="2"/>
  <c r="BL97" i="2"/>
  <c r="BK97" i="2"/>
  <c r="BJ97" i="2"/>
  <c r="BI97" i="2"/>
  <c r="BH97" i="2"/>
  <c r="BG97" i="2"/>
  <c r="BF97" i="2"/>
  <c r="BE97" i="2"/>
  <c r="BD97" i="2"/>
  <c r="BC97" i="2"/>
  <c r="BB97" i="2"/>
  <c r="BA97" i="2"/>
  <c r="AZ97" i="2"/>
  <c r="AY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K97" i="2"/>
  <c r="AJ97" i="2"/>
  <c r="AI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DF96" i="2"/>
  <c r="DD96" i="2"/>
  <c r="I91" i="5" s="1"/>
  <c r="DC96" i="2" a="1"/>
  <c r="DC96" i="2" s="1"/>
  <c r="DB96" i="2"/>
  <c r="DA96" i="2"/>
  <c r="CZ96" i="2"/>
  <c r="CY96" i="2"/>
  <c r="CX96" i="2"/>
  <c r="CW96" i="2"/>
  <c r="CV96" i="2"/>
  <c r="CU96" i="2"/>
  <c r="CT96" i="2"/>
  <c r="CS96" i="2"/>
  <c r="CQ96" i="2" a="1"/>
  <c r="CQ96" i="2"/>
  <c r="CR96" i="2" s="1"/>
  <c r="H91" i="5" s="1"/>
  <c r="CP96" i="2"/>
  <c r="CO96" i="2"/>
  <c r="CN96" i="2"/>
  <c r="CM96" i="2"/>
  <c r="CL96" i="2"/>
  <c r="CK96" i="2"/>
  <c r="CJ96" i="2"/>
  <c r="CI96" i="2"/>
  <c r="CH96" i="2"/>
  <c r="CG96" i="2"/>
  <c r="CF96" i="2"/>
  <c r="CE96" i="2"/>
  <c r="CD96" i="2"/>
  <c r="CC96" i="2"/>
  <c r="CB96" i="2"/>
  <c r="CA96" i="2"/>
  <c r="BZ96" i="2"/>
  <c r="BY96" i="2"/>
  <c r="BX96" i="2"/>
  <c r="BW96" i="2"/>
  <c r="BU96" i="2" a="1"/>
  <c r="BU96" i="2"/>
  <c r="BV96" i="2" s="1"/>
  <c r="F91" i="5" s="1"/>
  <c r="BT96" i="2"/>
  <c r="BS96" i="2"/>
  <c r="BR96" i="2"/>
  <c r="BQ96" i="2"/>
  <c r="BP96" i="2"/>
  <c r="BO96" i="2"/>
  <c r="BN96" i="2"/>
  <c r="BM96" i="2"/>
  <c r="BL96" i="2"/>
  <c r="BK96" i="2"/>
  <c r="BJ96" i="2"/>
  <c r="BI96" i="2"/>
  <c r="BH96" i="2"/>
  <c r="BG96" i="2"/>
  <c r="BF96" i="2"/>
  <c r="BE96" i="2"/>
  <c r="BD96" i="2"/>
  <c r="BC96" i="2"/>
  <c r="BB96" i="2"/>
  <c r="BA96" i="2"/>
  <c r="AZ96" i="2"/>
  <c r="AY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DC95" i="2" a="1"/>
  <c r="DC95" i="2" s="1"/>
  <c r="DD95" i="2" s="1"/>
  <c r="DB95" i="2"/>
  <c r="DA95" i="2"/>
  <c r="CZ95" i="2"/>
  <c r="CY95" i="2"/>
  <c r="CX95" i="2"/>
  <c r="CW95" i="2"/>
  <c r="CV95" i="2"/>
  <c r="CU95" i="2"/>
  <c r="CT95" i="2"/>
  <c r="CS95" i="2"/>
  <c r="CQ95" i="2" a="1"/>
  <c r="CQ95" i="2" s="1"/>
  <c r="CR95" i="2" s="1"/>
  <c r="CP95" i="2"/>
  <c r="CO95" i="2"/>
  <c r="CN95" i="2"/>
  <c r="CM95" i="2"/>
  <c r="CL95" i="2"/>
  <c r="CK95" i="2"/>
  <c r="CJ95" i="2"/>
  <c r="CI95" i="2"/>
  <c r="CH95" i="2"/>
  <c r="CG95" i="2"/>
  <c r="CF95" i="2"/>
  <c r="CE95" i="2"/>
  <c r="CD95" i="2"/>
  <c r="CC95" i="2"/>
  <c r="CB95" i="2"/>
  <c r="CA95" i="2"/>
  <c r="BZ95" i="2"/>
  <c r="BY95" i="2"/>
  <c r="BX95" i="2"/>
  <c r="BW95" i="2"/>
  <c r="BU95" i="2" a="1"/>
  <c r="BU95" i="2"/>
  <c r="BV95" i="2" s="1"/>
  <c r="BT95" i="2"/>
  <c r="BS95" i="2"/>
  <c r="BR95" i="2"/>
  <c r="BQ95" i="2"/>
  <c r="BP95" i="2"/>
  <c r="BO95" i="2"/>
  <c r="BN95" i="2"/>
  <c r="BM95" i="2"/>
  <c r="BL95" i="2"/>
  <c r="BK95" i="2"/>
  <c r="BJ95" i="2"/>
  <c r="BI95" i="2"/>
  <c r="BH95" i="2"/>
  <c r="BG95" i="2"/>
  <c r="BF95" i="2"/>
  <c r="BE95" i="2"/>
  <c r="BD95" i="2"/>
  <c r="BC95" i="2"/>
  <c r="BB95" i="2"/>
  <c r="BA95" i="2"/>
  <c r="AZ95" i="2"/>
  <c r="AY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DE94" i="2"/>
  <c r="DC94" i="2" a="1"/>
  <c r="DC94" i="2" s="1"/>
  <c r="DD94" i="2" s="1"/>
  <c r="DB94" i="2"/>
  <c r="DA94" i="2"/>
  <c r="CZ94" i="2"/>
  <c r="CY94" i="2"/>
  <c r="CX94" i="2"/>
  <c r="CW94" i="2"/>
  <c r="CV94" i="2"/>
  <c r="CU94" i="2"/>
  <c r="CT94" i="2"/>
  <c r="CS94" i="2"/>
  <c r="CR94" i="2"/>
  <c r="CQ94" i="2" a="1"/>
  <c r="CQ94" i="2"/>
  <c r="CP94" i="2"/>
  <c r="CO94" i="2"/>
  <c r="CN94" i="2"/>
  <c r="CM94" i="2"/>
  <c r="CL94" i="2"/>
  <c r="CK94" i="2"/>
  <c r="CJ94" i="2"/>
  <c r="CI94" i="2"/>
  <c r="CH94" i="2"/>
  <c r="CG94" i="2"/>
  <c r="CF94" i="2"/>
  <c r="CE94" i="2"/>
  <c r="CD94" i="2"/>
  <c r="CC94" i="2"/>
  <c r="CB94" i="2"/>
  <c r="CA94" i="2"/>
  <c r="BZ94" i="2"/>
  <c r="BY94" i="2"/>
  <c r="BX94" i="2"/>
  <c r="BW94" i="2"/>
  <c r="BU94" i="2" a="1"/>
  <c r="BU94" i="2" s="1"/>
  <c r="BV94" i="2" s="1"/>
  <c r="F89" i="5" s="1"/>
  <c r="BT94" i="2"/>
  <c r="BS94" i="2"/>
  <c r="BR94" i="2"/>
  <c r="BQ94" i="2"/>
  <c r="BP94" i="2"/>
  <c r="BO94" i="2"/>
  <c r="BN94" i="2"/>
  <c r="BM94" i="2"/>
  <c r="BL94" i="2"/>
  <c r="BK94" i="2"/>
  <c r="BJ94" i="2"/>
  <c r="BI94" i="2"/>
  <c r="BH94" i="2"/>
  <c r="BG94" i="2"/>
  <c r="BF94" i="2"/>
  <c r="BE94" i="2"/>
  <c r="BD94" i="2"/>
  <c r="BC94" i="2"/>
  <c r="BB94" i="2"/>
  <c r="BA94" i="2"/>
  <c r="AZ94" i="2"/>
  <c r="AY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DF93" i="2"/>
  <c r="DC93" i="2" a="1"/>
  <c r="DC93" i="2" s="1"/>
  <c r="DD93" i="2" s="1"/>
  <c r="DB93" i="2"/>
  <c r="DA93" i="2"/>
  <c r="CZ93" i="2"/>
  <c r="CY93" i="2"/>
  <c r="CX93" i="2"/>
  <c r="CW93" i="2"/>
  <c r="CV93" i="2"/>
  <c r="CU93" i="2"/>
  <c r="CT93" i="2"/>
  <c r="CS93" i="2"/>
  <c r="CQ93" i="2" a="1"/>
  <c r="CQ93" i="2" s="1"/>
  <c r="CR93" i="2" s="1"/>
  <c r="H88" i="5" s="1"/>
  <c r="CP93" i="2"/>
  <c r="CO93" i="2"/>
  <c r="CN93" i="2"/>
  <c r="CM93" i="2"/>
  <c r="CL93" i="2"/>
  <c r="CK93" i="2"/>
  <c r="CJ93" i="2"/>
  <c r="CI93" i="2"/>
  <c r="CH93" i="2"/>
  <c r="CG93" i="2"/>
  <c r="CF93" i="2"/>
  <c r="CE93" i="2"/>
  <c r="CD93" i="2"/>
  <c r="CC93" i="2"/>
  <c r="CB93" i="2"/>
  <c r="CA93" i="2"/>
  <c r="BZ93" i="2"/>
  <c r="BY93" i="2"/>
  <c r="BX93" i="2"/>
  <c r="BW93" i="2"/>
  <c r="BU93" i="2" a="1"/>
  <c r="BU93" i="2"/>
  <c r="BV93" i="2" s="1"/>
  <c r="BT93" i="2"/>
  <c r="BS93" i="2"/>
  <c r="BR93" i="2"/>
  <c r="BQ93" i="2"/>
  <c r="BP93" i="2"/>
  <c r="BO93" i="2"/>
  <c r="BN93" i="2"/>
  <c r="BM93" i="2"/>
  <c r="BL93" i="2"/>
  <c r="BK93" i="2"/>
  <c r="BJ93" i="2"/>
  <c r="BI93" i="2"/>
  <c r="BH93" i="2"/>
  <c r="BG93" i="2"/>
  <c r="BF93" i="2"/>
  <c r="BE93" i="2"/>
  <c r="BD93" i="2"/>
  <c r="BC93" i="2"/>
  <c r="BB93" i="2"/>
  <c r="BA93" i="2"/>
  <c r="AZ93" i="2"/>
  <c r="AY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DC92" i="2" a="1"/>
  <c r="DC92" i="2"/>
  <c r="DD92" i="2" s="1"/>
  <c r="DB92" i="2"/>
  <c r="DA92" i="2"/>
  <c r="CZ92" i="2"/>
  <c r="CY92" i="2"/>
  <c r="CX92" i="2"/>
  <c r="CW92" i="2"/>
  <c r="CV92" i="2"/>
  <c r="CU92" i="2"/>
  <c r="CT92" i="2"/>
  <c r="CS92" i="2"/>
  <c r="CQ92" i="2" a="1"/>
  <c r="CQ92" i="2"/>
  <c r="CR92" i="2" s="1"/>
  <c r="CP92" i="2"/>
  <c r="CO92" i="2"/>
  <c r="CN92" i="2"/>
  <c r="CM92" i="2"/>
  <c r="CL92" i="2"/>
  <c r="CK92" i="2"/>
  <c r="CJ92" i="2"/>
  <c r="CI92" i="2"/>
  <c r="CH92" i="2"/>
  <c r="CG92" i="2"/>
  <c r="CF92" i="2"/>
  <c r="CE92" i="2"/>
  <c r="CD92" i="2"/>
  <c r="CC92" i="2"/>
  <c r="CB92" i="2"/>
  <c r="CA92" i="2"/>
  <c r="BZ92" i="2"/>
  <c r="BY92" i="2"/>
  <c r="BX92" i="2"/>
  <c r="BW92" i="2"/>
  <c r="BU92" i="2" a="1"/>
  <c r="BU92" i="2" s="1"/>
  <c r="BV92" i="2" s="1"/>
  <c r="BT92" i="2"/>
  <c r="BS92" i="2"/>
  <c r="BR92" i="2"/>
  <c r="BQ92" i="2"/>
  <c r="BP92" i="2"/>
  <c r="BO92" i="2"/>
  <c r="BN92" i="2"/>
  <c r="BM92" i="2"/>
  <c r="BL92" i="2"/>
  <c r="BK92" i="2"/>
  <c r="BJ92" i="2"/>
  <c r="BI92" i="2"/>
  <c r="BH92" i="2"/>
  <c r="BG92" i="2"/>
  <c r="BF92" i="2"/>
  <c r="BE92" i="2"/>
  <c r="BD92" i="2"/>
  <c r="BC92" i="2"/>
  <c r="BB92" i="2"/>
  <c r="BA92" i="2"/>
  <c r="AZ92" i="2"/>
  <c r="AY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DC91" i="2" a="1"/>
  <c r="DC91" i="2"/>
  <c r="DD91" i="2" s="1"/>
  <c r="DB91" i="2"/>
  <c r="DA91" i="2"/>
  <c r="CZ91" i="2"/>
  <c r="CY91" i="2"/>
  <c r="CX91" i="2"/>
  <c r="CW91" i="2"/>
  <c r="CV91" i="2"/>
  <c r="CU91" i="2"/>
  <c r="CT91" i="2"/>
  <c r="CS91" i="2"/>
  <c r="CR91" i="2"/>
  <c r="CQ91" i="2" a="1"/>
  <c r="CQ91" i="2" s="1"/>
  <c r="CP91" i="2"/>
  <c r="CO91" i="2"/>
  <c r="CN91" i="2"/>
  <c r="CM91" i="2"/>
  <c r="CL91" i="2"/>
  <c r="CK91" i="2"/>
  <c r="CJ91" i="2"/>
  <c r="CI91" i="2"/>
  <c r="CH91" i="2"/>
  <c r="CG91" i="2"/>
  <c r="CF91" i="2"/>
  <c r="CE91" i="2"/>
  <c r="CD91" i="2"/>
  <c r="CC91" i="2"/>
  <c r="CB91" i="2"/>
  <c r="CA91" i="2"/>
  <c r="BZ91" i="2"/>
  <c r="BY91" i="2"/>
  <c r="BX91" i="2"/>
  <c r="BW91" i="2"/>
  <c r="BV91" i="2"/>
  <c r="BU91" i="2" a="1"/>
  <c r="BU91" i="2" s="1"/>
  <c r="BT91" i="2"/>
  <c r="BS91" i="2"/>
  <c r="BR91" i="2"/>
  <c r="BQ91" i="2"/>
  <c r="BP91" i="2"/>
  <c r="BO91" i="2"/>
  <c r="BN91" i="2"/>
  <c r="BM91" i="2"/>
  <c r="BL91" i="2"/>
  <c r="BK91" i="2"/>
  <c r="BJ91" i="2"/>
  <c r="BI91" i="2"/>
  <c r="BH91" i="2"/>
  <c r="BG91" i="2"/>
  <c r="BF91" i="2"/>
  <c r="BE91" i="2"/>
  <c r="BD91" i="2"/>
  <c r="BC91" i="2"/>
  <c r="BB91" i="2"/>
  <c r="BA91" i="2"/>
  <c r="AZ91" i="2"/>
  <c r="AY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T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DF90" i="2"/>
  <c r="DC90" i="2" a="1"/>
  <c r="DC90" i="2" s="1"/>
  <c r="DD90" i="2" s="1"/>
  <c r="I85" i="5" s="1"/>
  <c r="DB90" i="2"/>
  <c r="DA90" i="2"/>
  <c r="CZ90" i="2"/>
  <c r="CY90" i="2"/>
  <c r="CX90" i="2"/>
  <c r="CW90" i="2"/>
  <c r="CV90" i="2"/>
  <c r="CU90" i="2"/>
  <c r="CT90" i="2"/>
  <c r="CS90" i="2"/>
  <c r="CR90" i="2"/>
  <c r="H85" i="5" s="1"/>
  <c r="CQ90" i="2" a="1"/>
  <c r="CQ90" i="2" s="1"/>
  <c r="CP90" i="2"/>
  <c r="CO90" i="2"/>
  <c r="CN90" i="2"/>
  <c r="CM90" i="2"/>
  <c r="CL90" i="2"/>
  <c r="CK90" i="2"/>
  <c r="CJ90" i="2"/>
  <c r="CI90" i="2"/>
  <c r="CH90" i="2"/>
  <c r="CG90" i="2"/>
  <c r="CF90" i="2"/>
  <c r="CE90" i="2"/>
  <c r="CD90" i="2"/>
  <c r="CC90" i="2"/>
  <c r="CB90" i="2"/>
  <c r="CA90" i="2"/>
  <c r="BZ90" i="2"/>
  <c r="BY90" i="2"/>
  <c r="BX90" i="2"/>
  <c r="BW90" i="2"/>
  <c r="BU90" i="2" a="1"/>
  <c r="BU90" i="2"/>
  <c r="BV90" i="2" s="1"/>
  <c r="BT90" i="2"/>
  <c r="BS90" i="2"/>
  <c r="BR90" i="2"/>
  <c r="BQ90" i="2"/>
  <c r="BP90" i="2"/>
  <c r="BO90" i="2"/>
  <c r="BN90" i="2"/>
  <c r="BM90" i="2"/>
  <c r="BL90" i="2"/>
  <c r="BK90" i="2"/>
  <c r="BJ90" i="2"/>
  <c r="BI90" i="2"/>
  <c r="BH90" i="2"/>
  <c r="BG90" i="2"/>
  <c r="BF90" i="2"/>
  <c r="BE90" i="2"/>
  <c r="BD90" i="2"/>
  <c r="BC90" i="2"/>
  <c r="BB90" i="2"/>
  <c r="BA90" i="2"/>
  <c r="AZ90" i="2"/>
  <c r="AY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DG89" i="2"/>
  <c r="DC89" i="2" a="1"/>
  <c r="DC89" i="2"/>
  <c r="DD89" i="2" s="1"/>
  <c r="I84" i="5" s="1"/>
  <c r="DB89" i="2"/>
  <c r="DA89" i="2"/>
  <c r="CZ89" i="2"/>
  <c r="CY89" i="2"/>
  <c r="CX89" i="2"/>
  <c r="CW89" i="2"/>
  <c r="CV89" i="2"/>
  <c r="CU89" i="2"/>
  <c r="CT89" i="2"/>
  <c r="CS89" i="2"/>
  <c r="CQ89" i="2" a="1"/>
  <c r="CQ89" i="2" s="1"/>
  <c r="CR89" i="2" s="1"/>
  <c r="CP89" i="2"/>
  <c r="CO89" i="2"/>
  <c r="CN89" i="2"/>
  <c r="CM89" i="2"/>
  <c r="CL89" i="2"/>
  <c r="CK89" i="2"/>
  <c r="CJ89" i="2"/>
  <c r="CI89" i="2"/>
  <c r="CH89" i="2"/>
  <c r="CG89" i="2"/>
  <c r="CF89" i="2"/>
  <c r="CE89" i="2"/>
  <c r="CD89" i="2"/>
  <c r="CC89" i="2"/>
  <c r="CB89" i="2"/>
  <c r="CA89" i="2"/>
  <c r="BZ89" i="2"/>
  <c r="BY89" i="2"/>
  <c r="BX89" i="2"/>
  <c r="BW89" i="2"/>
  <c r="BU89" i="2" a="1"/>
  <c r="BU89" i="2" s="1"/>
  <c r="BV89" i="2" s="1"/>
  <c r="BT89" i="2"/>
  <c r="BS89" i="2"/>
  <c r="BR89" i="2"/>
  <c r="BQ89" i="2"/>
  <c r="BP89" i="2"/>
  <c r="BO89" i="2"/>
  <c r="BN89" i="2"/>
  <c r="BM89" i="2"/>
  <c r="BL89" i="2"/>
  <c r="BK89" i="2"/>
  <c r="BJ89" i="2"/>
  <c r="BI89" i="2"/>
  <c r="BH89" i="2"/>
  <c r="BG89" i="2"/>
  <c r="BF89" i="2"/>
  <c r="BE89" i="2"/>
  <c r="BD89" i="2"/>
  <c r="BC89" i="2"/>
  <c r="BB89" i="2"/>
  <c r="BA89" i="2"/>
  <c r="AZ89" i="2"/>
  <c r="AY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DG88" i="2"/>
  <c r="DD88" i="2"/>
  <c r="I83" i="5" s="1"/>
  <c r="DC88" i="2" a="1"/>
  <c r="DC88" i="2" s="1"/>
  <c r="DB88" i="2"/>
  <c r="DA88" i="2"/>
  <c r="CZ88" i="2"/>
  <c r="CY88" i="2"/>
  <c r="CX88" i="2"/>
  <c r="CW88" i="2"/>
  <c r="CV88" i="2"/>
  <c r="CU88" i="2"/>
  <c r="CT88" i="2"/>
  <c r="CS88" i="2"/>
  <c r="CQ88" i="2" a="1"/>
  <c r="CQ88" i="2" s="1"/>
  <c r="CR88" i="2" s="1"/>
  <c r="CP88" i="2"/>
  <c r="CO88" i="2"/>
  <c r="CN88" i="2"/>
  <c r="CM88" i="2"/>
  <c r="CL88" i="2"/>
  <c r="CK88" i="2"/>
  <c r="CJ88" i="2"/>
  <c r="CI88" i="2"/>
  <c r="CH88" i="2"/>
  <c r="CG88" i="2"/>
  <c r="CF88" i="2"/>
  <c r="CE88" i="2"/>
  <c r="CD88" i="2"/>
  <c r="CC88" i="2"/>
  <c r="CB88" i="2"/>
  <c r="CA88" i="2"/>
  <c r="BZ88" i="2"/>
  <c r="BY88" i="2"/>
  <c r="BX88" i="2"/>
  <c r="BW88" i="2"/>
  <c r="BU88" i="2" a="1"/>
  <c r="BU88" i="2" s="1"/>
  <c r="BV88" i="2" s="1"/>
  <c r="F83" i="5" s="1"/>
  <c r="BT88" i="2"/>
  <c r="BS88" i="2"/>
  <c r="BR88" i="2"/>
  <c r="BQ88" i="2"/>
  <c r="BP88" i="2"/>
  <c r="BO88" i="2"/>
  <c r="BN88" i="2"/>
  <c r="BM88" i="2"/>
  <c r="BL88" i="2"/>
  <c r="BK88" i="2"/>
  <c r="BJ88" i="2"/>
  <c r="BI88" i="2"/>
  <c r="BH88" i="2"/>
  <c r="BG88" i="2"/>
  <c r="BF88" i="2"/>
  <c r="BE88" i="2"/>
  <c r="BD88" i="2"/>
  <c r="BC88" i="2"/>
  <c r="BB88" i="2"/>
  <c r="BA88" i="2"/>
  <c r="AZ88" i="2"/>
  <c r="AY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K88" i="2"/>
  <c r="AJ88" i="2"/>
  <c r="AI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DD87" i="2"/>
  <c r="DC87" i="2" a="1"/>
  <c r="DC87" i="2" s="1"/>
  <c r="DB87" i="2"/>
  <c r="DA87" i="2"/>
  <c r="CZ87" i="2"/>
  <c r="CY87" i="2"/>
  <c r="CX87" i="2"/>
  <c r="CW87" i="2"/>
  <c r="CV87" i="2"/>
  <c r="CU87" i="2"/>
  <c r="CT87" i="2"/>
  <c r="CS87" i="2"/>
  <c r="CQ87" i="2" a="1"/>
  <c r="CQ87" i="2" s="1"/>
  <c r="CR87" i="2" s="1"/>
  <c r="CP87" i="2"/>
  <c r="CO87" i="2"/>
  <c r="CN87" i="2"/>
  <c r="CM87" i="2"/>
  <c r="CL87" i="2"/>
  <c r="CK87" i="2"/>
  <c r="CJ87" i="2"/>
  <c r="CI87" i="2"/>
  <c r="CH87" i="2"/>
  <c r="CG87" i="2"/>
  <c r="CF87" i="2"/>
  <c r="CE87" i="2"/>
  <c r="CD87" i="2"/>
  <c r="CC87" i="2"/>
  <c r="CB87" i="2"/>
  <c r="CA87" i="2"/>
  <c r="BZ87" i="2"/>
  <c r="BY87" i="2"/>
  <c r="BX87" i="2"/>
  <c r="BW87" i="2"/>
  <c r="BU87" i="2" a="1"/>
  <c r="BU87" i="2"/>
  <c r="BV87" i="2" s="1"/>
  <c r="BT87" i="2"/>
  <c r="BS87" i="2"/>
  <c r="BR87" i="2"/>
  <c r="BQ87" i="2"/>
  <c r="BP87" i="2"/>
  <c r="BO87" i="2"/>
  <c r="BN87" i="2"/>
  <c r="BM87" i="2"/>
  <c r="BL87" i="2"/>
  <c r="BK87" i="2"/>
  <c r="BJ87" i="2"/>
  <c r="BI87" i="2"/>
  <c r="BH87" i="2"/>
  <c r="BG87" i="2"/>
  <c r="BF87" i="2"/>
  <c r="BE87" i="2"/>
  <c r="BD87" i="2"/>
  <c r="BC87" i="2"/>
  <c r="BB87" i="2"/>
  <c r="BA87" i="2"/>
  <c r="AZ87" i="2"/>
  <c r="AY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L87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T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DC86" i="2" a="1"/>
  <c r="DC86" i="2"/>
  <c r="DD86" i="2" s="1"/>
  <c r="DB86" i="2"/>
  <c r="DA86" i="2"/>
  <c r="CZ86" i="2"/>
  <c r="CY86" i="2"/>
  <c r="CX86" i="2"/>
  <c r="CW86" i="2"/>
  <c r="CV86" i="2"/>
  <c r="CU86" i="2"/>
  <c r="CT86" i="2"/>
  <c r="CS86" i="2"/>
  <c r="CQ86" i="2" a="1"/>
  <c r="CQ86" i="2"/>
  <c r="CR86" i="2" s="1"/>
  <c r="CP86" i="2"/>
  <c r="CO86" i="2"/>
  <c r="CN86" i="2"/>
  <c r="CM86" i="2"/>
  <c r="CL86" i="2"/>
  <c r="CK86" i="2"/>
  <c r="CJ86" i="2"/>
  <c r="CI86" i="2"/>
  <c r="CH86" i="2"/>
  <c r="CG86" i="2"/>
  <c r="CF86" i="2"/>
  <c r="CE86" i="2"/>
  <c r="CD86" i="2"/>
  <c r="CC86" i="2"/>
  <c r="CB86" i="2"/>
  <c r="CA86" i="2"/>
  <c r="BZ86" i="2"/>
  <c r="BY86" i="2"/>
  <c r="BX86" i="2"/>
  <c r="BW86" i="2"/>
  <c r="BU86" i="2" a="1"/>
  <c r="BU86" i="2" s="1"/>
  <c r="BV86" i="2" s="1"/>
  <c r="F81" i="5" s="1"/>
  <c r="BT86" i="2"/>
  <c r="BS86" i="2"/>
  <c r="BR86" i="2"/>
  <c r="BQ86" i="2"/>
  <c r="BP86" i="2"/>
  <c r="BO86" i="2"/>
  <c r="BN86" i="2"/>
  <c r="BM86" i="2"/>
  <c r="BL86" i="2"/>
  <c r="BK86" i="2"/>
  <c r="BJ86" i="2"/>
  <c r="BI86" i="2"/>
  <c r="BH86" i="2"/>
  <c r="BG86" i="2"/>
  <c r="BF86" i="2"/>
  <c r="BE86" i="2"/>
  <c r="BD86" i="2"/>
  <c r="BC86" i="2"/>
  <c r="BB86" i="2"/>
  <c r="BA86" i="2"/>
  <c r="AZ86" i="2"/>
  <c r="AY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T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DF85" i="2"/>
  <c r="DC85" i="2" a="1"/>
  <c r="DC85" i="2" s="1"/>
  <c r="DD85" i="2" s="1"/>
  <c r="DB85" i="2"/>
  <c r="DA85" i="2"/>
  <c r="CZ85" i="2"/>
  <c r="CY85" i="2"/>
  <c r="CX85" i="2"/>
  <c r="CW85" i="2"/>
  <c r="CV85" i="2"/>
  <c r="CU85" i="2"/>
  <c r="CT85" i="2"/>
  <c r="CS85" i="2"/>
  <c r="CQ85" i="2" a="1"/>
  <c r="CQ85" i="2" s="1"/>
  <c r="CR85" i="2" s="1"/>
  <c r="H80" i="5" s="1"/>
  <c r="CP85" i="2"/>
  <c r="CO85" i="2"/>
  <c r="CN85" i="2"/>
  <c r="CM85" i="2"/>
  <c r="CL85" i="2"/>
  <c r="CK85" i="2"/>
  <c r="CJ85" i="2"/>
  <c r="CI85" i="2"/>
  <c r="CH85" i="2"/>
  <c r="CG85" i="2"/>
  <c r="CF85" i="2"/>
  <c r="CE85" i="2"/>
  <c r="CD85" i="2"/>
  <c r="CC85" i="2"/>
  <c r="CB85" i="2"/>
  <c r="CA85" i="2"/>
  <c r="BZ85" i="2"/>
  <c r="BY85" i="2"/>
  <c r="BX85" i="2"/>
  <c r="BW85" i="2"/>
  <c r="BU85" i="2" a="1"/>
  <c r="BU85" i="2"/>
  <c r="BV85" i="2" s="1"/>
  <c r="BT85" i="2"/>
  <c r="BS85" i="2"/>
  <c r="BR85" i="2"/>
  <c r="BQ85" i="2"/>
  <c r="BP85" i="2"/>
  <c r="BO85" i="2"/>
  <c r="BN85" i="2"/>
  <c r="BM85" i="2"/>
  <c r="BL85" i="2"/>
  <c r="BK85" i="2"/>
  <c r="BJ85" i="2"/>
  <c r="BI85" i="2"/>
  <c r="BH85" i="2"/>
  <c r="BG85" i="2"/>
  <c r="BF85" i="2"/>
  <c r="BE85" i="2"/>
  <c r="BD85" i="2"/>
  <c r="BC85" i="2"/>
  <c r="BB85" i="2"/>
  <c r="BA85" i="2"/>
  <c r="AZ85" i="2"/>
  <c r="AY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T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DC84" i="2" a="1"/>
  <c r="DC84" i="2" s="1"/>
  <c r="DD84" i="2" s="1"/>
  <c r="DB84" i="2"/>
  <c r="DA84" i="2"/>
  <c r="CZ84" i="2"/>
  <c r="CY84" i="2"/>
  <c r="CX84" i="2"/>
  <c r="CW84" i="2"/>
  <c r="CV84" i="2"/>
  <c r="CU84" i="2"/>
  <c r="CT84" i="2"/>
  <c r="CS84" i="2"/>
  <c r="CQ84" i="2" a="1"/>
  <c r="CQ84" i="2"/>
  <c r="CR84" i="2" s="1"/>
  <c r="CP84" i="2"/>
  <c r="CO84" i="2"/>
  <c r="CN84" i="2"/>
  <c r="CM84" i="2"/>
  <c r="CL84" i="2"/>
  <c r="CK84" i="2"/>
  <c r="CJ84" i="2"/>
  <c r="CI84" i="2"/>
  <c r="CH84" i="2"/>
  <c r="CG84" i="2"/>
  <c r="CF84" i="2"/>
  <c r="CE84" i="2"/>
  <c r="CD84" i="2"/>
  <c r="CC84" i="2"/>
  <c r="CB84" i="2"/>
  <c r="CA84" i="2"/>
  <c r="BZ84" i="2"/>
  <c r="BY84" i="2"/>
  <c r="BX84" i="2"/>
  <c r="BW84" i="2"/>
  <c r="BV84" i="2"/>
  <c r="F79" i="5" s="1"/>
  <c r="BU84" i="2" a="1"/>
  <c r="BU84" i="2" s="1"/>
  <c r="BT84" i="2"/>
  <c r="BS84" i="2"/>
  <c r="BR84" i="2"/>
  <c r="BQ84" i="2"/>
  <c r="BP84" i="2"/>
  <c r="BO84" i="2"/>
  <c r="BN84" i="2"/>
  <c r="BM84" i="2"/>
  <c r="BL84" i="2"/>
  <c r="BK84" i="2"/>
  <c r="BJ84" i="2"/>
  <c r="BI84" i="2"/>
  <c r="BH84" i="2"/>
  <c r="BG84" i="2"/>
  <c r="BF84" i="2"/>
  <c r="BE84" i="2"/>
  <c r="BD84" i="2"/>
  <c r="BC84" i="2"/>
  <c r="BB84" i="2"/>
  <c r="BA84" i="2"/>
  <c r="AZ84" i="2"/>
  <c r="AY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DD83" i="2"/>
  <c r="I78" i="5" s="1"/>
  <c r="DC83" i="2" a="1"/>
  <c r="DC83" i="2"/>
  <c r="DB83" i="2"/>
  <c r="DA83" i="2"/>
  <c r="CZ83" i="2"/>
  <c r="CY83" i="2"/>
  <c r="CX83" i="2"/>
  <c r="CW83" i="2"/>
  <c r="CV83" i="2"/>
  <c r="CU83" i="2"/>
  <c r="CT83" i="2"/>
  <c r="CS83" i="2"/>
  <c r="CR83" i="2"/>
  <c r="CQ83" i="2" a="1"/>
  <c r="CQ83" i="2" s="1"/>
  <c r="CP83" i="2"/>
  <c r="CO83" i="2"/>
  <c r="CN83" i="2"/>
  <c r="CM83" i="2"/>
  <c r="CL83" i="2"/>
  <c r="CK83" i="2"/>
  <c r="CJ83" i="2"/>
  <c r="CI83" i="2"/>
  <c r="CH83" i="2"/>
  <c r="CG83" i="2"/>
  <c r="CF83" i="2"/>
  <c r="CE83" i="2"/>
  <c r="CD83" i="2"/>
  <c r="CC83" i="2"/>
  <c r="CB83" i="2"/>
  <c r="CA83" i="2"/>
  <c r="BZ83" i="2"/>
  <c r="BY83" i="2"/>
  <c r="BX83" i="2"/>
  <c r="BW83" i="2"/>
  <c r="BU83" i="2" a="1"/>
  <c r="BU83" i="2" s="1"/>
  <c r="BV83" i="2" s="1"/>
  <c r="BT83" i="2"/>
  <c r="BS83" i="2"/>
  <c r="BR83" i="2"/>
  <c r="BQ83" i="2"/>
  <c r="BP83" i="2"/>
  <c r="BO83" i="2"/>
  <c r="BN83" i="2"/>
  <c r="BM83" i="2"/>
  <c r="BL83" i="2"/>
  <c r="BK83" i="2"/>
  <c r="BJ83" i="2"/>
  <c r="BI83" i="2"/>
  <c r="BH83" i="2"/>
  <c r="BG83" i="2"/>
  <c r="BF83" i="2"/>
  <c r="BE83" i="2"/>
  <c r="BD83" i="2"/>
  <c r="BC83" i="2"/>
  <c r="BB83" i="2"/>
  <c r="BA83" i="2"/>
  <c r="AZ83" i="2"/>
  <c r="AY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DG82" i="2"/>
  <c r="DC82" i="2" a="1"/>
  <c r="DC82" i="2" s="1"/>
  <c r="DD82" i="2" s="1"/>
  <c r="I77" i="5" s="1"/>
  <c r="DB82" i="2"/>
  <c r="DA82" i="2"/>
  <c r="CZ82" i="2"/>
  <c r="CY82" i="2"/>
  <c r="CX82" i="2"/>
  <c r="CW82" i="2"/>
  <c r="CV82" i="2"/>
  <c r="CU82" i="2"/>
  <c r="CT82" i="2"/>
  <c r="CS82" i="2"/>
  <c r="CR82" i="2"/>
  <c r="H77" i="5" s="1"/>
  <c r="CQ82" i="2" a="1"/>
  <c r="CQ82" i="2"/>
  <c r="CP82" i="2"/>
  <c r="CO82" i="2"/>
  <c r="CN82" i="2"/>
  <c r="CM82" i="2"/>
  <c r="CL82" i="2"/>
  <c r="CK82" i="2"/>
  <c r="CJ82" i="2"/>
  <c r="CI82" i="2"/>
  <c r="CH82" i="2"/>
  <c r="CG82" i="2"/>
  <c r="CF82" i="2"/>
  <c r="CE82" i="2"/>
  <c r="CD82" i="2"/>
  <c r="CC82" i="2"/>
  <c r="CB82" i="2"/>
  <c r="CA82" i="2"/>
  <c r="BZ82" i="2"/>
  <c r="BY82" i="2"/>
  <c r="BX82" i="2"/>
  <c r="BW82" i="2"/>
  <c r="BU82" i="2" a="1"/>
  <c r="BU82" i="2" s="1"/>
  <c r="BV82" i="2" s="1"/>
  <c r="F77" i="5" s="1"/>
  <c r="BT82" i="2"/>
  <c r="BS82" i="2"/>
  <c r="BR82" i="2"/>
  <c r="BQ82" i="2"/>
  <c r="BP82" i="2"/>
  <c r="BO82" i="2"/>
  <c r="BN82" i="2"/>
  <c r="BM82" i="2"/>
  <c r="BL82" i="2"/>
  <c r="BK82" i="2"/>
  <c r="BJ82" i="2"/>
  <c r="BI82" i="2"/>
  <c r="BH82" i="2"/>
  <c r="BG82" i="2"/>
  <c r="BF82" i="2"/>
  <c r="BE82" i="2"/>
  <c r="BD82" i="2"/>
  <c r="BC82" i="2"/>
  <c r="BB82" i="2"/>
  <c r="BA82" i="2"/>
  <c r="AZ82" i="2"/>
  <c r="AY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DC81" i="2" a="1"/>
  <c r="DC81" i="2"/>
  <c r="DD81" i="2" s="1"/>
  <c r="DB81" i="2"/>
  <c r="DA81" i="2"/>
  <c r="CZ81" i="2"/>
  <c r="CY81" i="2"/>
  <c r="CX81" i="2"/>
  <c r="CW81" i="2"/>
  <c r="CV81" i="2"/>
  <c r="CU81" i="2"/>
  <c r="CT81" i="2"/>
  <c r="CS81" i="2"/>
  <c r="CQ81" i="2" a="1"/>
  <c r="CQ81" i="2"/>
  <c r="CR81" i="2" s="1"/>
  <c r="CP81" i="2"/>
  <c r="CO81" i="2"/>
  <c r="CN81" i="2"/>
  <c r="CM81" i="2"/>
  <c r="CL81" i="2"/>
  <c r="CK81" i="2"/>
  <c r="CJ81" i="2"/>
  <c r="CI81" i="2"/>
  <c r="CH81" i="2"/>
  <c r="CG81" i="2"/>
  <c r="CF81" i="2"/>
  <c r="CE81" i="2"/>
  <c r="CD81" i="2"/>
  <c r="CC81" i="2"/>
  <c r="CB81" i="2"/>
  <c r="CA81" i="2"/>
  <c r="BZ81" i="2"/>
  <c r="BY81" i="2"/>
  <c r="BX81" i="2"/>
  <c r="BW81" i="2"/>
  <c r="BU81" i="2" a="1"/>
  <c r="BU81" i="2" s="1"/>
  <c r="BV81" i="2" s="1"/>
  <c r="BT81" i="2"/>
  <c r="BS81" i="2"/>
  <c r="BR81" i="2"/>
  <c r="BQ81" i="2"/>
  <c r="BP81" i="2"/>
  <c r="BO81" i="2"/>
  <c r="BN81" i="2"/>
  <c r="BM81" i="2"/>
  <c r="BL81" i="2"/>
  <c r="BK81" i="2"/>
  <c r="BJ81" i="2"/>
  <c r="BI81" i="2"/>
  <c r="BH81" i="2"/>
  <c r="BG81" i="2"/>
  <c r="BF81" i="2"/>
  <c r="BE81" i="2"/>
  <c r="BD81" i="2"/>
  <c r="BC81" i="2"/>
  <c r="BB81" i="2"/>
  <c r="BA81" i="2"/>
  <c r="AZ81" i="2"/>
  <c r="AY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K81" i="2"/>
  <c r="AJ81" i="2"/>
  <c r="AI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U81" i="2"/>
  <c r="T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DC80" i="2" a="1"/>
  <c r="DC80" i="2" s="1"/>
  <c r="DD80" i="2" s="1"/>
  <c r="I75" i="5" s="1"/>
  <c r="DB80" i="2"/>
  <c r="DA80" i="2"/>
  <c r="CZ80" i="2"/>
  <c r="CY80" i="2"/>
  <c r="CX80" i="2"/>
  <c r="CW80" i="2"/>
  <c r="CV80" i="2"/>
  <c r="CU80" i="2"/>
  <c r="CT80" i="2"/>
  <c r="CS80" i="2"/>
  <c r="CQ80" i="2" a="1"/>
  <c r="CQ80" i="2" s="1"/>
  <c r="CR80" i="2" s="1"/>
  <c r="CP80" i="2"/>
  <c r="CO80" i="2"/>
  <c r="CN80" i="2"/>
  <c r="CM80" i="2"/>
  <c r="CL80" i="2"/>
  <c r="CK80" i="2"/>
  <c r="CJ80" i="2"/>
  <c r="CI80" i="2"/>
  <c r="CH80" i="2"/>
  <c r="CG80" i="2"/>
  <c r="CF80" i="2"/>
  <c r="CE80" i="2"/>
  <c r="CD80" i="2"/>
  <c r="CC80" i="2"/>
  <c r="CB80" i="2"/>
  <c r="CA80" i="2"/>
  <c r="BZ80" i="2"/>
  <c r="BY80" i="2"/>
  <c r="BX80" i="2"/>
  <c r="BW80" i="2"/>
  <c r="BU80" i="2" a="1"/>
  <c r="BU80" i="2" s="1"/>
  <c r="BV80" i="2" s="1"/>
  <c r="BT80" i="2"/>
  <c r="BS80" i="2"/>
  <c r="BR80" i="2"/>
  <c r="BQ80" i="2"/>
  <c r="BP80" i="2"/>
  <c r="BO80" i="2"/>
  <c r="BN80" i="2"/>
  <c r="BM80" i="2"/>
  <c r="BL80" i="2"/>
  <c r="BK80" i="2"/>
  <c r="BJ80" i="2"/>
  <c r="BI80" i="2"/>
  <c r="BH80" i="2"/>
  <c r="BG80" i="2"/>
  <c r="BF80" i="2"/>
  <c r="BE80" i="2"/>
  <c r="BD80" i="2"/>
  <c r="BC80" i="2"/>
  <c r="BB80" i="2"/>
  <c r="BA80" i="2"/>
  <c r="AZ80" i="2"/>
  <c r="AY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DC79" i="2" a="1"/>
  <c r="DC79" i="2" s="1"/>
  <c r="DD79" i="2" s="1"/>
  <c r="DB79" i="2"/>
  <c r="DA79" i="2"/>
  <c r="CZ79" i="2"/>
  <c r="CY79" i="2"/>
  <c r="CX79" i="2"/>
  <c r="CW79" i="2"/>
  <c r="CV79" i="2"/>
  <c r="CU79" i="2"/>
  <c r="CT79" i="2"/>
  <c r="CS79" i="2"/>
  <c r="CQ79" i="2" a="1"/>
  <c r="CQ79" i="2" s="1"/>
  <c r="CR79" i="2" s="1"/>
  <c r="CP79" i="2"/>
  <c r="CO79" i="2"/>
  <c r="CN79" i="2"/>
  <c r="CM79" i="2"/>
  <c r="CL79" i="2"/>
  <c r="CK79" i="2"/>
  <c r="CJ79" i="2"/>
  <c r="CI79" i="2"/>
  <c r="CH79" i="2"/>
  <c r="CG79" i="2"/>
  <c r="CF79" i="2"/>
  <c r="CE79" i="2"/>
  <c r="CD79" i="2"/>
  <c r="CC79" i="2"/>
  <c r="CB79" i="2"/>
  <c r="CA79" i="2"/>
  <c r="BZ79" i="2"/>
  <c r="BY79" i="2"/>
  <c r="BX79" i="2"/>
  <c r="BW79" i="2"/>
  <c r="BU79" i="2" a="1"/>
  <c r="BU79" i="2"/>
  <c r="BV79" i="2" s="1"/>
  <c r="BT79" i="2"/>
  <c r="BS79" i="2"/>
  <c r="BR79" i="2"/>
  <c r="BQ79" i="2"/>
  <c r="BP79" i="2"/>
  <c r="BO79" i="2"/>
  <c r="BN79" i="2"/>
  <c r="BM79" i="2"/>
  <c r="BL79" i="2"/>
  <c r="BK79" i="2"/>
  <c r="BJ79" i="2"/>
  <c r="BI79" i="2"/>
  <c r="BH79" i="2"/>
  <c r="BG79" i="2"/>
  <c r="BF79" i="2"/>
  <c r="BE79" i="2"/>
  <c r="BD79" i="2"/>
  <c r="BC79" i="2"/>
  <c r="BB79" i="2"/>
  <c r="BA79" i="2"/>
  <c r="AZ79" i="2"/>
  <c r="AY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DD78" i="2"/>
  <c r="I73" i="5" s="1"/>
  <c r="DC78" i="2" a="1"/>
  <c r="DC78" i="2"/>
  <c r="DB78" i="2"/>
  <c r="DA78" i="2"/>
  <c r="CZ78" i="2"/>
  <c r="CY78" i="2"/>
  <c r="CX78" i="2"/>
  <c r="CW78" i="2"/>
  <c r="CV78" i="2"/>
  <c r="CU78" i="2"/>
  <c r="CT78" i="2"/>
  <c r="CS78" i="2"/>
  <c r="CR78" i="2"/>
  <c r="CQ78" i="2" a="1"/>
  <c r="CQ78" i="2"/>
  <c r="CP78" i="2"/>
  <c r="CO78" i="2"/>
  <c r="CN78" i="2"/>
  <c r="CM78" i="2"/>
  <c r="CL78" i="2"/>
  <c r="CK78" i="2"/>
  <c r="CJ78" i="2"/>
  <c r="CI78" i="2"/>
  <c r="CH78" i="2"/>
  <c r="CG78" i="2"/>
  <c r="CF78" i="2"/>
  <c r="CE78" i="2"/>
  <c r="CD78" i="2"/>
  <c r="CC78" i="2"/>
  <c r="CB78" i="2"/>
  <c r="CA78" i="2"/>
  <c r="BZ78" i="2"/>
  <c r="BY78" i="2"/>
  <c r="BX78" i="2"/>
  <c r="BW78" i="2"/>
  <c r="BV78" i="2"/>
  <c r="BU78" i="2" a="1"/>
  <c r="BU78" i="2" s="1"/>
  <c r="BT78" i="2"/>
  <c r="BS78" i="2"/>
  <c r="BR78" i="2"/>
  <c r="BQ78" i="2"/>
  <c r="BP78" i="2"/>
  <c r="BO78" i="2"/>
  <c r="BN78" i="2"/>
  <c r="BM78" i="2"/>
  <c r="BL78" i="2"/>
  <c r="BK78" i="2"/>
  <c r="BJ78" i="2"/>
  <c r="BI78" i="2"/>
  <c r="BH78" i="2"/>
  <c r="BG78" i="2"/>
  <c r="BF78" i="2"/>
  <c r="BE78" i="2"/>
  <c r="BD78" i="2"/>
  <c r="BC78" i="2"/>
  <c r="BB78" i="2"/>
  <c r="BA78" i="2"/>
  <c r="AZ78" i="2"/>
  <c r="AY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DC77" i="2" a="1"/>
  <c r="DC77" i="2"/>
  <c r="DD77" i="2" s="1"/>
  <c r="DB77" i="2"/>
  <c r="DA77" i="2"/>
  <c r="CZ77" i="2"/>
  <c r="CY77" i="2"/>
  <c r="CX77" i="2"/>
  <c r="CW77" i="2"/>
  <c r="CV77" i="2"/>
  <c r="CU77" i="2"/>
  <c r="CT77" i="2"/>
  <c r="CS77" i="2"/>
  <c r="CQ77" i="2" a="1"/>
  <c r="CQ77" i="2" s="1"/>
  <c r="CR77" i="2" s="1"/>
  <c r="H72" i="5" s="1"/>
  <c r="CP77" i="2"/>
  <c r="CO77" i="2"/>
  <c r="CN77" i="2"/>
  <c r="CM77" i="2"/>
  <c r="CL77" i="2"/>
  <c r="CK77" i="2"/>
  <c r="CJ77" i="2"/>
  <c r="CI77" i="2"/>
  <c r="CH77" i="2"/>
  <c r="CG77" i="2"/>
  <c r="CF77" i="2"/>
  <c r="CE77" i="2"/>
  <c r="CD77" i="2"/>
  <c r="CC77" i="2"/>
  <c r="CB77" i="2"/>
  <c r="CA77" i="2"/>
  <c r="BZ77" i="2"/>
  <c r="BY77" i="2"/>
  <c r="BX77" i="2"/>
  <c r="BW77" i="2"/>
  <c r="BU77" i="2" a="1"/>
  <c r="BU77" i="2"/>
  <c r="BV77" i="2" s="1"/>
  <c r="BT77" i="2"/>
  <c r="BS77" i="2"/>
  <c r="BR77" i="2"/>
  <c r="BQ77" i="2"/>
  <c r="BP77" i="2"/>
  <c r="BO77" i="2"/>
  <c r="BN77" i="2"/>
  <c r="BM77" i="2"/>
  <c r="BL77" i="2"/>
  <c r="BK77" i="2"/>
  <c r="BJ77" i="2"/>
  <c r="BI77" i="2"/>
  <c r="BH77" i="2"/>
  <c r="BG77" i="2"/>
  <c r="BF77" i="2"/>
  <c r="BE77" i="2"/>
  <c r="BD77" i="2"/>
  <c r="BC77" i="2"/>
  <c r="BB77" i="2"/>
  <c r="BA77" i="2"/>
  <c r="AZ77" i="2"/>
  <c r="AY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DC76" i="2" a="1"/>
  <c r="DC76" i="2" s="1"/>
  <c r="DD76" i="2" s="1"/>
  <c r="DB76" i="2"/>
  <c r="DA76" i="2"/>
  <c r="CZ76" i="2"/>
  <c r="CY76" i="2"/>
  <c r="CX76" i="2"/>
  <c r="CW76" i="2"/>
  <c r="CV76" i="2"/>
  <c r="CU76" i="2"/>
  <c r="CT76" i="2"/>
  <c r="CS76" i="2"/>
  <c r="CQ76" i="2" a="1"/>
  <c r="CQ76" i="2"/>
  <c r="CR76" i="2" s="1"/>
  <c r="CP76" i="2"/>
  <c r="CO76" i="2"/>
  <c r="CN76" i="2"/>
  <c r="CM76" i="2"/>
  <c r="CL76" i="2"/>
  <c r="CK76" i="2"/>
  <c r="CJ76" i="2"/>
  <c r="CI76" i="2"/>
  <c r="CH76" i="2"/>
  <c r="CG76" i="2"/>
  <c r="CF76" i="2"/>
  <c r="CE76" i="2"/>
  <c r="CD76" i="2"/>
  <c r="CC76" i="2"/>
  <c r="CB76" i="2"/>
  <c r="CA76" i="2"/>
  <c r="BZ76" i="2"/>
  <c r="BY76" i="2"/>
  <c r="BX76" i="2"/>
  <c r="BW76" i="2"/>
  <c r="BU76" i="2" a="1"/>
  <c r="BU76" i="2" s="1"/>
  <c r="BV76" i="2" s="1"/>
  <c r="F71" i="5" s="1"/>
  <c r="BT76" i="2"/>
  <c r="BS76" i="2"/>
  <c r="BR76" i="2"/>
  <c r="BQ76" i="2"/>
  <c r="BP76" i="2"/>
  <c r="BO76" i="2"/>
  <c r="BN76" i="2"/>
  <c r="BM76" i="2"/>
  <c r="BL76" i="2"/>
  <c r="BK76" i="2"/>
  <c r="BJ76" i="2"/>
  <c r="BI76" i="2"/>
  <c r="BH76" i="2"/>
  <c r="BG76" i="2"/>
  <c r="BF76" i="2"/>
  <c r="BE76" i="2"/>
  <c r="BD76" i="2"/>
  <c r="BC76" i="2"/>
  <c r="BB76" i="2"/>
  <c r="BA76" i="2"/>
  <c r="AZ76" i="2"/>
  <c r="AY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DD75" i="2"/>
  <c r="DC75" i="2" a="1"/>
  <c r="DC75" i="2"/>
  <c r="DB75" i="2"/>
  <c r="DA75" i="2"/>
  <c r="CZ75" i="2"/>
  <c r="CY75" i="2"/>
  <c r="CX75" i="2"/>
  <c r="CW75" i="2"/>
  <c r="CV75" i="2"/>
  <c r="CU75" i="2"/>
  <c r="CT75" i="2"/>
  <c r="CS75" i="2"/>
  <c r="CQ75" i="2" a="1"/>
  <c r="CQ75" i="2" s="1"/>
  <c r="CR75" i="2" s="1"/>
  <c r="CP75" i="2"/>
  <c r="CO75" i="2"/>
  <c r="CN75" i="2"/>
  <c r="CM75" i="2"/>
  <c r="CL75" i="2"/>
  <c r="CK75" i="2"/>
  <c r="CJ75" i="2"/>
  <c r="CI75" i="2"/>
  <c r="CH75" i="2"/>
  <c r="CG75" i="2"/>
  <c r="CF75" i="2"/>
  <c r="CE75" i="2"/>
  <c r="CD75" i="2"/>
  <c r="CC75" i="2"/>
  <c r="CB75" i="2"/>
  <c r="CA75" i="2"/>
  <c r="BZ75" i="2"/>
  <c r="BY75" i="2"/>
  <c r="BX75" i="2"/>
  <c r="BW75" i="2"/>
  <c r="BV75" i="2"/>
  <c r="F70" i="5" s="1"/>
  <c r="BU75" i="2" a="1"/>
  <c r="BU75" i="2"/>
  <c r="BT75" i="2"/>
  <c r="BS75" i="2"/>
  <c r="BR75" i="2"/>
  <c r="BQ75" i="2"/>
  <c r="BP75" i="2"/>
  <c r="BO75" i="2"/>
  <c r="BN75" i="2"/>
  <c r="BM75" i="2"/>
  <c r="BL75" i="2"/>
  <c r="BK75" i="2"/>
  <c r="BJ75" i="2"/>
  <c r="BI75" i="2"/>
  <c r="BH75" i="2"/>
  <c r="BG75" i="2"/>
  <c r="BF75" i="2"/>
  <c r="BE75" i="2"/>
  <c r="BD75" i="2"/>
  <c r="BC75" i="2"/>
  <c r="BB75" i="2"/>
  <c r="BA75" i="2"/>
  <c r="AZ75" i="2"/>
  <c r="AY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DC74" i="2" a="1"/>
  <c r="DC74" i="2" s="1"/>
  <c r="DD74" i="2" s="1"/>
  <c r="DB74" i="2"/>
  <c r="DA74" i="2"/>
  <c r="CZ74" i="2"/>
  <c r="CY74" i="2"/>
  <c r="CX74" i="2"/>
  <c r="CW74" i="2"/>
  <c r="CV74" i="2"/>
  <c r="CU74" i="2"/>
  <c r="CT74" i="2"/>
  <c r="CS74" i="2"/>
  <c r="CR74" i="2"/>
  <c r="H69" i="5" s="1"/>
  <c r="CQ74" i="2" a="1"/>
  <c r="CQ74" i="2"/>
  <c r="CP74" i="2"/>
  <c r="CO74" i="2"/>
  <c r="CN74" i="2"/>
  <c r="CM74" i="2"/>
  <c r="CL74" i="2"/>
  <c r="CK74" i="2"/>
  <c r="CJ74" i="2"/>
  <c r="CI74" i="2"/>
  <c r="CH74" i="2"/>
  <c r="CG74" i="2"/>
  <c r="CF74" i="2"/>
  <c r="CE74" i="2"/>
  <c r="CD74" i="2"/>
  <c r="CC74" i="2"/>
  <c r="CB74" i="2"/>
  <c r="CA74" i="2"/>
  <c r="BZ74" i="2"/>
  <c r="BY74" i="2"/>
  <c r="BX74" i="2"/>
  <c r="BW74" i="2"/>
  <c r="BU74" i="2" a="1"/>
  <c r="BU74" i="2" s="1"/>
  <c r="BV74" i="2" s="1"/>
  <c r="BT74" i="2"/>
  <c r="BS74" i="2"/>
  <c r="BR74" i="2"/>
  <c r="BQ74" i="2"/>
  <c r="BP74" i="2"/>
  <c r="BO74" i="2"/>
  <c r="BN74" i="2"/>
  <c r="BM74" i="2"/>
  <c r="BL74" i="2"/>
  <c r="BK74" i="2"/>
  <c r="BJ74" i="2"/>
  <c r="BI74" i="2"/>
  <c r="BH74" i="2"/>
  <c r="BG74" i="2"/>
  <c r="BF74" i="2"/>
  <c r="BE74" i="2"/>
  <c r="BD74" i="2"/>
  <c r="BC74" i="2"/>
  <c r="BB74" i="2"/>
  <c r="BA74" i="2"/>
  <c r="AZ74" i="2"/>
  <c r="AY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DC73" i="2" a="1"/>
  <c r="DC73" i="2"/>
  <c r="DD73" i="2" s="1"/>
  <c r="DB73" i="2"/>
  <c r="DA73" i="2"/>
  <c r="CZ73" i="2"/>
  <c r="CY73" i="2"/>
  <c r="CX73" i="2"/>
  <c r="CW73" i="2"/>
  <c r="CV73" i="2"/>
  <c r="CU73" i="2"/>
  <c r="CT73" i="2"/>
  <c r="CS73" i="2"/>
  <c r="CQ73" i="2" a="1"/>
  <c r="CQ73" i="2" s="1"/>
  <c r="CR73" i="2" s="1"/>
  <c r="CP73" i="2"/>
  <c r="CO73" i="2"/>
  <c r="CN73" i="2"/>
  <c r="CM73" i="2"/>
  <c r="CL73" i="2"/>
  <c r="CK73" i="2"/>
  <c r="CJ73" i="2"/>
  <c r="CI73" i="2"/>
  <c r="CH73" i="2"/>
  <c r="CG73" i="2"/>
  <c r="CF73" i="2"/>
  <c r="CE73" i="2"/>
  <c r="CD73" i="2"/>
  <c r="CC73" i="2"/>
  <c r="CB73" i="2"/>
  <c r="CA73" i="2"/>
  <c r="BZ73" i="2"/>
  <c r="BY73" i="2"/>
  <c r="BX73" i="2"/>
  <c r="BW73" i="2"/>
  <c r="BU73" i="2" a="1"/>
  <c r="BU73" i="2"/>
  <c r="BV73" i="2" s="1"/>
  <c r="BT73" i="2"/>
  <c r="BS73" i="2"/>
  <c r="BR73" i="2"/>
  <c r="BQ73" i="2"/>
  <c r="BP73" i="2"/>
  <c r="BO73" i="2"/>
  <c r="BN73" i="2"/>
  <c r="BM73" i="2"/>
  <c r="BL73" i="2"/>
  <c r="BK73" i="2"/>
  <c r="BJ73" i="2"/>
  <c r="BI73" i="2"/>
  <c r="BH73" i="2"/>
  <c r="BG73" i="2"/>
  <c r="BF73" i="2"/>
  <c r="BE73" i="2"/>
  <c r="BD73" i="2"/>
  <c r="BC73" i="2"/>
  <c r="BB73" i="2"/>
  <c r="BA73" i="2"/>
  <c r="AZ73" i="2"/>
  <c r="AY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DC72" i="2" a="1"/>
  <c r="DC72" i="2" s="1"/>
  <c r="DD72" i="2" s="1"/>
  <c r="DB72" i="2"/>
  <c r="DA72" i="2"/>
  <c r="CZ72" i="2"/>
  <c r="CY72" i="2"/>
  <c r="CX72" i="2"/>
  <c r="CW72" i="2"/>
  <c r="CV72" i="2"/>
  <c r="CU72" i="2"/>
  <c r="CT72" i="2"/>
  <c r="CS72" i="2"/>
  <c r="CQ72" i="2" a="1"/>
  <c r="CQ72" i="2"/>
  <c r="CR72" i="2" s="1"/>
  <c r="CP72" i="2"/>
  <c r="CO72" i="2"/>
  <c r="CN72" i="2"/>
  <c r="CM72" i="2"/>
  <c r="CL72" i="2"/>
  <c r="CK72" i="2"/>
  <c r="CJ72" i="2"/>
  <c r="CI72" i="2"/>
  <c r="CH72" i="2"/>
  <c r="CG72" i="2"/>
  <c r="CF72" i="2"/>
  <c r="CE72" i="2"/>
  <c r="CD72" i="2"/>
  <c r="CC72" i="2"/>
  <c r="CB72" i="2"/>
  <c r="CA72" i="2"/>
  <c r="BZ72" i="2"/>
  <c r="BY72" i="2"/>
  <c r="BX72" i="2"/>
  <c r="BW72" i="2"/>
  <c r="BU72" i="2" a="1"/>
  <c r="BU72" i="2" s="1"/>
  <c r="BV72" i="2" s="1"/>
  <c r="BT72" i="2"/>
  <c r="BS72" i="2"/>
  <c r="BR72" i="2"/>
  <c r="BQ72" i="2"/>
  <c r="BP72" i="2"/>
  <c r="BO72" i="2"/>
  <c r="BN72" i="2"/>
  <c r="BM72" i="2"/>
  <c r="BL72" i="2"/>
  <c r="BK72" i="2"/>
  <c r="BJ72" i="2"/>
  <c r="BI72" i="2"/>
  <c r="BH72" i="2"/>
  <c r="BG72" i="2"/>
  <c r="BF72" i="2"/>
  <c r="BE72" i="2"/>
  <c r="BD72" i="2"/>
  <c r="BC72" i="2"/>
  <c r="BB72" i="2"/>
  <c r="BA72" i="2"/>
  <c r="AZ72" i="2"/>
  <c r="AY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DD71" i="2"/>
  <c r="I66" i="5" s="1"/>
  <c r="DC71" i="2" a="1"/>
  <c r="DC71" i="2"/>
  <c r="DB71" i="2"/>
  <c r="DA71" i="2"/>
  <c r="CZ71" i="2"/>
  <c r="CY71" i="2"/>
  <c r="CX71" i="2"/>
  <c r="CW71" i="2"/>
  <c r="CV71" i="2"/>
  <c r="CU71" i="2"/>
  <c r="CT71" i="2"/>
  <c r="CS71" i="2"/>
  <c r="CQ71" i="2" a="1"/>
  <c r="CQ71" i="2" s="1"/>
  <c r="CR71" i="2" s="1"/>
  <c r="CP71" i="2"/>
  <c r="CO71" i="2"/>
  <c r="CN71" i="2"/>
  <c r="CM71" i="2"/>
  <c r="CL71" i="2"/>
  <c r="CK71" i="2"/>
  <c r="CJ71" i="2"/>
  <c r="CI71" i="2"/>
  <c r="CH71" i="2"/>
  <c r="CG71" i="2"/>
  <c r="CF71" i="2"/>
  <c r="CE71" i="2"/>
  <c r="CD71" i="2"/>
  <c r="CC71" i="2"/>
  <c r="CB71" i="2"/>
  <c r="CA71" i="2"/>
  <c r="BZ71" i="2"/>
  <c r="BY71" i="2"/>
  <c r="BX71" i="2"/>
  <c r="BW71" i="2"/>
  <c r="BV71" i="2"/>
  <c r="BU71" i="2" a="1"/>
  <c r="BU71" i="2"/>
  <c r="BT71" i="2"/>
  <c r="BS71" i="2"/>
  <c r="BR71" i="2"/>
  <c r="BQ71" i="2"/>
  <c r="BP71" i="2"/>
  <c r="BO71" i="2"/>
  <c r="BN71" i="2"/>
  <c r="BM71" i="2"/>
  <c r="BL71" i="2"/>
  <c r="BK71" i="2"/>
  <c r="BJ71" i="2"/>
  <c r="BI71" i="2"/>
  <c r="BH71" i="2"/>
  <c r="BG71" i="2"/>
  <c r="BF71" i="2"/>
  <c r="BE71" i="2"/>
  <c r="BD71" i="2"/>
  <c r="BC71" i="2"/>
  <c r="BB71" i="2"/>
  <c r="BA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DC70" i="2" a="1"/>
  <c r="DC70" i="2" s="1"/>
  <c r="DD70" i="2" s="1"/>
  <c r="I65" i="5" s="1"/>
  <c r="DB70" i="2"/>
  <c r="DA70" i="2"/>
  <c r="CZ70" i="2"/>
  <c r="CY70" i="2"/>
  <c r="CX70" i="2"/>
  <c r="CW70" i="2"/>
  <c r="CV70" i="2"/>
  <c r="CU70" i="2"/>
  <c r="CT70" i="2"/>
  <c r="CS70" i="2"/>
  <c r="CR70" i="2"/>
  <c r="CQ70" i="2" a="1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U70" i="2" a="1"/>
  <c r="BU70" i="2" s="1"/>
  <c r="BV70" i="2" s="1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DC69" i="2" a="1"/>
  <c r="DC69" i="2"/>
  <c r="DD69" i="2" s="1"/>
  <c r="DB69" i="2"/>
  <c r="DA69" i="2"/>
  <c r="CZ69" i="2"/>
  <c r="CY69" i="2"/>
  <c r="CX69" i="2"/>
  <c r="CW69" i="2"/>
  <c r="CV69" i="2"/>
  <c r="CU69" i="2"/>
  <c r="CT69" i="2"/>
  <c r="CS69" i="2"/>
  <c r="CQ69" i="2" a="1"/>
  <c r="CQ69" i="2" s="1"/>
  <c r="CR69" i="2" s="1"/>
  <c r="H64" i="5" s="1"/>
  <c r="CP69" i="2"/>
  <c r="CO69" i="2"/>
  <c r="CN69" i="2"/>
  <c r="CM69" i="2"/>
  <c r="CL69" i="2"/>
  <c r="CK69" i="2"/>
  <c r="CJ69" i="2"/>
  <c r="CI69" i="2"/>
  <c r="CH69" i="2"/>
  <c r="CG69" i="2"/>
  <c r="CF69" i="2"/>
  <c r="CE69" i="2"/>
  <c r="CD69" i="2"/>
  <c r="CC69" i="2"/>
  <c r="CB69" i="2"/>
  <c r="CA69" i="2"/>
  <c r="BZ69" i="2"/>
  <c r="BY69" i="2"/>
  <c r="BX69" i="2"/>
  <c r="BW69" i="2"/>
  <c r="BU69" i="2" a="1"/>
  <c r="BU69" i="2"/>
  <c r="BV69" i="2" s="1"/>
  <c r="BT69" i="2"/>
  <c r="BS69" i="2"/>
  <c r="BR69" i="2"/>
  <c r="BQ69" i="2"/>
  <c r="BP69" i="2"/>
  <c r="BO69" i="2"/>
  <c r="BN69" i="2"/>
  <c r="BM69" i="2"/>
  <c r="BL69" i="2"/>
  <c r="BK69" i="2"/>
  <c r="BJ69" i="2"/>
  <c r="BI69" i="2"/>
  <c r="BH69" i="2"/>
  <c r="BG69" i="2"/>
  <c r="BF69" i="2"/>
  <c r="BE69" i="2"/>
  <c r="BD69" i="2"/>
  <c r="BC69" i="2"/>
  <c r="BB69" i="2"/>
  <c r="BA69" i="2"/>
  <c r="AZ69" i="2"/>
  <c r="AY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DE68" i="2"/>
  <c r="DC68" i="2" a="1"/>
  <c r="DC68" i="2" s="1"/>
  <c r="DD68" i="2" s="1"/>
  <c r="DB68" i="2"/>
  <c r="DA68" i="2"/>
  <c r="CZ68" i="2"/>
  <c r="CY68" i="2"/>
  <c r="CX68" i="2"/>
  <c r="CW68" i="2"/>
  <c r="CV68" i="2"/>
  <c r="CU68" i="2"/>
  <c r="CT68" i="2"/>
  <c r="CS68" i="2"/>
  <c r="CQ68" i="2" a="1"/>
  <c r="CQ68" i="2"/>
  <c r="CR68" i="2" s="1"/>
  <c r="CP68" i="2"/>
  <c r="CO68" i="2"/>
  <c r="CN68" i="2"/>
  <c r="CM68" i="2"/>
  <c r="CL68" i="2"/>
  <c r="CK68" i="2"/>
  <c r="CJ68" i="2"/>
  <c r="CI68" i="2"/>
  <c r="CH68" i="2"/>
  <c r="CG68" i="2"/>
  <c r="CF68" i="2"/>
  <c r="CE68" i="2"/>
  <c r="CD68" i="2"/>
  <c r="CC68" i="2"/>
  <c r="CB68" i="2"/>
  <c r="CA68" i="2"/>
  <c r="BZ68" i="2"/>
  <c r="BY68" i="2"/>
  <c r="BX68" i="2"/>
  <c r="BW68" i="2"/>
  <c r="BU68" i="2" a="1"/>
  <c r="BU68" i="2" s="1"/>
  <c r="BV68" i="2" s="1"/>
  <c r="F63" i="5" s="1"/>
  <c r="BT68" i="2"/>
  <c r="BS68" i="2"/>
  <c r="BR68" i="2"/>
  <c r="BQ68" i="2"/>
  <c r="BP68" i="2"/>
  <c r="BO68" i="2"/>
  <c r="BN68" i="2"/>
  <c r="BM68" i="2"/>
  <c r="BL68" i="2"/>
  <c r="BK68" i="2"/>
  <c r="BJ68" i="2"/>
  <c r="BI68" i="2"/>
  <c r="BH68" i="2"/>
  <c r="BG68" i="2"/>
  <c r="BF68" i="2"/>
  <c r="BE68" i="2"/>
  <c r="BD68" i="2"/>
  <c r="BC68" i="2"/>
  <c r="BB68" i="2"/>
  <c r="BA68" i="2"/>
  <c r="AZ68" i="2"/>
  <c r="AY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DD67" i="2"/>
  <c r="DC67" i="2" a="1"/>
  <c r="DC67" i="2"/>
  <c r="DB67" i="2"/>
  <c r="DA67" i="2"/>
  <c r="CZ67" i="2"/>
  <c r="CY67" i="2"/>
  <c r="CX67" i="2"/>
  <c r="CW67" i="2"/>
  <c r="CV67" i="2"/>
  <c r="CU67" i="2"/>
  <c r="CT67" i="2"/>
  <c r="CS67" i="2"/>
  <c r="CQ67" i="2" a="1"/>
  <c r="CQ67" i="2" s="1"/>
  <c r="CR67" i="2" s="1"/>
  <c r="CP67" i="2"/>
  <c r="CO67" i="2"/>
  <c r="CN67" i="2"/>
  <c r="CM67" i="2"/>
  <c r="CL67" i="2"/>
  <c r="CK67" i="2"/>
  <c r="CJ67" i="2"/>
  <c r="CI67" i="2"/>
  <c r="CH67" i="2"/>
  <c r="CG67" i="2"/>
  <c r="CF67" i="2"/>
  <c r="CE67" i="2"/>
  <c r="CD67" i="2"/>
  <c r="CC67" i="2"/>
  <c r="CB67" i="2"/>
  <c r="CA67" i="2"/>
  <c r="BZ67" i="2"/>
  <c r="BY67" i="2"/>
  <c r="BX67" i="2"/>
  <c r="BW67" i="2"/>
  <c r="BV67" i="2"/>
  <c r="F62" i="5" s="1"/>
  <c r="BU67" i="2" a="1"/>
  <c r="BU67" i="2"/>
  <c r="BT67" i="2"/>
  <c r="BS67" i="2"/>
  <c r="BR67" i="2"/>
  <c r="BQ67" i="2"/>
  <c r="BP67" i="2"/>
  <c r="BO67" i="2"/>
  <c r="BN67" i="2"/>
  <c r="BM67" i="2"/>
  <c r="BL67" i="2"/>
  <c r="BK67" i="2"/>
  <c r="BJ67" i="2"/>
  <c r="BI67" i="2"/>
  <c r="BH67" i="2"/>
  <c r="BG67" i="2"/>
  <c r="BF67" i="2"/>
  <c r="BE67" i="2"/>
  <c r="BD67" i="2"/>
  <c r="BC67" i="2"/>
  <c r="BB67" i="2"/>
  <c r="BA67" i="2"/>
  <c r="AZ67" i="2"/>
  <c r="AY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DC66" i="2" a="1"/>
  <c r="DC66" i="2" s="1"/>
  <c r="DD66" i="2" s="1"/>
  <c r="DB66" i="2"/>
  <c r="DA66" i="2"/>
  <c r="CZ66" i="2"/>
  <c r="CY66" i="2"/>
  <c r="CX66" i="2"/>
  <c r="CW66" i="2"/>
  <c r="CV66" i="2"/>
  <c r="CU66" i="2"/>
  <c r="CT66" i="2"/>
  <c r="CS66" i="2"/>
  <c r="CR66" i="2"/>
  <c r="H61" i="5" s="1"/>
  <c r="CQ66" i="2" a="1"/>
  <c r="CQ66" i="2"/>
  <c r="CP66" i="2"/>
  <c r="CO66" i="2"/>
  <c r="CN66" i="2"/>
  <c r="CM66" i="2"/>
  <c r="CL66" i="2"/>
  <c r="CK66" i="2"/>
  <c r="CJ66" i="2"/>
  <c r="CI66" i="2"/>
  <c r="CH66" i="2"/>
  <c r="CG66" i="2"/>
  <c r="CF66" i="2"/>
  <c r="CE66" i="2"/>
  <c r="CD66" i="2"/>
  <c r="CC66" i="2"/>
  <c r="CB66" i="2"/>
  <c r="CA66" i="2"/>
  <c r="BZ66" i="2"/>
  <c r="BY66" i="2"/>
  <c r="BX66" i="2"/>
  <c r="BW66" i="2"/>
  <c r="BU66" i="2" a="1"/>
  <c r="BU66" i="2" s="1"/>
  <c r="BV66" i="2" s="1"/>
  <c r="BT66" i="2"/>
  <c r="BS66" i="2"/>
  <c r="BR66" i="2"/>
  <c r="BQ66" i="2"/>
  <c r="BP66" i="2"/>
  <c r="BO66" i="2"/>
  <c r="BN66" i="2"/>
  <c r="BM66" i="2"/>
  <c r="BL66" i="2"/>
  <c r="BK66" i="2"/>
  <c r="BJ66" i="2"/>
  <c r="BI66" i="2"/>
  <c r="BH66" i="2"/>
  <c r="BG66" i="2"/>
  <c r="BF66" i="2"/>
  <c r="BE66" i="2"/>
  <c r="BD66" i="2"/>
  <c r="BC66" i="2"/>
  <c r="BB66" i="2"/>
  <c r="BA66" i="2"/>
  <c r="AZ66" i="2"/>
  <c r="AY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DC65" i="2" a="1"/>
  <c r="DC65" i="2"/>
  <c r="DD65" i="2" s="1"/>
  <c r="DB65" i="2"/>
  <c r="DA65" i="2"/>
  <c r="CZ65" i="2"/>
  <c r="CY65" i="2"/>
  <c r="CX65" i="2"/>
  <c r="CW65" i="2"/>
  <c r="CV65" i="2"/>
  <c r="CU65" i="2"/>
  <c r="CT65" i="2"/>
  <c r="CS65" i="2"/>
  <c r="CQ65" i="2" a="1"/>
  <c r="CQ65" i="2" s="1"/>
  <c r="CR65" i="2" s="1"/>
  <c r="CP65" i="2"/>
  <c r="CO65" i="2"/>
  <c r="CN65" i="2"/>
  <c r="CM65" i="2"/>
  <c r="CL65" i="2"/>
  <c r="CK65" i="2"/>
  <c r="CJ65" i="2"/>
  <c r="CI65" i="2"/>
  <c r="CH65" i="2"/>
  <c r="CG65" i="2"/>
  <c r="CF65" i="2"/>
  <c r="CE65" i="2"/>
  <c r="CD65" i="2"/>
  <c r="CC65" i="2"/>
  <c r="CB65" i="2"/>
  <c r="CA65" i="2"/>
  <c r="BZ65" i="2"/>
  <c r="BY65" i="2"/>
  <c r="BX65" i="2"/>
  <c r="BW65" i="2"/>
  <c r="BU65" i="2" a="1"/>
  <c r="BU65" i="2"/>
  <c r="BV65" i="2" s="1"/>
  <c r="BT65" i="2"/>
  <c r="BS65" i="2"/>
  <c r="BR65" i="2"/>
  <c r="BQ65" i="2"/>
  <c r="BP65" i="2"/>
  <c r="BO65" i="2"/>
  <c r="BN65" i="2"/>
  <c r="BM65" i="2"/>
  <c r="BL65" i="2"/>
  <c r="BK65" i="2"/>
  <c r="BJ65" i="2"/>
  <c r="BI65" i="2"/>
  <c r="BH65" i="2"/>
  <c r="BG65" i="2"/>
  <c r="BF65" i="2"/>
  <c r="BE65" i="2"/>
  <c r="BD65" i="2"/>
  <c r="BC65" i="2"/>
  <c r="BB65" i="2"/>
  <c r="BA65" i="2"/>
  <c r="AZ65" i="2"/>
  <c r="AY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DC64" i="2" a="1"/>
  <c r="DC64" i="2" s="1"/>
  <c r="DD64" i="2" s="1"/>
  <c r="DB64" i="2"/>
  <c r="DA64" i="2"/>
  <c r="CZ64" i="2"/>
  <c r="CY64" i="2"/>
  <c r="CX64" i="2"/>
  <c r="CW64" i="2"/>
  <c r="CV64" i="2"/>
  <c r="CU64" i="2"/>
  <c r="CT64" i="2"/>
  <c r="CS64" i="2"/>
  <c r="CQ64" i="2" a="1"/>
  <c r="CQ64" i="2"/>
  <c r="CR64" i="2" s="1"/>
  <c r="CP64" i="2"/>
  <c r="CO64" i="2"/>
  <c r="CN64" i="2"/>
  <c r="CM64" i="2"/>
  <c r="CL64" i="2"/>
  <c r="CK64" i="2"/>
  <c r="CJ64" i="2"/>
  <c r="CI64" i="2"/>
  <c r="CH64" i="2"/>
  <c r="CG64" i="2"/>
  <c r="CF64" i="2"/>
  <c r="CE64" i="2"/>
  <c r="CD64" i="2"/>
  <c r="CC64" i="2"/>
  <c r="CB64" i="2"/>
  <c r="CA64" i="2"/>
  <c r="BZ64" i="2"/>
  <c r="BY64" i="2"/>
  <c r="BX64" i="2"/>
  <c r="BW64" i="2"/>
  <c r="BU64" i="2" a="1"/>
  <c r="BU64" i="2" s="1"/>
  <c r="BV64" i="2" s="1"/>
  <c r="BT64" i="2"/>
  <c r="BS64" i="2"/>
  <c r="BR64" i="2"/>
  <c r="BQ64" i="2"/>
  <c r="BP64" i="2"/>
  <c r="BO64" i="2"/>
  <c r="BN64" i="2"/>
  <c r="BM64" i="2"/>
  <c r="BL64" i="2"/>
  <c r="BK64" i="2"/>
  <c r="BJ64" i="2"/>
  <c r="BI64" i="2"/>
  <c r="BH64" i="2"/>
  <c r="BG64" i="2"/>
  <c r="BF64" i="2"/>
  <c r="BE64" i="2"/>
  <c r="BD64" i="2"/>
  <c r="BC64" i="2"/>
  <c r="BB64" i="2"/>
  <c r="BA64" i="2"/>
  <c r="AZ64" i="2"/>
  <c r="AY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DD63" i="2"/>
  <c r="I58" i="5" s="1"/>
  <c r="DC63" i="2" a="1"/>
  <c r="DC63" i="2"/>
  <c r="DB63" i="2"/>
  <c r="DA63" i="2"/>
  <c r="CZ63" i="2"/>
  <c r="CY63" i="2"/>
  <c r="CX63" i="2"/>
  <c r="CW63" i="2"/>
  <c r="CV63" i="2"/>
  <c r="CU63" i="2"/>
  <c r="CT63" i="2"/>
  <c r="CS63" i="2"/>
  <c r="CQ63" i="2" a="1"/>
  <c r="CQ63" i="2" s="1"/>
  <c r="CR63" i="2" s="1"/>
  <c r="CP63" i="2"/>
  <c r="CO63" i="2"/>
  <c r="CN63" i="2"/>
  <c r="CM63" i="2"/>
  <c r="CL63" i="2"/>
  <c r="CK63" i="2"/>
  <c r="CJ63" i="2"/>
  <c r="CI63" i="2"/>
  <c r="CH63" i="2"/>
  <c r="CG63" i="2"/>
  <c r="CF63" i="2"/>
  <c r="CE63" i="2"/>
  <c r="CD63" i="2"/>
  <c r="CC63" i="2"/>
  <c r="CB63" i="2"/>
  <c r="CA63" i="2"/>
  <c r="BZ63" i="2"/>
  <c r="BY63" i="2"/>
  <c r="BX63" i="2"/>
  <c r="BW63" i="2"/>
  <c r="BV63" i="2"/>
  <c r="BU63" i="2" a="1"/>
  <c r="BU63" i="2"/>
  <c r="BT63" i="2"/>
  <c r="BS63" i="2"/>
  <c r="BR63" i="2"/>
  <c r="BQ63" i="2"/>
  <c r="BP63" i="2"/>
  <c r="BO63" i="2"/>
  <c r="BN63" i="2"/>
  <c r="BM63" i="2"/>
  <c r="BL63" i="2"/>
  <c r="BK63" i="2"/>
  <c r="BJ63" i="2"/>
  <c r="BI63" i="2"/>
  <c r="BH63" i="2"/>
  <c r="BG63" i="2"/>
  <c r="BF63" i="2"/>
  <c r="BE63" i="2"/>
  <c r="BD63" i="2"/>
  <c r="BC63" i="2"/>
  <c r="BB63" i="2"/>
  <c r="BA63" i="2"/>
  <c r="AZ63" i="2"/>
  <c r="AY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DC62" i="2" a="1"/>
  <c r="DC62" i="2" s="1"/>
  <c r="DD62" i="2" s="1"/>
  <c r="I57" i="5" s="1"/>
  <c r="DB62" i="2"/>
  <c r="DA62" i="2"/>
  <c r="CZ62" i="2"/>
  <c r="CY62" i="2"/>
  <c r="CX62" i="2"/>
  <c r="CW62" i="2"/>
  <c r="CV62" i="2"/>
  <c r="CU62" i="2"/>
  <c r="CT62" i="2"/>
  <c r="CS62" i="2"/>
  <c r="CR62" i="2"/>
  <c r="CQ62" i="2" a="1"/>
  <c r="CQ62" i="2"/>
  <c r="CP62" i="2"/>
  <c r="CO62" i="2"/>
  <c r="CN62" i="2"/>
  <c r="CM62" i="2"/>
  <c r="CL62" i="2"/>
  <c r="CK62" i="2"/>
  <c r="CJ62" i="2"/>
  <c r="CI62" i="2"/>
  <c r="CH62" i="2"/>
  <c r="CG62" i="2"/>
  <c r="CF62" i="2"/>
  <c r="CE62" i="2"/>
  <c r="CD62" i="2"/>
  <c r="CC62" i="2"/>
  <c r="CB62" i="2"/>
  <c r="CA62" i="2"/>
  <c r="BZ62" i="2"/>
  <c r="BY62" i="2"/>
  <c r="BX62" i="2"/>
  <c r="BW62" i="2"/>
  <c r="BU62" i="2" a="1"/>
  <c r="BU62" i="2" s="1"/>
  <c r="BV62" i="2" s="1"/>
  <c r="BT62" i="2"/>
  <c r="BS62" i="2"/>
  <c r="BR62" i="2"/>
  <c r="BQ62" i="2"/>
  <c r="BP62" i="2"/>
  <c r="BO62" i="2"/>
  <c r="BN62" i="2"/>
  <c r="BM62" i="2"/>
  <c r="BL62" i="2"/>
  <c r="BK62" i="2"/>
  <c r="BJ62" i="2"/>
  <c r="BI62" i="2"/>
  <c r="BH62" i="2"/>
  <c r="BG62" i="2"/>
  <c r="BF62" i="2"/>
  <c r="BE62" i="2"/>
  <c r="BD62" i="2"/>
  <c r="BC62" i="2"/>
  <c r="BB62" i="2"/>
  <c r="BA62" i="2"/>
  <c r="AZ62" i="2"/>
  <c r="AY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DF61" i="2"/>
  <c r="DC61" i="2" a="1"/>
  <c r="DC61" i="2"/>
  <c r="DD61" i="2" s="1"/>
  <c r="DB61" i="2"/>
  <c r="DA61" i="2"/>
  <c r="CZ61" i="2"/>
  <c r="CY61" i="2"/>
  <c r="CX61" i="2"/>
  <c r="CW61" i="2"/>
  <c r="CV61" i="2"/>
  <c r="CU61" i="2"/>
  <c r="CT61" i="2"/>
  <c r="CS61" i="2"/>
  <c r="CQ61" i="2" a="1"/>
  <c r="CQ61" i="2" s="1"/>
  <c r="CR61" i="2" s="1"/>
  <c r="H56" i="5" s="1"/>
  <c r="CP61" i="2"/>
  <c r="CO61" i="2"/>
  <c r="CN61" i="2"/>
  <c r="CM61" i="2"/>
  <c r="CL61" i="2"/>
  <c r="CK61" i="2"/>
  <c r="CJ61" i="2"/>
  <c r="CI61" i="2"/>
  <c r="CH61" i="2"/>
  <c r="CG61" i="2"/>
  <c r="CF61" i="2"/>
  <c r="CE61" i="2"/>
  <c r="CD61" i="2"/>
  <c r="CC61" i="2"/>
  <c r="CB61" i="2"/>
  <c r="CA61" i="2"/>
  <c r="BZ61" i="2"/>
  <c r="BY61" i="2"/>
  <c r="BX61" i="2"/>
  <c r="BW61" i="2"/>
  <c r="BU61" i="2" a="1"/>
  <c r="BU61" i="2"/>
  <c r="BV61" i="2" s="1"/>
  <c r="BT61" i="2"/>
  <c r="BS61" i="2"/>
  <c r="BR61" i="2"/>
  <c r="BQ61" i="2"/>
  <c r="BP61" i="2"/>
  <c r="BO61" i="2"/>
  <c r="BN61" i="2"/>
  <c r="BM61" i="2"/>
  <c r="BL61" i="2"/>
  <c r="BK61" i="2"/>
  <c r="BJ61" i="2"/>
  <c r="BI61" i="2"/>
  <c r="BH61" i="2"/>
  <c r="BG61" i="2"/>
  <c r="BF61" i="2"/>
  <c r="BE61" i="2"/>
  <c r="BD61" i="2"/>
  <c r="BC61" i="2"/>
  <c r="BB61" i="2"/>
  <c r="BA61" i="2"/>
  <c r="AZ61" i="2"/>
  <c r="AY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DE60" i="2"/>
  <c r="DC60" i="2" a="1"/>
  <c r="DC60" i="2" s="1"/>
  <c r="DD60" i="2" s="1"/>
  <c r="DB60" i="2"/>
  <c r="DA60" i="2"/>
  <c r="CZ60" i="2"/>
  <c r="CY60" i="2"/>
  <c r="CX60" i="2"/>
  <c r="CW60" i="2"/>
  <c r="CV60" i="2"/>
  <c r="CU60" i="2"/>
  <c r="CT60" i="2"/>
  <c r="CS60" i="2"/>
  <c r="CQ60" i="2" a="1"/>
  <c r="CQ60" i="2"/>
  <c r="CR60" i="2" s="1"/>
  <c r="CP60" i="2"/>
  <c r="CO60" i="2"/>
  <c r="CN60" i="2"/>
  <c r="CM60" i="2"/>
  <c r="CL60" i="2"/>
  <c r="CK60" i="2"/>
  <c r="CJ60" i="2"/>
  <c r="CI60" i="2"/>
  <c r="CH60" i="2"/>
  <c r="CG60" i="2"/>
  <c r="CF60" i="2"/>
  <c r="CE60" i="2"/>
  <c r="CD60" i="2"/>
  <c r="CC60" i="2"/>
  <c r="CB60" i="2"/>
  <c r="CA60" i="2"/>
  <c r="BZ60" i="2"/>
  <c r="BY60" i="2"/>
  <c r="BX60" i="2"/>
  <c r="BW60" i="2"/>
  <c r="BU60" i="2" a="1"/>
  <c r="BU60" i="2" s="1"/>
  <c r="BV60" i="2" s="1"/>
  <c r="F55" i="5" s="1"/>
  <c r="BT60" i="2"/>
  <c r="BS60" i="2"/>
  <c r="BR60" i="2"/>
  <c r="BQ60" i="2"/>
  <c r="BP60" i="2"/>
  <c r="BO60" i="2"/>
  <c r="BN60" i="2"/>
  <c r="BM60" i="2"/>
  <c r="BL60" i="2"/>
  <c r="BK60" i="2"/>
  <c r="BJ60" i="2"/>
  <c r="BI60" i="2"/>
  <c r="BH60" i="2"/>
  <c r="BG60" i="2"/>
  <c r="BF60" i="2"/>
  <c r="BE60" i="2"/>
  <c r="BD60" i="2"/>
  <c r="BC60" i="2"/>
  <c r="BB60" i="2"/>
  <c r="BA60" i="2"/>
  <c r="AZ60" i="2"/>
  <c r="AY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T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DD59" i="2"/>
  <c r="DC59" i="2" a="1"/>
  <c r="DC59" i="2"/>
  <c r="DB59" i="2"/>
  <c r="DA59" i="2"/>
  <c r="CZ59" i="2"/>
  <c r="CY59" i="2"/>
  <c r="CX59" i="2"/>
  <c r="CW59" i="2"/>
  <c r="CV59" i="2"/>
  <c r="CU59" i="2"/>
  <c r="CT59" i="2"/>
  <c r="CS59" i="2"/>
  <c r="CQ59" i="2" a="1"/>
  <c r="CQ59" i="2" s="1"/>
  <c r="CR59" i="2" s="1"/>
  <c r="CP59" i="2"/>
  <c r="CO59" i="2"/>
  <c r="CN59" i="2"/>
  <c r="CM59" i="2"/>
  <c r="CL59" i="2"/>
  <c r="CK59" i="2"/>
  <c r="CJ59" i="2"/>
  <c r="CI59" i="2"/>
  <c r="CH59" i="2"/>
  <c r="CG59" i="2"/>
  <c r="CF59" i="2"/>
  <c r="CE59" i="2"/>
  <c r="CD59" i="2"/>
  <c r="CC59" i="2"/>
  <c r="CB59" i="2"/>
  <c r="CA59" i="2"/>
  <c r="BZ59" i="2"/>
  <c r="BY59" i="2"/>
  <c r="BX59" i="2"/>
  <c r="BW59" i="2"/>
  <c r="BV59" i="2"/>
  <c r="F54" i="5" s="1"/>
  <c r="BU59" i="2" a="1"/>
  <c r="BU59" i="2"/>
  <c r="BT59" i="2"/>
  <c r="BS59" i="2"/>
  <c r="BR59" i="2"/>
  <c r="BQ59" i="2"/>
  <c r="BP59" i="2"/>
  <c r="BO59" i="2"/>
  <c r="BN59" i="2"/>
  <c r="BM59" i="2"/>
  <c r="BL59" i="2"/>
  <c r="BK59" i="2"/>
  <c r="BJ59" i="2"/>
  <c r="BI59" i="2"/>
  <c r="BH59" i="2"/>
  <c r="BG59" i="2"/>
  <c r="BF59" i="2"/>
  <c r="BE59" i="2"/>
  <c r="BD59" i="2"/>
  <c r="BC59" i="2"/>
  <c r="BB59" i="2"/>
  <c r="BA59" i="2"/>
  <c r="AZ59" i="2"/>
  <c r="AY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DC58" i="2" a="1"/>
  <c r="DC58" i="2" s="1"/>
  <c r="DD58" i="2" s="1"/>
  <c r="DB58" i="2"/>
  <c r="DA58" i="2"/>
  <c r="CZ58" i="2"/>
  <c r="CY58" i="2"/>
  <c r="CX58" i="2"/>
  <c r="CW58" i="2"/>
  <c r="CV58" i="2"/>
  <c r="CU58" i="2"/>
  <c r="CT58" i="2"/>
  <c r="CS58" i="2"/>
  <c r="CR58" i="2"/>
  <c r="H53" i="5" s="1"/>
  <c r="CQ58" i="2" a="1"/>
  <c r="CQ58" i="2"/>
  <c r="CP58" i="2"/>
  <c r="CO58" i="2"/>
  <c r="CN58" i="2"/>
  <c r="CM58" i="2"/>
  <c r="CL58" i="2"/>
  <c r="CK58" i="2"/>
  <c r="CJ58" i="2"/>
  <c r="CI58" i="2"/>
  <c r="CH58" i="2"/>
  <c r="CG58" i="2"/>
  <c r="CF58" i="2"/>
  <c r="CE58" i="2"/>
  <c r="CD58" i="2"/>
  <c r="CC58" i="2"/>
  <c r="CB58" i="2"/>
  <c r="CA58" i="2"/>
  <c r="BZ58" i="2"/>
  <c r="BY58" i="2"/>
  <c r="BX58" i="2"/>
  <c r="BW58" i="2"/>
  <c r="BU58" i="2" a="1"/>
  <c r="BU58" i="2" s="1"/>
  <c r="BV58" i="2" s="1"/>
  <c r="BT58" i="2"/>
  <c r="BS58" i="2"/>
  <c r="BR58" i="2"/>
  <c r="BQ58" i="2"/>
  <c r="BP58" i="2"/>
  <c r="BO58" i="2"/>
  <c r="BN58" i="2"/>
  <c r="BM58" i="2"/>
  <c r="BL58" i="2"/>
  <c r="BK58" i="2"/>
  <c r="BJ58" i="2"/>
  <c r="BI58" i="2"/>
  <c r="BH58" i="2"/>
  <c r="BG58" i="2"/>
  <c r="BF58" i="2"/>
  <c r="BE58" i="2"/>
  <c r="BD58" i="2"/>
  <c r="BC58" i="2"/>
  <c r="BB58" i="2"/>
  <c r="BA58" i="2"/>
  <c r="AZ58" i="2"/>
  <c r="AY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DC57" i="2" a="1"/>
  <c r="DC57" i="2"/>
  <c r="DD57" i="2" s="1"/>
  <c r="DB57" i="2"/>
  <c r="DA57" i="2"/>
  <c r="CZ57" i="2"/>
  <c r="CY57" i="2"/>
  <c r="CX57" i="2"/>
  <c r="CW57" i="2"/>
  <c r="CV57" i="2"/>
  <c r="CU57" i="2"/>
  <c r="CT57" i="2"/>
  <c r="CS57" i="2"/>
  <c r="CQ57" i="2" a="1"/>
  <c r="CQ57" i="2" s="1"/>
  <c r="CR57" i="2" s="1"/>
  <c r="CP57" i="2"/>
  <c r="CO57" i="2"/>
  <c r="CN57" i="2"/>
  <c r="CM57" i="2"/>
  <c r="CL57" i="2"/>
  <c r="CK57" i="2"/>
  <c r="CJ57" i="2"/>
  <c r="CI57" i="2"/>
  <c r="CH57" i="2"/>
  <c r="CG57" i="2"/>
  <c r="CF57" i="2"/>
  <c r="CE57" i="2"/>
  <c r="CD57" i="2"/>
  <c r="CC57" i="2"/>
  <c r="CB57" i="2"/>
  <c r="CA57" i="2"/>
  <c r="BZ57" i="2"/>
  <c r="BY57" i="2"/>
  <c r="BX57" i="2"/>
  <c r="BW57" i="2"/>
  <c r="BU57" i="2" a="1"/>
  <c r="BU57" i="2"/>
  <c r="BV57" i="2" s="1"/>
  <c r="BT57" i="2"/>
  <c r="BS57" i="2"/>
  <c r="BR57" i="2"/>
  <c r="BQ57" i="2"/>
  <c r="BP57" i="2"/>
  <c r="BO57" i="2"/>
  <c r="BN57" i="2"/>
  <c r="BM57" i="2"/>
  <c r="BL57" i="2"/>
  <c r="BK57" i="2"/>
  <c r="BJ57" i="2"/>
  <c r="BI57" i="2"/>
  <c r="BH57" i="2"/>
  <c r="BG57" i="2"/>
  <c r="BF57" i="2"/>
  <c r="BE57" i="2"/>
  <c r="BD57" i="2"/>
  <c r="BC57" i="2"/>
  <c r="BB57" i="2"/>
  <c r="BA57" i="2"/>
  <c r="AZ57" i="2"/>
  <c r="AY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DC56" i="2" a="1"/>
  <c r="DC56" i="2" s="1"/>
  <c r="DD56" i="2" s="1"/>
  <c r="DB56" i="2"/>
  <c r="DA56" i="2"/>
  <c r="CZ56" i="2"/>
  <c r="CY56" i="2"/>
  <c r="CX56" i="2"/>
  <c r="CW56" i="2"/>
  <c r="CV56" i="2"/>
  <c r="CU56" i="2"/>
  <c r="CT56" i="2"/>
  <c r="CS56" i="2"/>
  <c r="CQ56" i="2" a="1"/>
  <c r="CQ56" i="2"/>
  <c r="CR56" i="2" s="1"/>
  <c r="CP56" i="2"/>
  <c r="CO56" i="2"/>
  <c r="CN56" i="2"/>
  <c r="CM56" i="2"/>
  <c r="CL56" i="2"/>
  <c r="CK56" i="2"/>
  <c r="CJ56" i="2"/>
  <c r="CI56" i="2"/>
  <c r="CH56" i="2"/>
  <c r="CG56" i="2"/>
  <c r="CF56" i="2"/>
  <c r="CE56" i="2"/>
  <c r="CD56" i="2"/>
  <c r="CC56" i="2"/>
  <c r="CB56" i="2"/>
  <c r="CA56" i="2"/>
  <c r="BZ56" i="2"/>
  <c r="BY56" i="2"/>
  <c r="BX56" i="2"/>
  <c r="BW56" i="2"/>
  <c r="BU56" i="2" a="1"/>
  <c r="BU56" i="2" s="1"/>
  <c r="BV56" i="2" s="1"/>
  <c r="BT56" i="2"/>
  <c r="BS56" i="2"/>
  <c r="BR56" i="2"/>
  <c r="BQ56" i="2"/>
  <c r="BP56" i="2"/>
  <c r="BO56" i="2"/>
  <c r="BN56" i="2"/>
  <c r="BM56" i="2"/>
  <c r="BL56" i="2"/>
  <c r="BK56" i="2"/>
  <c r="BJ56" i="2"/>
  <c r="BI56" i="2"/>
  <c r="BH56" i="2"/>
  <c r="BG56" i="2"/>
  <c r="BF56" i="2"/>
  <c r="BE56" i="2"/>
  <c r="BD56" i="2"/>
  <c r="BC56" i="2"/>
  <c r="BB56" i="2"/>
  <c r="BA56" i="2"/>
  <c r="AZ56" i="2"/>
  <c r="AY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DD55" i="2"/>
  <c r="I50" i="5" s="1"/>
  <c r="DC55" i="2" a="1"/>
  <c r="DC55" i="2"/>
  <c r="DB55" i="2"/>
  <c r="DA55" i="2"/>
  <c r="CZ55" i="2"/>
  <c r="CY55" i="2"/>
  <c r="CX55" i="2"/>
  <c r="CW55" i="2"/>
  <c r="CV55" i="2"/>
  <c r="CU55" i="2"/>
  <c r="CT55" i="2"/>
  <c r="CS55" i="2"/>
  <c r="CQ55" i="2" a="1"/>
  <c r="CQ55" i="2" s="1"/>
  <c r="CR55" i="2" s="1"/>
  <c r="CP55" i="2"/>
  <c r="CO55" i="2"/>
  <c r="CN55" i="2"/>
  <c r="CM55" i="2"/>
  <c r="CL55" i="2"/>
  <c r="CK55" i="2"/>
  <c r="CJ55" i="2"/>
  <c r="CI55" i="2"/>
  <c r="CH55" i="2"/>
  <c r="CG55" i="2"/>
  <c r="CF55" i="2"/>
  <c r="CE55" i="2"/>
  <c r="CD55" i="2"/>
  <c r="CC55" i="2"/>
  <c r="CB55" i="2"/>
  <c r="CA55" i="2"/>
  <c r="BZ55" i="2"/>
  <c r="BY55" i="2"/>
  <c r="BX55" i="2"/>
  <c r="BW55" i="2"/>
  <c r="BV55" i="2"/>
  <c r="BU55" i="2" a="1"/>
  <c r="BU55" i="2"/>
  <c r="BT55" i="2"/>
  <c r="BS55" i="2"/>
  <c r="BR55" i="2"/>
  <c r="BQ55" i="2"/>
  <c r="BP55" i="2"/>
  <c r="BO55" i="2"/>
  <c r="BN55" i="2"/>
  <c r="BM55" i="2"/>
  <c r="BL55" i="2"/>
  <c r="BK55" i="2"/>
  <c r="BJ55" i="2"/>
  <c r="BI55" i="2"/>
  <c r="BH55" i="2"/>
  <c r="BG55" i="2"/>
  <c r="BF55" i="2"/>
  <c r="BE55" i="2"/>
  <c r="BD55" i="2"/>
  <c r="BC55" i="2"/>
  <c r="BB55" i="2"/>
  <c r="BA55" i="2"/>
  <c r="AZ55" i="2"/>
  <c r="AY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K55" i="2"/>
  <c r="AJ55" i="2"/>
  <c r="AI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U55" i="2"/>
  <c r="T55" i="2"/>
  <c r="S55" i="2"/>
  <c r="R55" i="2"/>
  <c r="Q55" i="2"/>
  <c r="P55" i="2"/>
  <c r="O55" i="2"/>
  <c r="N55" i="2"/>
  <c r="M55" i="2"/>
  <c r="L55" i="2"/>
  <c r="K55" i="2"/>
  <c r="J55" i="2"/>
  <c r="I55" i="2"/>
  <c r="H55" i="2"/>
  <c r="G55" i="2"/>
  <c r="DG54" i="2"/>
  <c r="DC54" i="2" a="1"/>
  <c r="DC54" i="2" s="1"/>
  <c r="DD54" i="2" s="1"/>
  <c r="I49" i="5" s="1"/>
  <c r="DB54" i="2"/>
  <c r="DA54" i="2"/>
  <c r="CZ54" i="2"/>
  <c r="CY54" i="2"/>
  <c r="CX54" i="2"/>
  <c r="CW54" i="2"/>
  <c r="CV54" i="2"/>
  <c r="CU54" i="2"/>
  <c r="CT54" i="2"/>
  <c r="CS54" i="2"/>
  <c r="CR54" i="2"/>
  <c r="CQ54" i="2" a="1"/>
  <c r="CQ54" i="2"/>
  <c r="CP54" i="2"/>
  <c r="CO54" i="2"/>
  <c r="CN54" i="2"/>
  <c r="CM54" i="2"/>
  <c r="CL54" i="2"/>
  <c r="CK54" i="2"/>
  <c r="CJ54" i="2"/>
  <c r="CI54" i="2"/>
  <c r="CH54" i="2"/>
  <c r="CG54" i="2"/>
  <c r="CF54" i="2"/>
  <c r="CE54" i="2"/>
  <c r="CD54" i="2"/>
  <c r="CC54" i="2"/>
  <c r="CB54" i="2"/>
  <c r="CA54" i="2"/>
  <c r="BZ54" i="2"/>
  <c r="BY54" i="2"/>
  <c r="BX54" i="2"/>
  <c r="BW54" i="2"/>
  <c r="BU54" i="2" a="1"/>
  <c r="BU54" i="2" s="1"/>
  <c r="BV54" i="2" s="1"/>
  <c r="BT54" i="2"/>
  <c r="BS54" i="2"/>
  <c r="BR54" i="2"/>
  <c r="BQ54" i="2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BA54" i="2"/>
  <c r="AZ54" i="2"/>
  <c r="AY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DC53" i="2" a="1"/>
  <c r="DC53" i="2"/>
  <c r="DD53" i="2" s="1"/>
  <c r="DB53" i="2"/>
  <c r="DA53" i="2"/>
  <c r="CZ53" i="2"/>
  <c r="CY53" i="2"/>
  <c r="CX53" i="2"/>
  <c r="CW53" i="2"/>
  <c r="CV53" i="2"/>
  <c r="CU53" i="2"/>
  <c r="CT53" i="2"/>
  <c r="CS53" i="2"/>
  <c r="CQ53" i="2" a="1"/>
  <c r="CQ53" i="2" s="1"/>
  <c r="CR53" i="2" s="1"/>
  <c r="H48" i="5" s="1"/>
  <c r="CP53" i="2"/>
  <c r="CO53" i="2"/>
  <c r="CN53" i="2"/>
  <c r="CM53" i="2"/>
  <c r="CL53" i="2"/>
  <c r="CK53" i="2"/>
  <c r="CJ53" i="2"/>
  <c r="CI53" i="2"/>
  <c r="CH53" i="2"/>
  <c r="CG53" i="2"/>
  <c r="CF53" i="2"/>
  <c r="CE53" i="2"/>
  <c r="CD53" i="2"/>
  <c r="CC53" i="2"/>
  <c r="CB53" i="2"/>
  <c r="CA53" i="2"/>
  <c r="BZ53" i="2"/>
  <c r="BY53" i="2"/>
  <c r="BX53" i="2"/>
  <c r="BW53" i="2"/>
  <c r="BU53" i="2" a="1"/>
  <c r="BU53" i="2"/>
  <c r="BV53" i="2" s="1"/>
  <c r="BT53" i="2"/>
  <c r="BS53" i="2"/>
  <c r="BR53" i="2"/>
  <c r="BQ53" i="2"/>
  <c r="BP53" i="2"/>
  <c r="BO53" i="2"/>
  <c r="BN53" i="2"/>
  <c r="BM53" i="2"/>
  <c r="BL53" i="2"/>
  <c r="BK53" i="2"/>
  <c r="BJ53" i="2"/>
  <c r="BI53" i="2"/>
  <c r="BH53" i="2"/>
  <c r="BG53" i="2"/>
  <c r="BF53" i="2"/>
  <c r="BE53" i="2"/>
  <c r="BD53" i="2"/>
  <c r="BC53" i="2"/>
  <c r="BB53" i="2"/>
  <c r="BA53" i="2"/>
  <c r="AZ53" i="2"/>
  <c r="AY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DC52" i="2" a="1"/>
  <c r="DC52" i="2" s="1"/>
  <c r="DD52" i="2" s="1"/>
  <c r="DB52" i="2"/>
  <c r="DA52" i="2"/>
  <c r="CZ52" i="2"/>
  <c r="CY52" i="2"/>
  <c r="CX52" i="2"/>
  <c r="CW52" i="2"/>
  <c r="CV52" i="2"/>
  <c r="CU52" i="2"/>
  <c r="CT52" i="2"/>
  <c r="CS52" i="2"/>
  <c r="CQ52" i="2" a="1"/>
  <c r="CQ52" i="2"/>
  <c r="CR52" i="2" s="1"/>
  <c r="CP52" i="2"/>
  <c r="CO52" i="2"/>
  <c r="CN52" i="2"/>
  <c r="CM52" i="2"/>
  <c r="CL52" i="2"/>
  <c r="CK52" i="2"/>
  <c r="CJ52" i="2"/>
  <c r="CI52" i="2"/>
  <c r="CH52" i="2"/>
  <c r="CG52" i="2"/>
  <c r="CF52" i="2"/>
  <c r="CE52" i="2"/>
  <c r="CD52" i="2"/>
  <c r="CC52" i="2"/>
  <c r="CB52" i="2"/>
  <c r="CA52" i="2"/>
  <c r="BZ52" i="2"/>
  <c r="BY52" i="2"/>
  <c r="BX52" i="2"/>
  <c r="BW52" i="2"/>
  <c r="BU52" i="2" a="1"/>
  <c r="BU52" i="2" s="1"/>
  <c r="BV52" i="2" s="1"/>
  <c r="F47" i="5" s="1"/>
  <c r="BT52" i="2"/>
  <c r="BS52" i="2"/>
  <c r="BR52" i="2"/>
  <c r="BQ52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BA52" i="2"/>
  <c r="AZ52" i="2"/>
  <c r="AY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DD51" i="2"/>
  <c r="DC51" i="2" a="1"/>
  <c r="DC51" i="2"/>
  <c r="DB51" i="2"/>
  <c r="DA51" i="2"/>
  <c r="CZ51" i="2"/>
  <c r="CY51" i="2"/>
  <c r="CX51" i="2"/>
  <c r="CW51" i="2"/>
  <c r="CV51" i="2"/>
  <c r="CU51" i="2"/>
  <c r="CT51" i="2"/>
  <c r="CS51" i="2"/>
  <c r="CQ51" i="2" a="1"/>
  <c r="CQ51" i="2" s="1"/>
  <c r="CR51" i="2" s="1"/>
  <c r="CP51" i="2"/>
  <c r="CO51" i="2"/>
  <c r="CN51" i="2"/>
  <c r="CM51" i="2"/>
  <c r="CL51" i="2"/>
  <c r="CK51" i="2"/>
  <c r="CJ51" i="2"/>
  <c r="CI51" i="2"/>
  <c r="CH51" i="2"/>
  <c r="CG51" i="2"/>
  <c r="CF51" i="2"/>
  <c r="CE51" i="2"/>
  <c r="CD51" i="2"/>
  <c r="CC51" i="2"/>
  <c r="CB51" i="2"/>
  <c r="CA51" i="2"/>
  <c r="BZ51" i="2"/>
  <c r="BY51" i="2"/>
  <c r="BX51" i="2"/>
  <c r="BW51" i="2"/>
  <c r="BV51" i="2"/>
  <c r="F46" i="5" s="1"/>
  <c r="BU51" i="2" a="1"/>
  <c r="BU51" i="2"/>
  <c r="BT51" i="2"/>
  <c r="BS51" i="2"/>
  <c r="BR51" i="2"/>
  <c r="BQ51" i="2"/>
  <c r="BP51" i="2"/>
  <c r="BO51" i="2"/>
  <c r="BN51" i="2"/>
  <c r="BM51" i="2"/>
  <c r="BL51" i="2"/>
  <c r="BK51" i="2"/>
  <c r="BJ51" i="2"/>
  <c r="BI51" i="2"/>
  <c r="BH51" i="2"/>
  <c r="BG51" i="2"/>
  <c r="BF51" i="2"/>
  <c r="BE51" i="2"/>
  <c r="BD51" i="2"/>
  <c r="BC51" i="2"/>
  <c r="BB51" i="2"/>
  <c r="BA51" i="2"/>
  <c r="AZ51" i="2"/>
  <c r="AY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DC50" i="2" a="1"/>
  <c r="DC50" i="2" s="1"/>
  <c r="DD50" i="2" s="1"/>
  <c r="DB50" i="2"/>
  <c r="DA50" i="2"/>
  <c r="CZ50" i="2"/>
  <c r="CY50" i="2"/>
  <c r="CX50" i="2"/>
  <c r="CW50" i="2"/>
  <c r="CV50" i="2"/>
  <c r="CU50" i="2"/>
  <c r="CT50" i="2"/>
  <c r="CS50" i="2"/>
  <c r="CR50" i="2"/>
  <c r="H45" i="5" s="1"/>
  <c r="CQ50" i="2" a="1"/>
  <c r="CQ50" i="2"/>
  <c r="CP50" i="2"/>
  <c r="CO50" i="2"/>
  <c r="CN50" i="2"/>
  <c r="CM50" i="2"/>
  <c r="CL50" i="2"/>
  <c r="CK50" i="2"/>
  <c r="CJ50" i="2"/>
  <c r="CI50" i="2"/>
  <c r="CH50" i="2"/>
  <c r="CG50" i="2"/>
  <c r="CF50" i="2"/>
  <c r="CE50" i="2"/>
  <c r="CD50" i="2"/>
  <c r="CC50" i="2"/>
  <c r="CB50" i="2"/>
  <c r="CA50" i="2"/>
  <c r="BZ50" i="2"/>
  <c r="BY50" i="2"/>
  <c r="BX50" i="2"/>
  <c r="BW50" i="2"/>
  <c r="BU50" i="2" a="1"/>
  <c r="BU50" i="2" s="1"/>
  <c r="BV50" i="2" s="1"/>
  <c r="BT50" i="2"/>
  <c r="BS50" i="2"/>
  <c r="BR50" i="2"/>
  <c r="BQ50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BA50" i="2"/>
  <c r="AZ50" i="2"/>
  <c r="AY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DC49" i="2" a="1"/>
  <c r="DC49" i="2"/>
  <c r="DD49" i="2" s="1"/>
  <c r="DB49" i="2"/>
  <c r="DA49" i="2"/>
  <c r="CZ49" i="2"/>
  <c r="CY49" i="2"/>
  <c r="CX49" i="2"/>
  <c r="CW49" i="2"/>
  <c r="CV49" i="2"/>
  <c r="CU49" i="2"/>
  <c r="CT49" i="2"/>
  <c r="CS49" i="2"/>
  <c r="CQ49" i="2" a="1"/>
  <c r="CQ49" i="2" s="1"/>
  <c r="CR49" i="2" s="1"/>
  <c r="CP49" i="2"/>
  <c r="CO49" i="2"/>
  <c r="CN49" i="2"/>
  <c r="CM49" i="2"/>
  <c r="CL49" i="2"/>
  <c r="CK49" i="2"/>
  <c r="CJ49" i="2"/>
  <c r="CI49" i="2"/>
  <c r="CH49" i="2"/>
  <c r="CG49" i="2"/>
  <c r="CF49" i="2"/>
  <c r="CE49" i="2"/>
  <c r="CD49" i="2"/>
  <c r="CC49" i="2"/>
  <c r="CB49" i="2"/>
  <c r="CA49" i="2"/>
  <c r="BZ49" i="2"/>
  <c r="BY49" i="2"/>
  <c r="BX49" i="2"/>
  <c r="BW49" i="2"/>
  <c r="BU49" i="2" a="1"/>
  <c r="BU49" i="2"/>
  <c r="BV49" i="2" s="1"/>
  <c r="BT49" i="2"/>
  <c r="BS49" i="2"/>
  <c r="BR49" i="2"/>
  <c r="BQ49" i="2"/>
  <c r="BP49" i="2"/>
  <c r="BO49" i="2"/>
  <c r="BN49" i="2"/>
  <c r="BM49" i="2"/>
  <c r="BL49" i="2"/>
  <c r="BK49" i="2"/>
  <c r="BJ49" i="2"/>
  <c r="BI49" i="2"/>
  <c r="BH49" i="2"/>
  <c r="BG49" i="2"/>
  <c r="BF49" i="2"/>
  <c r="BE49" i="2"/>
  <c r="BD49" i="2"/>
  <c r="BC49" i="2"/>
  <c r="BB49" i="2"/>
  <c r="BA49" i="2"/>
  <c r="AZ49" i="2"/>
  <c r="AY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DC48" i="2" a="1"/>
  <c r="DC48" i="2" s="1"/>
  <c r="DD48" i="2" s="1"/>
  <c r="DB48" i="2"/>
  <c r="DA48" i="2"/>
  <c r="CZ48" i="2"/>
  <c r="CY48" i="2"/>
  <c r="CX48" i="2"/>
  <c r="CW48" i="2"/>
  <c r="CV48" i="2"/>
  <c r="CU48" i="2"/>
  <c r="CT48" i="2"/>
  <c r="CS48" i="2"/>
  <c r="CQ48" i="2" a="1"/>
  <c r="CQ48" i="2"/>
  <c r="CR48" i="2" s="1"/>
  <c r="CP48" i="2"/>
  <c r="CO48" i="2"/>
  <c r="CN48" i="2"/>
  <c r="CM48" i="2"/>
  <c r="CL48" i="2"/>
  <c r="CK48" i="2"/>
  <c r="CJ48" i="2"/>
  <c r="CI48" i="2"/>
  <c r="CH48" i="2"/>
  <c r="CG48" i="2"/>
  <c r="CF48" i="2"/>
  <c r="CE48" i="2"/>
  <c r="CD48" i="2"/>
  <c r="CC48" i="2"/>
  <c r="CB48" i="2"/>
  <c r="CA48" i="2"/>
  <c r="BZ48" i="2"/>
  <c r="BY48" i="2"/>
  <c r="BX48" i="2"/>
  <c r="BW48" i="2"/>
  <c r="BU48" i="2" a="1"/>
  <c r="BU48" i="2" s="1"/>
  <c r="BV48" i="2" s="1"/>
  <c r="BT48" i="2"/>
  <c r="BS48" i="2"/>
  <c r="BR48" i="2"/>
  <c r="BQ48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BA48" i="2"/>
  <c r="AZ48" i="2"/>
  <c r="AY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DD47" i="2"/>
  <c r="I42" i="5" s="1"/>
  <c r="DC47" i="2" a="1"/>
  <c r="DC47" i="2"/>
  <c r="DB47" i="2"/>
  <c r="DA47" i="2"/>
  <c r="CZ47" i="2"/>
  <c r="CY47" i="2"/>
  <c r="CX47" i="2"/>
  <c r="CW47" i="2"/>
  <c r="CV47" i="2"/>
  <c r="CU47" i="2"/>
  <c r="CT47" i="2"/>
  <c r="CS47" i="2"/>
  <c r="CQ47" i="2" a="1"/>
  <c r="CQ47" i="2" s="1"/>
  <c r="CR47" i="2" s="1"/>
  <c r="CP47" i="2"/>
  <c r="CO47" i="2"/>
  <c r="CN47" i="2"/>
  <c r="CM47" i="2"/>
  <c r="CL47" i="2"/>
  <c r="CK47" i="2"/>
  <c r="CJ47" i="2"/>
  <c r="CI47" i="2"/>
  <c r="CH47" i="2"/>
  <c r="CG47" i="2"/>
  <c r="CF47" i="2"/>
  <c r="CE47" i="2"/>
  <c r="CD47" i="2"/>
  <c r="CC47" i="2"/>
  <c r="CB47" i="2"/>
  <c r="CA47" i="2"/>
  <c r="BZ47" i="2"/>
  <c r="BY47" i="2"/>
  <c r="BX47" i="2"/>
  <c r="BW47" i="2"/>
  <c r="BV47" i="2"/>
  <c r="BU47" i="2" a="1"/>
  <c r="BU47" i="2"/>
  <c r="BT47" i="2"/>
  <c r="BS47" i="2"/>
  <c r="BR47" i="2"/>
  <c r="BQ47" i="2"/>
  <c r="BP47" i="2"/>
  <c r="BO47" i="2"/>
  <c r="BN47" i="2"/>
  <c r="BM47" i="2"/>
  <c r="BL47" i="2"/>
  <c r="BK47" i="2"/>
  <c r="BJ47" i="2"/>
  <c r="BI47" i="2"/>
  <c r="BH47" i="2"/>
  <c r="BG47" i="2"/>
  <c r="BF47" i="2"/>
  <c r="BE47" i="2"/>
  <c r="BD47" i="2"/>
  <c r="BC47" i="2"/>
  <c r="BB47" i="2"/>
  <c r="BA47" i="2"/>
  <c r="AZ47" i="2"/>
  <c r="AY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DC46" i="2" a="1"/>
  <c r="DC46" i="2" s="1"/>
  <c r="DD46" i="2" s="1"/>
  <c r="I41" i="5" s="1"/>
  <c r="DB46" i="2"/>
  <c r="DA46" i="2"/>
  <c r="CZ46" i="2"/>
  <c r="CY46" i="2"/>
  <c r="CX46" i="2"/>
  <c r="CW46" i="2"/>
  <c r="CV46" i="2"/>
  <c r="CU46" i="2"/>
  <c r="CT46" i="2"/>
  <c r="CS46" i="2"/>
  <c r="CR46" i="2"/>
  <c r="CQ46" i="2" a="1"/>
  <c r="CQ46" i="2"/>
  <c r="CP46" i="2"/>
  <c r="CO46" i="2"/>
  <c r="CN46" i="2"/>
  <c r="CM46" i="2"/>
  <c r="CL46" i="2"/>
  <c r="CK46" i="2"/>
  <c r="CJ46" i="2"/>
  <c r="CI46" i="2"/>
  <c r="CH46" i="2"/>
  <c r="CG46" i="2"/>
  <c r="CF46" i="2"/>
  <c r="CE46" i="2"/>
  <c r="CD46" i="2"/>
  <c r="CC46" i="2"/>
  <c r="CB46" i="2"/>
  <c r="CA46" i="2"/>
  <c r="BZ46" i="2"/>
  <c r="BY46" i="2"/>
  <c r="BX46" i="2"/>
  <c r="BW46" i="2"/>
  <c r="BU46" i="2" a="1"/>
  <c r="BU46" i="2" s="1"/>
  <c r="BV46" i="2" s="1"/>
  <c r="BT46" i="2"/>
  <c r="BS46" i="2"/>
  <c r="BR46" i="2"/>
  <c r="BQ46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BA46" i="2"/>
  <c r="AZ46" i="2"/>
  <c r="AY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DC45" i="2" a="1"/>
  <c r="DC45" i="2"/>
  <c r="DD45" i="2" s="1"/>
  <c r="DB45" i="2"/>
  <c r="DA45" i="2"/>
  <c r="CZ45" i="2"/>
  <c r="CY45" i="2"/>
  <c r="CX45" i="2"/>
  <c r="CW45" i="2"/>
  <c r="CV45" i="2"/>
  <c r="CU45" i="2"/>
  <c r="CT45" i="2"/>
  <c r="CS45" i="2"/>
  <c r="CQ45" i="2" a="1"/>
  <c r="CQ45" i="2" s="1"/>
  <c r="CR45" i="2" s="1"/>
  <c r="H40" i="5" s="1"/>
  <c r="CP45" i="2"/>
  <c r="CO45" i="2"/>
  <c r="CN45" i="2"/>
  <c r="CM45" i="2"/>
  <c r="CL45" i="2"/>
  <c r="CK45" i="2"/>
  <c r="CJ45" i="2"/>
  <c r="CI45" i="2"/>
  <c r="CH45" i="2"/>
  <c r="CG45" i="2"/>
  <c r="CF45" i="2"/>
  <c r="CE45" i="2"/>
  <c r="CD45" i="2"/>
  <c r="CC45" i="2"/>
  <c r="CB45" i="2"/>
  <c r="CA45" i="2"/>
  <c r="BZ45" i="2"/>
  <c r="BY45" i="2"/>
  <c r="BX45" i="2"/>
  <c r="BW45" i="2"/>
  <c r="BU45" i="2" a="1"/>
  <c r="BU45" i="2"/>
  <c r="BV45" i="2" s="1"/>
  <c r="BT45" i="2"/>
  <c r="BS45" i="2"/>
  <c r="BR45" i="2"/>
  <c r="BQ45" i="2"/>
  <c r="BP45" i="2"/>
  <c r="BO45" i="2"/>
  <c r="BN45" i="2"/>
  <c r="BM45" i="2"/>
  <c r="BL45" i="2"/>
  <c r="BK45" i="2"/>
  <c r="BJ45" i="2"/>
  <c r="BI45" i="2"/>
  <c r="BH45" i="2"/>
  <c r="BG45" i="2"/>
  <c r="BF45" i="2"/>
  <c r="BE45" i="2"/>
  <c r="BD45" i="2"/>
  <c r="BC45" i="2"/>
  <c r="BB45" i="2"/>
  <c r="BA45" i="2"/>
  <c r="AZ45" i="2"/>
  <c r="AY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DE44" i="2"/>
  <c r="DC44" i="2" a="1"/>
  <c r="DC44" i="2" s="1"/>
  <c r="DD44" i="2" s="1"/>
  <c r="DB44" i="2"/>
  <c r="DA44" i="2"/>
  <c r="CZ44" i="2"/>
  <c r="CY44" i="2"/>
  <c r="CX44" i="2"/>
  <c r="CW44" i="2"/>
  <c r="CV44" i="2"/>
  <c r="CU44" i="2"/>
  <c r="CT44" i="2"/>
  <c r="CS44" i="2"/>
  <c r="CQ44" i="2" a="1"/>
  <c r="CQ44" i="2"/>
  <c r="CR44" i="2" s="1"/>
  <c r="CP44" i="2"/>
  <c r="CO44" i="2"/>
  <c r="CN44" i="2"/>
  <c r="CM44" i="2"/>
  <c r="CL44" i="2"/>
  <c r="CK44" i="2"/>
  <c r="CJ44" i="2"/>
  <c r="CI44" i="2"/>
  <c r="CH44" i="2"/>
  <c r="CG44" i="2"/>
  <c r="CF44" i="2"/>
  <c r="CE44" i="2"/>
  <c r="CD44" i="2"/>
  <c r="CC44" i="2"/>
  <c r="CB44" i="2"/>
  <c r="CA44" i="2"/>
  <c r="BZ44" i="2"/>
  <c r="BY44" i="2"/>
  <c r="BX44" i="2"/>
  <c r="BW44" i="2"/>
  <c r="BU44" i="2" a="1"/>
  <c r="BU44" i="2" s="1"/>
  <c r="BV44" i="2" s="1"/>
  <c r="F39" i="5" s="1"/>
  <c r="BT44" i="2"/>
  <c r="BS44" i="2"/>
  <c r="BR44" i="2"/>
  <c r="BQ44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BA44" i="2"/>
  <c r="AZ44" i="2"/>
  <c r="AY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DD43" i="2"/>
  <c r="DC43" i="2" a="1"/>
  <c r="DC43" i="2"/>
  <c r="DB43" i="2"/>
  <c r="DA43" i="2"/>
  <c r="CZ43" i="2"/>
  <c r="CY43" i="2"/>
  <c r="CX43" i="2"/>
  <c r="CW43" i="2"/>
  <c r="CV43" i="2"/>
  <c r="CU43" i="2"/>
  <c r="CT43" i="2"/>
  <c r="CS43" i="2"/>
  <c r="CQ43" i="2" a="1"/>
  <c r="CQ43" i="2" s="1"/>
  <c r="CR43" i="2" s="1"/>
  <c r="CP43" i="2"/>
  <c r="CO43" i="2"/>
  <c r="CN43" i="2"/>
  <c r="CM43" i="2"/>
  <c r="CL43" i="2"/>
  <c r="CK43" i="2"/>
  <c r="CJ43" i="2"/>
  <c r="CI43" i="2"/>
  <c r="CH43" i="2"/>
  <c r="CG43" i="2"/>
  <c r="CF43" i="2"/>
  <c r="CE43" i="2"/>
  <c r="CD43" i="2"/>
  <c r="CC43" i="2"/>
  <c r="CB43" i="2"/>
  <c r="CA43" i="2"/>
  <c r="BZ43" i="2"/>
  <c r="BY43" i="2"/>
  <c r="BX43" i="2"/>
  <c r="BW43" i="2"/>
  <c r="BV43" i="2"/>
  <c r="F38" i="5" s="1"/>
  <c r="BU43" i="2" a="1"/>
  <c r="BU43" i="2"/>
  <c r="BT43" i="2"/>
  <c r="BS43" i="2"/>
  <c r="BR43" i="2"/>
  <c r="BQ43" i="2"/>
  <c r="BP43" i="2"/>
  <c r="BO43" i="2"/>
  <c r="BN43" i="2"/>
  <c r="BM43" i="2"/>
  <c r="BL43" i="2"/>
  <c r="BK43" i="2"/>
  <c r="BJ43" i="2"/>
  <c r="BI43" i="2"/>
  <c r="BH43" i="2"/>
  <c r="BG43" i="2"/>
  <c r="BF43" i="2"/>
  <c r="BE43" i="2"/>
  <c r="BD43" i="2"/>
  <c r="BC43" i="2"/>
  <c r="BB43" i="2"/>
  <c r="BA43" i="2"/>
  <c r="AZ43" i="2"/>
  <c r="AY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DC42" i="2" a="1"/>
  <c r="DC42" i="2" s="1"/>
  <c r="DD42" i="2" s="1"/>
  <c r="DB42" i="2"/>
  <c r="DA42" i="2"/>
  <c r="CZ42" i="2"/>
  <c r="CY42" i="2"/>
  <c r="CX42" i="2"/>
  <c r="CW42" i="2"/>
  <c r="CV42" i="2"/>
  <c r="CU42" i="2"/>
  <c r="CT42" i="2"/>
  <c r="CS42" i="2"/>
  <c r="CR42" i="2"/>
  <c r="H37" i="5" s="1"/>
  <c r="CQ42" i="2" a="1"/>
  <c r="CQ42" i="2"/>
  <c r="CP42" i="2"/>
  <c r="CO42" i="2"/>
  <c r="CN42" i="2"/>
  <c r="CM42" i="2"/>
  <c r="CL42" i="2"/>
  <c r="CK42" i="2"/>
  <c r="CJ42" i="2"/>
  <c r="CI42" i="2"/>
  <c r="CH42" i="2"/>
  <c r="CG42" i="2"/>
  <c r="CF42" i="2"/>
  <c r="CE42" i="2"/>
  <c r="CD42" i="2"/>
  <c r="CC42" i="2"/>
  <c r="CB42" i="2"/>
  <c r="CA42" i="2"/>
  <c r="BZ42" i="2"/>
  <c r="BY42" i="2"/>
  <c r="BX42" i="2"/>
  <c r="BW42" i="2"/>
  <c r="BU42" i="2" a="1"/>
  <c r="BU42" i="2" s="1"/>
  <c r="BV42" i="2" s="1"/>
  <c r="BT42" i="2"/>
  <c r="BS42" i="2"/>
  <c r="BR42" i="2"/>
  <c r="BQ42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BA42" i="2"/>
  <c r="AZ42" i="2"/>
  <c r="AY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DC41" i="2" a="1"/>
  <c r="DC41" i="2"/>
  <c r="DD41" i="2" s="1"/>
  <c r="DB41" i="2"/>
  <c r="DA41" i="2"/>
  <c r="CZ41" i="2"/>
  <c r="CY41" i="2"/>
  <c r="CX41" i="2"/>
  <c r="CW41" i="2"/>
  <c r="CV41" i="2"/>
  <c r="CU41" i="2"/>
  <c r="CT41" i="2"/>
  <c r="CS41" i="2"/>
  <c r="CQ41" i="2" a="1"/>
  <c r="CQ41" i="2" s="1"/>
  <c r="CR41" i="2" s="1"/>
  <c r="CP41" i="2"/>
  <c r="CO41" i="2"/>
  <c r="CN41" i="2"/>
  <c r="CM41" i="2"/>
  <c r="CL41" i="2"/>
  <c r="CK41" i="2"/>
  <c r="CJ41" i="2"/>
  <c r="CI41" i="2"/>
  <c r="CH41" i="2"/>
  <c r="CG41" i="2"/>
  <c r="CF41" i="2"/>
  <c r="CE41" i="2"/>
  <c r="CD41" i="2"/>
  <c r="CC41" i="2"/>
  <c r="CB41" i="2"/>
  <c r="CA41" i="2"/>
  <c r="BZ41" i="2"/>
  <c r="BY41" i="2"/>
  <c r="BX41" i="2"/>
  <c r="BW41" i="2"/>
  <c r="BU41" i="2" a="1"/>
  <c r="BU41" i="2"/>
  <c r="BV41" i="2" s="1"/>
  <c r="BT41" i="2"/>
  <c r="BS41" i="2"/>
  <c r="BR41" i="2"/>
  <c r="BQ41" i="2"/>
  <c r="BP41" i="2"/>
  <c r="BO41" i="2"/>
  <c r="BN41" i="2"/>
  <c r="BM41" i="2"/>
  <c r="BL41" i="2"/>
  <c r="BK41" i="2"/>
  <c r="BJ41" i="2"/>
  <c r="BI41" i="2"/>
  <c r="BH41" i="2"/>
  <c r="BG41" i="2"/>
  <c r="BF41" i="2"/>
  <c r="BE41" i="2"/>
  <c r="BD41" i="2"/>
  <c r="BC41" i="2"/>
  <c r="BB41" i="2"/>
  <c r="BA41" i="2"/>
  <c r="AZ41" i="2"/>
  <c r="AY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DB40" i="2"/>
  <c r="DA40" i="2"/>
  <c r="CZ40" i="2"/>
  <c r="CY40" i="2"/>
  <c r="CX40" i="2"/>
  <c r="CW40" i="2"/>
  <c r="CV40" i="2"/>
  <c r="CU40" i="2"/>
  <c r="CT40" i="2"/>
  <c r="DC40" i="2" s="1" a="1"/>
  <c r="DC40" i="2" s="1"/>
  <c r="DD40" i="2" s="1"/>
  <c r="CS40" i="2"/>
  <c r="CP40" i="2"/>
  <c r="CO40" i="2"/>
  <c r="CN40" i="2"/>
  <c r="CM40" i="2"/>
  <c r="CL40" i="2"/>
  <c r="CK40" i="2"/>
  <c r="CJ40" i="2"/>
  <c r="CI40" i="2"/>
  <c r="CH40" i="2"/>
  <c r="CG40" i="2"/>
  <c r="CF40" i="2"/>
  <c r="CE40" i="2"/>
  <c r="CD40" i="2"/>
  <c r="CC40" i="2"/>
  <c r="CB40" i="2"/>
  <c r="CA40" i="2"/>
  <c r="BZ40" i="2"/>
  <c r="BY40" i="2"/>
  <c r="BX40" i="2"/>
  <c r="BW40" i="2"/>
  <c r="CQ40" i="2" s="1" a="1"/>
  <c r="CQ40" i="2" s="1"/>
  <c r="CR40" i="2" s="1"/>
  <c r="BT40" i="2"/>
  <c r="BS40" i="2"/>
  <c r="BR40" i="2"/>
  <c r="BQ40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BA40" i="2"/>
  <c r="AZ40" i="2"/>
  <c r="AY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DB39" i="2"/>
  <c r="DA39" i="2"/>
  <c r="CZ39" i="2"/>
  <c r="CY39" i="2"/>
  <c r="CX39" i="2"/>
  <c r="CW39" i="2"/>
  <c r="CV39" i="2"/>
  <c r="CU39" i="2"/>
  <c r="CT39" i="2"/>
  <c r="CS39" i="2"/>
  <c r="CP39" i="2"/>
  <c r="CO39" i="2"/>
  <c r="CN39" i="2"/>
  <c r="CM39" i="2"/>
  <c r="CL39" i="2"/>
  <c r="CK39" i="2"/>
  <c r="CJ39" i="2"/>
  <c r="CI39" i="2"/>
  <c r="CH39" i="2"/>
  <c r="CG39" i="2"/>
  <c r="CF39" i="2"/>
  <c r="CE39" i="2"/>
  <c r="CD39" i="2"/>
  <c r="CC39" i="2"/>
  <c r="CB39" i="2"/>
  <c r="CA39" i="2"/>
  <c r="BZ39" i="2"/>
  <c r="BY39" i="2"/>
  <c r="BX39" i="2"/>
  <c r="BW39" i="2"/>
  <c r="BT39" i="2"/>
  <c r="BS39" i="2"/>
  <c r="BR39" i="2"/>
  <c r="BQ39" i="2"/>
  <c r="BP39" i="2"/>
  <c r="BO39" i="2"/>
  <c r="BN39" i="2"/>
  <c r="BM39" i="2"/>
  <c r="BL39" i="2"/>
  <c r="BK39" i="2"/>
  <c r="BJ39" i="2"/>
  <c r="BI39" i="2"/>
  <c r="BH39" i="2"/>
  <c r="BG39" i="2"/>
  <c r="BF39" i="2"/>
  <c r="BE39" i="2"/>
  <c r="BD39" i="2"/>
  <c r="BC39" i="2"/>
  <c r="BB39" i="2"/>
  <c r="BA39" i="2"/>
  <c r="AZ39" i="2"/>
  <c r="AY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BU39" i="2" s="1" a="1"/>
  <c r="BU39" i="2" s="1"/>
  <c r="BV39" i="2" s="1"/>
  <c r="G39" i="2"/>
  <c r="DB38" i="2"/>
  <c r="DA38" i="2"/>
  <c r="CZ38" i="2"/>
  <c r="CY38" i="2"/>
  <c r="CX38" i="2"/>
  <c r="CW38" i="2"/>
  <c r="CV38" i="2"/>
  <c r="DC38" i="2" s="1" a="1"/>
  <c r="DC38" i="2" s="1"/>
  <c r="DD38" i="2" s="1"/>
  <c r="CU38" i="2"/>
  <c r="CT38" i="2"/>
  <c r="CS38" i="2"/>
  <c r="CP38" i="2"/>
  <c r="CO38" i="2"/>
  <c r="CN38" i="2"/>
  <c r="CM38" i="2"/>
  <c r="CL38" i="2"/>
  <c r="CK38" i="2"/>
  <c r="CJ38" i="2"/>
  <c r="CI38" i="2"/>
  <c r="CH38" i="2"/>
  <c r="CG38" i="2"/>
  <c r="CF38" i="2"/>
  <c r="CE38" i="2"/>
  <c r="CD38" i="2"/>
  <c r="CC38" i="2"/>
  <c r="CB38" i="2"/>
  <c r="CA38" i="2"/>
  <c r="BZ38" i="2"/>
  <c r="BY38" i="2"/>
  <c r="BX38" i="2"/>
  <c r="BW38" i="2"/>
  <c r="CQ38" i="2" s="1" a="1"/>
  <c r="CQ38" i="2" s="1"/>
  <c r="CR38" i="2" s="1"/>
  <c r="BT38" i="2"/>
  <c r="BS38" i="2"/>
  <c r="BR38" i="2"/>
  <c r="BQ38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BA38" i="2"/>
  <c r="AZ38" i="2"/>
  <c r="AY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BU38" i="2" s="1" a="1"/>
  <c r="BU38" i="2" s="1"/>
  <c r="BV38" i="2" s="1"/>
  <c r="I38" i="2"/>
  <c r="H38" i="2"/>
  <c r="G38" i="2"/>
  <c r="DB37" i="2"/>
  <c r="DA37" i="2"/>
  <c r="CZ37" i="2"/>
  <c r="CY37" i="2"/>
  <c r="CX37" i="2"/>
  <c r="CW37" i="2"/>
  <c r="CV37" i="2"/>
  <c r="CU37" i="2"/>
  <c r="CT37" i="2"/>
  <c r="CS37" i="2"/>
  <c r="CP37" i="2"/>
  <c r="CO37" i="2"/>
  <c r="CN37" i="2"/>
  <c r="CM37" i="2"/>
  <c r="CL37" i="2"/>
  <c r="CK37" i="2"/>
  <c r="CJ37" i="2"/>
  <c r="CI37" i="2"/>
  <c r="CH37" i="2"/>
  <c r="CG37" i="2"/>
  <c r="CF37" i="2"/>
  <c r="CE37" i="2"/>
  <c r="CD37" i="2"/>
  <c r="CC37" i="2"/>
  <c r="CB37" i="2"/>
  <c r="CA37" i="2"/>
  <c r="BZ37" i="2"/>
  <c r="BY37" i="2"/>
  <c r="BX37" i="2"/>
  <c r="CQ37" i="2" s="1" a="1"/>
  <c r="CQ37" i="2" s="1"/>
  <c r="CR37" i="2" s="1"/>
  <c r="BW37" i="2"/>
  <c r="BT37" i="2"/>
  <c r="BS37" i="2"/>
  <c r="BR37" i="2"/>
  <c r="BQ37" i="2"/>
  <c r="BP37" i="2"/>
  <c r="BO37" i="2"/>
  <c r="BN37" i="2"/>
  <c r="BM37" i="2"/>
  <c r="BL37" i="2"/>
  <c r="BK37" i="2"/>
  <c r="BJ37" i="2"/>
  <c r="BI37" i="2"/>
  <c r="BH37" i="2"/>
  <c r="BG37" i="2"/>
  <c r="BF37" i="2"/>
  <c r="BE37" i="2"/>
  <c r="BD37" i="2"/>
  <c r="BC37" i="2"/>
  <c r="BB37" i="2"/>
  <c r="BA37" i="2"/>
  <c r="AZ37" i="2"/>
  <c r="AY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BU37" i="2" s="1" a="1"/>
  <c r="BU37" i="2" s="1"/>
  <c r="BV37" i="2" s="1"/>
  <c r="H37" i="2"/>
  <c r="G37" i="2"/>
  <c r="DB36" i="2"/>
  <c r="DA36" i="2"/>
  <c r="CZ36" i="2"/>
  <c r="CY36" i="2"/>
  <c r="CX36" i="2"/>
  <c r="CW36" i="2"/>
  <c r="CV36" i="2"/>
  <c r="CU36" i="2"/>
  <c r="CT36" i="2"/>
  <c r="CS36" i="2"/>
  <c r="CP36" i="2"/>
  <c r="CO36" i="2"/>
  <c r="CN36" i="2"/>
  <c r="CM36" i="2"/>
  <c r="CL36" i="2"/>
  <c r="CK36" i="2"/>
  <c r="CJ36" i="2"/>
  <c r="CI36" i="2"/>
  <c r="CH36" i="2"/>
  <c r="CG36" i="2"/>
  <c r="CF36" i="2"/>
  <c r="CE36" i="2"/>
  <c r="CD36" i="2"/>
  <c r="CC36" i="2"/>
  <c r="CB36" i="2"/>
  <c r="CA36" i="2"/>
  <c r="BZ36" i="2"/>
  <c r="BY36" i="2"/>
  <c r="BX36" i="2"/>
  <c r="BW36" i="2"/>
  <c r="BT36" i="2"/>
  <c r="BS36" i="2"/>
  <c r="BR36" i="2"/>
  <c r="BQ36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BA36" i="2"/>
  <c r="AZ36" i="2"/>
  <c r="AY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BU36" i="2" s="1" a="1"/>
  <c r="BU36" i="2" s="1"/>
  <c r="BV36" i="2" s="1"/>
  <c r="G36" i="2"/>
  <c r="DB35" i="2"/>
  <c r="DA35" i="2"/>
  <c r="CZ35" i="2"/>
  <c r="CY35" i="2"/>
  <c r="CX35" i="2"/>
  <c r="CW35" i="2"/>
  <c r="CV35" i="2"/>
  <c r="CU35" i="2"/>
  <c r="CT35" i="2"/>
  <c r="CS35" i="2"/>
  <c r="CP35" i="2"/>
  <c r="CO35" i="2"/>
  <c r="CN35" i="2"/>
  <c r="CM35" i="2"/>
  <c r="CL35" i="2"/>
  <c r="CK35" i="2"/>
  <c r="CJ35" i="2"/>
  <c r="CI35" i="2"/>
  <c r="CH35" i="2"/>
  <c r="CG35" i="2"/>
  <c r="CF35" i="2"/>
  <c r="CE35" i="2"/>
  <c r="CD35" i="2"/>
  <c r="CC35" i="2"/>
  <c r="CB35" i="2"/>
  <c r="CA35" i="2"/>
  <c r="BZ35" i="2"/>
  <c r="BY35" i="2"/>
  <c r="BX35" i="2"/>
  <c r="BW35" i="2"/>
  <c r="CQ35" i="2" s="1" a="1"/>
  <c r="CQ35" i="2" s="1"/>
  <c r="CR35" i="2" s="1"/>
  <c r="BT35" i="2"/>
  <c r="BS35" i="2"/>
  <c r="BR35" i="2"/>
  <c r="BQ35" i="2"/>
  <c r="BP35" i="2"/>
  <c r="BO35" i="2"/>
  <c r="BN35" i="2"/>
  <c r="BM35" i="2"/>
  <c r="BL35" i="2"/>
  <c r="BK35" i="2"/>
  <c r="BJ35" i="2"/>
  <c r="BI35" i="2"/>
  <c r="BH35" i="2"/>
  <c r="BG35" i="2"/>
  <c r="BF35" i="2"/>
  <c r="BE35" i="2"/>
  <c r="BD35" i="2"/>
  <c r="BC35" i="2"/>
  <c r="BB35" i="2"/>
  <c r="BA35" i="2"/>
  <c r="AZ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DB34" i="2"/>
  <c r="DA34" i="2"/>
  <c r="CZ34" i="2"/>
  <c r="CY34" i="2"/>
  <c r="CX34" i="2"/>
  <c r="CW34" i="2"/>
  <c r="CV34" i="2"/>
  <c r="CU34" i="2"/>
  <c r="CT34" i="2"/>
  <c r="CS34" i="2"/>
  <c r="DC34" i="2" s="1" a="1"/>
  <c r="DC34" i="2" s="1"/>
  <c r="DD34" i="2" s="1"/>
  <c r="CP34" i="2"/>
  <c r="CO34" i="2"/>
  <c r="CN34" i="2"/>
  <c r="CM34" i="2"/>
  <c r="CL34" i="2"/>
  <c r="CK34" i="2"/>
  <c r="CJ34" i="2"/>
  <c r="CI34" i="2"/>
  <c r="CH34" i="2"/>
  <c r="CG34" i="2"/>
  <c r="CF34" i="2"/>
  <c r="CE34" i="2"/>
  <c r="CD34" i="2"/>
  <c r="CC34" i="2"/>
  <c r="CB34" i="2"/>
  <c r="CA34" i="2"/>
  <c r="BZ34" i="2"/>
  <c r="BY34" i="2"/>
  <c r="BX34" i="2"/>
  <c r="BW34" i="2"/>
  <c r="BT34" i="2"/>
  <c r="BS34" i="2"/>
  <c r="BR34" i="2"/>
  <c r="BQ34" i="2"/>
  <c r="BP34" i="2"/>
  <c r="BO34" i="2"/>
  <c r="BN34" i="2"/>
  <c r="BM34" i="2"/>
  <c r="BL34" i="2"/>
  <c r="BK34" i="2"/>
  <c r="BJ34" i="2"/>
  <c r="BI34" i="2"/>
  <c r="BH34" i="2"/>
  <c r="BG34" i="2"/>
  <c r="BF34" i="2"/>
  <c r="BE34" i="2"/>
  <c r="BD34" i="2"/>
  <c r="BC34" i="2"/>
  <c r="BB34" i="2"/>
  <c r="BA34" i="2"/>
  <c r="AZ34" i="2"/>
  <c r="AY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I34" i="2"/>
  <c r="H34" i="2"/>
  <c r="BU34" i="2" s="1" a="1"/>
  <c r="BU34" i="2" s="1"/>
  <c r="BV34" i="2" s="1"/>
  <c r="G34" i="2"/>
  <c r="DB33" i="2"/>
  <c r="DA33" i="2"/>
  <c r="CZ33" i="2"/>
  <c r="CY33" i="2"/>
  <c r="CX33" i="2"/>
  <c r="CW33" i="2"/>
  <c r="CV33" i="2"/>
  <c r="CU33" i="2"/>
  <c r="DC33" i="2" s="1" a="1"/>
  <c r="DC33" i="2" s="1"/>
  <c r="DD33" i="2" s="1"/>
  <c r="CT33" i="2"/>
  <c r="CS33" i="2"/>
  <c r="CP33" i="2"/>
  <c r="CO33" i="2"/>
  <c r="CN33" i="2"/>
  <c r="CM33" i="2"/>
  <c r="CL33" i="2"/>
  <c r="CK33" i="2"/>
  <c r="CJ33" i="2"/>
  <c r="CI33" i="2"/>
  <c r="CH33" i="2"/>
  <c r="CG33" i="2"/>
  <c r="CF33" i="2"/>
  <c r="CE33" i="2"/>
  <c r="CD33" i="2"/>
  <c r="CC33" i="2"/>
  <c r="CB33" i="2"/>
  <c r="CA33" i="2"/>
  <c r="BZ33" i="2"/>
  <c r="BY33" i="2"/>
  <c r="BX33" i="2"/>
  <c r="CQ33" i="2" s="1" a="1"/>
  <c r="CQ33" i="2" s="1"/>
  <c r="CR33" i="2" s="1"/>
  <c r="BW33" i="2"/>
  <c r="BU33" i="2" a="1"/>
  <c r="BU33" i="2" s="1"/>
  <c r="BV33" i="2" s="1"/>
  <c r="BT33" i="2"/>
  <c r="BS33" i="2"/>
  <c r="BR33" i="2"/>
  <c r="BQ33" i="2"/>
  <c r="BP33" i="2"/>
  <c r="BO33" i="2"/>
  <c r="BN33" i="2"/>
  <c r="BM33" i="2"/>
  <c r="BL33" i="2"/>
  <c r="BK33" i="2"/>
  <c r="BJ33" i="2"/>
  <c r="BI33" i="2"/>
  <c r="BH33" i="2"/>
  <c r="BG33" i="2"/>
  <c r="BF33" i="2"/>
  <c r="BE33" i="2"/>
  <c r="BD33" i="2"/>
  <c r="BC33" i="2"/>
  <c r="BB33" i="2"/>
  <c r="BA33" i="2"/>
  <c r="AZ33" i="2"/>
  <c r="AY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H33" i="2"/>
  <c r="G33" i="2"/>
  <c r="DB32" i="2"/>
  <c r="DA32" i="2"/>
  <c r="CZ32" i="2"/>
  <c r="CY32" i="2"/>
  <c r="CX32" i="2"/>
  <c r="CW32" i="2"/>
  <c r="CV32" i="2"/>
  <c r="CU32" i="2"/>
  <c r="CT32" i="2"/>
  <c r="DC32" i="2" s="1" a="1"/>
  <c r="DC32" i="2" s="1"/>
  <c r="DD32" i="2" s="1"/>
  <c r="CS32" i="2"/>
  <c r="CQ32" i="2" a="1"/>
  <c r="CQ32" i="2" s="1"/>
  <c r="CR32" i="2" s="1"/>
  <c r="CP32" i="2"/>
  <c r="CO32" i="2"/>
  <c r="CN32" i="2"/>
  <c r="CM32" i="2"/>
  <c r="CL32" i="2"/>
  <c r="CK32" i="2"/>
  <c r="CJ32" i="2"/>
  <c r="CI32" i="2"/>
  <c r="CH32" i="2"/>
  <c r="CG32" i="2"/>
  <c r="CF32" i="2"/>
  <c r="CE32" i="2"/>
  <c r="CD32" i="2"/>
  <c r="CC32" i="2"/>
  <c r="CB32" i="2"/>
  <c r="CA32" i="2"/>
  <c r="BZ32" i="2"/>
  <c r="BY32" i="2"/>
  <c r="BX32" i="2"/>
  <c r="BW32" i="2"/>
  <c r="BT32" i="2"/>
  <c r="BS32" i="2"/>
  <c r="BR32" i="2"/>
  <c r="BQ32" i="2"/>
  <c r="BP32" i="2"/>
  <c r="BO32" i="2"/>
  <c r="BN32" i="2"/>
  <c r="BM32" i="2"/>
  <c r="BL32" i="2"/>
  <c r="BK32" i="2"/>
  <c r="BJ32" i="2"/>
  <c r="BI32" i="2"/>
  <c r="BH32" i="2"/>
  <c r="BG32" i="2"/>
  <c r="BF32" i="2"/>
  <c r="BE32" i="2"/>
  <c r="BD32" i="2"/>
  <c r="BC32" i="2"/>
  <c r="BB32" i="2"/>
  <c r="BA32" i="2"/>
  <c r="AZ32" i="2"/>
  <c r="AY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H32" i="2"/>
  <c r="BU32" i="2" s="1" a="1"/>
  <c r="BU32" i="2" s="1"/>
  <c r="BV32" i="2" s="1"/>
  <c r="G32" i="2"/>
  <c r="DB31" i="2"/>
  <c r="DA31" i="2"/>
  <c r="CZ31" i="2"/>
  <c r="CY31" i="2"/>
  <c r="CX31" i="2"/>
  <c r="CW31" i="2"/>
  <c r="CV31" i="2"/>
  <c r="CU31" i="2"/>
  <c r="CT31" i="2"/>
  <c r="CS31" i="2"/>
  <c r="DC31" i="2" s="1" a="1"/>
  <c r="DC31" i="2" s="1"/>
  <c r="DD31" i="2" s="1"/>
  <c r="CP31" i="2"/>
  <c r="CO31" i="2"/>
  <c r="CN31" i="2"/>
  <c r="CM31" i="2"/>
  <c r="CL31" i="2"/>
  <c r="CK31" i="2"/>
  <c r="CJ31" i="2"/>
  <c r="CI31" i="2"/>
  <c r="CH31" i="2"/>
  <c r="CG31" i="2"/>
  <c r="CF31" i="2"/>
  <c r="CE31" i="2"/>
  <c r="CD31" i="2"/>
  <c r="CC31" i="2"/>
  <c r="CB31" i="2"/>
  <c r="CA31" i="2"/>
  <c r="BZ31" i="2"/>
  <c r="BY31" i="2"/>
  <c r="BX31" i="2"/>
  <c r="CQ31" i="2" s="1" a="1"/>
  <c r="CQ31" i="2" s="1"/>
  <c r="CR31" i="2" s="1"/>
  <c r="BW31" i="2"/>
  <c r="BT31" i="2"/>
  <c r="BS31" i="2"/>
  <c r="BR31" i="2"/>
  <c r="BQ31" i="2"/>
  <c r="BP31" i="2"/>
  <c r="BO31" i="2"/>
  <c r="BN31" i="2"/>
  <c r="BM31" i="2"/>
  <c r="BL31" i="2"/>
  <c r="BK31" i="2"/>
  <c r="BJ31" i="2"/>
  <c r="BI31" i="2"/>
  <c r="BH31" i="2"/>
  <c r="BG31" i="2"/>
  <c r="BF31" i="2"/>
  <c r="BE31" i="2"/>
  <c r="BD31" i="2"/>
  <c r="BC31" i="2"/>
  <c r="BB31" i="2"/>
  <c r="BA31" i="2"/>
  <c r="AZ31" i="2"/>
  <c r="AY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BU31" i="2" s="1" a="1"/>
  <c r="BU31" i="2" s="1"/>
  <c r="BV31" i="2" s="1"/>
  <c r="G31" i="2"/>
  <c r="DB30" i="2"/>
  <c r="DA30" i="2"/>
  <c r="CZ30" i="2"/>
  <c r="CY30" i="2"/>
  <c r="CX30" i="2"/>
  <c r="CW30" i="2"/>
  <c r="CV30" i="2"/>
  <c r="CU30" i="2"/>
  <c r="CT30" i="2"/>
  <c r="DC30" i="2" s="1" a="1"/>
  <c r="DC30" i="2" s="1"/>
  <c r="DD30" i="2" s="1"/>
  <c r="CS30" i="2"/>
  <c r="CP30" i="2"/>
  <c r="CO30" i="2"/>
  <c r="CN30" i="2"/>
  <c r="CM30" i="2"/>
  <c r="CL30" i="2"/>
  <c r="CK30" i="2"/>
  <c r="CJ30" i="2"/>
  <c r="CI30" i="2"/>
  <c r="CH30" i="2"/>
  <c r="CG30" i="2"/>
  <c r="CF30" i="2"/>
  <c r="CE30" i="2"/>
  <c r="CD30" i="2"/>
  <c r="CC30" i="2"/>
  <c r="CB30" i="2"/>
  <c r="CA30" i="2"/>
  <c r="BZ30" i="2"/>
  <c r="BY30" i="2"/>
  <c r="BX30" i="2"/>
  <c r="BW30" i="2"/>
  <c r="CQ30" i="2" s="1" a="1"/>
  <c r="CQ30" i="2" s="1"/>
  <c r="CR30" i="2" s="1"/>
  <c r="BT30" i="2"/>
  <c r="BS30" i="2"/>
  <c r="BR30" i="2"/>
  <c r="BQ30" i="2"/>
  <c r="BP30" i="2"/>
  <c r="BO30" i="2"/>
  <c r="BN30" i="2"/>
  <c r="BM30" i="2"/>
  <c r="BL30" i="2"/>
  <c r="BK30" i="2"/>
  <c r="BJ30" i="2"/>
  <c r="BI30" i="2"/>
  <c r="BH30" i="2"/>
  <c r="BG30" i="2"/>
  <c r="BF30" i="2"/>
  <c r="BE30" i="2"/>
  <c r="BD30" i="2"/>
  <c r="BC30" i="2"/>
  <c r="BB30" i="2"/>
  <c r="BA30" i="2"/>
  <c r="AZ30" i="2"/>
  <c r="AY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BU30" i="2" s="1" a="1"/>
  <c r="BU30" i="2" s="1"/>
  <c r="BV30" i="2" s="1"/>
  <c r="I30" i="2"/>
  <c r="H30" i="2"/>
  <c r="G30" i="2"/>
  <c r="DC29" i="2" a="1"/>
  <c r="DC29" i="2" s="1"/>
  <c r="DD29" i="2" s="1"/>
  <c r="DB29" i="2"/>
  <c r="DA29" i="2"/>
  <c r="CZ29" i="2"/>
  <c r="CY29" i="2"/>
  <c r="CX29" i="2"/>
  <c r="CW29" i="2"/>
  <c r="CV29" i="2"/>
  <c r="CU29" i="2"/>
  <c r="CT29" i="2"/>
  <c r="CS29" i="2"/>
  <c r="CP29" i="2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CQ29" i="2" s="1" a="1"/>
  <c r="CQ29" i="2" s="1"/>
  <c r="CR29" i="2" s="1"/>
  <c r="BX29" i="2"/>
  <c r="BW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BH29" i="2"/>
  <c r="BG29" i="2"/>
  <c r="BF29" i="2"/>
  <c r="BE29" i="2"/>
  <c r="BD29" i="2"/>
  <c r="BC29" i="2"/>
  <c r="BB29" i="2"/>
  <c r="BA29" i="2"/>
  <c r="AZ29" i="2"/>
  <c r="AY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BV29" i="2"/>
  <c r="G29" i="2"/>
  <c r="F29" i="2"/>
  <c r="DB28" i="2"/>
  <c r="DA28" i="2"/>
  <c r="CZ28" i="2"/>
  <c r="CY28" i="2"/>
  <c r="CX28" i="2"/>
  <c r="CW28" i="2"/>
  <c r="CV28" i="2"/>
  <c r="CU28" i="2"/>
  <c r="DC28" i="2" s="1" a="1"/>
  <c r="DC28" i="2" s="1"/>
  <c r="DD28" i="2" s="1"/>
  <c r="CT28" i="2"/>
  <c r="CS28" i="2"/>
  <c r="CP28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CQ28" i="2" s="1" a="1"/>
  <c r="CQ28" i="2" s="1"/>
  <c r="CR28" i="2" s="1"/>
  <c r="BW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BH28" i="2"/>
  <c r="BG28" i="2"/>
  <c r="BF28" i="2"/>
  <c r="BE28" i="2"/>
  <c r="BD28" i="2"/>
  <c r="BC28" i="2"/>
  <c r="BB28" i="2"/>
  <c r="BA28" i="2"/>
  <c r="AZ28" i="2"/>
  <c r="AY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BU28" i="2" s="1" a="1"/>
  <c r="BU28" i="2" s="1"/>
  <c r="BV28" i="2" s="1"/>
  <c r="G28" i="2"/>
  <c r="F28" i="2"/>
  <c r="DB27" i="2"/>
  <c r="DA27" i="2"/>
  <c r="CZ27" i="2"/>
  <c r="CY27" i="2"/>
  <c r="CX27" i="2"/>
  <c r="CW27" i="2"/>
  <c r="CV27" i="2"/>
  <c r="CU27" i="2"/>
  <c r="CT27" i="2"/>
  <c r="CS27" i="2"/>
  <c r="DC27" i="2" s="1" a="1"/>
  <c r="DC27" i="2" s="1"/>
  <c r="DD27" i="2" s="1"/>
  <c r="CP27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CQ27" i="2" s="1" a="1"/>
  <c r="CQ27" i="2" s="1"/>
  <c r="CR27" i="2" s="1"/>
  <c r="BT27" i="2"/>
  <c r="BS27" i="2"/>
  <c r="BR27" i="2"/>
  <c r="BQ27" i="2"/>
  <c r="BP27" i="2"/>
  <c r="BO27" i="2"/>
  <c r="BN27" i="2"/>
  <c r="BM27" i="2"/>
  <c r="BL27" i="2"/>
  <c r="BK27" i="2"/>
  <c r="BJ27" i="2"/>
  <c r="BI27" i="2"/>
  <c r="BH27" i="2"/>
  <c r="BG27" i="2"/>
  <c r="BF27" i="2"/>
  <c r="BE27" i="2"/>
  <c r="BD27" i="2"/>
  <c r="BC27" i="2"/>
  <c r="BB27" i="2"/>
  <c r="BA27" i="2"/>
  <c r="AZ27" i="2"/>
  <c r="AY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BU27" i="2" s="1" a="1"/>
  <c r="BU27" i="2" s="1"/>
  <c r="BV27" i="2" s="1"/>
  <c r="I27" i="2"/>
  <c r="H27" i="2"/>
  <c r="G27" i="2"/>
  <c r="F27" i="2"/>
  <c r="DB26" i="2"/>
  <c r="DA26" i="2"/>
  <c r="CZ26" i="2"/>
  <c r="CY26" i="2"/>
  <c r="CX26" i="2"/>
  <c r="CW26" i="2"/>
  <c r="CV26" i="2"/>
  <c r="CU26" i="2"/>
  <c r="CT26" i="2"/>
  <c r="CS26" i="2"/>
  <c r="DC26" i="2" s="1" a="1"/>
  <c r="DC26" i="2" s="1"/>
  <c r="DD26" i="2" s="1"/>
  <c r="CP26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CQ26" i="2" s="1" a="1"/>
  <c r="CQ26" i="2" s="1"/>
  <c r="CR26" i="2" s="1"/>
  <c r="BX26" i="2"/>
  <c r="BW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BH26" i="2"/>
  <c r="BG26" i="2"/>
  <c r="BF26" i="2"/>
  <c r="BE26" i="2"/>
  <c r="BD26" i="2"/>
  <c r="BC26" i="2"/>
  <c r="BB26" i="2"/>
  <c r="BA26" i="2"/>
  <c r="AZ26" i="2"/>
  <c r="AY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O26" i="2"/>
  <c r="N26" i="2"/>
  <c r="M26" i="2"/>
  <c r="L26" i="2"/>
  <c r="K26" i="2"/>
  <c r="J26" i="2"/>
  <c r="I26" i="2"/>
  <c r="H26" i="2"/>
  <c r="BU26" i="2" s="1" a="1"/>
  <c r="BU26" i="2" s="1"/>
  <c r="BV26" i="2" s="1"/>
  <c r="G26" i="2"/>
  <c r="F26" i="2"/>
  <c r="DB25" i="2"/>
  <c r="DA25" i="2"/>
  <c r="CZ25" i="2"/>
  <c r="CY25" i="2"/>
  <c r="CX25" i="2"/>
  <c r="CW25" i="2"/>
  <c r="CV25" i="2"/>
  <c r="CU25" i="2"/>
  <c r="CT25" i="2"/>
  <c r="DC25" i="2" s="1" a="1"/>
  <c r="DC25" i="2" s="1"/>
  <c r="DD25" i="2" s="1"/>
  <c r="CS25" i="2"/>
  <c r="CQ25" i="2" a="1"/>
  <c r="CQ25" i="2" s="1"/>
  <c r="CR25" i="2" s="1"/>
  <c r="CP25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BH25" i="2"/>
  <c r="BG25" i="2"/>
  <c r="BF25" i="2"/>
  <c r="BE25" i="2"/>
  <c r="BD25" i="2"/>
  <c r="BC25" i="2"/>
  <c r="BB25" i="2"/>
  <c r="BA25" i="2"/>
  <c r="AZ25" i="2"/>
  <c r="AY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BU25" i="2" a="1"/>
  <c r="BU25" i="2" s="1"/>
  <c r="BV25" i="2" s="1"/>
  <c r="G25" i="2"/>
  <c r="F25" i="2"/>
  <c r="DB24" i="2"/>
  <c r="DA24" i="2"/>
  <c r="CZ24" i="2"/>
  <c r="CY24" i="2"/>
  <c r="CX24" i="2"/>
  <c r="CW24" i="2"/>
  <c r="CV24" i="2"/>
  <c r="DC24" i="2" s="1" a="1"/>
  <c r="DC24" i="2" s="1"/>
  <c r="DD24" i="2" s="1"/>
  <c r="CU24" i="2"/>
  <c r="CT24" i="2"/>
  <c r="CS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CQ24" i="2" s="1" a="1"/>
  <c r="CQ24" i="2" s="1"/>
  <c r="CR24" i="2" s="1"/>
  <c r="BW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H24" i="2"/>
  <c r="BU24" i="2" s="1" a="1"/>
  <c r="BU24" i="2" s="1"/>
  <c r="BV24" i="2" s="1"/>
  <c r="G24" i="2"/>
  <c r="F24" i="2"/>
  <c r="DB23" i="2"/>
  <c r="DA23" i="2"/>
  <c r="CZ23" i="2"/>
  <c r="CY23" i="2"/>
  <c r="CX23" i="2"/>
  <c r="CW23" i="2"/>
  <c r="CV23" i="2"/>
  <c r="CU23" i="2"/>
  <c r="CT23" i="2"/>
  <c r="DC23" i="2" s="1" a="1"/>
  <c r="DC23" i="2" s="1"/>
  <c r="DD23" i="2" s="1"/>
  <c r="CS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CQ23" i="2" s="1" a="1"/>
  <c r="CQ23" i="2" s="1"/>
  <c r="CR23" i="2" s="1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BU23" i="2" s="1" a="1"/>
  <c r="BU23" i="2" s="1"/>
  <c r="BV23" i="2" s="1"/>
  <c r="H23" i="2"/>
  <c r="G23" i="2"/>
  <c r="F23" i="2"/>
  <c r="DC22" i="2" a="1"/>
  <c r="DC22" i="2" s="1"/>
  <c r="DD22" i="2" s="1"/>
  <c r="DB22" i="2"/>
  <c r="DA22" i="2"/>
  <c r="CZ22" i="2"/>
  <c r="CY22" i="2"/>
  <c r="CX22" i="2"/>
  <c r="CW22" i="2"/>
  <c r="CV22" i="2"/>
  <c r="CU22" i="2"/>
  <c r="CT22" i="2"/>
  <c r="CS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CQ22" i="2" s="1" a="1"/>
  <c r="CQ22" i="2" s="1"/>
  <c r="CR22" i="2" s="1"/>
  <c r="BX22" i="2"/>
  <c r="BW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BU22" i="2" s="1" a="1"/>
  <c r="BU22" i="2" s="1"/>
  <c r="BV22" i="2" s="1"/>
  <c r="G22" i="2"/>
  <c r="F22" i="2"/>
  <c r="DB21" i="2"/>
  <c r="DA21" i="2"/>
  <c r="CZ21" i="2"/>
  <c r="CY21" i="2"/>
  <c r="CX21" i="2"/>
  <c r="CW21" i="2"/>
  <c r="CV21" i="2"/>
  <c r="CU21" i="2"/>
  <c r="CT21" i="2"/>
  <c r="CS21" i="2"/>
  <c r="DC21" i="2" s="1" a="1"/>
  <c r="DC21" i="2" s="1"/>
  <c r="DD21" i="2" s="1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BU21" i="2" a="1"/>
  <c r="BU21" i="2" s="1"/>
  <c r="BV21" i="2" s="1"/>
  <c r="G21" i="2"/>
  <c r="F21" i="2"/>
  <c r="DB20" i="2"/>
  <c r="DA20" i="2"/>
  <c r="CZ20" i="2"/>
  <c r="CY20" i="2"/>
  <c r="CX20" i="2"/>
  <c r="CW20" i="2"/>
  <c r="CV20" i="2"/>
  <c r="CU20" i="2"/>
  <c r="CT20" i="2"/>
  <c r="DC20" i="2" s="1" a="1"/>
  <c r="DC20" i="2" s="1"/>
  <c r="DD20" i="2" s="1"/>
  <c r="CS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CQ20" i="2" s="1" a="1"/>
  <c r="CQ20" i="2" s="1"/>
  <c r="CR20" i="2" s="1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BU20" i="2" s="1" a="1"/>
  <c r="BU20" i="2" s="1"/>
  <c r="BV20" i="2" s="1"/>
  <c r="G20" i="2"/>
  <c r="F20" i="2"/>
  <c r="DB19" i="2"/>
  <c r="DA19" i="2"/>
  <c r="CZ19" i="2"/>
  <c r="CY19" i="2"/>
  <c r="CX19" i="2"/>
  <c r="CW19" i="2"/>
  <c r="CV19" i="2"/>
  <c r="CU19" i="2"/>
  <c r="CT19" i="2"/>
  <c r="CS19" i="2"/>
  <c r="DC19" i="2" s="1" a="1"/>
  <c r="DC19" i="2" s="1"/>
  <c r="DD19" i="2" s="1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BU19" i="2" a="1"/>
  <c r="BU19" i="2" s="1"/>
  <c r="BV19" i="2" s="1"/>
  <c r="G19" i="2"/>
  <c r="DB18" i="2"/>
  <c r="DA18" i="2"/>
  <c r="CZ18" i="2"/>
  <c r="CY18" i="2"/>
  <c r="CX18" i="2"/>
  <c r="CW18" i="2"/>
  <c r="CV18" i="2"/>
  <c r="CU18" i="2"/>
  <c r="DC18" i="2" s="1" a="1"/>
  <c r="DC18" i="2" s="1"/>
  <c r="DD18" i="2" s="1"/>
  <c r="CP18" i="2"/>
  <c r="CR18" i="2" s="1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U18" i="2" a="1"/>
  <c r="BU18" i="2" s="1"/>
  <c r="BV18" i="2" s="1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G18" i="2"/>
  <c r="DG17" i="2"/>
  <c r="DF17" i="2"/>
  <c r="DE17" i="2"/>
  <c r="DB16" i="2"/>
  <c r="DA16" i="2"/>
  <c r="CZ16" i="2"/>
  <c r="CY16" i="2"/>
  <c r="CX16" i="2"/>
  <c r="CW16" i="2"/>
  <c r="CV16" i="2"/>
  <c r="CU16" i="2"/>
  <c r="CT16" i="2"/>
  <c r="CS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V12" i="2"/>
  <c r="K12" i="2"/>
  <c r="G12" i="2"/>
  <c r="V11" i="2"/>
  <c r="K11" i="2"/>
  <c r="G11" i="2"/>
  <c r="V10" i="2"/>
  <c r="K10" i="2"/>
  <c r="G10" i="2"/>
  <c r="K9" i="2"/>
  <c r="G9" i="2"/>
  <c r="K8" i="2"/>
  <c r="G8" i="2"/>
  <c r="K7" i="2"/>
  <c r="G7" i="2"/>
  <c r="CQ21" i="2" l="1" a="1"/>
  <c r="CQ21" i="2" s="1"/>
  <c r="CR21" i="2" s="1"/>
  <c r="CQ19" i="2" a="1"/>
  <c r="CQ19" i="2" s="1"/>
  <c r="CR19" i="2" s="1"/>
  <c r="DC18" i="4" a="1"/>
  <c r="DC18" i="4" s="1"/>
  <c r="DD18" i="4" s="1"/>
  <c r="M13" i="5" s="1"/>
  <c r="DC19" i="4" a="1"/>
  <c r="DC19" i="4" s="1"/>
  <c r="DD19" i="4" s="1"/>
  <c r="BU20" i="4" a="1"/>
  <c r="BU20" i="4" s="1"/>
  <c r="BV20" i="4" s="1"/>
  <c r="DC20" i="4" a="1"/>
  <c r="DC20" i="4" s="1"/>
  <c r="DD20" i="4" s="1"/>
  <c r="M15" i="5" s="1"/>
  <c r="CQ20" i="4" a="1"/>
  <c r="CQ20" i="4" s="1"/>
  <c r="CR20" i="4" s="1"/>
  <c r="CQ21" i="4" a="1"/>
  <c r="CQ21" i="4" s="1"/>
  <c r="CR21" i="4" s="1"/>
  <c r="BU22" i="4" a="1"/>
  <c r="BU22" i="4" s="1"/>
  <c r="BV22" i="4" s="1"/>
  <c r="K17" i="5" s="1"/>
  <c r="BU21" i="4" a="1"/>
  <c r="BU21" i="4" s="1"/>
  <c r="BV21" i="4" s="1"/>
  <c r="K16" i="5" s="1"/>
  <c r="F31" i="5"/>
  <c r="DE36" i="2"/>
  <c r="F19" i="5"/>
  <c r="DE24" i="2"/>
  <c r="I19" i="5"/>
  <c r="DG24" i="2"/>
  <c r="I20" i="5"/>
  <c r="DG25" i="2"/>
  <c r="I22" i="5"/>
  <c r="DG27" i="2"/>
  <c r="H24" i="5"/>
  <c r="DF29" i="2"/>
  <c r="H25" i="5"/>
  <c r="DF30" i="2"/>
  <c r="F26" i="5"/>
  <c r="DE31" i="2"/>
  <c r="I27" i="5"/>
  <c r="DG32" i="2"/>
  <c r="F20" i="5"/>
  <c r="DE25" i="2"/>
  <c r="DH25" i="2" s="1"/>
  <c r="DI25" i="2" s="1"/>
  <c r="J20" i="5" s="1"/>
  <c r="O20" i="5" s="1"/>
  <c r="F25" i="5"/>
  <c r="DE30" i="2"/>
  <c r="DH30" i="2" s="1"/>
  <c r="DI30" i="2" s="1"/>
  <c r="J25" i="5" s="1"/>
  <c r="O25" i="5" s="1"/>
  <c r="F27" i="5"/>
  <c r="DE32" i="2"/>
  <c r="F32" i="5"/>
  <c r="DE37" i="2"/>
  <c r="I33" i="5"/>
  <c r="DG38" i="2"/>
  <c r="F92" i="5"/>
  <c r="DE97" i="2"/>
  <c r="H18" i="5"/>
  <c r="DF23" i="2"/>
  <c r="I16" i="5"/>
  <c r="DG21" i="2"/>
  <c r="F14" i="5"/>
  <c r="DE19" i="2"/>
  <c r="H19" i="5"/>
  <c r="DF24" i="2"/>
  <c r="H26" i="5"/>
  <c r="DF31" i="2"/>
  <c r="I29" i="5"/>
  <c r="DG34" i="2"/>
  <c r="H32" i="5"/>
  <c r="DF37" i="2"/>
  <c r="H33" i="5"/>
  <c r="DF38" i="2"/>
  <c r="F34" i="5"/>
  <c r="DE39" i="2"/>
  <c r="H84" i="5"/>
  <c r="DF89" i="2"/>
  <c r="F18" i="5"/>
  <c r="DE23" i="2"/>
  <c r="DH23" i="2" s="1"/>
  <c r="DI23" i="2" s="1"/>
  <c r="J18" i="5" s="1"/>
  <c r="O18" i="5" s="1"/>
  <c r="DF18" i="2"/>
  <c r="F21" i="5"/>
  <c r="DE26" i="2"/>
  <c r="I23" i="5"/>
  <c r="DG28" i="2"/>
  <c r="I28" i="5"/>
  <c r="DG33" i="2"/>
  <c r="F33" i="5"/>
  <c r="DE38" i="2"/>
  <c r="I21" i="5"/>
  <c r="DG26" i="2"/>
  <c r="H17" i="5"/>
  <c r="DF22" i="2"/>
  <c r="I15" i="5"/>
  <c r="DG20" i="2"/>
  <c r="F15" i="5"/>
  <c r="DE20" i="2"/>
  <c r="H15" i="5"/>
  <c r="DF20" i="2"/>
  <c r="I17" i="5"/>
  <c r="DG22" i="2"/>
  <c r="H22" i="5"/>
  <c r="DF27" i="2"/>
  <c r="F23" i="5"/>
  <c r="DE28" i="2"/>
  <c r="I24" i="5"/>
  <c r="DG29" i="2"/>
  <c r="F28" i="5"/>
  <c r="DE33" i="2"/>
  <c r="H30" i="5"/>
  <c r="DF35" i="2"/>
  <c r="F17" i="5"/>
  <c r="DE22" i="2"/>
  <c r="I18" i="5"/>
  <c r="DG23" i="2"/>
  <c r="H21" i="5"/>
  <c r="DF26" i="2"/>
  <c r="F22" i="5"/>
  <c r="DE27" i="2"/>
  <c r="DH27" i="2" s="1"/>
  <c r="DI27" i="2" s="1"/>
  <c r="J22" i="5" s="1"/>
  <c r="O22" i="5" s="1"/>
  <c r="I25" i="5"/>
  <c r="DG30" i="2"/>
  <c r="I26" i="5"/>
  <c r="DG31" i="2"/>
  <c r="F29" i="5"/>
  <c r="DE34" i="2"/>
  <c r="I14" i="5"/>
  <c r="DG19" i="2"/>
  <c r="DG18" i="2"/>
  <c r="DE18" i="2"/>
  <c r="F16" i="5"/>
  <c r="DE21" i="2"/>
  <c r="H16" i="5"/>
  <c r="DF21" i="2"/>
  <c r="H20" i="5"/>
  <c r="DF25" i="2"/>
  <c r="H23" i="5"/>
  <c r="DF28" i="2"/>
  <c r="F24" i="5"/>
  <c r="DE29" i="2"/>
  <c r="DH29" i="2" s="1"/>
  <c r="DI29" i="2" s="1"/>
  <c r="J24" i="5" s="1"/>
  <c r="O24" i="5" s="1"/>
  <c r="H27" i="5"/>
  <c r="DF32" i="2"/>
  <c r="H28" i="5"/>
  <c r="DF33" i="2"/>
  <c r="I80" i="5"/>
  <c r="DG85" i="2"/>
  <c r="K25" i="5"/>
  <c r="DE30" i="4"/>
  <c r="DH30" i="4" s="1"/>
  <c r="DI30" i="4" s="1"/>
  <c r="N25" i="5" s="1"/>
  <c r="P25" i="5" s="1"/>
  <c r="K33" i="5"/>
  <c r="DE38" i="4"/>
  <c r="F40" i="5"/>
  <c r="DE45" i="2"/>
  <c r="F42" i="5"/>
  <c r="DE47" i="2"/>
  <c r="I43" i="5"/>
  <c r="DG48" i="2"/>
  <c r="H46" i="5"/>
  <c r="DF51" i="2"/>
  <c r="I48" i="5"/>
  <c r="DG53" i="2"/>
  <c r="DG62" i="2"/>
  <c r="I63" i="5"/>
  <c r="DG68" i="2"/>
  <c r="DF69" i="2"/>
  <c r="H68" i="5"/>
  <c r="DF73" i="2"/>
  <c r="F69" i="5"/>
  <c r="DE74" i="2"/>
  <c r="DE76" i="2"/>
  <c r="I76" i="5"/>
  <c r="DG81" i="2"/>
  <c r="DE82" i="2"/>
  <c r="DH82" i="2" s="1"/>
  <c r="DI82" i="2" s="1"/>
  <c r="J77" i="5" s="1"/>
  <c r="O77" i="5" s="1"/>
  <c r="Q77" i="5" s="1"/>
  <c r="F82" i="5"/>
  <c r="DE87" i="2"/>
  <c r="DE88" i="2"/>
  <c r="H87" i="5"/>
  <c r="DF92" i="2"/>
  <c r="I90" i="5"/>
  <c r="DG95" i="2"/>
  <c r="I94" i="5"/>
  <c r="DG99" i="2"/>
  <c r="I100" i="5"/>
  <c r="DG105" i="2"/>
  <c r="F61" i="5"/>
  <c r="DE66" i="2"/>
  <c r="H98" i="5"/>
  <c r="DF103" i="2"/>
  <c r="K13" i="5"/>
  <c r="DE18" i="4"/>
  <c r="L18" i="5"/>
  <c r="DF23" i="4"/>
  <c r="CQ34" i="2" a="1"/>
  <c r="CQ34" i="2" s="1"/>
  <c r="CR34" i="2" s="1"/>
  <c r="CQ39" i="2" a="1"/>
  <c r="CQ39" i="2" s="1"/>
  <c r="CR39" i="2" s="1"/>
  <c r="DG46" i="2"/>
  <c r="I47" i="5"/>
  <c r="DG52" i="2"/>
  <c r="DF53" i="2"/>
  <c r="H52" i="5"/>
  <c r="DF57" i="2"/>
  <c r="F53" i="5"/>
  <c r="DE58" i="2"/>
  <c r="DH60" i="2"/>
  <c r="DI60" i="2" s="1"/>
  <c r="J55" i="5" s="1"/>
  <c r="O55" i="5" s="1"/>
  <c r="Q55" i="5" s="1"/>
  <c r="H59" i="5"/>
  <c r="DF64" i="2"/>
  <c r="H66" i="5"/>
  <c r="DF71" i="2"/>
  <c r="F68" i="5"/>
  <c r="DE73" i="2"/>
  <c r="I69" i="5"/>
  <c r="DG74" i="2"/>
  <c r="I70" i="5"/>
  <c r="DG75" i="2"/>
  <c r="F75" i="5"/>
  <c r="DE80" i="2"/>
  <c r="DH80" i="2" s="1"/>
  <c r="DI80" i="2" s="1"/>
  <c r="J75" i="5" s="1"/>
  <c r="O75" i="5" s="1"/>
  <c r="Q75" i="5" s="1"/>
  <c r="I89" i="5"/>
  <c r="DG94" i="2"/>
  <c r="H92" i="5"/>
  <c r="DF97" i="2"/>
  <c r="F93" i="5"/>
  <c r="DE98" i="2"/>
  <c r="DH98" i="2" s="1"/>
  <c r="DI98" i="2" s="1"/>
  <c r="J93" i="5" s="1"/>
  <c r="O93" i="5" s="1"/>
  <c r="Q93" i="5" s="1"/>
  <c r="DG104" i="2"/>
  <c r="F106" i="5"/>
  <c r="DE111" i="2"/>
  <c r="I35" i="5"/>
  <c r="DG40" i="2"/>
  <c r="BU35" i="2" a="1"/>
  <c r="BU35" i="2" s="1"/>
  <c r="BV35" i="2" s="1"/>
  <c r="DC37" i="2" a="1"/>
  <c r="DC37" i="2" s="1"/>
  <c r="DD37" i="2" s="1"/>
  <c r="BU40" i="2" a="1"/>
  <c r="BU40" i="2" s="1"/>
  <c r="BV40" i="2" s="1"/>
  <c r="I39" i="5"/>
  <c r="DG44" i="2"/>
  <c r="DH44" i="2" s="1"/>
  <c r="DI44" i="2" s="1"/>
  <c r="J39" i="5" s="1"/>
  <c r="O39" i="5" s="1"/>
  <c r="Q39" i="5" s="1"/>
  <c r="DF45" i="2"/>
  <c r="H44" i="5"/>
  <c r="DF49" i="2"/>
  <c r="F45" i="5"/>
  <c r="DE50" i="2"/>
  <c r="DE52" i="2"/>
  <c r="DH52" i="2" s="1"/>
  <c r="DI52" i="2" s="1"/>
  <c r="J47" i="5" s="1"/>
  <c r="O47" i="5" s="1"/>
  <c r="Q47" i="5" s="1"/>
  <c r="H51" i="5"/>
  <c r="DF56" i="2"/>
  <c r="H58" i="5"/>
  <c r="DF63" i="2"/>
  <c r="F60" i="5"/>
  <c r="DE65" i="2"/>
  <c r="DH65" i="2" s="1"/>
  <c r="DI65" i="2" s="1"/>
  <c r="J60" i="5" s="1"/>
  <c r="O60" i="5" s="1"/>
  <c r="Q60" i="5" s="1"/>
  <c r="I61" i="5"/>
  <c r="DG66" i="2"/>
  <c r="I62" i="5"/>
  <c r="DG67" i="2"/>
  <c r="H65" i="5"/>
  <c r="DF70" i="2"/>
  <c r="I68" i="5"/>
  <c r="DG73" i="2"/>
  <c r="H71" i="5"/>
  <c r="DF76" i="2"/>
  <c r="H74" i="5"/>
  <c r="DF79" i="2"/>
  <c r="DG80" i="2"/>
  <c r="I81" i="5"/>
  <c r="DG86" i="2"/>
  <c r="H83" i="5"/>
  <c r="DF88" i="2"/>
  <c r="F87" i="5"/>
  <c r="DE92" i="2"/>
  <c r="I88" i="5"/>
  <c r="DG93" i="2"/>
  <c r="H101" i="5"/>
  <c r="DF106" i="2"/>
  <c r="I106" i="5"/>
  <c r="DG111" i="2"/>
  <c r="H109" i="5"/>
  <c r="DF114" i="2"/>
  <c r="F110" i="5"/>
  <c r="DE115" i="2"/>
  <c r="I110" i="5"/>
  <c r="DG115" i="2"/>
  <c r="L23" i="5"/>
  <c r="DF28" i="4"/>
  <c r="DC35" i="2" a="1"/>
  <c r="DC35" i="2" s="1"/>
  <c r="DD35" i="2" s="1"/>
  <c r="H35" i="5"/>
  <c r="DF40" i="2"/>
  <c r="H36" i="5"/>
  <c r="DF41" i="2"/>
  <c r="F37" i="5"/>
  <c r="DE42" i="2"/>
  <c r="DH42" i="2" s="1"/>
  <c r="DI42" i="2" s="1"/>
  <c r="J37" i="5" s="1"/>
  <c r="O37" i="5" s="1"/>
  <c r="Q37" i="5" s="1"/>
  <c r="H43" i="5"/>
  <c r="DF48" i="2"/>
  <c r="H50" i="5"/>
  <c r="DF55" i="2"/>
  <c r="F52" i="5"/>
  <c r="DE57" i="2"/>
  <c r="I53" i="5"/>
  <c r="DG58" i="2"/>
  <c r="I54" i="5"/>
  <c r="DG59" i="2"/>
  <c r="H57" i="5"/>
  <c r="DF62" i="2"/>
  <c r="I60" i="5"/>
  <c r="DG65" i="2"/>
  <c r="H63" i="5"/>
  <c r="DF68" i="2"/>
  <c r="F65" i="5"/>
  <c r="DE70" i="2"/>
  <c r="F67" i="5"/>
  <c r="DE72" i="2"/>
  <c r="F72" i="5"/>
  <c r="DE77" i="2"/>
  <c r="F73" i="5"/>
  <c r="DE78" i="2"/>
  <c r="H76" i="5"/>
  <c r="DF81" i="2"/>
  <c r="I96" i="5"/>
  <c r="DG101" i="2"/>
  <c r="F98" i="5"/>
  <c r="DE103" i="2"/>
  <c r="I102" i="5"/>
  <c r="DG107" i="2"/>
  <c r="H104" i="5"/>
  <c r="DF109" i="2"/>
  <c r="I40" i="5"/>
  <c r="DG45" i="2"/>
  <c r="H60" i="5"/>
  <c r="DF65" i="2"/>
  <c r="DH68" i="2"/>
  <c r="DI68" i="2" s="1"/>
  <c r="J63" i="5" s="1"/>
  <c r="O63" i="5" s="1"/>
  <c r="Q63" i="5" s="1"/>
  <c r="H102" i="5"/>
  <c r="DF107" i="2"/>
  <c r="L15" i="5"/>
  <c r="DF20" i="4"/>
  <c r="DC36" i="2" a="1"/>
  <c r="DC36" i="2" s="1"/>
  <c r="DD36" i="2" s="1"/>
  <c r="DC39" i="2" a="1"/>
  <c r="DC39" i="2" s="1"/>
  <c r="DD39" i="2" s="1"/>
  <c r="H42" i="5"/>
  <c r="DF47" i="2"/>
  <c r="F44" i="5"/>
  <c r="DE49" i="2"/>
  <c r="DH49" i="2" s="1"/>
  <c r="DI49" i="2" s="1"/>
  <c r="J44" i="5" s="1"/>
  <c r="O44" i="5" s="1"/>
  <c r="Q44" i="5" s="1"/>
  <c r="I45" i="5"/>
  <c r="DG50" i="2"/>
  <c r="I46" i="5"/>
  <c r="DG51" i="2"/>
  <c r="H49" i="5"/>
  <c r="DF54" i="2"/>
  <c r="I52" i="5"/>
  <c r="DG57" i="2"/>
  <c r="H55" i="5"/>
  <c r="DF60" i="2"/>
  <c r="F57" i="5"/>
  <c r="DE62" i="2"/>
  <c r="DH62" i="2" s="1"/>
  <c r="DI62" i="2" s="1"/>
  <c r="J57" i="5" s="1"/>
  <c r="O57" i="5" s="1"/>
  <c r="Q57" i="5" s="1"/>
  <c r="F59" i="5"/>
  <c r="DE64" i="2"/>
  <c r="DH64" i="2" s="1"/>
  <c r="DI64" i="2" s="1"/>
  <c r="J59" i="5" s="1"/>
  <c r="O59" i="5" s="1"/>
  <c r="Q59" i="5" s="1"/>
  <c r="F64" i="5"/>
  <c r="DE69" i="2"/>
  <c r="DH69" i="2" s="1"/>
  <c r="DI69" i="2" s="1"/>
  <c r="J64" i="5" s="1"/>
  <c r="O64" i="5" s="1"/>
  <c r="Q64" i="5" s="1"/>
  <c r="F66" i="5"/>
  <c r="DE71" i="2"/>
  <c r="I67" i="5"/>
  <c r="DG72" i="2"/>
  <c r="H70" i="5"/>
  <c r="DF75" i="2"/>
  <c r="I72" i="5"/>
  <c r="DG77" i="2"/>
  <c r="F74" i="5"/>
  <c r="DE79" i="2"/>
  <c r="F78" i="5"/>
  <c r="DE83" i="2"/>
  <c r="F84" i="5"/>
  <c r="DE89" i="2"/>
  <c r="DH89" i="2" s="1"/>
  <c r="DI89" i="2" s="1"/>
  <c r="J84" i="5" s="1"/>
  <c r="O84" i="5" s="1"/>
  <c r="Q84" i="5" s="1"/>
  <c r="F85" i="5"/>
  <c r="DE90" i="2"/>
  <c r="DH90" i="2" s="1"/>
  <c r="DI90" i="2" s="1"/>
  <c r="J85" i="5" s="1"/>
  <c r="O85" i="5" s="1"/>
  <c r="Q85" i="5" s="1"/>
  <c r="F86" i="5"/>
  <c r="DE91" i="2"/>
  <c r="H90" i="5"/>
  <c r="DF95" i="2"/>
  <c r="H94" i="5"/>
  <c r="DF99" i="2"/>
  <c r="F101" i="5"/>
  <c r="DE106" i="2"/>
  <c r="DH106" i="2" s="1"/>
  <c r="DI106" i="2" s="1"/>
  <c r="J101" i="5" s="1"/>
  <c r="O101" i="5" s="1"/>
  <c r="Q101" i="5" s="1"/>
  <c r="H107" i="5"/>
  <c r="DF112" i="2"/>
  <c r="F99" i="5"/>
  <c r="DE104" i="2"/>
  <c r="DH104" i="2" s="1"/>
  <c r="DI104" i="2" s="1"/>
  <c r="J99" i="5" s="1"/>
  <c r="O99" i="5" s="1"/>
  <c r="Q99" i="5" s="1"/>
  <c r="K21" i="5"/>
  <c r="DE26" i="4"/>
  <c r="M19" i="5"/>
  <c r="DG24" i="4"/>
  <c r="CQ36" i="2" a="1"/>
  <c r="CQ36" i="2" s="1"/>
  <c r="CR36" i="2" s="1"/>
  <c r="F36" i="5"/>
  <c r="DE41" i="2"/>
  <c r="I37" i="5"/>
  <c r="DG42" i="2"/>
  <c r="I38" i="5"/>
  <c r="DG43" i="2"/>
  <c r="H41" i="5"/>
  <c r="DF46" i="2"/>
  <c r="I44" i="5"/>
  <c r="DG49" i="2"/>
  <c r="H47" i="5"/>
  <c r="DF52" i="2"/>
  <c r="F49" i="5"/>
  <c r="DE54" i="2"/>
  <c r="F51" i="5"/>
  <c r="DE56" i="2"/>
  <c r="F56" i="5"/>
  <c r="DE61" i="2"/>
  <c r="F58" i="5"/>
  <c r="DE63" i="2"/>
  <c r="I59" i="5"/>
  <c r="DG64" i="2"/>
  <c r="H62" i="5"/>
  <c r="DF67" i="2"/>
  <c r="I64" i="5"/>
  <c r="DG69" i="2"/>
  <c r="I74" i="5"/>
  <c r="DG79" i="2"/>
  <c r="I79" i="5"/>
  <c r="DG84" i="2"/>
  <c r="H82" i="5"/>
  <c r="DF87" i="2"/>
  <c r="I86" i="5"/>
  <c r="DG91" i="2"/>
  <c r="I97" i="5"/>
  <c r="DG102" i="2"/>
  <c r="H99" i="5"/>
  <c r="DF104" i="2"/>
  <c r="F100" i="5"/>
  <c r="DE105" i="2"/>
  <c r="H103" i="5"/>
  <c r="DF108" i="2"/>
  <c r="H38" i="5"/>
  <c r="DF43" i="2"/>
  <c r="I55" i="5"/>
  <c r="DG60" i="2"/>
  <c r="H67" i="5"/>
  <c r="DF72" i="2"/>
  <c r="K29" i="5"/>
  <c r="DE34" i="4"/>
  <c r="I36" i="5"/>
  <c r="DG41" i="2"/>
  <c r="H39" i="5"/>
  <c r="DF44" i="2"/>
  <c r="F41" i="5"/>
  <c r="DE46" i="2"/>
  <c r="F43" i="5"/>
  <c r="DE48" i="2"/>
  <c r="F48" i="5"/>
  <c r="DE53" i="2"/>
  <c r="DH53" i="2" s="1"/>
  <c r="DI53" i="2" s="1"/>
  <c r="J48" i="5" s="1"/>
  <c r="O48" i="5" s="1"/>
  <c r="Q48" i="5" s="1"/>
  <c r="F50" i="5"/>
  <c r="DE55" i="2"/>
  <c r="I51" i="5"/>
  <c r="DG56" i="2"/>
  <c r="H54" i="5"/>
  <c r="DF59" i="2"/>
  <c r="I56" i="5"/>
  <c r="DG61" i="2"/>
  <c r="DG70" i="2"/>
  <c r="I71" i="5"/>
  <c r="DG76" i="2"/>
  <c r="DF77" i="2"/>
  <c r="H75" i="5"/>
  <c r="DF80" i="2"/>
  <c r="F76" i="5"/>
  <c r="DE81" i="2"/>
  <c r="DH81" i="2" s="1"/>
  <c r="DI81" i="2" s="1"/>
  <c r="J76" i="5" s="1"/>
  <c r="O76" i="5" s="1"/>
  <c r="Q76" i="5" s="1"/>
  <c r="H81" i="5"/>
  <c r="DF86" i="2"/>
  <c r="F90" i="5"/>
  <c r="DE95" i="2"/>
  <c r="H93" i="5"/>
  <c r="DF98" i="2"/>
  <c r="I95" i="5"/>
  <c r="DG100" i="2"/>
  <c r="I104" i="5"/>
  <c r="DG109" i="2"/>
  <c r="F108" i="5"/>
  <c r="DE113" i="2"/>
  <c r="I112" i="5"/>
  <c r="DG117" i="2"/>
  <c r="DG47" i="2"/>
  <c r="DG55" i="2"/>
  <c r="DG63" i="2"/>
  <c r="DG71" i="2"/>
  <c r="H73" i="5"/>
  <c r="DF78" i="2"/>
  <c r="H78" i="5"/>
  <c r="DF83" i="2"/>
  <c r="DE84" i="2"/>
  <c r="DE96" i="2"/>
  <c r="F94" i="5"/>
  <c r="DE99" i="2"/>
  <c r="H95" i="5"/>
  <c r="DF100" i="2"/>
  <c r="DG112" i="2"/>
  <c r="DG114" i="2"/>
  <c r="DF117" i="2"/>
  <c r="L17" i="5"/>
  <c r="DF22" i="4"/>
  <c r="M20" i="5"/>
  <c r="DG25" i="4"/>
  <c r="L25" i="5"/>
  <c r="DF30" i="4"/>
  <c r="L32" i="5"/>
  <c r="DF37" i="4"/>
  <c r="DE43" i="2"/>
  <c r="DH43" i="2" s="1"/>
  <c r="DI43" i="2" s="1"/>
  <c r="J38" i="5" s="1"/>
  <c r="O38" i="5" s="1"/>
  <c r="Q38" i="5" s="1"/>
  <c r="DE51" i="2"/>
  <c r="DH51" i="2" s="1"/>
  <c r="DI51" i="2" s="1"/>
  <c r="J46" i="5" s="1"/>
  <c r="O46" i="5" s="1"/>
  <c r="Q46" i="5" s="1"/>
  <c r="DE59" i="2"/>
  <c r="DH59" i="2" s="1"/>
  <c r="DI59" i="2" s="1"/>
  <c r="J54" i="5" s="1"/>
  <c r="O54" i="5" s="1"/>
  <c r="Q54" i="5" s="1"/>
  <c r="DE67" i="2"/>
  <c r="DH67" i="2" s="1"/>
  <c r="DI67" i="2" s="1"/>
  <c r="J62" i="5" s="1"/>
  <c r="O62" i="5" s="1"/>
  <c r="Q62" i="5" s="1"/>
  <c r="DE75" i="2"/>
  <c r="DF82" i="2"/>
  <c r="H79" i="5"/>
  <c r="DF84" i="2"/>
  <c r="DG90" i="2"/>
  <c r="DG96" i="2"/>
  <c r="DE102" i="2"/>
  <c r="H105" i="5"/>
  <c r="DF110" i="2"/>
  <c r="H111" i="5"/>
  <c r="DF116" i="2"/>
  <c r="L14" i="5"/>
  <c r="DF19" i="4"/>
  <c r="L19" i="5"/>
  <c r="DF24" i="4"/>
  <c r="L22" i="5"/>
  <c r="DF27" i="4"/>
  <c r="L26" i="5"/>
  <c r="DF31" i="4"/>
  <c r="DH94" i="2"/>
  <c r="DI94" i="2" s="1"/>
  <c r="J89" i="5" s="1"/>
  <c r="O89" i="5" s="1"/>
  <c r="Q89" i="5" s="1"/>
  <c r="I98" i="5"/>
  <c r="DG103" i="2"/>
  <c r="F102" i="5"/>
  <c r="DE107" i="2"/>
  <c r="DH107" i="2" s="1"/>
  <c r="DI107" i="2" s="1"/>
  <c r="J102" i="5" s="1"/>
  <c r="O102" i="5" s="1"/>
  <c r="Q102" i="5" s="1"/>
  <c r="F104" i="5"/>
  <c r="DE109" i="2"/>
  <c r="DH109" i="2" s="1"/>
  <c r="DI109" i="2" s="1"/>
  <c r="J104" i="5" s="1"/>
  <c r="O104" i="5" s="1"/>
  <c r="Q104" i="5" s="1"/>
  <c r="H110" i="5"/>
  <c r="DF115" i="2"/>
  <c r="K14" i="5"/>
  <c r="DE19" i="4"/>
  <c r="K18" i="5"/>
  <c r="DE23" i="4"/>
  <c r="K22" i="5"/>
  <c r="DE27" i="4"/>
  <c r="K26" i="5"/>
  <c r="DE31" i="4"/>
  <c r="K30" i="5"/>
  <c r="DE35" i="4"/>
  <c r="K34" i="5"/>
  <c r="DE39" i="4"/>
  <c r="M16" i="5"/>
  <c r="DG21" i="4"/>
  <c r="L20" i="5"/>
  <c r="DF25" i="4"/>
  <c r="M21" i="5"/>
  <c r="DG26" i="4"/>
  <c r="M23" i="5"/>
  <c r="DG28" i="4"/>
  <c r="M24" i="5"/>
  <c r="DG29" i="4"/>
  <c r="L33" i="5"/>
  <c r="DF38" i="4"/>
  <c r="DF42" i="2"/>
  <c r="DF50" i="2"/>
  <c r="DF58" i="2"/>
  <c r="DF66" i="2"/>
  <c r="DF74" i="2"/>
  <c r="DE86" i="2"/>
  <c r="DH86" i="2" s="1"/>
  <c r="DI86" i="2" s="1"/>
  <c r="J81" i="5" s="1"/>
  <c r="O81" i="5" s="1"/>
  <c r="Q81" i="5" s="1"/>
  <c r="F96" i="5"/>
  <c r="DE101" i="2"/>
  <c r="DH101" i="2" s="1"/>
  <c r="DI101" i="2" s="1"/>
  <c r="J96" i="5" s="1"/>
  <c r="O96" i="5" s="1"/>
  <c r="Q96" i="5" s="1"/>
  <c r="H97" i="5"/>
  <c r="DF102" i="2"/>
  <c r="DF105" i="2"/>
  <c r="F112" i="5"/>
  <c r="DE117" i="2"/>
  <c r="L13" i="5"/>
  <c r="DF18" i="4"/>
  <c r="M14" i="5"/>
  <c r="DG19" i="4"/>
  <c r="L16" i="5"/>
  <c r="DF21" i="4"/>
  <c r="M17" i="5"/>
  <c r="DG22" i="4"/>
  <c r="M22" i="5"/>
  <c r="DG27" i="4"/>
  <c r="L24" i="5"/>
  <c r="DF29" i="4"/>
  <c r="M25" i="5"/>
  <c r="DG30" i="4"/>
  <c r="M31" i="5"/>
  <c r="DG36" i="4"/>
  <c r="I82" i="5"/>
  <c r="DG87" i="2"/>
  <c r="I87" i="5"/>
  <c r="DG92" i="2"/>
  <c r="F88" i="5"/>
  <c r="DE93" i="2"/>
  <c r="DH93" i="2" s="1"/>
  <c r="DI93" i="2" s="1"/>
  <c r="J88" i="5" s="1"/>
  <c r="O88" i="5" s="1"/>
  <c r="Q88" i="5" s="1"/>
  <c r="H89" i="5"/>
  <c r="DF94" i="2"/>
  <c r="DG106" i="2"/>
  <c r="I103" i="5"/>
  <c r="DG108" i="2"/>
  <c r="K15" i="5"/>
  <c r="DE20" i="4"/>
  <c r="K19" i="5"/>
  <c r="DE24" i="4"/>
  <c r="K23" i="5"/>
  <c r="DE28" i="4"/>
  <c r="DH28" i="4" s="1"/>
  <c r="DI28" i="4" s="1"/>
  <c r="N23" i="5" s="1"/>
  <c r="P23" i="5" s="1"/>
  <c r="K27" i="5"/>
  <c r="DE32" i="4"/>
  <c r="DH32" i="4" s="1"/>
  <c r="DI32" i="4" s="1"/>
  <c r="N27" i="5" s="1"/>
  <c r="P27" i="5" s="1"/>
  <c r="K31" i="5"/>
  <c r="DE36" i="4"/>
  <c r="K35" i="5"/>
  <c r="DE40" i="4"/>
  <c r="M18" i="5"/>
  <c r="DG23" i="4"/>
  <c r="L21" i="5"/>
  <c r="DF26" i="4"/>
  <c r="L29" i="5"/>
  <c r="DF34" i="4"/>
  <c r="M30" i="5"/>
  <c r="DG35" i="4"/>
  <c r="DG83" i="2"/>
  <c r="F80" i="5"/>
  <c r="DE85" i="2"/>
  <c r="DH85" i="2" s="1"/>
  <c r="DI85" i="2" s="1"/>
  <c r="J80" i="5" s="1"/>
  <c r="O80" i="5" s="1"/>
  <c r="Q80" i="5" s="1"/>
  <c r="DE100" i="2"/>
  <c r="DH100" i="2" s="1"/>
  <c r="DI100" i="2" s="1"/>
  <c r="J95" i="5" s="1"/>
  <c r="O95" i="5" s="1"/>
  <c r="Q95" i="5" s="1"/>
  <c r="DE108" i="2"/>
  <c r="DE110" i="2"/>
  <c r="DH110" i="2" s="1"/>
  <c r="DI110" i="2" s="1"/>
  <c r="J105" i="5" s="1"/>
  <c r="O105" i="5" s="1"/>
  <c r="Q105" i="5" s="1"/>
  <c r="F109" i="5"/>
  <c r="DE114" i="2"/>
  <c r="DH114" i="2" s="1"/>
  <c r="DI114" i="2" s="1"/>
  <c r="J109" i="5" s="1"/>
  <c r="O109" i="5" s="1"/>
  <c r="Q109" i="5" s="1"/>
  <c r="I111" i="5"/>
  <c r="DG116" i="2"/>
  <c r="DE21" i="4"/>
  <c r="K24" i="5"/>
  <c r="DE29" i="4"/>
  <c r="M27" i="5"/>
  <c r="DG32" i="4"/>
  <c r="L30" i="5"/>
  <c r="DF35" i="4"/>
  <c r="DG78" i="2"/>
  <c r="H86" i="5"/>
  <c r="DF91" i="2"/>
  <c r="DG97" i="2"/>
  <c r="DG110" i="2"/>
  <c r="DH112" i="2"/>
  <c r="DI112" i="2" s="1"/>
  <c r="J107" i="5" s="1"/>
  <c r="O107" i="5" s="1"/>
  <c r="Q107" i="5" s="1"/>
  <c r="I108" i="5"/>
  <c r="DG113" i="2"/>
  <c r="DE116" i="2"/>
  <c r="K20" i="5"/>
  <c r="DE25" i="4"/>
  <c r="K28" i="5"/>
  <c r="DE33" i="4"/>
  <c r="L27" i="5"/>
  <c r="DF32" i="4"/>
  <c r="L28" i="5"/>
  <c r="DF33" i="4"/>
  <c r="K37" i="5"/>
  <c r="DE42" i="4"/>
  <c r="K41" i="5"/>
  <c r="DE46" i="4"/>
  <c r="K45" i="5"/>
  <c r="DE50" i="4"/>
  <c r="K49" i="5"/>
  <c r="DE54" i="4"/>
  <c r="K53" i="5"/>
  <c r="DE58" i="4"/>
  <c r="K57" i="5"/>
  <c r="DE62" i="4"/>
  <c r="K61" i="5"/>
  <c r="DE66" i="4"/>
  <c r="K65" i="5"/>
  <c r="DE70" i="4"/>
  <c r="K69" i="5"/>
  <c r="DE74" i="4"/>
  <c r="K73" i="5"/>
  <c r="DE78" i="4"/>
  <c r="K77" i="5"/>
  <c r="DE82" i="4"/>
  <c r="DH82" i="4" s="1"/>
  <c r="DI82" i="4" s="1"/>
  <c r="N77" i="5" s="1"/>
  <c r="P77" i="5" s="1"/>
  <c r="K81" i="5"/>
  <c r="DE86" i="4"/>
  <c r="K85" i="5"/>
  <c r="DE90" i="4"/>
  <c r="K89" i="5"/>
  <c r="DE94" i="4"/>
  <c r="K93" i="5"/>
  <c r="DE98" i="4"/>
  <c r="K97" i="5"/>
  <c r="DE102" i="4"/>
  <c r="K101" i="5"/>
  <c r="DE106" i="4"/>
  <c r="K105" i="5"/>
  <c r="DE110" i="4"/>
  <c r="K109" i="5"/>
  <c r="DE114" i="4"/>
  <c r="M34" i="5"/>
  <c r="DG39" i="4"/>
  <c r="L35" i="5"/>
  <c r="DF40" i="4"/>
  <c r="M44" i="5"/>
  <c r="DG49" i="4"/>
  <c r="L45" i="5"/>
  <c r="DF50" i="4"/>
  <c r="M46" i="5"/>
  <c r="DG51" i="4"/>
  <c r="L74" i="5"/>
  <c r="DF79" i="4"/>
  <c r="M75" i="5"/>
  <c r="DG80" i="4"/>
  <c r="M37" i="5"/>
  <c r="DG42" i="4"/>
  <c r="M39" i="5"/>
  <c r="DG44" i="4"/>
  <c r="M42" i="5"/>
  <c r="DG47" i="4"/>
  <c r="L47" i="5"/>
  <c r="DF52" i="4"/>
  <c r="M48" i="5"/>
  <c r="DG53" i="4"/>
  <c r="L49" i="5"/>
  <c r="DF54" i="4"/>
  <c r="M50" i="5"/>
  <c r="DG55" i="4"/>
  <c r="L58" i="5"/>
  <c r="DF63" i="4"/>
  <c r="M59" i="5"/>
  <c r="DG64" i="4"/>
  <c r="M66" i="5"/>
  <c r="DG71" i="4"/>
  <c r="M77" i="5"/>
  <c r="DG82" i="4"/>
  <c r="L78" i="5"/>
  <c r="DF83" i="4"/>
  <c r="K38" i="5"/>
  <c r="DE43" i="4"/>
  <c r="K42" i="5"/>
  <c r="DE47" i="4"/>
  <c r="DH47" i="4" s="1"/>
  <c r="DI47" i="4" s="1"/>
  <c r="N42" i="5" s="1"/>
  <c r="P42" i="5" s="1"/>
  <c r="K46" i="5"/>
  <c r="DE51" i="4"/>
  <c r="K50" i="5"/>
  <c r="DE55" i="4"/>
  <c r="K54" i="5"/>
  <c r="DE59" i="4"/>
  <c r="K58" i="5"/>
  <c r="DE63" i="4"/>
  <c r="DH63" i="4" s="1"/>
  <c r="DI63" i="4" s="1"/>
  <c r="N58" i="5" s="1"/>
  <c r="P58" i="5" s="1"/>
  <c r="K62" i="5"/>
  <c r="DE67" i="4"/>
  <c r="K66" i="5"/>
  <c r="DE71" i="4"/>
  <c r="K70" i="5"/>
  <c r="DE75" i="4"/>
  <c r="K74" i="5"/>
  <c r="DE79" i="4"/>
  <c r="DH79" i="4" s="1"/>
  <c r="DI79" i="4" s="1"/>
  <c r="N74" i="5" s="1"/>
  <c r="P74" i="5" s="1"/>
  <c r="K78" i="5"/>
  <c r="DE83" i="4"/>
  <c r="K82" i="5"/>
  <c r="DE87" i="4"/>
  <c r="K86" i="5"/>
  <c r="DE91" i="4"/>
  <c r="K90" i="5"/>
  <c r="DE95" i="4"/>
  <c r="K94" i="5"/>
  <c r="DE99" i="4"/>
  <c r="K98" i="5"/>
  <c r="DE103" i="4"/>
  <c r="K102" i="5"/>
  <c r="DE107" i="4"/>
  <c r="DH107" i="4" s="1"/>
  <c r="DI107" i="4" s="1"/>
  <c r="N102" i="5" s="1"/>
  <c r="P102" i="5" s="1"/>
  <c r="K106" i="5"/>
  <c r="DE111" i="4"/>
  <c r="K110" i="5"/>
  <c r="DE115" i="4"/>
  <c r="CQ36" i="4" a="1"/>
  <c r="CQ36" i="4" s="1"/>
  <c r="CR36" i="4" s="1"/>
  <c r="M35" i="5"/>
  <c r="DG40" i="4"/>
  <c r="L38" i="5"/>
  <c r="DF43" i="4"/>
  <c r="L43" i="5"/>
  <c r="DF48" i="4"/>
  <c r="L51" i="5"/>
  <c r="DF56" i="4"/>
  <c r="M52" i="5"/>
  <c r="DG57" i="4"/>
  <c r="L53" i="5"/>
  <c r="DF58" i="4"/>
  <c r="M54" i="5"/>
  <c r="DG59" i="4"/>
  <c r="M61" i="5"/>
  <c r="DG66" i="4"/>
  <c r="M63" i="5"/>
  <c r="DG68" i="4"/>
  <c r="L67" i="5"/>
  <c r="DF72" i="4"/>
  <c r="M68" i="5"/>
  <c r="DG73" i="4"/>
  <c r="L69" i="5"/>
  <c r="DF74" i="4"/>
  <c r="M70" i="5"/>
  <c r="DG75" i="4"/>
  <c r="L55" i="5"/>
  <c r="DF60" i="4"/>
  <c r="M56" i="5"/>
  <c r="DG61" i="4"/>
  <c r="L57" i="5"/>
  <c r="DF62" i="4"/>
  <c r="L62" i="5"/>
  <c r="DF67" i="4"/>
  <c r="L64" i="5"/>
  <c r="DF69" i="4"/>
  <c r="L71" i="5"/>
  <c r="DF76" i="4"/>
  <c r="M72" i="5"/>
  <c r="DG77" i="4"/>
  <c r="L73" i="5"/>
  <c r="DF78" i="4"/>
  <c r="K39" i="5"/>
  <c r="DE44" i="4"/>
  <c r="DH44" i="4" s="1"/>
  <c r="DI44" i="4" s="1"/>
  <c r="N39" i="5" s="1"/>
  <c r="P39" i="5" s="1"/>
  <c r="K43" i="5"/>
  <c r="DE48" i="4"/>
  <c r="DH48" i="4" s="1"/>
  <c r="DI48" i="4" s="1"/>
  <c r="N43" i="5" s="1"/>
  <c r="P43" i="5" s="1"/>
  <c r="K47" i="5"/>
  <c r="DE52" i="4"/>
  <c r="K51" i="5"/>
  <c r="DE56" i="4"/>
  <c r="DH56" i="4" s="1"/>
  <c r="DI56" i="4" s="1"/>
  <c r="N51" i="5" s="1"/>
  <c r="P51" i="5" s="1"/>
  <c r="K55" i="5"/>
  <c r="DE60" i="4"/>
  <c r="K59" i="5"/>
  <c r="DE64" i="4"/>
  <c r="K63" i="5"/>
  <c r="DE68" i="4"/>
  <c r="K67" i="5"/>
  <c r="DE72" i="4"/>
  <c r="K71" i="5"/>
  <c r="DE76" i="4"/>
  <c r="K75" i="5"/>
  <c r="DE80" i="4"/>
  <c r="DH80" i="4" s="1"/>
  <c r="DI80" i="4" s="1"/>
  <c r="N75" i="5" s="1"/>
  <c r="P75" i="5" s="1"/>
  <c r="K79" i="5"/>
  <c r="DE84" i="4"/>
  <c r="K83" i="5"/>
  <c r="DE88" i="4"/>
  <c r="K87" i="5"/>
  <c r="DE92" i="4"/>
  <c r="DH92" i="4" s="1"/>
  <c r="DI92" i="4" s="1"/>
  <c r="N87" i="5" s="1"/>
  <c r="P87" i="5" s="1"/>
  <c r="K91" i="5"/>
  <c r="DE96" i="4"/>
  <c r="K95" i="5"/>
  <c r="DE100" i="4"/>
  <c r="K99" i="5"/>
  <c r="DE104" i="4"/>
  <c r="K103" i="5"/>
  <c r="DE108" i="4"/>
  <c r="K107" i="5"/>
  <c r="DE112" i="4"/>
  <c r="K111" i="5"/>
  <c r="DE116" i="4"/>
  <c r="DC33" i="4" a="1"/>
  <c r="DC33" i="4" s="1"/>
  <c r="DD33" i="4" s="1"/>
  <c r="M45" i="5"/>
  <c r="DG50" i="4"/>
  <c r="M47" i="5"/>
  <c r="DG52" i="4"/>
  <c r="M74" i="5"/>
  <c r="DG79" i="4"/>
  <c r="M76" i="5"/>
  <c r="DG81" i="4"/>
  <c r="M36" i="5"/>
  <c r="DG41" i="4"/>
  <c r="L37" i="5"/>
  <c r="DF42" i="4"/>
  <c r="M38" i="5"/>
  <c r="DG43" i="4"/>
  <c r="L42" i="5"/>
  <c r="DF47" i="4"/>
  <c r="M43" i="5"/>
  <c r="DG48" i="4"/>
  <c r="L44" i="5"/>
  <c r="DF49" i="4"/>
  <c r="L46" i="5"/>
  <c r="DF51" i="4"/>
  <c r="L48" i="5"/>
  <c r="DF53" i="4"/>
  <c r="M49" i="5"/>
  <c r="DG54" i="4"/>
  <c r="L50" i="5"/>
  <c r="DF55" i="4"/>
  <c r="M51" i="5"/>
  <c r="DG56" i="4"/>
  <c r="M58" i="5"/>
  <c r="DG63" i="4"/>
  <c r="L66" i="5"/>
  <c r="DF71" i="4"/>
  <c r="M67" i="5"/>
  <c r="DG72" i="4"/>
  <c r="L75" i="5"/>
  <c r="DF80" i="4"/>
  <c r="L77" i="5"/>
  <c r="DF82" i="4"/>
  <c r="M78" i="5"/>
  <c r="DG83" i="4"/>
  <c r="BU37" i="4" a="1"/>
  <c r="BU37" i="4" s="1"/>
  <c r="BV37" i="4" s="1"/>
  <c r="K36" i="5"/>
  <c r="DE41" i="4"/>
  <c r="DH41" i="4" s="1"/>
  <c r="DI41" i="4" s="1"/>
  <c r="N36" i="5" s="1"/>
  <c r="P36" i="5" s="1"/>
  <c r="K40" i="5"/>
  <c r="DE45" i="4"/>
  <c r="K44" i="5"/>
  <c r="DE49" i="4"/>
  <c r="DH49" i="4" s="1"/>
  <c r="DI49" i="4" s="1"/>
  <c r="N44" i="5" s="1"/>
  <c r="P44" i="5" s="1"/>
  <c r="K48" i="5"/>
  <c r="DE53" i="4"/>
  <c r="DH53" i="4" s="1"/>
  <c r="DI53" i="4" s="1"/>
  <c r="N48" i="5" s="1"/>
  <c r="P48" i="5" s="1"/>
  <c r="K52" i="5"/>
  <c r="DE57" i="4"/>
  <c r="DH57" i="4" s="1"/>
  <c r="DI57" i="4" s="1"/>
  <c r="N52" i="5" s="1"/>
  <c r="P52" i="5" s="1"/>
  <c r="K56" i="5"/>
  <c r="DE61" i="4"/>
  <c r="K60" i="5"/>
  <c r="DE65" i="4"/>
  <c r="DH65" i="4" s="1"/>
  <c r="DI65" i="4" s="1"/>
  <c r="N60" i="5" s="1"/>
  <c r="P60" i="5" s="1"/>
  <c r="K64" i="5"/>
  <c r="DE69" i="4"/>
  <c r="DH69" i="4" s="1"/>
  <c r="DI69" i="4" s="1"/>
  <c r="N64" i="5" s="1"/>
  <c r="P64" i="5" s="1"/>
  <c r="K68" i="5"/>
  <c r="DE73" i="4"/>
  <c r="DH73" i="4" s="1"/>
  <c r="DI73" i="4" s="1"/>
  <c r="N68" i="5" s="1"/>
  <c r="P68" i="5" s="1"/>
  <c r="K72" i="5"/>
  <c r="DE77" i="4"/>
  <c r="K76" i="5"/>
  <c r="DE81" i="4"/>
  <c r="DH81" i="4" s="1"/>
  <c r="DI81" i="4" s="1"/>
  <c r="N76" i="5" s="1"/>
  <c r="P76" i="5" s="1"/>
  <c r="K80" i="5"/>
  <c r="DE85" i="4"/>
  <c r="K84" i="5"/>
  <c r="DE89" i="4"/>
  <c r="DH89" i="4" s="1"/>
  <c r="DI89" i="4" s="1"/>
  <c r="N84" i="5" s="1"/>
  <c r="P84" i="5" s="1"/>
  <c r="K88" i="5"/>
  <c r="DE93" i="4"/>
  <c r="K92" i="5"/>
  <c r="DE97" i="4"/>
  <c r="K96" i="5"/>
  <c r="DE101" i="4"/>
  <c r="K100" i="5"/>
  <c r="DE105" i="4"/>
  <c r="DH105" i="4" s="1"/>
  <c r="DI105" i="4" s="1"/>
  <c r="N100" i="5" s="1"/>
  <c r="P100" i="5" s="1"/>
  <c r="K104" i="5"/>
  <c r="DE109" i="4"/>
  <c r="K108" i="5"/>
  <c r="DE113" i="4"/>
  <c r="K112" i="5"/>
  <c r="DE117" i="4"/>
  <c r="DC34" i="4" a="1"/>
  <c r="DC34" i="4" s="1"/>
  <c r="DD34" i="4" s="1"/>
  <c r="DC38" i="4" a="1"/>
  <c r="DC38" i="4" s="1"/>
  <c r="DD38" i="4" s="1"/>
  <c r="L39" i="5"/>
  <c r="DF44" i="4"/>
  <c r="M53" i="5"/>
  <c r="DG58" i="4"/>
  <c r="M55" i="5"/>
  <c r="DG60" i="4"/>
  <c r="L59" i="5"/>
  <c r="DF64" i="4"/>
  <c r="M60" i="5"/>
  <c r="DG65" i="4"/>
  <c r="L61" i="5"/>
  <c r="DF66" i="4"/>
  <c r="M62" i="5"/>
  <c r="DG67" i="4"/>
  <c r="M69" i="5"/>
  <c r="DG74" i="4"/>
  <c r="M71" i="5"/>
  <c r="DG76" i="4"/>
  <c r="DC31" i="4" a="1"/>
  <c r="DC31" i="4" s="1"/>
  <c r="DD31" i="4" s="1"/>
  <c r="DC37" i="4" a="1"/>
  <c r="DC37" i="4" s="1"/>
  <c r="DD37" i="4" s="1"/>
  <c r="L34" i="5"/>
  <c r="DF39" i="4"/>
  <c r="M40" i="5"/>
  <c r="DG45" i="4"/>
  <c r="L41" i="5"/>
  <c r="DF46" i="4"/>
  <c r="L54" i="5"/>
  <c r="DF59" i="4"/>
  <c r="L56" i="5"/>
  <c r="DF61" i="4"/>
  <c r="L63" i="5"/>
  <c r="DF68" i="4"/>
  <c r="M64" i="5"/>
  <c r="DG69" i="4"/>
  <c r="L65" i="5"/>
  <c r="DF70" i="4"/>
  <c r="L70" i="5"/>
  <c r="DF75" i="4"/>
  <c r="L72" i="5"/>
  <c r="DF77" i="4"/>
  <c r="DF45" i="4"/>
  <c r="DG46" i="4"/>
  <c r="DG62" i="4"/>
  <c r="DG70" i="4"/>
  <c r="DG78" i="4"/>
  <c r="M88" i="5"/>
  <c r="DG93" i="4"/>
  <c r="L97" i="5"/>
  <c r="DF102" i="4"/>
  <c r="L100" i="5"/>
  <c r="DF105" i="4"/>
  <c r="M106" i="5"/>
  <c r="DG111" i="4"/>
  <c r="L81" i="5"/>
  <c r="DF86" i="4"/>
  <c r="L84" i="5"/>
  <c r="DF89" i="4"/>
  <c r="M85" i="5"/>
  <c r="DG90" i="4"/>
  <c r="L86" i="5"/>
  <c r="DF91" i="4"/>
  <c r="M92" i="5"/>
  <c r="DG97" i="4"/>
  <c r="M101" i="5"/>
  <c r="DG106" i="4"/>
  <c r="L102" i="5"/>
  <c r="DF107" i="4"/>
  <c r="M104" i="5"/>
  <c r="DG109" i="4"/>
  <c r="M109" i="5"/>
  <c r="DG114" i="4"/>
  <c r="L110" i="5"/>
  <c r="DF115" i="4"/>
  <c r="DF81" i="4"/>
  <c r="M82" i="5"/>
  <c r="DG87" i="4"/>
  <c r="DF93" i="4"/>
  <c r="L93" i="5"/>
  <c r="DF98" i="4"/>
  <c r="M98" i="5"/>
  <c r="DG103" i="4"/>
  <c r="DF109" i="4"/>
  <c r="L107" i="5"/>
  <c r="DF112" i="4"/>
  <c r="L79" i="5"/>
  <c r="DF84" i="4"/>
  <c r="L83" i="5"/>
  <c r="DF88" i="4"/>
  <c r="M87" i="5"/>
  <c r="DG92" i="4"/>
  <c r="L90" i="5"/>
  <c r="DF95" i="4"/>
  <c r="M91" i="5"/>
  <c r="DG96" i="4"/>
  <c r="M94" i="5"/>
  <c r="DG99" i="4"/>
  <c r="L95" i="5"/>
  <c r="DF100" i="4"/>
  <c r="L99" i="5"/>
  <c r="DF104" i="4"/>
  <c r="M103" i="5"/>
  <c r="DG108" i="4"/>
  <c r="M111" i="5"/>
  <c r="DG116" i="4"/>
  <c r="DF41" i="4"/>
  <c r="DF57" i="4"/>
  <c r="DF65" i="4"/>
  <c r="DF73" i="4"/>
  <c r="M80" i="5"/>
  <c r="DG85" i="4"/>
  <c r="M96" i="5"/>
  <c r="DG101" i="4"/>
  <c r="M100" i="5"/>
  <c r="DG105" i="4"/>
  <c r="L106" i="5"/>
  <c r="DF111" i="4"/>
  <c r="M108" i="5"/>
  <c r="DG113" i="4"/>
  <c r="L112" i="5"/>
  <c r="DF117" i="4"/>
  <c r="M84" i="5"/>
  <c r="DG89" i="4"/>
  <c r="L89" i="5"/>
  <c r="DF94" i="4"/>
  <c r="L92" i="5"/>
  <c r="DF97" i="4"/>
  <c r="M93" i="5"/>
  <c r="DG98" i="4"/>
  <c r="L94" i="5"/>
  <c r="DF99" i="4"/>
  <c r="L101" i="5"/>
  <c r="DF106" i="4"/>
  <c r="L105" i="5"/>
  <c r="DF110" i="4"/>
  <c r="M107" i="5"/>
  <c r="DG112" i="4"/>
  <c r="L109" i="5"/>
  <c r="DF114" i="4"/>
  <c r="DF85" i="4"/>
  <c r="L85" i="5"/>
  <c r="DF90" i="4"/>
  <c r="M90" i="5"/>
  <c r="DG95" i="4"/>
  <c r="L98" i="5"/>
  <c r="DF103" i="4"/>
  <c r="M99" i="5"/>
  <c r="DG104" i="4"/>
  <c r="M79" i="5"/>
  <c r="DG84" i="4"/>
  <c r="L82" i="5"/>
  <c r="DF87" i="4"/>
  <c r="M83" i="5"/>
  <c r="DG88" i="4"/>
  <c r="M86" i="5"/>
  <c r="DG91" i="4"/>
  <c r="L87" i="5"/>
  <c r="DF92" i="4"/>
  <c r="L91" i="5"/>
  <c r="DF96" i="4"/>
  <c r="M95" i="5"/>
  <c r="DG100" i="4"/>
  <c r="M102" i="5"/>
  <c r="DG107" i="4"/>
  <c r="L103" i="5"/>
  <c r="DF108" i="4"/>
  <c r="M110" i="5"/>
  <c r="DG115" i="4"/>
  <c r="L111" i="5"/>
  <c r="DF116" i="4"/>
  <c r="M112" i="5"/>
  <c r="DG117" i="4"/>
  <c r="DF113" i="4"/>
  <c r="H14" i="5" l="1"/>
  <c r="DF19" i="2"/>
  <c r="DG18" i="4"/>
  <c r="DH18" i="2"/>
  <c r="DI18" i="2" s="1"/>
  <c r="O13" i="5" s="1"/>
  <c r="DH19" i="4"/>
  <c r="DI19" i="4" s="1"/>
  <c r="N14" i="5" s="1"/>
  <c r="P14" i="5" s="1"/>
  <c r="DG20" i="4"/>
  <c r="DH20" i="4"/>
  <c r="DI20" i="4" s="1"/>
  <c r="N15" i="5" s="1"/>
  <c r="P15" i="5" s="1"/>
  <c r="DH21" i="4"/>
  <c r="DI21" i="4" s="1"/>
  <c r="N16" i="5" s="1"/>
  <c r="P16" i="5" s="1"/>
  <c r="DE22" i="4"/>
  <c r="DH117" i="4"/>
  <c r="DI117" i="4" s="1"/>
  <c r="N112" i="5" s="1"/>
  <c r="P112" i="5" s="1"/>
  <c r="M32" i="5"/>
  <c r="DG37" i="4"/>
  <c r="DH113" i="4"/>
  <c r="DI113" i="4" s="1"/>
  <c r="N108" i="5" s="1"/>
  <c r="P108" i="5" s="1"/>
  <c r="DH88" i="4"/>
  <c r="DI88" i="4" s="1"/>
  <c r="N83" i="5" s="1"/>
  <c r="P83" i="5" s="1"/>
  <c r="DH109" i="4"/>
  <c r="DI109" i="4" s="1"/>
  <c r="N104" i="5" s="1"/>
  <c r="P104" i="5" s="1"/>
  <c r="DH77" i="4"/>
  <c r="DI77" i="4" s="1"/>
  <c r="N72" i="5" s="1"/>
  <c r="P72" i="5" s="1"/>
  <c r="DH61" i="4"/>
  <c r="DI61" i="4" s="1"/>
  <c r="N56" i="5" s="1"/>
  <c r="P56" i="5" s="1"/>
  <c r="DH45" i="4"/>
  <c r="DI45" i="4" s="1"/>
  <c r="N40" i="5" s="1"/>
  <c r="P40" i="5" s="1"/>
  <c r="DH116" i="4"/>
  <c r="DI116" i="4" s="1"/>
  <c r="N111" i="5" s="1"/>
  <c r="P111" i="5" s="1"/>
  <c r="DH100" i="4"/>
  <c r="DI100" i="4" s="1"/>
  <c r="N95" i="5" s="1"/>
  <c r="P95" i="5" s="1"/>
  <c r="DH84" i="4"/>
  <c r="DI84" i="4" s="1"/>
  <c r="N79" i="5" s="1"/>
  <c r="P79" i="5" s="1"/>
  <c r="DH68" i="4"/>
  <c r="DI68" i="4" s="1"/>
  <c r="N63" i="5" s="1"/>
  <c r="P63" i="5" s="1"/>
  <c r="DH52" i="4"/>
  <c r="DI52" i="4" s="1"/>
  <c r="N47" i="5" s="1"/>
  <c r="P47" i="5" s="1"/>
  <c r="L31" i="5"/>
  <c r="DF36" i="4"/>
  <c r="DH29" i="4"/>
  <c r="DI29" i="4" s="1"/>
  <c r="N24" i="5" s="1"/>
  <c r="P24" i="5" s="1"/>
  <c r="DH40" i="4"/>
  <c r="DI40" i="4" s="1"/>
  <c r="N35" i="5" s="1"/>
  <c r="P35" i="5" s="1"/>
  <c r="DH24" i="4"/>
  <c r="DI24" i="4" s="1"/>
  <c r="N19" i="5" s="1"/>
  <c r="P19" i="5" s="1"/>
  <c r="DH27" i="4"/>
  <c r="DI27" i="4" s="1"/>
  <c r="N22" i="5" s="1"/>
  <c r="P22" i="5" s="1"/>
  <c r="DH91" i="2"/>
  <c r="DI91" i="2" s="1"/>
  <c r="J86" i="5" s="1"/>
  <c r="O86" i="5" s="1"/>
  <c r="Q86" i="5" s="1"/>
  <c r="DH79" i="2"/>
  <c r="DI79" i="2" s="1"/>
  <c r="J74" i="5" s="1"/>
  <c r="O74" i="5" s="1"/>
  <c r="Q74" i="5" s="1"/>
  <c r="DH71" i="2"/>
  <c r="DI71" i="2" s="1"/>
  <c r="J66" i="5" s="1"/>
  <c r="O66" i="5" s="1"/>
  <c r="Q66" i="5" s="1"/>
  <c r="DH73" i="2"/>
  <c r="DI73" i="2" s="1"/>
  <c r="J68" i="5" s="1"/>
  <c r="O68" i="5" s="1"/>
  <c r="Q68" i="5" s="1"/>
  <c r="H29" i="5"/>
  <c r="DF34" i="2"/>
  <c r="DH74" i="2"/>
  <c r="DI74" i="2" s="1"/>
  <c r="J69" i="5" s="1"/>
  <c r="O69" i="5" s="1"/>
  <c r="Q69" i="5" s="1"/>
  <c r="DH45" i="2"/>
  <c r="DI45" i="2" s="1"/>
  <c r="J40" i="5" s="1"/>
  <c r="O40" i="5" s="1"/>
  <c r="Q40" i="5" s="1"/>
  <c r="DH22" i="2"/>
  <c r="DI22" i="2" s="1"/>
  <c r="J17" i="5" s="1"/>
  <c r="O17" i="5" s="1"/>
  <c r="DH28" i="2"/>
  <c r="DI28" i="2" s="1"/>
  <c r="J23" i="5" s="1"/>
  <c r="O23" i="5" s="1"/>
  <c r="Q23" i="5" s="1"/>
  <c r="DH20" i="2"/>
  <c r="DI20" i="2" s="1"/>
  <c r="J15" i="5" s="1"/>
  <c r="O15" i="5" s="1"/>
  <c r="DH38" i="2"/>
  <c r="DI38" i="2" s="1"/>
  <c r="J33" i="5" s="1"/>
  <c r="O33" i="5" s="1"/>
  <c r="DH32" i="2"/>
  <c r="DI32" i="2" s="1"/>
  <c r="J27" i="5" s="1"/>
  <c r="O27" i="5" s="1"/>
  <c r="Q27" i="5" s="1"/>
  <c r="DH31" i="2"/>
  <c r="DI31" i="2" s="1"/>
  <c r="J26" i="5" s="1"/>
  <c r="O26" i="5" s="1"/>
  <c r="K32" i="5"/>
  <c r="DE37" i="4"/>
  <c r="DH37" i="4" s="1"/>
  <c r="DI37" i="4" s="1"/>
  <c r="N32" i="5" s="1"/>
  <c r="P32" i="5" s="1"/>
  <c r="DH76" i="4"/>
  <c r="DI76" i="4" s="1"/>
  <c r="N71" i="5" s="1"/>
  <c r="P71" i="5" s="1"/>
  <c r="DH97" i="4"/>
  <c r="DI97" i="4" s="1"/>
  <c r="N92" i="5" s="1"/>
  <c r="P92" i="5" s="1"/>
  <c r="DH104" i="4"/>
  <c r="DI104" i="4" s="1"/>
  <c r="N99" i="5" s="1"/>
  <c r="P99" i="5" s="1"/>
  <c r="DH72" i="4"/>
  <c r="DI72" i="4" s="1"/>
  <c r="N67" i="5" s="1"/>
  <c r="P67" i="5" s="1"/>
  <c r="DH93" i="4"/>
  <c r="DI93" i="4" s="1"/>
  <c r="N88" i="5" s="1"/>
  <c r="P88" i="5" s="1"/>
  <c r="DH115" i="4"/>
  <c r="DI115" i="4" s="1"/>
  <c r="N110" i="5" s="1"/>
  <c r="P110" i="5" s="1"/>
  <c r="DH99" i="4"/>
  <c r="DI99" i="4" s="1"/>
  <c r="N94" i="5" s="1"/>
  <c r="P94" i="5" s="1"/>
  <c r="DH83" i="4"/>
  <c r="DI83" i="4" s="1"/>
  <c r="N78" i="5" s="1"/>
  <c r="P78" i="5" s="1"/>
  <c r="DH67" i="4"/>
  <c r="DI67" i="4" s="1"/>
  <c r="N62" i="5" s="1"/>
  <c r="P62" i="5" s="1"/>
  <c r="DH51" i="4"/>
  <c r="DI51" i="4" s="1"/>
  <c r="N46" i="5" s="1"/>
  <c r="P46" i="5" s="1"/>
  <c r="DH106" i="4"/>
  <c r="DI106" i="4" s="1"/>
  <c r="N101" i="5" s="1"/>
  <c r="P101" i="5" s="1"/>
  <c r="DH90" i="4"/>
  <c r="DI90" i="4" s="1"/>
  <c r="N85" i="5" s="1"/>
  <c r="P85" i="5" s="1"/>
  <c r="DH74" i="4"/>
  <c r="DI74" i="4" s="1"/>
  <c r="N69" i="5" s="1"/>
  <c r="P69" i="5" s="1"/>
  <c r="DH58" i="4"/>
  <c r="DI58" i="4" s="1"/>
  <c r="N53" i="5" s="1"/>
  <c r="P53" i="5" s="1"/>
  <c r="DH42" i="4"/>
  <c r="DI42" i="4" s="1"/>
  <c r="N37" i="5" s="1"/>
  <c r="P37" i="5" s="1"/>
  <c r="DH25" i="4"/>
  <c r="DI25" i="4" s="1"/>
  <c r="N20" i="5" s="1"/>
  <c r="P20" i="5" s="1"/>
  <c r="Q20" i="5" s="1"/>
  <c r="DH108" i="2"/>
  <c r="DI108" i="2" s="1"/>
  <c r="J103" i="5" s="1"/>
  <c r="O103" i="5" s="1"/>
  <c r="Q103" i="5" s="1"/>
  <c r="DH75" i="2"/>
  <c r="DI75" i="2" s="1"/>
  <c r="J70" i="5" s="1"/>
  <c r="O70" i="5" s="1"/>
  <c r="Q70" i="5" s="1"/>
  <c r="DH113" i="2"/>
  <c r="DI113" i="2" s="1"/>
  <c r="J108" i="5" s="1"/>
  <c r="O108" i="5" s="1"/>
  <c r="Q108" i="5" s="1"/>
  <c r="DH95" i="2"/>
  <c r="DI95" i="2" s="1"/>
  <c r="J90" i="5" s="1"/>
  <c r="O90" i="5" s="1"/>
  <c r="Q90" i="5" s="1"/>
  <c r="DH46" i="2"/>
  <c r="DI46" i="2" s="1"/>
  <c r="J41" i="5" s="1"/>
  <c r="O41" i="5" s="1"/>
  <c r="Q41" i="5" s="1"/>
  <c r="DH105" i="2"/>
  <c r="DI105" i="2" s="1"/>
  <c r="J100" i="5" s="1"/>
  <c r="O100" i="5" s="1"/>
  <c r="Q100" i="5" s="1"/>
  <c r="DH56" i="2"/>
  <c r="DI56" i="2" s="1"/>
  <c r="J51" i="5" s="1"/>
  <c r="O51" i="5" s="1"/>
  <c r="Q51" i="5" s="1"/>
  <c r="H31" i="5"/>
  <c r="DF36" i="2"/>
  <c r="DH72" i="2"/>
  <c r="DI72" i="2" s="1"/>
  <c r="J67" i="5" s="1"/>
  <c r="O67" i="5" s="1"/>
  <c r="Q67" i="5" s="1"/>
  <c r="DH115" i="2"/>
  <c r="DI115" i="2" s="1"/>
  <c r="J110" i="5" s="1"/>
  <c r="O110" i="5" s="1"/>
  <c r="Q110" i="5" s="1"/>
  <c r="DH111" i="2"/>
  <c r="DI111" i="2" s="1"/>
  <c r="J106" i="5" s="1"/>
  <c r="O106" i="5" s="1"/>
  <c r="Q106" i="5" s="1"/>
  <c r="DH88" i="2"/>
  <c r="DI88" i="2" s="1"/>
  <c r="J83" i="5" s="1"/>
  <c r="O83" i="5" s="1"/>
  <c r="Q83" i="5" s="1"/>
  <c r="M33" i="5"/>
  <c r="DG38" i="4"/>
  <c r="DH112" i="4"/>
  <c r="DI112" i="4" s="1"/>
  <c r="N107" i="5" s="1"/>
  <c r="P107" i="5" s="1"/>
  <c r="DH64" i="4"/>
  <c r="DI64" i="4" s="1"/>
  <c r="N59" i="5" s="1"/>
  <c r="P59" i="5" s="1"/>
  <c r="DH36" i="4"/>
  <c r="DI36" i="4" s="1"/>
  <c r="N31" i="5" s="1"/>
  <c r="P31" i="5" s="1"/>
  <c r="DH39" i="4"/>
  <c r="DI39" i="4" s="1"/>
  <c r="N34" i="5" s="1"/>
  <c r="P34" i="5" s="1"/>
  <c r="DH23" i="4"/>
  <c r="DI23" i="4" s="1"/>
  <c r="N18" i="5" s="1"/>
  <c r="P18" i="5" s="1"/>
  <c r="Q18" i="5" s="1"/>
  <c r="DH22" i="4"/>
  <c r="DI22" i="4" s="1"/>
  <c r="N17" i="5" s="1"/>
  <c r="P17" i="5" s="1"/>
  <c r="DH87" i="2"/>
  <c r="DI87" i="2" s="1"/>
  <c r="J82" i="5" s="1"/>
  <c r="O82" i="5" s="1"/>
  <c r="Q82" i="5" s="1"/>
  <c r="DH38" i="4"/>
  <c r="DI38" i="4" s="1"/>
  <c r="N33" i="5" s="1"/>
  <c r="P33" i="5" s="1"/>
  <c r="Q22" i="5"/>
  <c r="DH19" i="2"/>
  <c r="DI19" i="2" s="1"/>
  <c r="J14" i="5" s="1"/>
  <c r="O14" i="5" s="1"/>
  <c r="DH97" i="2"/>
  <c r="DI97" i="2" s="1"/>
  <c r="J92" i="5" s="1"/>
  <c r="O92" i="5" s="1"/>
  <c r="Q92" i="5" s="1"/>
  <c r="Q25" i="5"/>
  <c r="DH96" i="4"/>
  <c r="DI96" i="4" s="1"/>
  <c r="N91" i="5" s="1"/>
  <c r="P91" i="5" s="1"/>
  <c r="M29" i="5"/>
  <c r="DG34" i="4"/>
  <c r="DH111" i="4"/>
  <c r="DI111" i="4" s="1"/>
  <c r="N106" i="5" s="1"/>
  <c r="P106" i="5" s="1"/>
  <c r="DH95" i="4"/>
  <c r="DI95" i="4" s="1"/>
  <c r="N90" i="5" s="1"/>
  <c r="P90" i="5" s="1"/>
  <c r="DH102" i="4"/>
  <c r="DI102" i="4" s="1"/>
  <c r="N97" i="5" s="1"/>
  <c r="P97" i="5" s="1"/>
  <c r="DH86" i="4"/>
  <c r="DI86" i="4" s="1"/>
  <c r="N81" i="5" s="1"/>
  <c r="P81" i="5" s="1"/>
  <c r="DH70" i="4"/>
  <c r="DI70" i="4" s="1"/>
  <c r="N65" i="5" s="1"/>
  <c r="P65" i="5" s="1"/>
  <c r="DH54" i="4"/>
  <c r="DI54" i="4" s="1"/>
  <c r="N49" i="5" s="1"/>
  <c r="P49" i="5" s="1"/>
  <c r="DH116" i="2"/>
  <c r="DI116" i="2" s="1"/>
  <c r="J111" i="5" s="1"/>
  <c r="O111" i="5" s="1"/>
  <c r="Q111" i="5" s="1"/>
  <c r="DH102" i="2"/>
  <c r="DI102" i="2" s="1"/>
  <c r="J97" i="5" s="1"/>
  <c r="O97" i="5" s="1"/>
  <c r="Q97" i="5" s="1"/>
  <c r="DH99" i="2"/>
  <c r="DI99" i="2" s="1"/>
  <c r="J94" i="5" s="1"/>
  <c r="O94" i="5" s="1"/>
  <c r="Q94" i="5" s="1"/>
  <c r="DH55" i="2"/>
  <c r="DI55" i="2" s="1"/>
  <c r="J50" i="5" s="1"/>
  <c r="O50" i="5" s="1"/>
  <c r="Q50" i="5" s="1"/>
  <c r="DH54" i="2"/>
  <c r="DI54" i="2" s="1"/>
  <c r="J49" i="5" s="1"/>
  <c r="O49" i="5" s="1"/>
  <c r="Q49" i="5" s="1"/>
  <c r="DH70" i="2"/>
  <c r="DI70" i="2" s="1"/>
  <c r="J65" i="5" s="1"/>
  <c r="O65" i="5" s="1"/>
  <c r="Q65" i="5" s="1"/>
  <c r="DH92" i="2"/>
  <c r="DI92" i="2" s="1"/>
  <c r="J87" i="5" s="1"/>
  <c r="O87" i="5" s="1"/>
  <c r="Q87" i="5" s="1"/>
  <c r="DH18" i="4"/>
  <c r="DI18" i="4" s="1"/>
  <c r="N13" i="5" s="1"/>
  <c r="P13" i="5" s="1"/>
  <c r="DH101" i="4"/>
  <c r="DI101" i="4" s="1"/>
  <c r="N96" i="5" s="1"/>
  <c r="P96" i="5" s="1"/>
  <c r="DH60" i="4"/>
  <c r="DI60" i="4" s="1"/>
  <c r="N55" i="5" s="1"/>
  <c r="P55" i="5" s="1"/>
  <c r="DH35" i="4"/>
  <c r="DI35" i="4" s="1"/>
  <c r="N30" i="5" s="1"/>
  <c r="P30" i="5" s="1"/>
  <c r="DH26" i="4"/>
  <c r="DI26" i="4" s="1"/>
  <c r="N21" i="5" s="1"/>
  <c r="P21" i="5" s="1"/>
  <c r="I30" i="5"/>
  <c r="DG35" i="2"/>
  <c r="F35" i="5"/>
  <c r="DE40" i="2"/>
  <c r="DH40" i="2" s="1"/>
  <c r="DI40" i="2" s="1"/>
  <c r="J35" i="5" s="1"/>
  <c r="O35" i="5" s="1"/>
  <c r="Q35" i="5" s="1"/>
  <c r="Q24" i="5"/>
  <c r="DH21" i="2"/>
  <c r="DI21" i="2" s="1"/>
  <c r="J16" i="5" s="1"/>
  <c r="O16" i="5" s="1"/>
  <c r="DH34" i="2"/>
  <c r="DI34" i="2" s="1"/>
  <c r="J29" i="5" s="1"/>
  <c r="O29" i="5" s="1"/>
  <c r="DH33" i="2"/>
  <c r="DI33" i="2" s="1"/>
  <c r="J28" i="5" s="1"/>
  <c r="O28" i="5" s="1"/>
  <c r="DH24" i="2"/>
  <c r="DI24" i="2" s="1"/>
  <c r="J19" i="5" s="1"/>
  <c r="O19" i="5" s="1"/>
  <c r="DH85" i="4"/>
  <c r="DI85" i="4" s="1"/>
  <c r="N80" i="5" s="1"/>
  <c r="P80" i="5" s="1"/>
  <c r="DH91" i="4"/>
  <c r="DI91" i="4" s="1"/>
  <c r="N86" i="5" s="1"/>
  <c r="P86" i="5" s="1"/>
  <c r="DH75" i="4"/>
  <c r="DI75" i="4" s="1"/>
  <c r="N70" i="5" s="1"/>
  <c r="P70" i="5" s="1"/>
  <c r="DH59" i="4"/>
  <c r="DI59" i="4" s="1"/>
  <c r="N54" i="5" s="1"/>
  <c r="P54" i="5" s="1"/>
  <c r="DH43" i="4"/>
  <c r="DI43" i="4" s="1"/>
  <c r="N38" i="5" s="1"/>
  <c r="P38" i="5" s="1"/>
  <c r="DH114" i="4"/>
  <c r="DI114" i="4" s="1"/>
  <c r="N109" i="5" s="1"/>
  <c r="P109" i="5" s="1"/>
  <c r="DH98" i="4"/>
  <c r="DI98" i="4" s="1"/>
  <c r="N93" i="5" s="1"/>
  <c r="P93" i="5" s="1"/>
  <c r="DH66" i="4"/>
  <c r="DI66" i="4" s="1"/>
  <c r="N61" i="5" s="1"/>
  <c r="P61" i="5" s="1"/>
  <c r="DH50" i="4"/>
  <c r="DI50" i="4" s="1"/>
  <c r="N45" i="5" s="1"/>
  <c r="P45" i="5" s="1"/>
  <c r="DH96" i="2"/>
  <c r="DI96" i="2" s="1"/>
  <c r="J91" i="5" s="1"/>
  <c r="O91" i="5" s="1"/>
  <c r="Q91" i="5" s="1"/>
  <c r="DH63" i="2"/>
  <c r="DI63" i="2" s="1"/>
  <c r="J58" i="5" s="1"/>
  <c r="O58" i="5" s="1"/>
  <c r="Q58" i="5" s="1"/>
  <c r="DH78" i="2"/>
  <c r="DI78" i="2" s="1"/>
  <c r="J73" i="5" s="1"/>
  <c r="O73" i="5" s="1"/>
  <c r="Q73" i="5" s="1"/>
  <c r="DH50" i="2"/>
  <c r="DI50" i="2" s="1"/>
  <c r="J45" i="5" s="1"/>
  <c r="O45" i="5" s="1"/>
  <c r="Q45" i="5" s="1"/>
  <c r="I32" i="5"/>
  <c r="DG37" i="2"/>
  <c r="DH37" i="2" s="1"/>
  <c r="DI37" i="2" s="1"/>
  <c r="J32" i="5" s="1"/>
  <c r="O32" i="5" s="1"/>
  <c r="Q32" i="5" s="1"/>
  <c r="DH26" i="2"/>
  <c r="DI26" i="2" s="1"/>
  <c r="J21" i="5" s="1"/>
  <c r="O21" i="5" s="1"/>
  <c r="DH108" i="4"/>
  <c r="DI108" i="4" s="1"/>
  <c r="N103" i="5" s="1"/>
  <c r="P103" i="5" s="1"/>
  <c r="DH84" i="2"/>
  <c r="DI84" i="2" s="1"/>
  <c r="J79" i="5" s="1"/>
  <c r="O79" i="5" s="1"/>
  <c r="Q79" i="5" s="1"/>
  <c r="DH83" i="2"/>
  <c r="DI83" i="2" s="1"/>
  <c r="J78" i="5" s="1"/>
  <c r="O78" i="5" s="1"/>
  <c r="Q78" i="5" s="1"/>
  <c r="I34" i="5"/>
  <c r="DG39" i="2"/>
  <c r="F30" i="5"/>
  <c r="DE35" i="2"/>
  <c r="DH47" i="2"/>
  <c r="DI47" i="2" s="1"/>
  <c r="J42" i="5" s="1"/>
  <c r="O42" i="5" s="1"/>
  <c r="Q42" i="5" s="1"/>
  <c r="M26" i="5"/>
  <c r="DG31" i="4"/>
  <c r="DH31" i="4" s="1"/>
  <c r="DI31" i="4" s="1"/>
  <c r="N26" i="5" s="1"/>
  <c r="P26" i="5" s="1"/>
  <c r="M28" i="5"/>
  <c r="DG33" i="4"/>
  <c r="DH33" i="4" s="1"/>
  <c r="DI33" i="4" s="1"/>
  <c r="N28" i="5" s="1"/>
  <c r="P28" i="5" s="1"/>
  <c r="DH103" i="4"/>
  <c r="DI103" i="4" s="1"/>
  <c r="N98" i="5" s="1"/>
  <c r="P98" i="5" s="1"/>
  <c r="DH87" i="4"/>
  <c r="DI87" i="4" s="1"/>
  <c r="N82" i="5" s="1"/>
  <c r="P82" i="5" s="1"/>
  <c r="DH71" i="4"/>
  <c r="DI71" i="4" s="1"/>
  <c r="N66" i="5" s="1"/>
  <c r="P66" i="5" s="1"/>
  <c r="DH55" i="4"/>
  <c r="DI55" i="4" s="1"/>
  <c r="N50" i="5" s="1"/>
  <c r="P50" i="5" s="1"/>
  <c r="DH110" i="4"/>
  <c r="DI110" i="4" s="1"/>
  <c r="N105" i="5" s="1"/>
  <c r="P105" i="5" s="1"/>
  <c r="DH94" i="4"/>
  <c r="DI94" i="4" s="1"/>
  <c r="N89" i="5" s="1"/>
  <c r="P89" i="5" s="1"/>
  <c r="DH78" i="4"/>
  <c r="DI78" i="4" s="1"/>
  <c r="N73" i="5" s="1"/>
  <c r="P73" i="5" s="1"/>
  <c r="DH62" i="4"/>
  <c r="DI62" i="4" s="1"/>
  <c r="N57" i="5" s="1"/>
  <c r="P57" i="5" s="1"/>
  <c r="DH46" i="4"/>
  <c r="DI46" i="4" s="1"/>
  <c r="N41" i="5" s="1"/>
  <c r="P41" i="5" s="1"/>
  <c r="DH117" i="2"/>
  <c r="DI117" i="2" s="1"/>
  <c r="J112" i="5" s="1"/>
  <c r="O112" i="5" s="1"/>
  <c r="Q112" i="5" s="1"/>
  <c r="DH48" i="2"/>
  <c r="DI48" i="2" s="1"/>
  <c r="J43" i="5" s="1"/>
  <c r="O43" i="5" s="1"/>
  <c r="Q43" i="5" s="1"/>
  <c r="DH34" i="4"/>
  <c r="DI34" i="4" s="1"/>
  <c r="N29" i="5" s="1"/>
  <c r="P29" i="5" s="1"/>
  <c r="DH61" i="2"/>
  <c r="DI61" i="2" s="1"/>
  <c r="J56" i="5" s="1"/>
  <c r="O56" i="5" s="1"/>
  <c r="Q56" i="5" s="1"/>
  <c r="DH41" i="2"/>
  <c r="DI41" i="2" s="1"/>
  <c r="J36" i="5" s="1"/>
  <c r="O36" i="5" s="1"/>
  <c r="Q36" i="5" s="1"/>
  <c r="I31" i="5"/>
  <c r="DG36" i="2"/>
  <c r="DH36" i="2" s="1"/>
  <c r="DI36" i="2" s="1"/>
  <c r="J31" i="5" s="1"/>
  <c r="O31" i="5" s="1"/>
  <c r="Q31" i="5" s="1"/>
  <c r="DH103" i="2"/>
  <c r="DI103" i="2" s="1"/>
  <c r="J98" i="5" s="1"/>
  <c r="O98" i="5" s="1"/>
  <c r="Q98" i="5" s="1"/>
  <c r="DH77" i="2"/>
  <c r="DI77" i="2" s="1"/>
  <c r="J72" i="5" s="1"/>
  <c r="O72" i="5" s="1"/>
  <c r="Q72" i="5" s="1"/>
  <c r="DH57" i="2"/>
  <c r="DI57" i="2" s="1"/>
  <c r="J52" i="5" s="1"/>
  <c r="O52" i="5" s="1"/>
  <c r="Q52" i="5" s="1"/>
  <c r="DH58" i="2"/>
  <c r="DI58" i="2" s="1"/>
  <c r="J53" i="5" s="1"/>
  <c r="O53" i="5" s="1"/>
  <c r="Q53" i="5" s="1"/>
  <c r="H34" i="5"/>
  <c r="DF39" i="2"/>
  <c r="DH39" i="2" s="1"/>
  <c r="DI39" i="2" s="1"/>
  <c r="J34" i="5" s="1"/>
  <c r="O34" i="5" s="1"/>
  <c r="Q34" i="5" s="1"/>
  <c r="DH66" i="2"/>
  <c r="DI66" i="2" s="1"/>
  <c r="J61" i="5" s="1"/>
  <c r="O61" i="5" s="1"/>
  <c r="Q61" i="5" s="1"/>
  <c r="DH76" i="2"/>
  <c r="DI76" i="2" s="1"/>
  <c r="J71" i="5" s="1"/>
  <c r="O71" i="5" s="1"/>
  <c r="Q71" i="5" s="1"/>
  <c r="Q13" i="5" l="1"/>
  <c r="Q14" i="5"/>
  <c r="Q15" i="5"/>
  <c r="Q16" i="5"/>
  <c r="Q21" i="5"/>
  <c r="Q19" i="5"/>
  <c r="Q33" i="5"/>
  <c r="Q28" i="5"/>
  <c r="Q17" i="5"/>
  <c r="Q29" i="5"/>
  <c r="DH35" i="2"/>
  <c r="DI35" i="2" s="1"/>
  <c r="J30" i="5" s="1"/>
  <c r="O30" i="5" s="1"/>
  <c r="Q30" i="5" s="1"/>
  <c r="Q26" i="5"/>
</calcChain>
</file>

<file path=xl/sharedStrings.xml><?xml version="1.0" encoding="utf-8"?>
<sst xmlns="http://schemas.openxmlformats.org/spreadsheetml/2006/main" count="456" uniqueCount="136">
  <si>
    <t>BUKIDNON STATE UNIVERSITY</t>
  </si>
  <si>
    <t>Malaybalay City, Bukidnon 8700</t>
  </si>
  <si>
    <t>Tel (088) 813-5661 to 5663; TeleFax (088) 813-2717, www.buksu.edu.ph</t>
  </si>
  <si>
    <t xml:space="preserve">Section Code: </t>
  </si>
  <si>
    <t>Day:</t>
  </si>
  <si>
    <t>TF</t>
  </si>
  <si>
    <t>Subject Code:</t>
  </si>
  <si>
    <t>Time:</t>
  </si>
  <si>
    <t>7:30AM-10:00AM</t>
  </si>
  <si>
    <t>Descriptive Title:</t>
  </si>
  <si>
    <t>Rm:</t>
  </si>
  <si>
    <t>Lab 7</t>
  </si>
  <si>
    <t>Semester:</t>
  </si>
  <si>
    <t>1st Sem</t>
  </si>
  <si>
    <t>Units:</t>
  </si>
  <si>
    <t>Department:</t>
  </si>
  <si>
    <t>Information Technology</t>
  </si>
  <si>
    <t>School Year:</t>
  </si>
  <si>
    <t>2025-2026</t>
  </si>
  <si>
    <t>Dept. Head:</t>
  </si>
  <si>
    <t>Dr. Sales G. Aribe, Jr.</t>
  </si>
  <si>
    <t>College:</t>
  </si>
  <si>
    <t>College of Technologies</t>
  </si>
  <si>
    <t>Instructor:</t>
  </si>
  <si>
    <t>Czarissa Louise A. Navidad</t>
  </si>
  <si>
    <t>Dean:</t>
  </si>
  <si>
    <t>Dr. Marilou O. Espina</t>
  </si>
  <si>
    <t>Passing Rate:</t>
  </si>
  <si>
    <t>Ctrl No</t>
  </si>
  <si>
    <t>ID Number</t>
  </si>
  <si>
    <t>NAME</t>
  </si>
  <si>
    <t>Class Standing</t>
  </si>
  <si>
    <t>Laboratory</t>
  </si>
  <si>
    <t>Major Output</t>
  </si>
  <si>
    <t>Short Film Proposal</t>
  </si>
  <si>
    <t>Storyboard</t>
  </si>
  <si>
    <t>Long Quiz</t>
  </si>
  <si>
    <t>Draft Script</t>
  </si>
  <si>
    <t>Character Design</t>
  </si>
  <si>
    <t>Background Design</t>
  </si>
  <si>
    <t>Final Script</t>
  </si>
  <si>
    <t>Midterm Exam</t>
  </si>
  <si>
    <t>Añonuevo, Thomas Franz</t>
  </si>
  <si>
    <t>Cabuco, Dean Krist A.</t>
  </si>
  <si>
    <t>De Guzman, Jim Dale Manong</t>
  </si>
  <si>
    <t>Dela Cerna, Johann Derek Javier</t>
  </si>
  <si>
    <t>Delfin, Kyle Arnie Jopson</t>
  </si>
  <si>
    <t>Gumapac, Jannerie</t>
  </si>
  <si>
    <t>Lantinay, Pol Edison</t>
  </si>
  <si>
    <t>Lintawahan, Maria Elisabeth</t>
  </si>
  <si>
    <t xml:space="preserve"> </t>
  </si>
  <si>
    <t>Lisondra, Christian Earl</t>
  </si>
  <si>
    <t>Magante, Jerson</t>
  </si>
  <si>
    <t>Maraon, EJ Kate</t>
  </si>
  <si>
    <t>Melendez, Jeter Giambi</t>
  </si>
  <si>
    <t>Merina, Meljon G.</t>
  </si>
  <si>
    <t>Neri, Jaira Greist</t>
  </si>
  <si>
    <t>Noval, Miky</t>
  </si>
  <si>
    <t>Nuer, Jaymarc</t>
  </si>
  <si>
    <t>Publico, Rogelio</t>
  </si>
  <si>
    <t>Rivera, Juvel</t>
  </si>
  <si>
    <t>Rubio, Pia Pilar</t>
  </si>
  <si>
    <t>Salto, Mary Natalie</t>
  </si>
  <si>
    <t>Tilanduca, Khiara</t>
  </si>
  <si>
    <t>Valdez, John Winchel</t>
  </si>
  <si>
    <t>CLASS RECORD</t>
  </si>
  <si>
    <t>Chair:</t>
  </si>
  <si>
    <t>SUMMARY</t>
  </si>
  <si>
    <t>MIDTERM GRADE</t>
  </si>
  <si>
    <t>CS</t>
  </si>
  <si>
    <t>LAB</t>
  </si>
  <si>
    <t>MO</t>
  </si>
  <si>
    <t>GPA</t>
  </si>
  <si>
    <t>EQUI</t>
  </si>
  <si>
    <t>TOTAL</t>
  </si>
  <si>
    <t>FG</t>
  </si>
  <si>
    <t>EQUIVALENT</t>
  </si>
  <si>
    <t>GPE</t>
  </si>
  <si>
    <t>Production Progress Report 1</t>
  </si>
  <si>
    <t>Production Progress Report 2</t>
  </si>
  <si>
    <t>Production Progress Report 3</t>
  </si>
  <si>
    <t>Production Progress Report 4</t>
  </si>
  <si>
    <t>Production Progress Report 5</t>
  </si>
  <si>
    <t>Movie Poster</t>
  </si>
  <si>
    <t>Animation Snippets</t>
  </si>
  <si>
    <t>Short Film Screening</t>
  </si>
  <si>
    <t>Animatic</t>
  </si>
  <si>
    <t>Short Film</t>
  </si>
  <si>
    <t>FINALTERM GRADE</t>
  </si>
  <si>
    <t>HYBRID-FLEXIBLE LEARNING GRADE SHEET</t>
  </si>
  <si>
    <t>Unit(s):</t>
  </si>
  <si>
    <t>Day/Time:</t>
  </si>
  <si>
    <t>Course Description.:</t>
  </si>
  <si>
    <t>Room:</t>
  </si>
  <si>
    <t>Semester/School Year:</t>
  </si>
  <si>
    <t>Midterm</t>
  </si>
  <si>
    <t>Finalterm</t>
  </si>
  <si>
    <t>Final Grade</t>
  </si>
  <si>
    <t>No.</t>
  </si>
  <si>
    <t>Student No.</t>
  </si>
  <si>
    <t>Name of Students</t>
  </si>
  <si>
    <t>MTG</t>
  </si>
  <si>
    <t>FTG</t>
  </si>
  <si>
    <t>MTG(1/3)</t>
  </si>
  <si>
    <t>FTG(2/3)</t>
  </si>
  <si>
    <t>Remarks</t>
  </si>
  <si>
    <t>Passed</t>
  </si>
  <si>
    <t xml:space="preserve">         Prepared by/Date:</t>
  </si>
  <si>
    <t xml:space="preserve">          Reviewed by/Date:</t>
  </si>
  <si>
    <t xml:space="preserve">  Approved by/Date:</t>
  </si>
  <si>
    <t>Instructor</t>
  </si>
  <si>
    <t>(signature over printed name)</t>
  </si>
  <si>
    <t>Semester</t>
  </si>
  <si>
    <t>School Year</t>
  </si>
  <si>
    <t>Empty</t>
  </si>
  <si>
    <t>Failed</t>
  </si>
  <si>
    <t>2022-2023</t>
  </si>
  <si>
    <t>2nd Sem</t>
  </si>
  <si>
    <t>2023-2024</t>
  </si>
  <si>
    <t>INC</t>
  </si>
  <si>
    <t>2024-2025</t>
  </si>
  <si>
    <t>FA</t>
  </si>
  <si>
    <t>DRP</t>
  </si>
  <si>
    <t>50% Passing</t>
  </si>
  <si>
    <t>60% Passing</t>
  </si>
  <si>
    <t>FROM</t>
  </si>
  <si>
    <t>GRADE</t>
  </si>
  <si>
    <t>LEGEND</t>
  </si>
  <si>
    <t>(Score/Total)*100</t>
  </si>
  <si>
    <t>TO</t>
  </si>
  <si>
    <t>FAILED</t>
  </si>
  <si>
    <t>T205</t>
  </si>
  <si>
    <t>BA 13131</t>
  </si>
  <si>
    <t>Computer Programming  1</t>
  </si>
  <si>
    <t>Computer Programming 1</t>
  </si>
  <si>
    <t>Amparado, Kendrick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</si>
</sst>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Book Antiqua"/>
    </font>
    <font>
      <sz val="11"/>
      <color theme="1"/>
      <name val="Book Antiqua"/>
    </font>
    <font>
      <u/>
      <sz val="11"/>
      <color theme="10"/>
      <name val="Calibri"/>
    </font>
    <font>
      <b/>
      <sz val="14"/>
      <color theme="1"/>
      <name val="Calibri"/>
    </font>
    <font>
      <b/>
      <sz val="11"/>
      <color theme="1"/>
      <name val="Calibri"/>
    </font>
    <font>
      <sz val="11"/>
      <name val="Calibri"/>
    </font>
    <font>
      <u/>
      <sz val="11"/>
      <color theme="10"/>
      <name val="Calibri"/>
    </font>
    <font>
      <sz val="11"/>
      <color theme="0"/>
      <name val="Calibri"/>
    </font>
    <font>
      <sz val="11"/>
      <color rgb="FFFFFFFF"/>
      <name val="Calibri"/>
    </font>
    <font>
      <b/>
      <sz val="12"/>
      <color theme="1"/>
      <name val="Calibri"/>
    </font>
    <font>
      <sz val="11"/>
      <color theme="1"/>
      <name val="Calibri"/>
    </font>
    <font>
      <sz val="11"/>
      <color theme="1"/>
      <name val="Bookman Old Style"/>
    </font>
    <font>
      <sz val="13"/>
      <color theme="1"/>
      <name val="Calibri"/>
    </font>
    <font>
      <b/>
      <sz val="13"/>
      <color theme="1"/>
      <name val="Book Antiqua"/>
    </font>
    <font>
      <sz val="13"/>
      <color theme="1"/>
      <name val="Book Antiqua"/>
    </font>
    <font>
      <sz val="13"/>
      <color theme="1"/>
      <name val="Bookman Old Style"/>
    </font>
    <font>
      <i/>
      <sz val="10"/>
      <color theme="1"/>
      <name val="Book Antiqua"/>
    </font>
    <font>
      <sz val="8"/>
      <color theme="1"/>
      <name val="Book Antiqua"/>
    </font>
    <font>
      <b/>
      <sz val="18"/>
      <color theme="1"/>
      <name val="Calibri"/>
    </font>
    <font>
      <b/>
      <sz val="13"/>
      <color theme="1"/>
      <name val="Book Antiqua"/>
      <family val="1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66"/>
        <bgColor rgb="FFFFFF66"/>
      </patternFill>
    </fill>
    <fill>
      <patternFill patternType="solid">
        <fgColor rgb="FF92D050"/>
        <bgColor rgb="FF92D050"/>
      </patternFill>
    </fill>
    <fill>
      <patternFill patternType="solid">
        <fgColor rgb="FFCC99FF"/>
        <bgColor rgb="FFCC99FF"/>
      </patternFill>
    </fill>
    <fill>
      <patternFill patternType="solid">
        <fgColor rgb="FF660066"/>
        <bgColor rgb="FF660066"/>
      </patternFill>
    </fill>
    <fill>
      <patternFill patternType="solid">
        <fgColor rgb="FF9999FF"/>
        <bgColor rgb="FF9999FF"/>
      </patternFill>
    </fill>
    <fill>
      <patternFill patternType="solid">
        <fgColor rgb="FFFFFF99"/>
        <bgColor rgb="FFFFFF99"/>
      </patternFill>
    </fill>
    <fill>
      <patternFill patternType="solid">
        <fgColor rgb="FFC2D69B"/>
        <bgColor rgb="FFC2D69B"/>
      </patternFill>
    </fill>
    <fill>
      <patternFill patternType="solid">
        <fgColor rgb="FFE5DFEC"/>
        <bgColor rgb="FFE5DFEC"/>
      </patternFill>
    </fill>
    <fill>
      <patternFill patternType="solid">
        <fgColor rgb="FF00B050"/>
        <bgColor rgb="FF00B050"/>
      </patternFill>
    </fill>
    <fill>
      <patternFill patternType="solid">
        <fgColor theme="6"/>
        <bgColor theme="6"/>
      </patternFill>
    </fill>
  </fills>
  <borders count="7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6" fillId="0" borderId="3" xfId="0" applyFont="1" applyBorder="1"/>
    <xf numFmtId="0" fontId="1" fillId="0" borderId="3" xfId="0" applyFont="1" applyBorder="1"/>
    <xf numFmtId="0" fontId="6" fillId="2" borderId="4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center"/>
    </xf>
    <xf numFmtId="9" fontId="1" fillId="0" borderId="6" xfId="0" applyNumberFormat="1" applyFont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17" xfId="0" applyFont="1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5" borderId="14" xfId="0" applyFont="1" applyFill="1" applyBorder="1" applyAlignment="1">
      <alignment horizontal="center"/>
    </xf>
    <xf numFmtId="0" fontId="1" fillId="5" borderId="15" xfId="0" applyFont="1" applyFill="1" applyBorder="1" applyAlignment="1">
      <alignment horizontal="center"/>
    </xf>
    <xf numFmtId="0" fontId="1" fillId="5" borderId="18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 textRotation="90"/>
    </xf>
    <xf numFmtId="0" fontId="1" fillId="3" borderId="20" xfId="0" applyFont="1" applyFill="1" applyBorder="1" applyAlignment="1">
      <alignment horizontal="center" vertical="center" textRotation="90"/>
    </xf>
    <xf numFmtId="0" fontId="1" fillId="3" borderId="21" xfId="0" applyFont="1" applyFill="1" applyBorder="1" applyAlignment="1">
      <alignment horizontal="center" vertical="center" textRotation="90"/>
    </xf>
    <xf numFmtId="0" fontId="1" fillId="3" borderId="22" xfId="0" applyFont="1" applyFill="1" applyBorder="1" applyAlignment="1">
      <alignment horizontal="center" vertical="center" textRotation="90"/>
    </xf>
    <xf numFmtId="0" fontId="1" fillId="4" borderId="23" xfId="0" applyFont="1" applyFill="1" applyBorder="1" applyAlignment="1">
      <alignment horizontal="center" vertical="center" textRotation="90"/>
    </xf>
    <xf numFmtId="0" fontId="1" fillId="4" borderId="21" xfId="0" applyFont="1" applyFill="1" applyBorder="1" applyAlignment="1">
      <alignment horizontal="center" vertical="center" textRotation="90"/>
    </xf>
    <xf numFmtId="0" fontId="1" fillId="5" borderId="23" xfId="0" applyFont="1" applyFill="1" applyBorder="1" applyAlignment="1">
      <alignment horizontal="center" vertical="center" textRotation="90"/>
    </xf>
    <xf numFmtId="0" fontId="1" fillId="5" borderId="20" xfId="0" applyFont="1" applyFill="1" applyBorder="1" applyAlignment="1">
      <alignment horizontal="center" vertical="center" textRotation="90"/>
    </xf>
    <xf numFmtId="0" fontId="1" fillId="5" borderId="22" xfId="0" applyFont="1" applyFill="1" applyBorder="1" applyAlignment="1">
      <alignment horizontal="center" vertical="center" textRotation="90"/>
    </xf>
    <xf numFmtId="0" fontId="1" fillId="3" borderId="2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26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1" fillId="3" borderId="28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7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8" xfId="0" applyFont="1" applyFill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/>
    <xf numFmtId="0" fontId="1" fillId="0" borderId="29" xfId="0" applyFont="1" applyBorder="1"/>
    <xf numFmtId="0" fontId="1" fillId="0" borderId="15" xfId="0" applyFont="1" applyBorder="1" applyAlignment="1">
      <alignment horizontal="center"/>
    </xf>
    <xf numFmtId="0" fontId="1" fillId="0" borderId="18" xfId="0" applyFont="1" applyBorder="1"/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32" xfId="0" applyFont="1" applyBorder="1"/>
    <xf numFmtId="0" fontId="1" fillId="0" borderId="33" xfId="0" applyFont="1" applyBorder="1"/>
    <xf numFmtId="0" fontId="1" fillId="0" borderId="19" xfId="0" applyFont="1" applyBorder="1" applyAlignment="1">
      <alignment horizontal="center"/>
    </xf>
    <xf numFmtId="0" fontId="1" fillId="0" borderId="34" xfId="0" applyFont="1" applyBorder="1"/>
    <xf numFmtId="0" fontId="1" fillId="0" borderId="35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0" borderId="12" xfId="0" applyFont="1" applyBorder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horizontal="left"/>
    </xf>
    <xf numFmtId="0" fontId="9" fillId="6" borderId="25" xfId="0" applyFont="1" applyFill="1" applyBorder="1" applyAlignment="1">
      <alignment horizontal="center"/>
    </xf>
    <xf numFmtId="0" fontId="9" fillId="6" borderId="44" xfId="0" applyFont="1" applyFill="1" applyBorder="1" applyAlignment="1">
      <alignment horizontal="center"/>
    </xf>
    <xf numFmtId="0" fontId="9" fillId="6" borderId="28" xfId="0" applyFont="1" applyFill="1" applyBorder="1" applyAlignment="1">
      <alignment horizontal="center"/>
    </xf>
    <xf numFmtId="0" fontId="1" fillId="4" borderId="47" xfId="0" applyFont="1" applyFill="1" applyBorder="1" applyAlignment="1">
      <alignment horizontal="center"/>
    </xf>
    <xf numFmtId="9" fontId="10" fillId="6" borderId="48" xfId="0" applyNumberFormat="1" applyFont="1" applyFill="1" applyBorder="1" applyAlignment="1">
      <alignment horizontal="center"/>
    </xf>
    <xf numFmtId="9" fontId="10" fillId="6" borderId="49" xfId="0" applyNumberFormat="1" applyFont="1" applyFill="1" applyBorder="1" applyAlignment="1">
      <alignment horizontal="center"/>
    </xf>
    <xf numFmtId="9" fontId="9" fillId="6" borderId="50" xfId="0" applyNumberFormat="1" applyFont="1" applyFill="1" applyBorder="1" applyAlignment="1">
      <alignment horizontal="center"/>
    </xf>
    <xf numFmtId="2" fontId="1" fillId="7" borderId="48" xfId="0" applyNumberFormat="1" applyFont="1" applyFill="1" applyBorder="1" applyAlignment="1">
      <alignment horizontal="center"/>
    </xf>
    <xf numFmtId="2" fontId="1" fillId="7" borderId="50" xfId="0" applyNumberFormat="1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 vertical="center" textRotation="90"/>
    </xf>
    <xf numFmtId="0" fontId="1" fillId="4" borderId="19" xfId="0" applyFont="1" applyFill="1" applyBorder="1" applyAlignment="1">
      <alignment horizontal="center" vertical="center" textRotation="90"/>
    </xf>
    <xf numFmtId="0" fontId="1" fillId="4" borderId="50" xfId="0" applyFont="1" applyFill="1" applyBorder="1" applyAlignment="1">
      <alignment horizontal="left"/>
    </xf>
    <xf numFmtId="0" fontId="1" fillId="5" borderId="19" xfId="0" applyFont="1" applyFill="1" applyBorder="1" applyAlignment="1">
      <alignment horizontal="center" vertical="center" textRotation="90"/>
    </xf>
    <xf numFmtId="9" fontId="9" fillId="6" borderId="23" xfId="0" applyNumberFormat="1" applyFont="1" applyFill="1" applyBorder="1" applyAlignment="1">
      <alignment horizontal="center"/>
    </xf>
    <xf numFmtId="9" fontId="9" fillId="6" borderId="51" xfId="0" applyNumberFormat="1" applyFont="1" applyFill="1" applyBorder="1" applyAlignment="1">
      <alignment horizontal="center"/>
    </xf>
    <xf numFmtId="9" fontId="9" fillId="6" borderId="22" xfId="0" applyNumberFormat="1" applyFont="1" applyFill="1" applyBorder="1" applyAlignment="1">
      <alignment horizontal="center"/>
    </xf>
    <xf numFmtId="2" fontId="1" fillId="7" borderId="23" xfId="0" applyNumberFormat="1" applyFont="1" applyFill="1" applyBorder="1" applyAlignment="1">
      <alignment horizontal="center"/>
    </xf>
    <xf numFmtId="2" fontId="1" fillId="7" borderId="22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2" fontId="1" fillId="3" borderId="28" xfId="0" applyNumberFormat="1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1" fontId="1" fillId="4" borderId="6" xfId="0" applyNumberFormat="1" applyFont="1" applyFill="1" applyBorder="1" applyAlignment="1">
      <alignment horizontal="center"/>
    </xf>
    <xf numFmtId="2" fontId="1" fillId="4" borderId="52" xfId="0" applyNumberFormat="1" applyFont="1" applyFill="1" applyBorder="1" applyAlignment="1">
      <alignment horizontal="center"/>
    </xf>
    <xf numFmtId="0" fontId="1" fillId="5" borderId="6" xfId="0" applyFont="1" applyFill="1" applyBorder="1" applyAlignment="1">
      <alignment horizontal="center"/>
    </xf>
    <xf numFmtId="1" fontId="1" fillId="5" borderId="6" xfId="0" applyNumberFormat="1" applyFont="1" applyFill="1" applyBorder="1" applyAlignment="1">
      <alignment horizontal="center"/>
    </xf>
    <xf numFmtId="2" fontId="1" fillId="5" borderId="28" xfId="0" applyNumberFormat="1" applyFont="1" applyFill="1" applyBorder="1" applyAlignment="1">
      <alignment horizontal="center"/>
    </xf>
    <xf numFmtId="2" fontId="9" fillId="6" borderId="25" xfId="0" applyNumberFormat="1" applyFont="1" applyFill="1" applyBorder="1" applyAlignment="1">
      <alignment horizontal="center"/>
    </xf>
    <xf numFmtId="2" fontId="9" fillId="6" borderId="44" xfId="0" applyNumberFormat="1" applyFont="1" applyFill="1" applyBorder="1" applyAlignment="1">
      <alignment horizontal="center"/>
    </xf>
    <xf numFmtId="2" fontId="9" fillId="6" borderId="28" xfId="0" applyNumberFormat="1" applyFont="1" applyFill="1" applyBorder="1" applyAlignment="1">
      <alignment horizontal="center"/>
    </xf>
    <xf numFmtId="1" fontId="1" fillId="7" borderId="53" xfId="0" applyNumberFormat="1" applyFont="1" applyFill="1" applyBorder="1" applyAlignment="1">
      <alignment horizontal="center"/>
    </xf>
    <xf numFmtId="2" fontId="1" fillId="7" borderId="54" xfId="0" applyNumberFormat="1" applyFont="1" applyFill="1" applyBorder="1" applyAlignment="1">
      <alignment horizontal="center"/>
    </xf>
    <xf numFmtId="0" fontId="1" fillId="0" borderId="15" xfId="0" applyFont="1" applyBorder="1"/>
    <xf numFmtId="1" fontId="1" fillId="8" borderId="55" xfId="0" applyNumberFormat="1" applyFont="1" applyFill="1" applyBorder="1" applyAlignment="1">
      <alignment horizontal="center"/>
    </xf>
    <xf numFmtId="1" fontId="1" fillId="3" borderId="56" xfId="0" applyNumberFormat="1" applyFont="1" applyFill="1" applyBorder="1" applyAlignment="1">
      <alignment horizontal="center"/>
    </xf>
    <xf numFmtId="4" fontId="1" fillId="3" borderId="57" xfId="0" applyNumberFormat="1" applyFont="1" applyFill="1" applyBorder="1" applyAlignment="1">
      <alignment horizontal="center"/>
    </xf>
    <xf numFmtId="1" fontId="1" fillId="9" borderId="14" xfId="0" applyNumberFormat="1" applyFont="1" applyFill="1" applyBorder="1" applyAlignment="1">
      <alignment horizontal="center"/>
    </xf>
    <xf numFmtId="1" fontId="1" fillId="9" borderId="15" xfId="0" applyNumberFormat="1" applyFont="1" applyFill="1" applyBorder="1" applyAlignment="1">
      <alignment horizontal="center"/>
    </xf>
    <xf numFmtId="1" fontId="1" fillId="9" borderId="56" xfId="0" applyNumberFormat="1" applyFont="1" applyFill="1" applyBorder="1" applyAlignment="1">
      <alignment horizontal="center"/>
    </xf>
    <xf numFmtId="1" fontId="1" fillId="4" borderId="56" xfId="0" applyNumberFormat="1" applyFont="1" applyFill="1" applyBorder="1" applyAlignment="1">
      <alignment horizontal="center"/>
    </xf>
    <xf numFmtId="2" fontId="1" fillId="4" borderId="18" xfId="0" applyNumberFormat="1" applyFont="1" applyFill="1" applyBorder="1" applyAlignment="1">
      <alignment horizontal="center"/>
    </xf>
    <xf numFmtId="1" fontId="1" fillId="10" borderId="55" xfId="0" applyNumberFormat="1" applyFont="1" applyFill="1" applyBorder="1" applyAlignment="1">
      <alignment horizontal="center"/>
    </xf>
    <xf numFmtId="1" fontId="1" fillId="5" borderId="56" xfId="0" applyNumberFormat="1" applyFont="1" applyFill="1" applyBorder="1" applyAlignment="1">
      <alignment horizontal="center"/>
    </xf>
    <xf numFmtId="2" fontId="1" fillId="5" borderId="50" xfId="0" applyNumberFormat="1" applyFont="1" applyFill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18" xfId="0" applyNumberFormat="1" applyFont="1" applyBorder="1" applyAlignment="1">
      <alignment horizontal="center"/>
    </xf>
    <xf numFmtId="2" fontId="11" fillId="11" borderId="22" xfId="0" applyNumberFormat="1" applyFont="1" applyFill="1" applyBorder="1" applyAlignment="1">
      <alignment horizontal="center"/>
    </xf>
    <xf numFmtId="0" fontId="1" fillId="0" borderId="19" xfId="0" applyFont="1" applyBorder="1"/>
    <xf numFmtId="0" fontId="1" fillId="0" borderId="22" xfId="0" applyFont="1" applyBorder="1"/>
    <xf numFmtId="1" fontId="1" fillId="8" borderId="21" xfId="0" applyNumberFormat="1" applyFont="1" applyFill="1" applyBorder="1" applyAlignment="1">
      <alignment horizontal="center"/>
    </xf>
    <xf numFmtId="1" fontId="1" fillId="3" borderId="19" xfId="0" applyNumberFormat="1" applyFont="1" applyFill="1" applyBorder="1" applyAlignment="1">
      <alignment horizontal="center"/>
    </xf>
    <xf numFmtId="4" fontId="1" fillId="3" borderId="20" xfId="0" applyNumberFormat="1" applyFont="1" applyFill="1" applyBorder="1" applyAlignment="1">
      <alignment horizontal="center"/>
    </xf>
    <xf numFmtId="1" fontId="1" fillId="9" borderId="23" xfId="0" applyNumberFormat="1" applyFont="1" applyFill="1" applyBorder="1" applyAlignment="1">
      <alignment horizontal="center"/>
    </xf>
    <xf numFmtId="1" fontId="1" fillId="9" borderId="19" xfId="0" applyNumberFormat="1" applyFont="1" applyFill="1" applyBorder="1" applyAlignment="1">
      <alignment horizontal="center"/>
    </xf>
    <xf numFmtId="1" fontId="1" fillId="4" borderId="19" xfId="0" applyNumberFormat="1" applyFont="1" applyFill="1" applyBorder="1" applyAlignment="1">
      <alignment horizontal="center"/>
    </xf>
    <xf numFmtId="2" fontId="1" fillId="4" borderId="22" xfId="0" applyNumberFormat="1" applyFont="1" applyFill="1" applyBorder="1" applyAlignment="1">
      <alignment horizontal="center"/>
    </xf>
    <xf numFmtId="1" fontId="1" fillId="10" borderId="21" xfId="0" applyNumberFormat="1" applyFont="1" applyFill="1" applyBorder="1" applyAlignment="1">
      <alignment horizontal="center"/>
    </xf>
    <xf numFmtId="1" fontId="1" fillId="5" borderId="19" xfId="0" applyNumberFormat="1" applyFont="1" applyFill="1" applyBorder="1" applyAlignment="1">
      <alignment horizontal="center"/>
    </xf>
    <xf numFmtId="2" fontId="1" fillId="5" borderId="22" xfId="0" applyNumberFormat="1" applyFont="1" applyFill="1" applyBorder="1" applyAlignment="1">
      <alignment horizontal="center"/>
    </xf>
    <xf numFmtId="2" fontId="1" fillId="0" borderId="23" xfId="0" applyNumberFormat="1" applyFont="1" applyBorder="1" applyAlignment="1">
      <alignment horizontal="center"/>
    </xf>
    <xf numFmtId="2" fontId="1" fillId="0" borderId="19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0" fontId="1" fillId="0" borderId="6" xfId="0" applyFont="1" applyBorder="1"/>
    <xf numFmtId="0" fontId="1" fillId="0" borderId="28" xfId="0" applyFont="1" applyBorder="1"/>
    <xf numFmtId="1" fontId="1" fillId="9" borderId="25" xfId="0" applyNumberFormat="1" applyFont="1" applyFill="1" applyBorder="1" applyAlignment="1">
      <alignment horizontal="center"/>
    </xf>
    <xf numFmtId="1" fontId="1" fillId="9" borderId="6" xfId="0" applyNumberFormat="1" applyFont="1" applyFill="1" applyBorder="1" applyAlignment="1">
      <alignment horizontal="center"/>
    </xf>
    <xf numFmtId="2" fontId="1" fillId="0" borderId="25" xfId="0" applyNumberFormat="1" applyFont="1" applyBorder="1" applyAlignment="1">
      <alignment horizontal="center"/>
    </xf>
    <xf numFmtId="2" fontId="1" fillId="0" borderId="6" xfId="0" applyNumberFormat="1" applyFont="1" applyBorder="1" applyAlignment="1">
      <alignment horizontal="center"/>
    </xf>
    <xf numFmtId="2" fontId="1" fillId="0" borderId="28" xfId="0" applyNumberFormat="1" applyFont="1" applyBorder="1" applyAlignment="1">
      <alignment horizontal="center"/>
    </xf>
    <xf numFmtId="2" fontId="11" fillId="11" borderId="28" xfId="0" applyNumberFormat="1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2" borderId="26" xfId="0" applyFont="1" applyFill="1" applyBorder="1" applyAlignment="1">
      <alignment horizontal="center"/>
    </xf>
    <xf numFmtId="0" fontId="1" fillId="2" borderId="28" xfId="0" applyFont="1" applyFill="1" applyBorder="1" applyAlignment="1">
      <alignment horizontal="center"/>
    </xf>
    <xf numFmtId="1" fontId="1" fillId="8" borderId="17" xfId="0" applyNumberFormat="1" applyFont="1" applyFill="1" applyBorder="1" applyAlignment="1">
      <alignment horizontal="center"/>
    </xf>
    <xf numFmtId="1" fontId="1" fillId="3" borderId="15" xfId="0" applyNumberFormat="1" applyFont="1" applyFill="1" applyBorder="1" applyAlignment="1">
      <alignment horizontal="center"/>
    </xf>
    <xf numFmtId="2" fontId="1" fillId="3" borderId="16" xfId="0" applyNumberFormat="1" applyFont="1" applyFill="1" applyBorder="1" applyAlignment="1">
      <alignment horizontal="center"/>
    </xf>
    <xf numFmtId="1" fontId="1" fillId="4" borderId="15" xfId="0" applyNumberFormat="1" applyFont="1" applyFill="1" applyBorder="1" applyAlignment="1">
      <alignment horizontal="center"/>
    </xf>
    <xf numFmtId="1" fontId="1" fillId="10" borderId="17" xfId="0" applyNumberFormat="1" applyFont="1" applyFill="1" applyBorder="1" applyAlignment="1">
      <alignment horizontal="center"/>
    </xf>
    <xf numFmtId="1" fontId="1" fillId="5" borderId="15" xfId="0" applyNumberFormat="1" applyFont="1" applyFill="1" applyBorder="1" applyAlignment="1">
      <alignment horizontal="center"/>
    </xf>
    <xf numFmtId="2" fontId="1" fillId="5" borderId="18" xfId="0" applyNumberFormat="1" applyFont="1" applyFill="1" applyBorder="1" applyAlignment="1">
      <alignment horizontal="center"/>
    </xf>
    <xf numFmtId="4" fontId="1" fillId="0" borderId="15" xfId="0" applyNumberFormat="1" applyFont="1" applyBorder="1" applyAlignment="1">
      <alignment horizontal="center"/>
    </xf>
    <xf numFmtId="4" fontId="1" fillId="0" borderId="18" xfId="0" applyNumberFormat="1" applyFont="1" applyBorder="1" applyAlignment="1">
      <alignment horizontal="center"/>
    </xf>
    <xf numFmtId="4" fontId="1" fillId="0" borderId="14" xfId="0" applyNumberFormat="1" applyFont="1" applyBorder="1" applyAlignment="1">
      <alignment horizontal="center"/>
    </xf>
    <xf numFmtId="2" fontId="6" fillId="11" borderId="18" xfId="0" applyNumberFormat="1" applyFont="1" applyFill="1" applyBorder="1" applyAlignment="1">
      <alignment horizontal="center"/>
    </xf>
    <xf numFmtId="2" fontId="1" fillId="3" borderId="20" xfId="0" applyNumberFormat="1" applyFont="1" applyFill="1" applyBorder="1" applyAlignment="1">
      <alignment horizontal="center"/>
    </xf>
    <xf numFmtId="4" fontId="1" fillId="0" borderId="19" xfId="0" applyNumberFormat="1" applyFont="1" applyBorder="1" applyAlignment="1">
      <alignment horizontal="center"/>
    </xf>
    <xf numFmtId="4" fontId="1" fillId="0" borderId="22" xfId="0" applyNumberFormat="1" applyFont="1" applyBorder="1" applyAlignment="1">
      <alignment horizontal="center"/>
    </xf>
    <xf numFmtId="4" fontId="1" fillId="0" borderId="23" xfId="0" applyNumberFormat="1" applyFont="1" applyBorder="1" applyAlignment="1">
      <alignment horizontal="center"/>
    </xf>
    <xf numFmtId="2" fontId="6" fillId="11" borderId="22" xfId="0" applyNumberFormat="1" applyFont="1" applyFill="1" applyBorder="1" applyAlignment="1">
      <alignment horizontal="center"/>
    </xf>
    <xf numFmtId="4" fontId="1" fillId="0" borderId="6" xfId="0" applyNumberFormat="1" applyFont="1" applyBorder="1" applyAlignment="1">
      <alignment horizontal="center"/>
    </xf>
    <xf numFmtId="4" fontId="1" fillId="0" borderId="28" xfId="0" applyNumberFormat="1" applyFont="1" applyBorder="1" applyAlignment="1">
      <alignment horizontal="center"/>
    </xf>
    <xf numFmtId="4" fontId="1" fillId="0" borderId="25" xfId="0" applyNumberFormat="1" applyFont="1" applyBorder="1" applyAlignment="1">
      <alignment horizontal="center"/>
    </xf>
    <xf numFmtId="2" fontId="6" fillId="11" borderId="28" xfId="0" applyNumberFormat="1" applyFont="1" applyFill="1" applyBorder="1" applyAlignment="1">
      <alignment horizontal="center"/>
    </xf>
    <xf numFmtId="0" fontId="12" fillId="0" borderId="0" xfId="0" applyFont="1"/>
    <xf numFmtId="0" fontId="13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1" xfId="0" applyFont="1" applyBorder="1"/>
    <xf numFmtId="0" fontId="16" fillId="0" borderId="1" xfId="0" applyFont="1" applyBorder="1"/>
    <xf numFmtId="2" fontId="15" fillId="0" borderId="39" xfId="0" applyNumberFormat="1" applyFont="1" applyBorder="1" applyAlignment="1">
      <alignment horizontal="left" vertical="top"/>
    </xf>
    <xf numFmtId="0" fontId="16" fillId="0" borderId="0" xfId="0" applyFont="1"/>
    <xf numFmtId="0" fontId="14" fillId="0" borderId="59" xfId="0" applyFont="1" applyBorder="1"/>
    <xf numFmtId="0" fontId="15" fillId="0" borderId="2" xfId="0" applyFont="1" applyBorder="1"/>
    <xf numFmtId="0" fontId="16" fillId="0" borderId="2" xfId="0" applyFont="1" applyBorder="1"/>
    <xf numFmtId="2" fontId="15" fillId="0" borderId="39" xfId="0" applyNumberFormat="1" applyFont="1" applyBorder="1" applyAlignment="1">
      <alignment horizontal="left"/>
    </xf>
    <xf numFmtId="0" fontId="16" fillId="0" borderId="38" xfId="0" applyFont="1" applyBorder="1"/>
    <xf numFmtId="0" fontId="16" fillId="0" borderId="60" xfId="0" applyFont="1" applyBorder="1"/>
    <xf numFmtId="0" fontId="15" fillId="0" borderId="60" xfId="0" applyFont="1" applyBorder="1"/>
    <xf numFmtId="0" fontId="16" fillId="0" borderId="0" xfId="0" applyFont="1" applyAlignment="1">
      <alignment horizontal="left"/>
    </xf>
    <xf numFmtId="0" fontId="16" fillId="0" borderId="61" xfId="0" applyFont="1" applyBorder="1"/>
    <xf numFmtId="0" fontId="15" fillId="0" borderId="19" xfId="0" applyFont="1" applyBorder="1" applyAlignment="1">
      <alignment horizontal="center"/>
    </xf>
    <xf numFmtId="0" fontId="15" fillId="0" borderId="3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4" fontId="16" fillId="0" borderId="38" xfId="0" applyNumberFormat="1" applyFont="1" applyBorder="1" applyAlignment="1">
      <alignment horizontal="center"/>
    </xf>
    <xf numFmtId="4" fontId="16" fillId="0" borderId="19" xfId="0" applyNumberFormat="1" applyFont="1" applyBorder="1" applyAlignment="1">
      <alignment horizontal="center"/>
    </xf>
    <xf numFmtId="2" fontId="16" fillId="0" borderId="19" xfId="0" applyNumberFormat="1" applyFont="1" applyBorder="1" applyAlignment="1">
      <alignment horizontal="center"/>
    </xf>
    <xf numFmtId="1" fontId="16" fillId="0" borderId="19" xfId="0" applyNumberFormat="1" applyFont="1" applyBorder="1" applyAlignment="1">
      <alignment horizontal="center"/>
    </xf>
    <xf numFmtId="0" fontId="17" fillId="0" borderId="0" xfId="0" applyFont="1"/>
    <xf numFmtId="0" fontId="3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1" fillId="0" borderId="0" xfId="0" applyFont="1" applyAlignment="1">
      <alignment wrapText="1"/>
    </xf>
    <xf numFmtId="0" fontId="18" fillId="0" borderId="0" xfId="0" applyFont="1"/>
    <xf numFmtId="0" fontId="19" fillId="0" borderId="0" xfId="0" applyFont="1"/>
    <xf numFmtId="0" fontId="1" fillId="0" borderId="62" xfId="0" applyFont="1" applyBorder="1" applyAlignment="1">
      <alignment horizontal="center"/>
    </xf>
    <xf numFmtId="2" fontId="6" fillId="12" borderId="63" xfId="0" applyNumberFormat="1" applyFont="1" applyFill="1" applyBorder="1" applyAlignment="1">
      <alignment horizontal="center"/>
    </xf>
    <xf numFmtId="2" fontId="6" fillId="12" borderId="64" xfId="0" applyNumberFormat="1" applyFont="1" applyFill="1" applyBorder="1" applyAlignment="1">
      <alignment horizontal="center"/>
    </xf>
    <xf numFmtId="2" fontId="6" fillId="12" borderId="65" xfId="0" applyNumberFormat="1" applyFont="1" applyFill="1" applyBorder="1" applyAlignment="1">
      <alignment horizontal="center"/>
    </xf>
    <xf numFmtId="2" fontId="6" fillId="12" borderId="66" xfId="0" applyNumberFormat="1" applyFont="1" applyFill="1" applyBorder="1" applyAlignment="1">
      <alignment horizontal="center"/>
    </xf>
    <xf numFmtId="2" fontId="6" fillId="12" borderId="55" xfId="0" applyNumberFormat="1" applyFont="1" applyFill="1" applyBorder="1" applyAlignment="1">
      <alignment horizontal="center"/>
    </xf>
    <xf numFmtId="2" fontId="6" fillId="12" borderId="56" xfId="0" applyNumberFormat="1" applyFont="1" applyFill="1" applyBorder="1" applyAlignment="1">
      <alignment horizontal="center"/>
    </xf>
    <xf numFmtId="2" fontId="1" fillId="0" borderId="0" xfId="0" applyNumberFormat="1" applyFont="1"/>
    <xf numFmtId="2" fontId="6" fillId="0" borderId="0" xfId="0" applyNumberFormat="1" applyFont="1"/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2" fontId="6" fillId="12" borderId="67" xfId="0" applyNumberFormat="1" applyFont="1" applyFill="1" applyBorder="1" applyAlignment="1">
      <alignment horizontal="center"/>
    </xf>
    <xf numFmtId="0" fontId="1" fillId="0" borderId="32" xfId="0" applyFont="1" applyBorder="1" applyAlignment="1">
      <alignment horizontal="center"/>
    </xf>
    <xf numFmtId="2" fontId="6" fillId="12" borderId="68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/>
    </xf>
    <xf numFmtId="2" fontId="6" fillId="12" borderId="69" xfId="0" applyNumberFormat="1" applyFont="1" applyFill="1" applyBorder="1" applyAlignment="1">
      <alignment horizontal="center"/>
    </xf>
    <xf numFmtId="0" fontId="21" fillId="0" borderId="1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 vertical="top" wrapText="1"/>
    </xf>
    <xf numFmtId="0" fontId="18" fillId="0" borderId="0" xfId="0" applyFont="1" applyAlignment="1">
      <alignment horizontal="center"/>
    </xf>
    <xf numFmtId="0" fontId="16" fillId="0" borderId="39" xfId="0" applyFont="1" applyBorder="1" applyAlignment="1">
      <alignment horizontal="left"/>
    </xf>
    <xf numFmtId="0" fontId="7" fillId="0" borderId="2" xfId="0" applyFont="1" applyBorder="1"/>
    <xf numFmtId="0" fontId="7" fillId="0" borderId="38" xfId="0" applyFont="1" applyBorder="1"/>
    <xf numFmtId="4" fontId="16" fillId="0" borderId="39" xfId="0" applyNumberFormat="1" applyFont="1" applyBorder="1" applyAlignment="1">
      <alignment horizontal="center"/>
    </xf>
    <xf numFmtId="0" fontId="16" fillId="0" borderId="39" xfId="0" applyFont="1" applyBorder="1"/>
    <xf numFmtId="0" fontId="15" fillId="0" borderId="39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7" fillId="0" borderId="61" xfId="0" applyFont="1" applyBorder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7" fillId="0" borderId="1" xfId="0" applyFont="1" applyBorder="1"/>
    <xf numFmtId="0" fontId="16" fillId="0" borderId="60" xfId="0" applyFont="1" applyBorder="1"/>
    <xf numFmtId="0" fontId="7" fillId="0" borderId="35" xfId="0" applyFont="1" applyBorder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" fillId="4" borderId="8" xfId="0" applyFont="1" applyFill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7" fillId="0" borderId="3" xfId="0" applyFont="1" applyBorder="1"/>
    <xf numFmtId="0" fontId="1" fillId="5" borderId="8" xfId="0" applyFont="1" applyFill="1" applyBorder="1" applyAlignment="1">
      <alignment horizontal="center" vertical="center"/>
    </xf>
    <xf numFmtId="0" fontId="7" fillId="0" borderId="10" xfId="0" applyFont="1" applyBorder="1"/>
    <xf numFmtId="0" fontId="7" fillId="0" borderId="13" xfId="0" applyFont="1" applyBorder="1"/>
    <xf numFmtId="0" fontId="6" fillId="0" borderId="0" xfId="0" applyFont="1"/>
    <xf numFmtId="0" fontId="1" fillId="0" borderId="1" xfId="0" applyFont="1" applyBorder="1"/>
    <xf numFmtId="0" fontId="6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Alignment="1">
      <alignment horizontal="right"/>
    </xf>
    <xf numFmtId="0" fontId="1" fillId="0" borderId="3" xfId="0" applyFont="1" applyBorder="1" applyAlignment="1">
      <alignment horizontal="right"/>
    </xf>
    <xf numFmtId="0" fontId="6" fillId="0" borderId="3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6" fillId="0" borderId="3" xfId="0" applyFont="1" applyBorder="1"/>
    <xf numFmtId="0" fontId="1" fillId="0" borderId="3" xfId="0" applyFont="1" applyBorder="1"/>
    <xf numFmtId="0" fontId="1" fillId="0" borderId="7" xfId="0" applyFont="1" applyBorder="1" applyAlignment="1">
      <alignment horizontal="center" vertical="center" wrapText="1"/>
    </xf>
    <xf numFmtId="0" fontId="7" fillId="0" borderId="11" xfId="0" applyFont="1" applyBorder="1"/>
    <xf numFmtId="0" fontId="7" fillId="0" borderId="24" xfId="0" applyFont="1" applyBorder="1"/>
    <xf numFmtId="0" fontId="1" fillId="3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/>
    </xf>
    <xf numFmtId="0" fontId="5" fillId="0" borderId="0" xfId="0" applyFont="1" applyAlignment="1">
      <alignment horizontal="center"/>
    </xf>
    <xf numFmtId="164" fontId="1" fillId="5" borderId="45" xfId="0" applyNumberFormat="1" applyFont="1" applyFill="1" applyBorder="1" applyAlignment="1">
      <alignment horizontal="center"/>
    </xf>
    <xf numFmtId="0" fontId="7" fillId="0" borderId="36" xfId="0" applyFont="1" applyBorder="1"/>
    <xf numFmtId="2" fontId="1" fillId="5" borderId="46" xfId="0" applyNumberFormat="1" applyFont="1" applyFill="1" applyBorder="1" applyAlignment="1">
      <alignment horizontal="center"/>
    </xf>
    <xf numFmtId="0" fontId="7" fillId="0" borderId="34" xfId="0" applyFont="1" applyBorder="1"/>
    <xf numFmtId="0" fontId="9" fillId="6" borderId="29" xfId="0" applyFont="1" applyFill="1" applyBorder="1" applyAlignment="1">
      <alignment horizontal="center"/>
    </xf>
    <xf numFmtId="0" fontId="7" fillId="0" borderId="41" xfId="0" applyFont="1" applyBorder="1"/>
    <xf numFmtId="0" fontId="7" fillId="0" borderId="42" xfId="0" applyFont="1" applyBorder="1"/>
    <xf numFmtId="2" fontId="1" fillId="7" borderId="8" xfId="0" applyNumberFormat="1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3" borderId="40" xfId="0" applyFont="1" applyFill="1" applyBorder="1" applyAlignment="1">
      <alignment horizontal="center" vertical="center" wrapText="1"/>
    </xf>
    <xf numFmtId="0" fontId="7" fillId="0" borderId="43" xfId="0" applyFont="1" applyBorder="1"/>
    <xf numFmtId="0" fontId="1" fillId="3" borderId="45" xfId="0" applyFont="1" applyFill="1" applyBorder="1" applyAlignment="1">
      <alignment horizontal="center"/>
    </xf>
    <xf numFmtId="2" fontId="1" fillId="3" borderId="46" xfId="0" applyNumberFormat="1" applyFont="1" applyFill="1" applyBorder="1" applyAlignment="1">
      <alignment horizontal="center"/>
    </xf>
    <xf numFmtId="0" fontId="1" fillId="4" borderId="45" xfId="0" applyFont="1" applyFill="1" applyBorder="1" applyAlignment="1">
      <alignment horizontal="center"/>
    </xf>
    <xf numFmtId="0" fontId="20" fillId="0" borderId="0" xfId="0" applyFont="1" applyAlignment="1">
      <alignment horizontal="center" vertical="center"/>
    </xf>
  </cellXfs>
  <cellStyles count="1">
    <cellStyle name="Normal" xfId="0" builtinId="0"/>
  </cellStyles>
  <dxfs count="12"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B050"/>
      </font>
      <fill>
        <patternFill patternType="none"/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1562100</xdr:colOff>
      <xdr:row>0</xdr:row>
      <xdr:rowOff>152400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314325</xdr:colOff>
      <xdr:row>0</xdr:row>
      <xdr:rowOff>114300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381000</xdr:colOff>
      <xdr:row>0</xdr:row>
      <xdr:rowOff>76200</xdr:rowOff>
    </xdr:from>
    <xdr:ext cx="73342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114300</xdr:colOff>
      <xdr:row>1</xdr:row>
      <xdr:rowOff>9525</xdr:rowOff>
    </xdr:from>
    <xdr:ext cx="733425" cy="7620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781050</xdr:colOff>
      <xdr:row>29</xdr:row>
      <xdr:rowOff>0</xdr:rowOff>
    </xdr:from>
    <xdr:ext cx="304800" cy="3810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5198363" y="3594263"/>
          <a:ext cx="295275" cy="3714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85725</xdr:colOff>
      <xdr:row>0</xdr:row>
      <xdr:rowOff>142875</xdr:rowOff>
    </xdr:from>
    <xdr:ext cx="914400" cy="885825"/>
    <xdr:pic>
      <xdr:nvPicPr>
        <xdr:cNvPr id="2" name="image2.png" descr="bsu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buksu.edu.ph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www.buksu.edu.ph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buksu.edu.ph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://www.buksu.edu.ph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buksu.edu.p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AEEF3"/>
    <pageSetUpPr fitToPage="1"/>
  </sheetPr>
  <dimension ref="A1:CX317"/>
  <sheetViews>
    <sheetView topLeftCell="E10" zoomScale="79" workbookViewId="0">
      <selection activeCell="BW18" sqref="BW18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21" width="5.26953125" customWidth="1"/>
    <col min="22" max="22" width="5.81640625" customWidth="1"/>
    <col min="23" max="26" width="5.26953125" customWidth="1"/>
    <col min="27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5" width="5.54296875" customWidth="1"/>
    <col min="76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1" spans="5:102" ht="14.5">
      <c r="E1" s="1">
        <v>94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5:102" ht="14.5">
      <c r="E2" s="234" t="s">
        <v>0</v>
      </c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E3" s="235" t="s">
        <v>1</v>
      </c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E4" s="236" t="s">
        <v>2</v>
      </c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266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51" t="s">
        <v>3</v>
      </c>
      <c r="F7" s="223"/>
      <c r="G7" s="4" t="s">
        <v>131</v>
      </c>
      <c r="H7" s="5"/>
      <c r="I7" s="3" t="s">
        <v>4</v>
      </c>
      <c r="J7" s="5"/>
      <c r="K7" s="252" t="s">
        <v>5</v>
      </c>
      <c r="L7" s="238"/>
      <c r="M7" s="238"/>
      <c r="N7" s="238"/>
      <c r="O7" s="238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6"/>
      <c r="AC7" s="258"/>
      <c r="AD7" s="223"/>
      <c r="AE7" s="223"/>
      <c r="AF7" s="223"/>
      <c r="AG7" s="223"/>
      <c r="AH7" s="223"/>
      <c r="AI7" s="223"/>
      <c r="AJ7" s="223"/>
      <c r="AK7" s="223"/>
      <c r="AL7" s="223"/>
      <c r="AM7" s="223"/>
      <c r="AN7" s="223"/>
      <c r="AO7" s="223"/>
      <c r="AP7" s="223"/>
      <c r="AQ7" s="223"/>
      <c r="AR7" s="223"/>
      <c r="AS7" s="223"/>
      <c r="AT7" s="223"/>
      <c r="AU7" s="223"/>
      <c r="AV7" s="223"/>
      <c r="AW7" s="223"/>
      <c r="AX7" s="223"/>
      <c r="AY7" s="223"/>
      <c r="AZ7" s="223"/>
      <c r="BA7" s="223"/>
      <c r="BB7" s="223"/>
      <c r="BC7" s="223"/>
      <c r="BD7" s="223"/>
      <c r="BE7" s="223"/>
      <c r="BF7" s="223"/>
      <c r="BG7" s="223"/>
      <c r="BH7" s="223"/>
      <c r="BI7" s="223"/>
      <c r="BJ7" s="223"/>
      <c r="BK7" s="223"/>
      <c r="BL7" s="223"/>
      <c r="BM7" s="223"/>
      <c r="BN7" s="223"/>
      <c r="BO7" s="223"/>
      <c r="BP7" s="223"/>
      <c r="BQ7" s="5"/>
      <c r="BR7" s="5"/>
      <c r="BS7" s="5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</row>
    <row r="8" spans="5:102" ht="14.5">
      <c r="E8" s="251" t="s">
        <v>6</v>
      </c>
      <c r="F8" s="223"/>
      <c r="G8" s="7" t="s">
        <v>132</v>
      </c>
      <c r="H8" s="5"/>
      <c r="I8" s="3" t="s">
        <v>7</v>
      </c>
      <c r="J8" s="5"/>
      <c r="K8" s="252" t="s">
        <v>8</v>
      </c>
      <c r="L8" s="238"/>
      <c r="M8" s="238"/>
      <c r="N8" s="238"/>
      <c r="O8" s="238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6"/>
      <c r="AC8" s="258"/>
      <c r="AD8" s="223"/>
      <c r="AE8" s="223"/>
      <c r="AF8" s="223"/>
      <c r="AG8" s="223"/>
      <c r="AH8" s="223"/>
      <c r="AI8" s="223"/>
      <c r="AJ8" s="223"/>
      <c r="AK8" s="223"/>
      <c r="AL8" s="223"/>
      <c r="AM8" s="223"/>
      <c r="AN8" s="223"/>
      <c r="AO8" s="223"/>
      <c r="AP8" s="223"/>
      <c r="AQ8" s="223"/>
      <c r="AR8" s="223"/>
      <c r="AS8" s="223"/>
      <c r="AT8" s="223"/>
      <c r="AU8" s="223"/>
      <c r="AV8" s="223"/>
      <c r="AW8" s="223"/>
      <c r="AX8" s="223"/>
      <c r="AY8" s="223"/>
      <c r="AZ8" s="223"/>
      <c r="BA8" s="223"/>
      <c r="BB8" s="223"/>
      <c r="BC8" s="223"/>
      <c r="BD8" s="223"/>
      <c r="BE8" s="223"/>
      <c r="BF8" s="223"/>
      <c r="BG8" s="223"/>
      <c r="BH8" s="223"/>
      <c r="BI8" s="223"/>
      <c r="BJ8" s="223"/>
      <c r="BK8" s="223"/>
      <c r="BL8" s="223"/>
      <c r="BM8" s="223"/>
      <c r="BN8" s="223"/>
      <c r="BO8" s="223"/>
      <c r="BP8" s="223"/>
      <c r="BQ8" s="5"/>
      <c r="BR8" s="5"/>
      <c r="BS8" s="5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</row>
    <row r="9" spans="5:102" ht="14.5">
      <c r="E9" s="251" t="s">
        <v>9</v>
      </c>
      <c r="F9" s="223"/>
      <c r="G9" s="7" t="s">
        <v>134</v>
      </c>
      <c r="H9" s="5"/>
      <c r="I9" s="3" t="s">
        <v>10</v>
      </c>
      <c r="J9" s="5"/>
      <c r="K9" s="252" t="s">
        <v>11</v>
      </c>
      <c r="L9" s="238"/>
      <c r="M9" s="238"/>
      <c r="N9" s="238"/>
      <c r="O9" s="238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6"/>
      <c r="AC9" s="258"/>
      <c r="AD9" s="223"/>
      <c r="AE9" s="223"/>
      <c r="AF9" s="223"/>
      <c r="AG9" s="223"/>
      <c r="AH9" s="223"/>
      <c r="AI9" s="223"/>
      <c r="AJ9" s="223"/>
      <c r="AK9" s="223"/>
      <c r="AL9" s="223"/>
      <c r="AM9" s="223"/>
      <c r="AN9" s="223"/>
      <c r="AO9" s="223"/>
      <c r="AP9" s="223"/>
      <c r="AQ9" s="223"/>
      <c r="AR9" s="223"/>
      <c r="AS9" s="223"/>
      <c r="AT9" s="223"/>
      <c r="AU9" s="223"/>
      <c r="AV9" s="223"/>
      <c r="AW9" s="223"/>
      <c r="AX9" s="223"/>
      <c r="AY9" s="223"/>
      <c r="AZ9" s="223"/>
      <c r="BA9" s="223"/>
      <c r="BB9" s="223"/>
      <c r="BC9" s="223"/>
      <c r="BD9" s="223"/>
      <c r="BE9" s="223"/>
      <c r="BF9" s="223"/>
      <c r="BG9" s="223"/>
      <c r="BH9" s="223"/>
      <c r="BI9" s="223"/>
      <c r="BJ9" s="223"/>
      <c r="BK9" s="223"/>
      <c r="BL9" s="223"/>
      <c r="BM9" s="223"/>
      <c r="BN9" s="223"/>
      <c r="BO9" s="223"/>
      <c r="BP9" s="223"/>
      <c r="BQ9" s="5"/>
      <c r="BR9" s="5"/>
      <c r="BS9" s="5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</row>
    <row r="10" spans="5:102" ht="14.5">
      <c r="E10" s="251" t="s">
        <v>12</v>
      </c>
      <c r="F10" s="223"/>
      <c r="G10" s="7" t="s">
        <v>117</v>
      </c>
      <c r="H10" s="5"/>
      <c r="I10" s="3" t="s">
        <v>14</v>
      </c>
      <c r="J10" s="5"/>
      <c r="K10" s="265">
        <v>3</v>
      </c>
      <c r="L10" s="238"/>
      <c r="M10" s="238"/>
      <c r="N10" s="238"/>
      <c r="O10" s="238"/>
      <c r="P10" s="5"/>
      <c r="Q10" s="2"/>
      <c r="R10" s="6"/>
      <c r="S10" s="253" t="s">
        <v>15</v>
      </c>
      <c r="T10" s="223"/>
      <c r="U10" s="223"/>
      <c r="V10" s="265" t="s">
        <v>16</v>
      </c>
      <c r="W10" s="238"/>
      <c r="X10" s="238"/>
      <c r="Y10" s="238"/>
      <c r="Z10" s="238"/>
      <c r="AA10" s="2"/>
      <c r="AB10" s="6"/>
      <c r="AC10" s="258"/>
      <c r="AD10" s="223"/>
      <c r="AE10" s="223"/>
      <c r="AF10" s="223"/>
      <c r="AG10" s="223"/>
      <c r="AH10" s="223"/>
      <c r="AI10" s="223"/>
      <c r="AJ10" s="223"/>
      <c r="AK10" s="223"/>
      <c r="AL10" s="223"/>
      <c r="AM10" s="223"/>
      <c r="AN10" s="223"/>
      <c r="AO10" s="223"/>
      <c r="AP10" s="223"/>
      <c r="AQ10" s="223"/>
      <c r="AR10" s="223"/>
      <c r="AS10" s="223"/>
      <c r="AT10" s="223"/>
      <c r="AU10" s="223"/>
      <c r="AV10" s="223"/>
      <c r="AW10" s="223"/>
      <c r="AX10" s="223"/>
      <c r="AY10" s="223"/>
      <c r="AZ10" s="223"/>
      <c r="BA10" s="223"/>
      <c r="BB10" s="223"/>
      <c r="BC10" s="223"/>
      <c r="BD10" s="223"/>
      <c r="BE10" s="223"/>
      <c r="BF10" s="223"/>
      <c r="BG10" s="223"/>
      <c r="BH10" s="223"/>
      <c r="BI10" s="223"/>
      <c r="BJ10" s="223"/>
      <c r="BK10" s="223"/>
      <c r="BL10" s="223"/>
      <c r="BM10" s="223"/>
      <c r="BN10" s="223"/>
      <c r="BO10" s="223"/>
      <c r="BP10" s="223"/>
      <c r="BQ10" s="5"/>
      <c r="BR10" s="5"/>
      <c r="BS10" s="5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</row>
    <row r="11" spans="5:102" ht="14.5">
      <c r="E11" s="251" t="s">
        <v>17</v>
      </c>
      <c r="F11" s="223"/>
      <c r="G11" s="7" t="s">
        <v>18</v>
      </c>
      <c r="H11" s="5"/>
      <c r="I11" s="3" t="s">
        <v>19</v>
      </c>
      <c r="J11" s="5"/>
      <c r="K11" s="252" t="s">
        <v>20</v>
      </c>
      <c r="L11" s="238"/>
      <c r="M11" s="238"/>
      <c r="N11" s="238"/>
      <c r="O11" s="238"/>
      <c r="P11" s="5"/>
      <c r="Q11" s="2"/>
      <c r="R11" s="6"/>
      <c r="S11" s="253" t="s">
        <v>21</v>
      </c>
      <c r="T11" s="223"/>
      <c r="U11" s="223"/>
      <c r="V11" s="254" t="s">
        <v>22</v>
      </c>
      <c r="W11" s="227"/>
      <c r="X11" s="227"/>
      <c r="Y11" s="227"/>
      <c r="Z11" s="227"/>
      <c r="AA11" s="2"/>
      <c r="AB11" s="253"/>
      <c r="AC11" s="223"/>
      <c r="AD11" s="223"/>
      <c r="AE11" s="8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255"/>
      <c r="BR11" s="223"/>
      <c r="BS11" s="5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</row>
    <row r="12" spans="5:102" ht="14.5">
      <c r="E12" s="259" t="s">
        <v>23</v>
      </c>
      <c r="F12" s="247"/>
      <c r="G12" s="11" t="s">
        <v>24</v>
      </c>
      <c r="H12" s="5"/>
      <c r="I12" s="10" t="s">
        <v>25</v>
      </c>
      <c r="J12" s="11"/>
      <c r="K12" s="260" t="s">
        <v>26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v>0.5</v>
      </c>
      <c r="X12" s="256"/>
      <c r="Y12" s="247"/>
      <c r="Z12" s="11"/>
      <c r="AA12" s="16"/>
      <c r="AB12" s="257"/>
      <c r="AC12" s="247"/>
      <c r="AD12" s="247"/>
      <c r="AE12" s="17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256"/>
      <c r="BR12" s="247"/>
      <c r="BS12" s="11"/>
      <c r="BT12" s="16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</row>
    <row r="13" spans="5:102" ht="15" customHeight="1">
      <c r="E13" s="261" t="s">
        <v>28</v>
      </c>
      <c r="F13" s="261" t="s">
        <v>29</v>
      </c>
      <c r="G13" s="261" t="s">
        <v>30</v>
      </c>
      <c r="H13" s="264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32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33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22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94">
      <c r="E16" s="262"/>
      <c r="F16" s="262"/>
      <c r="G16" s="262"/>
      <c r="H16" s="28" t="s">
        <v>34</v>
      </c>
      <c r="I16" s="28" t="s">
        <v>35</v>
      </c>
      <c r="J16" s="28" t="s">
        <v>36</v>
      </c>
      <c r="K16" s="28"/>
      <c r="L16" s="28"/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2" t="s">
        <v>37</v>
      </c>
      <c r="BV16" s="33" t="s">
        <v>38</v>
      </c>
      <c r="BW16" s="33" t="s">
        <v>39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40</v>
      </c>
      <c r="CP16" s="34" t="s">
        <v>41</v>
      </c>
      <c r="CQ16" s="34"/>
      <c r="CR16" s="34"/>
      <c r="CS16" s="35"/>
      <c r="CT16" s="35"/>
      <c r="CU16" s="35"/>
      <c r="CV16" s="35"/>
      <c r="CW16" s="35"/>
      <c r="CX16" s="36"/>
    </row>
    <row r="17" spans="1:102" ht="14.5">
      <c r="E17" s="263"/>
      <c r="F17" s="263"/>
      <c r="G17" s="263"/>
      <c r="H17" s="37">
        <v>100</v>
      </c>
      <c r="I17" s="38">
        <v>100</v>
      </c>
      <c r="J17" s="38">
        <v>50</v>
      </c>
      <c r="K17" s="38"/>
      <c r="L17" s="38"/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2">
        <v>100</v>
      </c>
      <c r="BV17" s="43">
        <v>100</v>
      </c>
      <c r="BW17" s="43">
        <v>100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44">
        <v>50</v>
      </c>
      <c r="CQ17" s="44"/>
      <c r="CR17" s="44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v>2201102063</v>
      </c>
      <c r="G18" s="51" t="s">
        <v>135</v>
      </c>
      <c r="H18" s="52">
        <v>100</v>
      </c>
      <c r="I18" s="50">
        <v>100</v>
      </c>
      <c r="J18" s="50">
        <v>50</v>
      </c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4">
        <v>100</v>
      </c>
      <c r="BV18" s="52">
        <v>100</v>
      </c>
      <c r="BW18" s="50">
        <v>100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0">
        <v>50</v>
      </c>
      <c r="CP18" s="54">
        <v>25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v>10</v>
      </c>
      <c r="G19" s="61" t="s">
        <v>42</v>
      </c>
      <c r="H19" s="62">
        <v>50</v>
      </c>
      <c r="I19" s="63">
        <v>50</v>
      </c>
      <c r="J19" s="63">
        <v>43</v>
      </c>
      <c r="K19" s="64"/>
      <c r="L19" s="64"/>
      <c r="M19" s="64"/>
      <c r="N19" s="64"/>
      <c r="O19" s="64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5"/>
      <c r="AL19" s="66"/>
      <c r="AM19" s="60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0"/>
      <c r="BF19" s="60"/>
      <c r="BG19" s="60"/>
      <c r="BH19" s="60"/>
      <c r="BI19" s="60"/>
      <c r="BJ19" s="60"/>
      <c r="BK19" s="60"/>
      <c r="BL19" s="60"/>
      <c r="BM19" s="60"/>
      <c r="BN19" s="60"/>
      <c r="BO19" s="60"/>
      <c r="BP19" s="60"/>
      <c r="BQ19" s="60"/>
      <c r="BR19" s="60"/>
      <c r="BS19" s="60"/>
      <c r="BT19" s="65"/>
      <c r="BU19" s="67">
        <v>70</v>
      </c>
      <c r="BV19" s="66">
        <v>100</v>
      </c>
      <c r="BW19" s="60">
        <v>100</v>
      </c>
      <c r="BX19" s="60"/>
      <c r="BY19" s="60"/>
      <c r="BZ19" s="60"/>
      <c r="CA19" s="60"/>
      <c r="CB19" s="60"/>
      <c r="CC19" s="60"/>
      <c r="CD19" s="60"/>
      <c r="CE19" s="60"/>
      <c r="CF19" s="60"/>
      <c r="CG19" s="60"/>
      <c r="CH19" s="60"/>
      <c r="CI19" s="60"/>
      <c r="CJ19" s="60"/>
      <c r="CK19" s="60"/>
      <c r="CL19" s="60"/>
      <c r="CM19" s="60"/>
      <c r="CN19" s="68"/>
      <c r="CO19" s="63">
        <v>50</v>
      </c>
      <c r="CP19" s="67">
        <v>30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v>11</v>
      </c>
      <c r="G20" s="61" t="s">
        <v>43</v>
      </c>
      <c r="H20" s="66">
        <v>94</v>
      </c>
      <c r="I20" s="63">
        <v>93</v>
      </c>
      <c r="J20" s="60">
        <v>44</v>
      </c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5"/>
      <c r="AL20" s="66"/>
      <c r="AM20" s="60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0"/>
      <c r="BF20" s="60"/>
      <c r="BG20" s="60"/>
      <c r="BH20" s="60"/>
      <c r="BI20" s="60"/>
      <c r="BJ20" s="60"/>
      <c r="BK20" s="60"/>
      <c r="BL20" s="60"/>
      <c r="BM20" s="60"/>
      <c r="BN20" s="60"/>
      <c r="BO20" s="60"/>
      <c r="BP20" s="60"/>
      <c r="BQ20" s="60"/>
      <c r="BR20" s="60"/>
      <c r="BS20" s="60"/>
      <c r="BT20" s="65"/>
      <c r="BU20" s="67">
        <v>94</v>
      </c>
      <c r="BV20" s="66">
        <v>100</v>
      </c>
      <c r="BW20" s="60">
        <v>100</v>
      </c>
      <c r="BX20" s="60"/>
      <c r="BY20" s="60"/>
      <c r="BZ20" s="60"/>
      <c r="CA20" s="60"/>
      <c r="CB20" s="60"/>
      <c r="CC20" s="60"/>
      <c r="CD20" s="60"/>
      <c r="CE20" s="60"/>
      <c r="CF20" s="60"/>
      <c r="CG20" s="60"/>
      <c r="CH20" s="60"/>
      <c r="CI20" s="60"/>
      <c r="CJ20" s="60"/>
      <c r="CK20" s="60"/>
      <c r="CL20" s="60"/>
      <c r="CM20" s="60"/>
      <c r="CN20" s="68"/>
      <c r="CO20" s="63">
        <v>94</v>
      </c>
      <c r="CP20" s="67">
        <v>44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v>12</v>
      </c>
      <c r="G21" s="61" t="s">
        <v>44</v>
      </c>
      <c r="H21" s="66">
        <v>72</v>
      </c>
      <c r="I21" s="63">
        <v>60</v>
      </c>
      <c r="J21" s="60">
        <v>50</v>
      </c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5"/>
      <c r="AL21" s="66"/>
      <c r="AM21" s="60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0"/>
      <c r="BF21" s="60"/>
      <c r="BG21" s="60"/>
      <c r="BH21" s="60"/>
      <c r="BI21" s="60"/>
      <c r="BJ21" s="60"/>
      <c r="BK21" s="60"/>
      <c r="BL21" s="60"/>
      <c r="BM21" s="60"/>
      <c r="BN21" s="60"/>
      <c r="BO21" s="60"/>
      <c r="BP21" s="60"/>
      <c r="BQ21" s="60"/>
      <c r="BR21" s="60"/>
      <c r="BS21" s="60"/>
      <c r="BT21" s="65"/>
      <c r="BU21" s="67">
        <v>80</v>
      </c>
      <c r="BV21" s="66">
        <v>100</v>
      </c>
      <c r="BW21" s="60">
        <v>90</v>
      </c>
      <c r="BX21" s="60"/>
      <c r="BY21" s="60"/>
      <c r="BZ21" s="60"/>
      <c r="CA21" s="60"/>
      <c r="CB21" s="60"/>
      <c r="CC21" s="60"/>
      <c r="CD21" s="60"/>
      <c r="CE21" s="60"/>
      <c r="CF21" s="60"/>
      <c r="CG21" s="60"/>
      <c r="CH21" s="60"/>
      <c r="CI21" s="60"/>
      <c r="CJ21" s="60"/>
      <c r="CK21" s="60"/>
      <c r="CL21" s="60"/>
      <c r="CM21" s="60"/>
      <c r="CN21" s="68"/>
      <c r="CO21" s="63">
        <v>72</v>
      </c>
      <c r="CP21" s="67">
        <v>36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v>13</v>
      </c>
      <c r="G22" s="61" t="s">
        <v>45</v>
      </c>
      <c r="H22" s="62">
        <v>70</v>
      </c>
      <c r="I22" s="63">
        <v>92</v>
      </c>
      <c r="J22" s="63">
        <v>45</v>
      </c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70</v>
      </c>
      <c r="BV22" s="66">
        <v>100</v>
      </c>
      <c r="BW22" s="60">
        <v>100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3">
        <v>76</v>
      </c>
      <c r="CP22" s="67">
        <v>43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v>14</v>
      </c>
      <c r="G23" s="61" t="s">
        <v>46</v>
      </c>
      <c r="H23" s="66">
        <v>80</v>
      </c>
      <c r="I23" s="63">
        <v>94</v>
      </c>
      <c r="J23" s="60">
        <v>42</v>
      </c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5"/>
      <c r="AL23" s="66"/>
      <c r="AM23" s="60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0"/>
      <c r="BF23" s="60"/>
      <c r="BG23" s="60"/>
      <c r="BH23" s="60"/>
      <c r="BI23" s="60"/>
      <c r="BJ23" s="60"/>
      <c r="BK23" s="60"/>
      <c r="BL23" s="60"/>
      <c r="BM23" s="60"/>
      <c r="BN23" s="60"/>
      <c r="BO23" s="60"/>
      <c r="BP23" s="60"/>
      <c r="BQ23" s="60"/>
      <c r="BR23" s="60"/>
      <c r="BS23" s="60"/>
      <c r="BT23" s="65"/>
      <c r="BU23" s="67">
        <v>80</v>
      </c>
      <c r="BV23" s="60">
        <v>100</v>
      </c>
      <c r="BW23" s="60">
        <v>100</v>
      </c>
      <c r="BX23" s="60"/>
      <c r="BY23" s="60"/>
      <c r="BZ23" s="60"/>
      <c r="CA23" s="60"/>
      <c r="CB23" s="60"/>
      <c r="CC23" s="60"/>
      <c r="CD23" s="60"/>
      <c r="CE23" s="60"/>
      <c r="CF23" s="60"/>
      <c r="CG23" s="60"/>
      <c r="CH23" s="60"/>
      <c r="CI23" s="60"/>
      <c r="CJ23" s="60"/>
      <c r="CK23" s="60"/>
      <c r="CL23" s="60"/>
      <c r="CM23" s="60"/>
      <c r="CN23" s="68"/>
      <c r="CO23" s="63">
        <v>92</v>
      </c>
      <c r="CP23" s="67">
        <v>40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v>15</v>
      </c>
      <c r="G24" s="61" t="s">
        <v>47</v>
      </c>
      <c r="H24" s="66">
        <v>72</v>
      </c>
      <c r="I24" s="63">
        <v>60</v>
      </c>
      <c r="J24" s="60">
        <v>50</v>
      </c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72</v>
      </c>
      <c r="BV24" s="60">
        <v>100</v>
      </c>
      <c r="BW24" s="60">
        <v>80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3">
        <v>72</v>
      </c>
      <c r="CP24" s="67">
        <v>35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v>16</v>
      </c>
      <c r="G25" s="61" t="s">
        <v>48</v>
      </c>
      <c r="H25" s="62">
        <v>80</v>
      </c>
      <c r="I25" s="63">
        <v>94</v>
      </c>
      <c r="J25" s="63">
        <v>42</v>
      </c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5"/>
      <c r="AL25" s="66"/>
      <c r="AM25" s="60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0"/>
      <c r="BF25" s="60"/>
      <c r="BG25" s="60"/>
      <c r="BH25" s="60"/>
      <c r="BI25" s="60"/>
      <c r="BJ25" s="60"/>
      <c r="BK25" s="60"/>
      <c r="BL25" s="60"/>
      <c r="BM25" s="60"/>
      <c r="BN25" s="60"/>
      <c r="BO25" s="60"/>
      <c r="BP25" s="60"/>
      <c r="BQ25" s="60"/>
      <c r="BR25" s="60"/>
      <c r="BS25" s="60"/>
      <c r="BT25" s="65"/>
      <c r="BU25" s="67">
        <v>80</v>
      </c>
      <c r="BV25" s="60">
        <v>100</v>
      </c>
      <c r="BW25" s="60">
        <v>100</v>
      </c>
      <c r="BX25" s="60"/>
      <c r="BY25" s="60"/>
      <c r="BZ25" s="60"/>
      <c r="CA25" s="60"/>
      <c r="CB25" s="60"/>
      <c r="CC25" s="60"/>
      <c r="CD25" s="60"/>
      <c r="CE25" s="60"/>
      <c r="CF25" s="60"/>
      <c r="CG25" s="60"/>
      <c r="CH25" s="60"/>
      <c r="CI25" s="60"/>
      <c r="CJ25" s="60"/>
      <c r="CK25" s="60"/>
      <c r="CL25" s="60"/>
      <c r="CM25" s="60"/>
      <c r="CN25" s="68"/>
      <c r="CO25" s="63">
        <v>92</v>
      </c>
      <c r="CP25" s="67">
        <v>40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v>17</v>
      </c>
      <c r="G26" s="61" t="s">
        <v>49</v>
      </c>
      <c r="H26" s="66">
        <v>72</v>
      </c>
      <c r="I26" s="63">
        <v>60</v>
      </c>
      <c r="J26" s="60">
        <v>50</v>
      </c>
      <c r="K26" s="60"/>
      <c r="L26" s="60"/>
      <c r="M26" s="60"/>
      <c r="N26" s="60"/>
      <c r="O26" s="60"/>
      <c r="P26" s="60" t="s">
        <v>50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5"/>
      <c r="AL26" s="66"/>
      <c r="AM26" s="60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0"/>
      <c r="BF26" s="60"/>
      <c r="BG26" s="60"/>
      <c r="BH26" s="60"/>
      <c r="BI26" s="60"/>
      <c r="BJ26" s="60"/>
      <c r="BK26" s="60"/>
      <c r="BL26" s="60"/>
      <c r="BM26" s="60"/>
      <c r="BN26" s="60"/>
      <c r="BO26" s="60"/>
      <c r="BP26" s="60"/>
      <c r="BQ26" s="60"/>
      <c r="BR26" s="60"/>
      <c r="BS26" s="60"/>
      <c r="BT26" s="65"/>
      <c r="BU26" s="67">
        <v>72</v>
      </c>
      <c r="BV26" s="60">
        <v>100</v>
      </c>
      <c r="BW26" s="60">
        <v>75</v>
      </c>
      <c r="BX26" s="60"/>
      <c r="BY26" s="60"/>
      <c r="BZ26" s="60"/>
      <c r="CA26" s="60"/>
      <c r="CB26" s="60"/>
      <c r="CC26" s="60"/>
      <c r="CD26" s="60"/>
      <c r="CE26" s="60"/>
      <c r="CF26" s="60"/>
      <c r="CG26" s="60"/>
      <c r="CH26" s="60"/>
      <c r="CI26" s="60"/>
      <c r="CJ26" s="60"/>
      <c r="CK26" s="60"/>
      <c r="CL26" s="60"/>
      <c r="CM26" s="60"/>
      <c r="CN26" s="68"/>
      <c r="CO26" s="63">
        <v>72</v>
      </c>
      <c r="CP26" s="67">
        <v>45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v>18</v>
      </c>
      <c r="G27" s="61" t="s">
        <v>51</v>
      </c>
      <c r="H27" s="66">
        <v>72</v>
      </c>
      <c r="I27" s="63">
        <v>60</v>
      </c>
      <c r="J27" s="60">
        <v>40</v>
      </c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72</v>
      </c>
      <c r="BV27" s="60">
        <v>100</v>
      </c>
      <c r="BW27" s="60">
        <v>80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3">
        <v>72</v>
      </c>
      <c r="CP27" s="67">
        <v>33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v>19</v>
      </c>
      <c r="G28" s="61" t="s">
        <v>52</v>
      </c>
      <c r="H28" s="62">
        <v>72</v>
      </c>
      <c r="I28" s="63">
        <v>60</v>
      </c>
      <c r="J28" s="63">
        <v>50</v>
      </c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72</v>
      </c>
      <c r="BV28" s="60">
        <v>100</v>
      </c>
      <c r="BW28" s="60">
        <v>75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3">
        <v>72</v>
      </c>
      <c r="CP28" s="67">
        <v>40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v>20</v>
      </c>
      <c r="G29" s="61" t="s">
        <v>53</v>
      </c>
      <c r="H29" s="66">
        <v>72</v>
      </c>
      <c r="I29" s="60">
        <v>60</v>
      </c>
      <c r="J29" s="60">
        <v>50</v>
      </c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72</v>
      </c>
      <c r="BV29" s="60">
        <v>100</v>
      </c>
      <c r="BW29" s="60">
        <v>80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0">
        <v>72</v>
      </c>
      <c r="CP29" s="60">
        <v>40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v>21</v>
      </c>
      <c r="G30" s="61" t="s">
        <v>54</v>
      </c>
      <c r="H30" s="66">
        <v>70</v>
      </c>
      <c r="I30" s="60">
        <v>92</v>
      </c>
      <c r="J30" s="60">
        <v>45</v>
      </c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70</v>
      </c>
      <c r="BV30" s="60">
        <v>100</v>
      </c>
      <c r="BW30" s="60">
        <v>100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0">
        <v>76</v>
      </c>
      <c r="CP30" s="60">
        <v>42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v>22</v>
      </c>
      <c r="G31" s="61" t="s">
        <v>55</v>
      </c>
      <c r="H31" s="62">
        <v>94</v>
      </c>
      <c r="I31" s="63">
        <v>93</v>
      </c>
      <c r="J31" s="63">
        <v>44</v>
      </c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94</v>
      </c>
      <c r="BV31" s="60">
        <v>100</v>
      </c>
      <c r="BW31" s="60">
        <v>100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3">
        <v>94</v>
      </c>
      <c r="CP31" s="60">
        <v>38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v>23</v>
      </c>
      <c r="G32" s="61" t="s">
        <v>56</v>
      </c>
      <c r="H32" s="66">
        <v>94</v>
      </c>
      <c r="I32" s="60">
        <v>93</v>
      </c>
      <c r="J32" s="60">
        <v>44</v>
      </c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94</v>
      </c>
      <c r="BV32" s="60">
        <v>100</v>
      </c>
      <c r="BW32" s="60">
        <v>100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0">
        <v>94</v>
      </c>
      <c r="CP32" s="60">
        <v>39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v>24</v>
      </c>
      <c r="G33" s="61" t="s">
        <v>57</v>
      </c>
      <c r="H33" s="66">
        <v>72</v>
      </c>
      <c r="I33" s="60">
        <v>60</v>
      </c>
      <c r="J33" s="60">
        <v>50</v>
      </c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72</v>
      </c>
      <c r="BV33" s="60">
        <v>100</v>
      </c>
      <c r="BW33" s="60">
        <v>75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0">
        <v>72</v>
      </c>
      <c r="CP33" s="60">
        <v>41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v>25</v>
      </c>
      <c r="G34" s="61" t="s">
        <v>58</v>
      </c>
      <c r="H34" s="62">
        <v>72</v>
      </c>
      <c r="I34" s="63">
        <v>60</v>
      </c>
      <c r="J34" s="63">
        <v>0</v>
      </c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72</v>
      </c>
      <c r="BV34" s="60">
        <v>100</v>
      </c>
      <c r="BW34" s="60">
        <v>75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3">
        <v>72</v>
      </c>
      <c r="CP34" s="60">
        <v>34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v>26</v>
      </c>
      <c r="G35" s="61" t="s">
        <v>59</v>
      </c>
      <c r="H35" s="66">
        <v>80</v>
      </c>
      <c r="I35" s="60">
        <v>94</v>
      </c>
      <c r="J35" s="60">
        <v>42</v>
      </c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80</v>
      </c>
      <c r="BV35" s="60">
        <v>100</v>
      </c>
      <c r="BW35" s="60">
        <v>100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0">
        <v>92</v>
      </c>
      <c r="CP35" s="60">
        <v>47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v>27</v>
      </c>
      <c r="G36" s="61" t="s">
        <v>60</v>
      </c>
      <c r="H36" s="66">
        <v>72</v>
      </c>
      <c r="I36" s="60">
        <v>90</v>
      </c>
      <c r="J36" s="60">
        <v>50</v>
      </c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72</v>
      </c>
      <c r="BV36" s="60">
        <v>100</v>
      </c>
      <c r="BW36" s="60">
        <v>80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0">
        <v>72</v>
      </c>
      <c r="CP36" s="60">
        <v>34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v>28</v>
      </c>
      <c r="G37" s="61" t="s">
        <v>61</v>
      </c>
      <c r="H37" s="62">
        <v>70</v>
      </c>
      <c r="I37" s="63">
        <v>92</v>
      </c>
      <c r="J37" s="63">
        <v>43</v>
      </c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70</v>
      </c>
      <c r="BV37" s="60">
        <v>100</v>
      </c>
      <c r="BW37" s="60">
        <v>100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3">
        <v>76</v>
      </c>
      <c r="CP37" s="60">
        <v>45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v>29</v>
      </c>
      <c r="G38" s="61" t="s">
        <v>62</v>
      </c>
      <c r="H38" s="66">
        <v>94</v>
      </c>
      <c r="I38" s="60">
        <v>93</v>
      </c>
      <c r="J38" s="60">
        <v>44</v>
      </c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94</v>
      </c>
      <c r="BV38" s="60">
        <v>100</v>
      </c>
      <c r="BW38" s="60">
        <v>100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0">
        <v>94</v>
      </c>
      <c r="CP38" s="60">
        <v>42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v>30</v>
      </c>
      <c r="G39" s="61" t="s">
        <v>63</v>
      </c>
      <c r="H39" s="66">
        <v>94</v>
      </c>
      <c r="I39" s="60">
        <v>93</v>
      </c>
      <c r="J39" s="60">
        <v>44</v>
      </c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94</v>
      </c>
      <c r="BV39" s="60">
        <v>100</v>
      </c>
      <c r="BW39" s="60">
        <v>100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0">
        <v>94</v>
      </c>
      <c r="CP39" s="60">
        <v>44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v>31</v>
      </c>
      <c r="G40" s="61" t="s">
        <v>64</v>
      </c>
      <c r="H40" s="62">
        <v>70</v>
      </c>
      <c r="I40" s="63">
        <v>92</v>
      </c>
      <c r="J40" s="63">
        <v>50</v>
      </c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80</v>
      </c>
      <c r="BV40" s="60">
        <v>100</v>
      </c>
      <c r="BW40" s="60">
        <v>100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3">
        <v>76</v>
      </c>
      <c r="CP40" s="60">
        <v>40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/>
      <c r="G41" s="61"/>
      <c r="H41" s="66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0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/>
      <c r="G42" s="61"/>
      <c r="H42" s="66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0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/>
      <c r="G43" s="61"/>
      <c r="H43" s="62"/>
      <c r="I43" s="63"/>
      <c r="J43" s="63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3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/>
      <c r="G44" s="61"/>
      <c r="H44" s="66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0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/>
      <c r="G45" s="61"/>
      <c r="H45" s="66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0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/>
      <c r="G46" s="61"/>
      <c r="H46" s="62"/>
      <c r="I46" s="63"/>
      <c r="J46" s="63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3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/>
      <c r="G47" s="61"/>
      <c r="H47" s="66"/>
      <c r="I47" s="60"/>
      <c r="J47" s="6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0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/>
      <c r="G48" s="61"/>
      <c r="H48" s="66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/>
      <c r="G49" s="61"/>
      <c r="H49" s="62"/>
      <c r="I49" s="63"/>
      <c r="J49" s="63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/>
      <c r="G50" s="61"/>
      <c r="H50" s="66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/>
      <c r="G51" s="61"/>
      <c r="H51" s="66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/>
      <c r="G52" s="61"/>
      <c r="H52" s="62"/>
      <c r="I52" s="63"/>
      <c r="J52" s="63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/>
      <c r="G53" s="61"/>
      <c r="H53" s="66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/>
      <c r="G54" s="61"/>
      <c r="H54" s="66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/>
      <c r="G55" s="61"/>
      <c r="H55" s="62"/>
      <c r="I55" s="63"/>
      <c r="J55" s="63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/>
      <c r="G56" s="61"/>
      <c r="H56" s="66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/>
      <c r="G57" s="61"/>
      <c r="H57" s="66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/>
      <c r="G58" s="61"/>
      <c r="H58" s="62"/>
      <c r="I58" s="63"/>
      <c r="J58" s="63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/>
      <c r="G59" s="61"/>
      <c r="H59" s="66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/>
      <c r="G60" s="61"/>
      <c r="H60" s="66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/>
      <c r="G61" s="61"/>
      <c r="H61" s="62"/>
      <c r="I61" s="63"/>
      <c r="J61" s="63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/>
      <c r="G62" s="61"/>
      <c r="H62" s="66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/>
      <c r="G63" s="61"/>
      <c r="H63" s="66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/>
      <c r="G64" s="61"/>
      <c r="H64" s="62"/>
      <c r="I64" s="63"/>
      <c r="J64" s="63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5"/>
      <c r="AL64" s="66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/>
      <c r="G65" s="61"/>
      <c r="H65" s="66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5"/>
      <c r="AL65" s="66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/>
      <c r="G66" s="61"/>
      <c r="H66" s="66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5"/>
      <c r="AL66" s="66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/>
      <c r="G67" s="61"/>
      <c r="H67" s="62"/>
      <c r="I67" s="63"/>
      <c r="J67" s="63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/>
      <c r="G68" s="61"/>
      <c r="H68" s="66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/>
      <c r="G69" s="61"/>
      <c r="H69" s="66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/>
      <c r="G70" s="61"/>
      <c r="H70" s="62"/>
      <c r="I70" s="63"/>
      <c r="J70" s="63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/>
      <c r="G71" s="61"/>
      <c r="H71" s="66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/>
      <c r="G72" s="61"/>
      <c r="H72" s="66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/>
      <c r="G73" s="61"/>
      <c r="H73" s="62"/>
      <c r="I73" s="63"/>
      <c r="J73" s="63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/>
      <c r="G74" s="61"/>
      <c r="H74" s="66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/>
      <c r="G75" s="61"/>
      <c r="H75" s="66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/>
      <c r="G76" s="61"/>
      <c r="H76" s="62"/>
      <c r="I76" s="63"/>
      <c r="J76" s="63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/>
      <c r="G77" s="61"/>
      <c r="H77" s="66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/>
      <c r="G78" s="61"/>
      <c r="H78" s="66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/>
      <c r="G79" s="61"/>
      <c r="H79" s="62"/>
      <c r="I79" s="63"/>
      <c r="J79" s="63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/>
      <c r="G80" s="61"/>
      <c r="H80" s="66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/>
      <c r="G81" s="61"/>
      <c r="H81" s="66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/>
      <c r="G82" s="61"/>
      <c r="H82" s="62"/>
      <c r="I82" s="63"/>
      <c r="J82" s="63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/>
      <c r="G83" s="61"/>
      <c r="H83" s="66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/>
      <c r="G84" s="61"/>
      <c r="H84" s="66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/>
      <c r="G85" s="61"/>
      <c r="H85" s="62"/>
      <c r="I85" s="63"/>
      <c r="J85" s="63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/>
      <c r="G86" s="61"/>
      <c r="H86" s="66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/>
      <c r="G87" s="61"/>
      <c r="H87" s="66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E88" s="59">
        <v>71</v>
      </c>
      <c r="F88" s="60"/>
      <c r="G88" s="61"/>
      <c r="H88" s="62"/>
      <c r="I88" s="63"/>
      <c r="J88" s="63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.75" hidden="1" customHeight="1">
      <c r="E89" s="59">
        <v>72</v>
      </c>
      <c r="F89" s="60"/>
      <c r="G89" s="61"/>
      <c r="H89" s="66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.75" hidden="1" customHeight="1">
      <c r="E90" s="59">
        <v>73</v>
      </c>
      <c r="F90" s="60"/>
      <c r="G90" s="61"/>
      <c r="H90" s="66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.75" hidden="1" customHeight="1">
      <c r="E91" s="59">
        <v>74</v>
      </c>
      <c r="F91" s="60"/>
      <c r="G91" s="61"/>
      <c r="H91" s="62"/>
      <c r="I91" s="63"/>
      <c r="J91" s="63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.75" hidden="1" customHeight="1">
      <c r="E92" s="59">
        <v>75</v>
      </c>
      <c r="F92" s="60"/>
      <c r="G92" s="61"/>
      <c r="H92" s="66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.75" hidden="1" customHeight="1">
      <c r="E93" s="59">
        <v>76</v>
      </c>
      <c r="F93" s="60"/>
      <c r="G93" s="61"/>
      <c r="H93" s="66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.75" hidden="1" customHeight="1">
      <c r="E94" s="59">
        <v>77</v>
      </c>
      <c r="F94" s="60"/>
      <c r="G94" s="61"/>
      <c r="H94" s="62"/>
      <c r="I94" s="63"/>
      <c r="J94" s="63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.75" hidden="1" customHeight="1">
      <c r="E95" s="59">
        <v>78</v>
      </c>
      <c r="F95" s="60"/>
      <c r="G95" s="61"/>
      <c r="H95" s="66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.75" hidden="1" customHeight="1">
      <c r="E96" s="59">
        <v>79</v>
      </c>
      <c r="F96" s="60"/>
      <c r="G96" s="61"/>
      <c r="H96" s="66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5:102" ht="15.75" hidden="1" customHeight="1">
      <c r="E97" s="59">
        <v>80</v>
      </c>
      <c r="F97" s="60"/>
      <c r="G97" s="61"/>
      <c r="H97" s="62"/>
      <c r="I97" s="63"/>
      <c r="J97" s="63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5:102" ht="15.75" hidden="1" customHeight="1">
      <c r="E98" s="59">
        <v>81</v>
      </c>
      <c r="F98" s="60"/>
      <c r="G98" s="61"/>
      <c r="H98" s="66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5:102" ht="15.75" hidden="1" customHeight="1">
      <c r="E99" s="59">
        <v>82</v>
      </c>
      <c r="F99" s="60"/>
      <c r="G99" s="61"/>
      <c r="H99" s="66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5:102" ht="15.75" hidden="1" customHeight="1">
      <c r="E100" s="59">
        <v>83</v>
      </c>
      <c r="F100" s="60"/>
      <c r="G100" s="61"/>
      <c r="H100" s="62"/>
      <c r="I100" s="63"/>
      <c r="J100" s="63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5:102" ht="15.75" hidden="1" customHeight="1">
      <c r="E101" s="59">
        <v>84</v>
      </c>
      <c r="F101" s="60"/>
      <c r="G101" s="61"/>
      <c r="H101" s="66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5:102" ht="15.75" hidden="1" customHeight="1">
      <c r="E102" s="59">
        <v>85</v>
      </c>
      <c r="F102" s="60"/>
      <c r="G102" s="61"/>
      <c r="H102" s="66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5:102" ht="15.75" hidden="1" customHeight="1">
      <c r="E103" s="59">
        <v>86</v>
      </c>
      <c r="F103" s="60"/>
      <c r="G103" s="61"/>
      <c r="H103" s="62"/>
      <c r="I103" s="63"/>
      <c r="J103" s="63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5:102" ht="15.75" hidden="1" customHeight="1">
      <c r="E104" s="59">
        <v>87</v>
      </c>
      <c r="F104" s="60"/>
      <c r="G104" s="61"/>
      <c r="H104" s="66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5:102" ht="15.75" hidden="1" customHeight="1">
      <c r="E105" s="59">
        <v>88</v>
      </c>
      <c r="F105" s="60"/>
      <c r="G105" s="61"/>
      <c r="H105" s="66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5:102" ht="15.75" hidden="1" customHeight="1">
      <c r="E106" s="59">
        <v>89</v>
      </c>
      <c r="F106" s="60"/>
      <c r="G106" s="61"/>
      <c r="H106" s="62"/>
      <c r="I106" s="63"/>
      <c r="J106" s="63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5:102" ht="15.75" hidden="1" customHeight="1">
      <c r="E107" s="59">
        <v>90</v>
      </c>
      <c r="F107" s="60"/>
      <c r="G107" s="61"/>
      <c r="H107" s="66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5:102" ht="15.75" hidden="1" customHeight="1">
      <c r="E108" s="59">
        <v>91</v>
      </c>
      <c r="F108" s="60"/>
      <c r="G108" s="61"/>
      <c r="H108" s="66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5:102" ht="15.75" hidden="1" customHeight="1">
      <c r="E109" s="59">
        <v>92</v>
      </c>
      <c r="F109" s="60"/>
      <c r="G109" s="61"/>
      <c r="H109" s="62"/>
      <c r="I109" s="63"/>
      <c r="J109" s="63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5:102" ht="15.75" hidden="1" customHeight="1">
      <c r="E110" s="59">
        <v>93</v>
      </c>
      <c r="F110" s="60"/>
      <c r="G110" s="61"/>
      <c r="H110" s="66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5:102" ht="15.75" hidden="1" customHeight="1">
      <c r="E111" s="59">
        <v>94</v>
      </c>
      <c r="F111" s="60"/>
      <c r="G111" s="61"/>
      <c r="H111" s="66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5:102" ht="15.75" hidden="1" customHeight="1">
      <c r="E112" s="59">
        <v>95</v>
      </c>
      <c r="F112" s="60"/>
      <c r="G112" s="61"/>
      <c r="H112" s="62"/>
      <c r="I112" s="63"/>
      <c r="J112" s="63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5:102" ht="15.75" hidden="1" customHeight="1">
      <c r="E113" s="59">
        <v>96</v>
      </c>
      <c r="F113" s="60"/>
      <c r="G113" s="61"/>
      <c r="H113" s="66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5:102" ht="15.75" hidden="1" customHeight="1">
      <c r="E114" s="59">
        <v>97</v>
      </c>
      <c r="F114" s="60"/>
      <c r="G114" s="61"/>
      <c r="H114" s="66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5:102" ht="15.75" hidden="1" customHeight="1">
      <c r="E115" s="59">
        <v>98</v>
      </c>
      <c r="F115" s="60"/>
      <c r="G115" s="61"/>
      <c r="H115" s="62"/>
      <c r="I115" s="63"/>
      <c r="J115" s="63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5:102" ht="15.75" hidden="1" customHeight="1">
      <c r="E116" s="59">
        <v>99</v>
      </c>
      <c r="F116" s="60"/>
      <c r="G116" s="61"/>
      <c r="H116" s="66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5:102" ht="15.75" hidden="1" customHeight="1">
      <c r="E117" s="59">
        <v>100</v>
      </c>
      <c r="F117" s="60"/>
      <c r="G117" s="61"/>
      <c r="H117" s="66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60"/>
      <c r="AB117" s="60"/>
      <c r="AC117" s="60"/>
      <c r="AD117" s="60"/>
      <c r="AE117" s="60"/>
      <c r="AF117" s="60"/>
      <c r="AG117" s="60"/>
      <c r="AH117" s="60"/>
      <c r="AI117" s="60"/>
      <c r="AJ117" s="60"/>
      <c r="AK117" s="60"/>
      <c r="AL117" s="60"/>
      <c r="AM117" s="60"/>
      <c r="AN117" s="60"/>
      <c r="AO117" s="60"/>
      <c r="AP117" s="60"/>
      <c r="AQ117" s="60"/>
      <c r="AR117" s="60"/>
      <c r="AS117" s="60"/>
      <c r="AT117" s="60"/>
      <c r="AU117" s="60"/>
      <c r="AV117" s="60"/>
      <c r="AW117" s="60"/>
      <c r="AX117" s="60"/>
      <c r="AY117" s="60"/>
      <c r="AZ117" s="60"/>
      <c r="BA117" s="60"/>
      <c r="BB117" s="60"/>
      <c r="BC117" s="60"/>
      <c r="BD117" s="60"/>
      <c r="BE117" s="60"/>
      <c r="BF117" s="60"/>
      <c r="BG117" s="60"/>
      <c r="BH117" s="60"/>
      <c r="BI117" s="60"/>
      <c r="BJ117" s="60"/>
      <c r="BK117" s="60"/>
      <c r="BL117" s="60"/>
      <c r="BM117" s="60"/>
      <c r="BN117" s="60"/>
      <c r="BO117" s="60"/>
      <c r="BP117" s="60"/>
      <c r="BQ117" s="60"/>
      <c r="BR117" s="60"/>
      <c r="BS117" s="60"/>
      <c r="BT117" s="65"/>
      <c r="BU117" s="67"/>
      <c r="BV117" s="60"/>
      <c r="BW117" s="60"/>
      <c r="BX117" s="60"/>
      <c r="BY117" s="60"/>
      <c r="BZ117" s="60"/>
      <c r="CA117" s="60"/>
      <c r="CB117" s="60"/>
      <c r="CC117" s="60"/>
      <c r="CD117" s="60"/>
      <c r="CE117" s="60"/>
      <c r="CF117" s="60"/>
      <c r="CG117" s="60"/>
      <c r="CH117" s="60"/>
      <c r="CI117" s="60"/>
      <c r="CJ117" s="60"/>
      <c r="CK117" s="60"/>
      <c r="CL117" s="60"/>
      <c r="CM117" s="60"/>
      <c r="CN117" s="68"/>
      <c r="CO117" s="67"/>
      <c r="CP117" s="60"/>
      <c r="CQ117" s="60"/>
      <c r="CR117" s="60"/>
      <c r="CS117" s="68"/>
      <c r="CT117" s="69"/>
      <c r="CU117" s="69"/>
      <c r="CV117" s="69"/>
      <c r="CW117" s="69"/>
      <c r="CX117" s="70"/>
    </row>
    <row r="118" spans="5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5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5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5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5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5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5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5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5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5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5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38">
    <mergeCell ref="E2:CX2"/>
    <mergeCell ref="E3:CX3"/>
    <mergeCell ref="E4:CX4"/>
    <mergeCell ref="E6:CX6"/>
    <mergeCell ref="K7:O7"/>
    <mergeCell ref="S7:W7"/>
    <mergeCell ref="AC7:BP7"/>
    <mergeCell ref="E7:F7"/>
    <mergeCell ref="AC8:BP8"/>
    <mergeCell ref="AC9:BP9"/>
    <mergeCell ref="AC10:BP10"/>
    <mergeCell ref="K9:O9"/>
    <mergeCell ref="K10:O10"/>
    <mergeCell ref="S10:U10"/>
    <mergeCell ref="V10:Z10"/>
    <mergeCell ref="E10:F10"/>
    <mergeCell ref="E12:F12"/>
    <mergeCell ref="K12:O12"/>
    <mergeCell ref="E13:E17"/>
    <mergeCell ref="F13:F17"/>
    <mergeCell ref="G13:G17"/>
    <mergeCell ref="H13:BT14"/>
    <mergeCell ref="E8:F8"/>
    <mergeCell ref="K8:O8"/>
    <mergeCell ref="S8:W8"/>
    <mergeCell ref="E9:F9"/>
    <mergeCell ref="S9:W9"/>
    <mergeCell ref="BU13:CN14"/>
    <mergeCell ref="CO13:CX14"/>
    <mergeCell ref="E11:F11"/>
    <mergeCell ref="K11:O11"/>
    <mergeCell ref="S11:U11"/>
    <mergeCell ref="V11:Z11"/>
    <mergeCell ref="AB11:AD11"/>
    <mergeCell ref="BQ11:BR11"/>
    <mergeCell ref="BQ12:BR12"/>
    <mergeCell ref="X12:Y12"/>
    <mergeCell ref="AB12:AD12"/>
  </mergeCells>
  <conditionalFormatting sqref="K18:CO87 CS18:CX87 H18:J117 CP19:CR87">
    <cfRule type="cellIs" dxfId="11" priority="1" operator="equal">
      <formula>""</formula>
    </cfRule>
  </conditionalFormatting>
  <conditionalFormatting sqref="K88:CX117">
    <cfRule type="cellIs" dxfId="10" priority="10" operator="equal">
      <formula>""</formula>
    </cfRule>
  </conditionalFormatting>
  <conditionalFormatting sqref="CP18:CP22">
    <cfRule type="cellIs" dxfId="9" priority="2" operator="equal">
      <formula>""</formula>
    </cfRule>
  </conditionalFormatting>
  <conditionalFormatting sqref="CQ18:CR18">
    <cfRule type="cellIs" dxfId="8" priority="3" operator="equal">
      <formula>""</formula>
    </cfRule>
  </conditionalFormatting>
  <hyperlinks>
    <hyperlink ref="E4" r:id="rId1" xr:uid="{00000000-0004-0000-00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2:DI317"/>
  <sheetViews>
    <sheetView showGridLines="0" topLeftCell="E1" zoomScale="90" zoomScaleNormal="100" workbookViewId="0">
      <selection activeCell="I19" sqref="I19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53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 ht="14.5">
      <c r="E8" s="253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 ht="14.5">
      <c r="E9" s="253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6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28</v>
      </c>
      <c r="F13" s="261" t="s">
        <v>29</v>
      </c>
      <c r="G13" s="261" t="s">
        <v>30</v>
      </c>
      <c r="H13" s="277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32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33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71" t="s">
        <v>67</v>
      </c>
      <c r="DF13" s="272"/>
      <c r="DG13" s="273"/>
      <c r="DH13" s="274" t="s">
        <v>68</v>
      </c>
      <c r="DI13" s="249"/>
    </row>
    <row r="14" spans="5:113" ht="15" customHeight="1">
      <c r="E14" s="262"/>
      <c r="F14" s="262"/>
      <c r="G14" s="262"/>
      <c r="H14" s="278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69</v>
      </c>
      <c r="DF14" s="78" t="s">
        <v>70</v>
      </c>
      <c r="DG14" s="79" t="s">
        <v>71</v>
      </c>
      <c r="DH14" s="246"/>
      <c r="DI14" s="250"/>
    </row>
    <row r="15" spans="5:113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9" t="s">
        <v>72</v>
      </c>
      <c r="BV15" s="280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1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7" t="s">
        <v>72</v>
      </c>
      <c r="DD15" s="269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62"/>
      <c r="F16" s="262"/>
      <c r="G16" s="262"/>
      <c r="H16" s="86" t="str">
        <f>IF('Midterm OVPAA-F-INS-055A RAW SC'!H16="","",'Midterm OVPAA-F-INS-055A RAW SC'!H16)</f>
        <v>Short Film Proposal</v>
      </c>
      <c r="I16" s="28" t="str">
        <f>IF('Midterm OVPAA-F-INS-055A RAW SC'!I16="","",'Midterm OVPAA-F-INS-055A RAW SC'!I16)</f>
        <v>Storyboard</v>
      </c>
      <c r="J16" s="28" t="str">
        <f>IF('Midterm OVPAA-F-INS-055A RAW SC'!J16="","",'Midterm OVPAA-F-INS-055A RAW SC'!J16)</f>
        <v>Long Quiz</v>
      </c>
      <c r="K16" s="28" t="str">
        <f>IF('Midterm OVPAA-F-INS-055A RAW SC'!K16="","",'Midterm OVPAA-F-INS-055A RAW SC'!K16)</f>
        <v/>
      </c>
      <c r="L16" s="28" t="str">
        <f>IF('Midterm OVPAA-F-INS-055A RAW SC'!L16="","",'Midterm OVPAA-F-INS-055A RAW SC'!L16)</f>
        <v/>
      </c>
      <c r="M16" s="28" t="str">
        <f>IF('Midterm OVPAA-F-INS-055A RAW SC'!M16="","",'Midterm OVPAA-F-INS-055A RAW SC'!M16)</f>
        <v/>
      </c>
      <c r="N16" s="28" t="str">
        <f>IF('Midterm OVPAA-F-INS-055A RAW SC'!N16="","",'Midterm OVPAA-F-INS-055A RAW SC'!N16)</f>
        <v/>
      </c>
      <c r="O16" s="28" t="str">
        <f>IF('Midterm OVPAA-F-INS-055A RAW SC'!O16="","",'Midterm OVPAA-F-INS-055A RAW SC'!O16)</f>
        <v/>
      </c>
      <c r="P16" s="28" t="str">
        <f>IF('Midterm OVPAA-F-INS-055A RAW SC'!P16="","",'Midterm OVPAA-F-INS-055A RAW SC'!P16)</f>
        <v/>
      </c>
      <c r="Q16" s="28" t="str">
        <f>IF('Midterm OVPAA-F-INS-055A RAW SC'!Q16="","",'Midterm OVPAA-F-INS-055A RAW SC'!Q16)</f>
        <v/>
      </c>
      <c r="R16" s="28" t="str">
        <f>IF('Midterm OVPAA-F-INS-055A RAW SC'!R16="","",'Midterm OVPAA-F-INS-055A RAW SC'!R16)</f>
        <v/>
      </c>
      <c r="S16" s="28" t="str">
        <f>IF('Midterm OVPAA-F-INS-055A RAW SC'!S16="","",'Midterm OVPAA-F-INS-055A RAW SC'!S16)</f>
        <v/>
      </c>
      <c r="T16" s="28" t="str">
        <f>IF('Midterm OVPAA-F-INS-055A RAW SC'!T16="","",'Midterm OVPAA-F-INS-055A RAW SC'!T16)</f>
        <v/>
      </c>
      <c r="U16" s="28" t="str">
        <f>IF('Midterm OVPAA-F-INS-055A RAW SC'!U16="","",'Midterm OVPAA-F-INS-055A RAW SC'!U16)</f>
        <v/>
      </c>
      <c r="V16" s="28" t="str">
        <f>IF('Midterm OVPAA-F-INS-055A RAW SC'!V16="","",'Midterm OVPAA-F-INS-055A RAW SC'!V16)</f>
        <v/>
      </c>
      <c r="W16" s="28" t="str">
        <f>IF('Midterm OVPAA-F-INS-055A RAW SC'!W16="","",'Midterm OVPAA-F-INS-055A RAW SC'!W16)</f>
        <v/>
      </c>
      <c r="X16" s="28" t="str">
        <f>IF('Midterm OVPAA-F-INS-055A RAW SC'!X16="","",'Midterm OVPAA-F-INS-055A RAW SC'!X16)</f>
        <v/>
      </c>
      <c r="Y16" s="28" t="str">
        <f>IF('Midterm OVPAA-F-INS-055A RAW SC'!Y16="","",'Midterm OVPAA-F-INS-055A RAW SC'!Y16)</f>
        <v/>
      </c>
      <c r="Z16" s="28" t="str">
        <f>IF('Midterm OVPAA-F-INS-055A RAW SC'!Z16="","",'Midterm OVPAA-F-INS-055A RAW SC'!Z16)</f>
        <v/>
      </c>
      <c r="AA16" s="28" t="str">
        <f>IF('Midterm OVPAA-F-INS-055A RAW SC'!AA16="","",'Midterm OVPAA-F-INS-055A RAW SC'!AA16)</f>
        <v/>
      </c>
      <c r="AB16" s="28" t="str">
        <f>IF('Midterm OVPAA-F-INS-055A RAW SC'!AB16="","",'Midterm OVPAA-F-INS-055A RAW SC'!AB16)</f>
        <v/>
      </c>
      <c r="AC16" s="28" t="str">
        <f>IF('Midterm OVPAA-F-INS-055A RAW SC'!AC16="","",'Midterm OVPAA-F-INS-055A RAW SC'!AC16)</f>
        <v/>
      </c>
      <c r="AD16" s="28" t="str">
        <f>IF('Midterm OVPAA-F-INS-055A RAW SC'!AD16="","",'Midterm OVPAA-F-INS-055A RAW SC'!AD16)</f>
        <v/>
      </c>
      <c r="AE16" s="28" t="str">
        <f>IF('Midterm OVPAA-F-INS-055A RAW SC'!AE16="","",'Midterm OVPAA-F-INS-055A RAW SC'!AE16)</f>
        <v/>
      </c>
      <c r="AF16" s="28" t="str">
        <f>IF('Midterm OVPAA-F-INS-055A RAW SC'!AF16="","",'Midterm OVPAA-F-INS-055A RAW SC'!AF16)</f>
        <v/>
      </c>
      <c r="AG16" s="28" t="str">
        <f>IF('Midterm OVPAA-F-INS-055A RAW SC'!AG16="","",'Midterm OVPAA-F-INS-055A RAW SC'!AG16)</f>
        <v/>
      </c>
      <c r="AH16" s="28" t="str">
        <f>IF('Midterm OVPAA-F-INS-055A RAW SC'!AH16="","",'Midterm OVPAA-F-INS-055A RAW SC'!AH16)</f>
        <v/>
      </c>
      <c r="AI16" s="28" t="str">
        <f>IF('Midterm OVPAA-F-INS-055A RAW SC'!AI16="","",'Midterm OVPAA-F-INS-055A RAW SC'!AI16)</f>
        <v/>
      </c>
      <c r="AJ16" s="28" t="str">
        <f>IF('Midterm OVPAA-F-INS-055A RAW SC'!AJ16="","",'Midterm OVPAA-F-INS-055A RAW SC'!AJ16)</f>
        <v/>
      </c>
      <c r="AK16" s="28" t="str">
        <f>IF('Midterm OVPAA-F-INS-055A RAW SC'!AK16="","",'Midterm OVPAA-F-INS-055A RAW SC'!AK16)</f>
        <v/>
      </c>
      <c r="AL16" s="28" t="str">
        <f>IF('Midterm OVPAA-F-INS-055A RAW SC'!AL16="","",'Midterm OVPAA-F-INS-055A RAW SC'!AL16)</f>
        <v/>
      </c>
      <c r="AM16" s="28" t="str">
        <f>IF('Midterm OVPAA-F-INS-055A RAW SC'!AM16="","",'Midterm OVPAA-F-INS-055A RAW SC'!AM16)</f>
        <v/>
      </c>
      <c r="AN16" s="28" t="str">
        <f>IF('Midterm OVPAA-F-INS-055A RAW SC'!AN16="","",'Midterm OVPAA-F-INS-055A RAW SC'!AN16)</f>
        <v/>
      </c>
      <c r="AO16" s="28" t="str">
        <f>IF('Midterm OVPAA-F-INS-055A RAW SC'!AO16="","",'Midterm OVPAA-F-INS-055A RAW SC'!AO16)</f>
        <v/>
      </c>
      <c r="AP16" s="28" t="str">
        <f>IF('Midterm OVPAA-F-INS-055A RAW SC'!AP16="","",'Midterm OVPAA-F-INS-055A RAW SC'!AP16)</f>
        <v/>
      </c>
      <c r="AQ16" s="28" t="str">
        <f>IF('Midterm OVPAA-F-INS-055A RAW SC'!AQ16="","",'Midterm OVPAA-F-INS-055A RAW SC'!AQ16)</f>
        <v/>
      </c>
      <c r="AR16" s="28" t="str">
        <f>IF('Midterm OVPAA-F-INS-055A RAW SC'!AR16="","",'Midterm OVPAA-F-INS-055A RAW SC'!AR16)</f>
        <v/>
      </c>
      <c r="AS16" s="28" t="str">
        <f>IF('Midterm OVPAA-F-INS-055A RAW SC'!AS16="","",'Midterm OVPAA-F-INS-055A RAW SC'!AS16)</f>
        <v/>
      </c>
      <c r="AT16" s="28" t="str">
        <f>IF('Midterm OVPAA-F-INS-055A RAW SC'!AT16="","",'Midterm OVPAA-F-INS-055A RAW SC'!AT16)</f>
        <v/>
      </c>
      <c r="AU16" s="28" t="str">
        <f>IF('Midterm OVPAA-F-INS-055A RAW SC'!AU16="","",'Midterm OVPAA-F-INS-055A RAW SC'!AU16)</f>
        <v/>
      </c>
      <c r="AV16" s="28" t="str">
        <f>IF('Midterm OVPAA-F-INS-055A RAW SC'!AV16="","",'Midterm OVPAA-F-INS-055A RAW SC'!AV16)</f>
        <v/>
      </c>
      <c r="AW16" s="28" t="str">
        <f>IF('Midterm OVPAA-F-INS-055A RAW SC'!AW16="","",'Midterm OVPAA-F-INS-055A RAW SC'!AW16)</f>
        <v/>
      </c>
      <c r="AX16" s="28" t="str">
        <f>IF('Midterm OVPAA-F-INS-055A RAW SC'!AX16="","",'Midterm OVPAA-F-INS-055A RAW SC'!AX16)</f>
        <v/>
      </c>
      <c r="AY16" s="28" t="str">
        <f>IF('Midterm OVPAA-F-INS-055A RAW SC'!AY16="","",'Midterm OVPAA-F-INS-055A RAW SC'!AY16)</f>
        <v/>
      </c>
      <c r="AZ16" s="28" t="str">
        <f>IF('Midterm OVPAA-F-INS-055A RAW SC'!AZ16="","",'Midterm OVPAA-F-INS-055A RAW SC'!AZ16)</f>
        <v/>
      </c>
      <c r="BA16" s="28" t="str">
        <f>IF('Midterm OVPAA-F-INS-055A RAW SC'!BA16="","",'Midterm OVPAA-F-INS-055A RAW SC'!BA16)</f>
        <v/>
      </c>
      <c r="BB16" s="28" t="str">
        <f>IF('Midterm OVPAA-F-INS-055A RAW SC'!BB16="","",'Midterm OVPAA-F-INS-055A RAW SC'!BB16)</f>
        <v/>
      </c>
      <c r="BC16" s="28" t="str">
        <f>IF('Midterm OVPAA-F-INS-055A RAW SC'!BC16="","",'Midterm OVPAA-F-INS-055A RAW SC'!BC16)</f>
        <v/>
      </c>
      <c r="BD16" s="28" t="str">
        <f>IF('Midterm OVPAA-F-INS-055A RAW SC'!BD16="","",'Midterm OVPAA-F-INS-055A RAW SC'!BD16)</f>
        <v/>
      </c>
      <c r="BE16" s="28" t="str">
        <f>IF('Midterm OVPAA-F-INS-055A RAW SC'!BE16="","",'Midterm OVPAA-F-INS-055A RAW SC'!BE16)</f>
        <v/>
      </c>
      <c r="BF16" s="28" t="str">
        <f>IF('Midterm OVPAA-F-INS-055A RAW SC'!BF16="","",'Midterm OVPAA-F-INS-055A RAW SC'!BF16)</f>
        <v/>
      </c>
      <c r="BG16" s="28" t="str">
        <f>IF('Midterm OVPAA-F-INS-055A RAW SC'!BG16="","",'Midterm OVPAA-F-INS-055A RAW SC'!BG16)</f>
        <v/>
      </c>
      <c r="BH16" s="28" t="str">
        <f>IF('Midterm OVPAA-F-INS-055A RAW SC'!BH16="","",'Midterm OVPAA-F-INS-055A RAW SC'!BH16)</f>
        <v/>
      </c>
      <c r="BI16" s="28" t="str">
        <f>IF('Midterm OVPAA-F-INS-055A RAW SC'!BI16="","",'Midterm OVPAA-F-INS-055A RAW SC'!BI16)</f>
        <v/>
      </c>
      <c r="BJ16" s="28" t="str">
        <f>IF('Midterm OVPAA-F-INS-055A RAW SC'!BJ16="","",'Midterm OVPAA-F-INS-055A RAW SC'!BJ16)</f>
        <v/>
      </c>
      <c r="BK16" s="28" t="str">
        <f>IF('Midterm OVPAA-F-INS-055A RAW SC'!BK16="","",'Midterm OVPAA-F-INS-055A RAW SC'!BK16)</f>
        <v/>
      </c>
      <c r="BL16" s="28" t="str">
        <f>IF('Midterm OVPAA-F-INS-055A RAW SC'!BL16="","",'Midterm OVPAA-F-INS-055A RAW SC'!BL16)</f>
        <v/>
      </c>
      <c r="BM16" s="28" t="str">
        <f>IF('Midterm OVPAA-F-INS-055A RAW SC'!BM16="","",'Midterm OVPAA-F-INS-055A RAW SC'!BM16)</f>
        <v/>
      </c>
      <c r="BN16" s="28" t="str">
        <f>IF('Midterm OVPAA-F-INS-055A RAW SC'!BN16="","",'Midterm OVPAA-F-INS-055A RAW SC'!BN16)</f>
        <v/>
      </c>
      <c r="BO16" s="28" t="str">
        <f>IF('Midterm OVPAA-F-INS-055A RAW SC'!BO16="","",'Midterm OVPAA-F-INS-055A RAW SC'!BO16)</f>
        <v/>
      </c>
      <c r="BP16" s="28" t="str">
        <f>IF('Midterm OVPAA-F-INS-055A RAW SC'!BP16="","",'Midterm OVPAA-F-INS-055A RAW SC'!BP16)</f>
        <v/>
      </c>
      <c r="BQ16" s="28" t="str">
        <f>IF('Midterm OVPAA-F-INS-055A RAW SC'!BQ16="","",'Midterm OVPAA-F-INS-055A RAW SC'!BQ16)</f>
        <v/>
      </c>
      <c r="BR16" s="28" t="str">
        <f>IF('Midterm OVPAA-F-INS-055A RAW SC'!BR16="","",'Midterm OVPAA-F-INS-055A RAW SC'!BR16)</f>
        <v/>
      </c>
      <c r="BS16" s="28" t="str">
        <f>IF('Midterm OVPAA-F-INS-055A RAW SC'!BS16="","",'Midterm OVPAA-F-INS-055A RAW SC'!BS16)</f>
        <v/>
      </c>
      <c r="BT16" s="28" t="str">
        <f>IF('Midterm OVPAA-F-INS-055A RAW SC'!BT16="","",'Midterm OVPAA-F-INS-055A RAW SC'!BT16)</f>
        <v/>
      </c>
      <c r="BU16" s="268"/>
      <c r="BV16" s="270"/>
      <c r="BW16" s="32" t="str">
        <f>IF('Midterm OVPAA-F-INS-055A RAW SC'!BU16="","",'Midterm OVPAA-F-INS-055A RAW SC'!BU16)</f>
        <v>Draft Script</v>
      </c>
      <c r="BX16" s="87" t="str">
        <f>IF('Midterm OVPAA-F-INS-055A RAW SC'!BV16="","",'Midterm OVPAA-F-INS-055A RAW SC'!BV16)</f>
        <v>Character Design</v>
      </c>
      <c r="BY16" s="87" t="str">
        <f>IF('Midterm OVPAA-F-INS-055A RAW SC'!BW16="","",'Midterm OVPAA-F-INS-055A RAW SC'!BW16)</f>
        <v>Background Design</v>
      </c>
      <c r="BZ16" s="87" t="str">
        <f>IF('Midterm OVPAA-F-INS-055A RAW SC'!BX16="","",'Midterm OVPAA-F-INS-055A RAW SC'!BX16)</f>
        <v/>
      </c>
      <c r="CA16" s="87" t="str">
        <f>IF('Midterm OVPAA-F-INS-055A RAW SC'!BY16="","",'Midterm OVPAA-F-INS-055A RAW SC'!BY16)</f>
        <v/>
      </c>
      <c r="CB16" s="87" t="str">
        <f>IF('Midterm OVPAA-F-INS-055A RAW SC'!BZ16="","",'Midterm OVPAA-F-INS-055A RAW SC'!BZ16)</f>
        <v/>
      </c>
      <c r="CC16" s="87" t="str">
        <f>IF('Midterm OVPAA-F-INS-055A RAW SC'!CA16="","",'Midterm OVPAA-F-INS-055A RAW SC'!CA16)</f>
        <v/>
      </c>
      <c r="CD16" s="87" t="str">
        <f>IF('Midterm OVPAA-F-INS-055A RAW SC'!CB16="","",'Midterm OVPAA-F-INS-055A RAW SC'!CB16)</f>
        <v/>
      </c>
      <c r="CE16" s="87" t="str">
        <f>IF('Midterm OVPAA-F-INS-055A RAW SC'!CC16="","",'Midterm OVPAA-F-INS-055A RAW SC'!CC16)</f>
        <v/>
      </c>
      <c r="CF16" s="87" t="str">
        <f>IF('Midterm OVPAA-F-INS-055A RAW SC'!CD16="","",'Midterm OVPAA-F-INS-055A RAW SC'!CD16)</f>
        <v/>
      </c>
      <c r="CG16" s="87" t="str">
        <f>IF('Midterm OVPAA-F-INS-055A RAW SC'!CE16="","",'Midterm OVPAA-F-INS-055A RAW SC'!CE16)</f>
        <v/>
      </c>
      <c r="CH16" s="87" t="str">
        <f>IF('Midterm OVPAA-F-INS-055A RAW SC'!CF16="","",'Midterm OVPAA-F-INS-055A RAW SC'!CF16)</f>
        <v/>
      </c>
      <c r="CI16" s="87" t="str">
        <f>IF('Midterm OVPAA-F-INS-055A RAW SC'!CG16="","",'Midterm OVPAA-F-INS-055A RAW SC'!CG16)</f>
        <v/>
      </c>
      <c r="CJ16" s="87" t="str">
        <f>IF('Midterm OVPAA-F-INS-055A RAW SC'!CH16="","",'Midterm OVPAA-F-INS-055A RAW SC'!CH16)</f>
        <v/>
      </c>
      <c r="CK16" s="87" t="str">
        <f>IF('Midterm OVPAA-F-INS-055A RAW SC'!CI16="","",'Midterm OVPAA-F-INS-055A RAW SC'!CI16)</f>
        <v/>
      </c>
      <c r="CL16" s="87" t="str">
        <f>IF('Midterm OVPAA-F-INS-055A RAW SC'!CJ16="","",'Midterm OVPAA-F-INS-055A RAW SC'!CJ16)</f>
        <v/>
      </c>
      <c r="CM16" s="87" t="str">
        <f>IF('Midterm OVPAA-F-INS-055A RAW SC'!CK16="","",'Midterm OVPAA-F-INS-055A RAW SC'!CK16)</f>
        <v/>
      </c>
      <c r="CN16" s="87" t="str">
        <f>IF('Midterm OVPAA-F-INS-055A RAW SC'!CL16="","",'Midterm OVPAA-F-INS-055A RAW SC'!CL16)</f>
        <v/>
      </c>
      <c r="CO16" s="87" t="str">
        <f>IF('Midterm OVPAA-F-INS-055A RAW SC'!CM16="","",'Midterm OVPAA-F-INS-055A RAW SC'!CM16)</f>
        <v/>
      </c>
      <c r="CP16" s="87" t="str">
        <f>IF('Midterm OVPAA-F-INS-055A RAW SC'!CN16="","",'Midterm OVPAA-F-INS-055A RAW SC'!CN16)</f>
        <v/>
      </c>
      <c r="CQ16" s="268"/>
      <c r="CR16" s="88" t="s">
        <v>76</v>
      </c>
      <c r="CS16" s="34" t="str">
        <f>IF('Midterm OVPAA-F-INS-055A RAW SC'!CO16="","",'Midterm OVPAA-F-INS-055A RAW SC'!CO16)</f>
        <v>Final Script</v>
      </c>
      <c r="CT16" s="89" t="str">
        <f>IF('Midterm OVPAA-F-INS-055A RAW SC'!CP16="","",'Midterm OVPAA-F-INS-055A RAW SC'!CP16)</f>
        <v>Midterm Exam</v>
      </c>
      <c r="CU16" s="89" t="str">
        <f>IF('Midterm OVPAA-F-INS-055A RAW SC'!CQ16="","",'Midterm OVPAA-F-INS-055A RAW SC'!CQ16)</f>
        <v/>
      </c>
      <c r="CV16" s="89" t="str">
        <f>IF('Midterm OVPAA-F-INS-055A RAW SC'!CR16="","",'Midterm OVPAA-F-INS-055A RAW SC'!CR16)</f>
        <v/>
      </c>
      <c r="CW16" s="89" t="str">
        <f>IF('Midterm OVPAA-F-INS-055A RAW SC'!CS16="","",'Midterm OVPAA-F-INS-055A RAW SC'!CS16)</f>
        <v/>
      </c>
      <c r="CX16" s="89" t="str">
        <f>IF('Midterm OVPAA-F-INS-055A RAW SC'!CT16="","",'Midterm OVPAA-F-INS-055A RAW SC'!CT16)</f>
        <v/>
      </c>
      <c r="CY16" s="89" t="str">
        <f>IF('Midterm OVPAA-F-INS-055A RAW SC'!CU16="","",'Midterm OVPAA-F-INS-055A RAW SC'!CU16)</f>
        <v/>
      </c>
      <c r="CZ16" s="89" t="str">
        <f>IF('Midterm OVPAA-F-INS-055A RAW SC'!CV16="","",'Midterm OVPAA-F-INS-055A RAW SC'!CV16)</f>
        <v/>
      </c>
      <c r="DA16" s="89" t="str">
        <f>IF('Midterm OVPAA-F-INS-055A RAW SC'!CW16="","",'Midterm OVPAA-F-INS-055A RAW SC'!CW16)</f>
        <v/>
      </c>
      <c r="DB16" s="89" t="str">
        <f>IF('Midterm OVPAA-F-INS-055A RAW SC'!CX16="","",'Midterm OVPAA-F-INS-055A RAW SC'!CX16)</f>
        <v/>
      </c>
      <c r="DC16" s="268"/>
      <c r="DD16" s="270"/>
      <c r="DE16" s="90"/>
      <c r="DF16" s="91"/>
      <c r="DG16" s="92"/>
      <c r="DH16" s="93"/>
      <c r="DI16" s="94"/>
    </row>
    <row r="17" spans="5:113" ht="14.5">
      <c r="E17" s="263"/>
      <c r="F17" s="263"/>
      <c r="G17" s="26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5.5">
      <c r="E18" s="49">
        <v>1</v>
      </c>
      <c r="F18" s="108">
        <v>2201102063</v>
      </c>
      <c r="G18" s="51" t="str">
        <f>IF(NOT(ISBLANK('Midterm OVPAA-F-INS-055A RAW SC'!G18)),'Midterm OVPAA-F-INS-055A RAW SC'!G18,"")</f>
        <v>Amparado, Kendrick</v>
      </c>
      <c r="H18" s="109">
        <v>0</v>
      </c>
      <c r="I18" s="109">
        <v>0</v>
      </c>
      <c r="J18" s="109">
        <v>0</v>
      </c>
      <c r="K18" s="109" t="str">
        <f>IF('Midterm OVPAA-F-INS-055A RAW SC'!K18="","",'Midterm OVPAA-F-INS-055A RAW SC'!K18/'Midterm OVPAA-F-INS-055A RAW SC'!K$17*100)</f>
        <v/>
      </c>
      <c r="L18" s="109" t="str">
        <f>IF('Midterm OVPAA-F-INS-055A RAW SC'!L18="","",'Midterm OVPAA-F-INS-055A RAW SC'!L18/'Midterm OVPAA-F-INS-055A RAW SC'!L$17*100)</f>
        <v/>
      </c>
      <c r="M18" s="109" t="str">
        <f>IF('Midterm OVPAA-F-INS-055A RAW SC'!M18="","",'Midterm OVPAA-F-INS-055A RAW SC'!M18/'Midterm OVPAA-F-INS-055A RAW SC'!M$17*100)</f>
        <v/>
      </c>
      <c r="N18" s="109" t="str">
        <f>IF('Midterm OVPAA-F-INS-055A RAW SC'!N18="","",'Midterm OVPAA-F-INS-055A RAW SC'!N18/'Midterm OVPAA-F-INS-055A RAW SC'!N$17*100)</f>
        <v/>
      </c>
      <c r="O18" s="109" t="str">
        <f>IF('Midterm OVPAA-F-INS-055A RAW SC'!O18="","",'Midterm OVPAA-F-INS-055A RAW SC'!O18/'Midterm OVPAA-F-INS-055A RAW SC'!O$17*100)</f>
        <v/>
      </c>
      <c r="P18" s="109" t="str">
        <f>IF('Midterm OVPAA-F-INS-055A RAW SC'!P18="","",'Midterm OVPAA-F-INS-055A RAW SC'!P18/'Midterm OVPAA-F-INS-055A RAW SC'!P$17*100)</f>
        <v/>
      </c>
      <c r="Q18" s="109" t="str">
        <f>IF('Midterm OVPAA-F-INS-055A RAW SC'!Q18="","",'Midterm OVPAA-F-INS-055A RAW SC'!Q18/'Midterm OVPAA-F-INS-055A RAW SC'!Q$17*100)</f>
        <v/>
      </c>
      <c r="R18" s="109" t="str">
        <f>IF('Midterm OVPAA-F-INS-055A RAW SC'!R18="","",'Midterm OVPAA-F-INS-055A RAW SC'!R18/'Midterm OVPAA-F-INS-055A RAW SC'!R$17*100)</f>
        <v/>
      </c>
      <c r="S18" s="109" t="str">
        <f>IF('Midterm OVPAA-F-INS-055A RAW SC'!S18="","",'Midterm OVPAA-F-INS-055A RAW SC'!S18/'Midterm OVPAA-F-INS-055A RAW SC'!S$17*100)</f>
        <v/>
      </c>
      <c r="T18" s="109" t="str">
        <f>IF('Midterm OVPAA-F-INS-055A RAW SC'!T18="","",'Midterm OVPAA-F-INS-055A RAW SC'!T18/'Midterm OVPAA-F-INS-055A RAW SC'!T$17*100)</f>
        <v/>
      </c>
      <c r="U18" s="109" t="str">
        <f>IF('Midterm OVPAA-F-INS-055A RAW SC'!U18="","",'Midterm OVPAA-F-INS-055A RAW SC'!U18/'Midterm OVPAA-F-INS-055A RAW SC'!U$17*100)</f>
        <v/>
      </c>
      <c r="V18" s="109" t="str">
        <f>IF('Midterm OVPAA-F-INS-055A RAW SC'!V18="","",'Midterm OVPAA-F-INS-055A RAW SC'!V18/'Midterm OVPAA-F-INS-055A RAW SC'!V$17*100)</f>
        <v/>
      </c>
      <c r="W18" s="109" t="str">
        <f>IF('Midterm OVPAA-F-INS-055A RAW SC'!W18="","",'Midterm OVPAA-F-INS-055A RAW SC'!W18/'Midterm OVPAA-F-INS-055A RAW SC'!W$17*100)</f>
        <v/>
      </c>
      <c r="X18" s="109" t="str">
        <f>IF('Midterm OVPAA-F-INS-055A RAW SC'!X18="","",'Midterm OVPAA-F-INS-055A RAW SC'!X18/'Midterm OVPAA-F-INS-055A RAW SC'!X$17*100)</f>
        <v/>
      </c>
      <c r="Y18" s="109" t="str">
        <f>IF('Midterm OVPAA-F-INS-055A RAW SC'!Y18="","",'Midterm OVPAA-F-INS-055A RAW SC'!Y18/'Midterm OVPAA-F-INS-055A RAW SC'!Y$17*100)</f>
        <v/>
      </c>
      <c r="Z18" s="109" t="str">
        <f>IF('Midterm OVPAA-F-INS-055A RAW SC'!Z18="","",'Midterm OVPAA-F-INS-055A RAW SC'!Z18/'Midterm OVPAA-F-INS-055A RAW SC'!Z$17*100)</f>
        <v/>
      </c>
      <c r="AA18" s="109" t="str">
        <f>IF('Midterm OVPAA-F-INS-055A RAW SC'!AA18="","",'Midterm OVPAA-F-INS-055A RAW SC'!AA18/'Midterm OVPAA-F-INS-055A RAW SC'!AA$17*100)</f>
        <v/>
      </c>
      <c r="AB18" s="109" t="str">
        <f>IF('Midterm OVPAA-F-INS-055A RAW SC'!AB18="","",'Midterm OVPAA-F-INS-055A RAW SC'!AB18/'Midterm OVPAA-F-INS-055A RAW SC'!AB$17*100)</f>
        <v/>
      </c>
      <c r="AC18" s="109" t="str">
        <f>IF('Midterm OVPAA-F-INS-055A RAW SC'!AC18="","",'Midterm OVPAA-F-INS-055A RAW SC'!AC18/'Midterm OVPAA-F-INS-055A RAW SC'!AC$17*100)</f>
        <v/>
      </c>
      <c r="AD18" s="109" t="str">
        <f>IF('Midterm OVPAA-F-INS-055A RAW SC'!AD18="","",'Midterm OVPAA-F-INS-055A RAW SC'!AD18/'Midterm OVPAA-F-INS-055A RAW SC'!AD$17*100)</f>
        <v/>
      </c>
      <c r="AE18" s="109" t="str">
        <f>IF('Midterm OVPAA-F-INS-055A RAW SC'!AE18="","",'Midterm OVPAA-F-INS-055A RAW SC'!AE18/'Midterm OVPAA-F-INS-055A RAW SC'!AE$17*100)</f>
        <v/>
      </c>
      <c r="AF18" s="109" t="str">
        <f>IF('Midterm OVPAA-F-INS-055A RAW SC'!AF18="","",'Midterm OVPAA-F-INS-055A RAW SC'!AF18/'Midterm OVPAA-F-INS-055A RAW SC'!AF$17*100)</f>
        <v/>
      </c>
      <c r="AG18" s="109" t="str">
        <f>IF('Midterm OVPAA-F-INS-055A RAW SC'!AG18="","",'Midterm OVPAA-F-INS-055A RAW SC'!AG18/'Midterm OVPAA-F-INS-055A RAW SC'!AG$17*100)</f>
        <v/>
      </c>
      <c r="AH18" s="109" t="str">
        <f>IF('Midterm OVPAA-F-INS-055A RAW SC'!AH18="","",'Midterm OVPAA-F-INS-055A RAW SC'!AH18/'Midterm OVPAA-F-INS-055A RAW SC'!AH$17*100)</f>
        <v/>
      </c>
      <c r="AI18" s="109" t="str">
        <f>IF('Midterm OVPAA-F-INS-055A RAW SC'!AI18="","",'Midterm OVPAA-F-INS-055A RAW SC'!AI18/'Midterm OVPAA-F-INS-055A RAW SC'!AI$17*100)</f>
        <v/>
      </c>
      <c r="AJ18" s="109" t="str">
        <f>IF('Midterm OVPAA-F-INS-055A RAW SC'!AJ18="","",'Midterm OVPAA-F-INS-055A RAW SC'!AJ18/'Midterm OVPAA-F-INS-055A RAW SC'!AJ$17*100)</f>
        <v/>
      </c>
      <c r="AK18" s="109" t="str">
        <f>IF('Midterm OVPAA-F-INS-055A RAW SC'!AK18="","",'Midterm OVPAA-F-INS-055A RAW SC'!AK18/'Midterm OVPAA-F-INS-055A RAW SC'!AK$17*100)</f>
        <v/>
      </c>
      <c r="AL18" s="109" t="str">
        <f>IF('Midterm OVPAA-F-INS-055A RAW SC'!AL18="","",'Midterm OVPAA-F-INS-055A RAW SC'!AL18/'Midterm OVPAA-F-INS-055A RAW SC'!AL$17*100)</f>
        <v/>
      </c>
      <c r="AM18" s="109" t="str">
        <f>IF('Midterm OVPAA-F-INS-055A RAW SC'!AM18="","",'Midterm OVPAA-F-INS-055A RAW SC'!AM18/'Midterm OVPAA-F-INS-055A RAW SC'!AM$17*100)</f>
        <v/>
      </c>
      <c r="AN18" s="109" t="str">
        <f>IF('Midterm OVPAA-F-INS-055A RAW SC'!AN18="","",'Midterm OVPAA-F-INS-055A RAW SC'!AN18/'Midterm OVPAA-F-INS-055A RAW SC'!AN$17*100)</f>
        <v/>
      </c>
      <c r="AO18" s="109" t="str">
        <f>IF('Midterm OVPAA-F-INS-055A RAW SC'!AO18="","",'Midterm OVPAA-F-INS-055A RAW SC'!AO18/'Midterm OVPAA-F-INS-055A RAW SC'!AO$17*100)</f>
        <v/>
      </c>
      <c r="AP18" s="109" t="str">
        <f>IF('Midterm OVPAA-F-INS-055A RAW SC'!AP18="","",'Midterm OVPAA-F-INS-055A RAW SC'!AP18/'Midterm OVPAA-F-INS-055A RAW SC'!AP$17*100)</f>
        <v/>
      </c>
      <c r="AQ18" s="109" t="str">
        <f>IF('Midterm OVPAA-F-INS-055A RAW SC'!AQ18="","",'Midterm OVPAA-F-INS-055A RAW SC'!AQ18/'Midterm OVPAA-F-INS-055A RAW SC'!AQ$17*100)</f>
        <v/>
      </c>
      <c r="AR18" s="109" t="str">
        <f>IF('Midterm OVPAA-F-INS-055A RAW SC'!AR18="","",'Midterm OVPAA-F-INS-055A RAW SC'!AR18/'Midterm OVPAA-F-INS-055A RAW SC'!AR$17*100)</f>
        <v/>
      </c>
      <c r="AS18" s="109" t="str">
        <f>IF('Midterm OVPAA-F-INS-055A RAW SC'!AS18="","",'Midterm OVPAA-F-INS-055A RAW SC'!AS18/'Midterm OVPAA-F-INS-055A RAW SC'!AS$17*100)</f>
        <v/>
      </c>
      <c r="AT18" s="109" t="str">
        <f>IF('Midterm OVPAA-F-INS-055A RAW SC'!AT18="","",'Midterm OVPAA-F-INS-055A RAW SC'!AT18/'Midterm OVPAA-F-INS-055A RAW SC'!AT$17*100)</f>
        <v/>
      </c>
      <c r="AU18" s="109" t="str">
        <f>IF('Midterm OVPAA-F-INS-055A RAW SC'!AU18="","",'Midterm OVPAA-F-INS-055A RAW SC'!AU18/'Midterm OVPAA-F-INS-055A RAW SC'!AU$17*100)</f>
        <v/>
      </c>
      <c r="AV18" s="109" t="str">
        <f>IF('Midterm OVPAA-F-INS-055A RAW SC'!AV18="","",'Midterm OVPAA-F-INS-055A RAW SC'!AV18/'Midterm OVPAA-F-INS-055A RAW SC'!AV$17*100)</f>
        <v/>
      </c>
      <c r="AW18" s="109" t="str">
        <f>IF('Midterm OVPAA-F-INS-055A RAW SC'!AW18="","",'Midterm OVPAA-F-INS-055A RAW SC'!AW18/'Midterm OVPAA-F-INS-055A RAW SC'!AW$17*100)</f>
        <v/>
      </c>
      <c r="AX18" s="109" t="str">
        <f>IF('Midterm OVPAA-F-INS-055A RAW SC'!AX18="","",'Midterm OVPAA-F-INS-055A RAW SC'!AX18/'Midterm OVPAA-F-INS-055A RAW SC'!AX$17*100)</f>
        <v/>
      </c>
      <c r="AY18" s="109" t="str">
        <f>IF('Midterm OVPAA-F-INS-055A RAW SC'!AY18="","",'Midterm OVPAA-F-INS-055A RAW SC'!AY18/'Midterm OVPAA-F-INS-055A RAW SC'!AY$17*100)</f>
        <v/>
      </c>
      <c r="AZ18" s="109" t="str">
        <f>IF('Midterm OVPAA-F-INS-055A RAW SC'!AZ18="","",'Midterm OVPAA-F-INS-055A RAW SC'!AZ18/'Midterm OVPAA-F-INS-055A RAW SC'!AZ$17*100)</f>
        <v/>
      </c>
      <c r="BA18" s="109" t="str">
        <f>IF('Midterm OVPAA-F-INS-055A RAW SC'!BA18="","",'Midterm OVPAA-F-INS-055A RAW SC'!BA18/'Midterm OVPAA-F-INS-055A RAW SC'!BA$17*100)</f>
        <v/>
      </c>
      <c r="BB18" s="109" t="str">
        <f>IF('Midterm OVPAA-F-INS-055A RAW SC'!BB18="","",'Midterm OVPAA-F-INS-055A RAW SC'!BB18/'Midterm OVPAA-F-INS-055A RAW SC'!BB$17*100)</f>
        <v/>
      </c>
      <c r="BC18" s="109" t="str">
        <f>IF('Midterm OVPAA-F-INS-055A RAW SC'!BC18="","",'Midterm OVPAA-F-INS-055A RAW SC'!BC18/'Midterm OVPAA-F-INS-055A RAW SC'!BC$17*100)</f>
        <v/>
      </c>
      <c r="BD18" s="109" t="str">
        <f>IF('Midterm OVPAA-F-INS-055A RAW SC'!BD18="","",'Midterm OVPAA-F-INS-055A RAW SC'!BD18/'Midterm OVPAA-F-INS-055A RAW SC'!BD$17*100)</f>
        <v/>
      </c>
      <c r="BE18" s="109" t="str">
        <f>IF('Midterm OVPAA-F-INS-055A RAW SC'!BE18="","",'Midterm OVPAA-F-INS-055A RAW SC'!BE18/'Midterm OVPAA-F-INS-055A RAW SC'!BE$17*100)</f>
        <v/>
      </c>
      <c r="BF18" s="109" t="str">
        <f>IF('Midterm OVPAA-F-INS-055A RAW SC'!BF18="","",'Midterm OVPAA-F-INS-055A RAW SC'!BF18/'Midterm OVPAA-F-INS-055A RAW SC'!BF$17*100)</f>
        <v/>
      </c>
      <c r="BG18" s="109" t="str">
        <f>IF('Midterm OVPAA-F-INS-055A RAW SC'!BG18="","",'Midterm OVPAA-F-INS-055A RAW SC'!BG18/'Midterm OVPAA-F-INS-055A RAW SC'!BG$17*100)</f>
        <v/>
      </c>
      <c r="BH18" s="109" t="str">
        <f>IF('Midterm OVPAA-F-INS-055A RAW SC'!BH18="","",'Midterm OVPAA-F-INS-055A RAW SC'!BH18/'Midterm OVPAA-F-INS-055A RAW SC'!BH$17*100)</f>
        <v/>
      </c>
      <c r="BI18" s="109" t="str">
        <f>IF('Midterm OVPAA-F-INS-055A RAW SC'!BI18="","",'Midterm OVPAA-F-INS-055A RAW SC'!BI18/'Midterm OVPAA-F-INS-055A RAW SC'!BI$17*100)</f>
        <v/>
      </c>
      <c r="BJ18" s="109" t="str">
        <f>IF('Midterm OVPAA-F-INS-055A RAW SC'!BJ18="","",'Midterm OVPAA-F-INS-055A RAW SC'!BJ18/'Midterm OVPAA-F-INS-055A RAW SC'!BJ$17*100)</f>
        <v/>
      </c>
      <c r="BK18" s="109" t="str">
        <f>IF('Midterm OVPAA-F-INS-055A RAW SC'!BK18="","",'Midterm OVPAA-F-INS-055A RAW SC'!BK18/'Midterm OVPAA-F-INS-055A RAW SC'!BK$17*100)</f>
        <v/>
      </c>
      <c r="BL18" s="109" t="str">
        <f>IF('Midterm OVPAA-F-INS-055A RAW SC'!BL18="","",'Midterm OVPAA-F-INS-055A RAW SC'!BL18/'Midterm OVPAA-F-INS-055A RAW SC'!BL$17*100)</f>
        <v/>
      </c>
      <c r="BM18" s="109" t="str">
        <f>IF('Midterm OVPAA-F-INS-055A RAW SC'!BM18="","",'Midterm OVPAA-F-INS-055A RAW SC'!BM18/'Midterm OVPAA-F-INS-055A RAW SC'!BM$17*100)</f>
        <v/>
      </c>
      <c r="BN18" s="109" t="str">
        <f>IF('Midterm OVPAA-F-INS-055A RAW SC'!BN18="","",'Midterm OVPAA-F-INS-055A RAW SC'!BN18/'Midterm OVPAA-F-INS-055A RAW SC'!BN$17*100)</f>
        <v/>
      </c>
      <c r="BO18" s="109" t="str">
        <f>IF('Midterm OVPAA-F-INS-055A RAW SC'!BO18="","",'Midterm OVPAA-F-INS-055A RAW SC'!BO18/'Midterm OVPAA-F-INS-055A RAW SC'!BO$17*100)</f>
        <v/>
      </c>
      <c r="BP18" s="109" t="str">
        <f>IF('Midterm OVPAA-F-INS-055A RAW SC'!BP18="","",'Midterm OVPAA-F-INS-055A RAW SC'!BP18/'Midterm OVPAA-F-INS-055A RAW SC'!BP$17*100)</f>
        <v/>
      </c>
      <c r="BQ18" s="109" t="str">
        <f>IF('Midterm OVPAA-F-INS-055A RAW SC'!BQ18="","",'Midterm OVPAA-F-INS-055A RAW SC'!BQ18/'Midterm OVPAA-F-INS-055A RAW SC'!BQ$17*100)</f>
        <v/>
      </c>
      <c r="BR18" s="109" t="str">
        <f>IF('Midterm OVPAA-F-INS-055A RAW SC'!BR18="","",'Midterm OVPAA-F-INS-055A RAW SC'!BR18/'Midterm OVPAA-F-INS-055A RAW SC'!BR$17*100)</f>
        <v/>
      </c>
      <c r="BS18" s="109" t="str">
        <f>IF('Midterm OVPAA-F-INS-055A RAW SC'!BS18="","",'Midterm OVPAA-F-INS-055A RAW SC'!BS18/'Midterm OVPAA-F-INS-055A RAW SC'!BS$17*100)</f>
        <v/>
      </c>
      <c r="BT18" s="109" t="str">
        <f>IF('Midterm OVPAA-F-INS-055A RAW SC'!BT18="","",'Midterm OVPAA-F-INS-055A RAW SC'!BT18/'Midterm OVPAA-F-INS-055A RAW SC'!BT$17*100)</f>
        <v/>
      </c>
      <c r="BU18" s="110">
        <f t="array" ref="BU18">IF('Midterm OVPAA-F-INS-055A RAW SC'!$G18="","",IF((SUMPRODUCT(--ISBLANK('Midterm OVPAA-F-INS-055A RAW SC'!H18:BT18))=COLUMNS('Midterm OVPAA-F-INS-055A RAW SC'!H18:BT18))=TRUE,"",(((COUNTA('Midterm OVPAA-F-INS-055A RAW SC'!$H$17:$BT$17)+COUNTBLANK('Midterm OVPAA-F-INS-055A RAW SC'!H18:BT18))-COLUMNS('Midterm OVPAA-F-INS-055A RAW SC'!H18:BT18))*5+SUM(H18:BT18))/COUNTA('Midterm OVPAA-F-INS-055A RAW SC'!$H$17:$BT$17)))</f>
        <v>0</v>
      </c>
      <c r="BV18" s="111">
        <f>IF(BU18="","",VLOOKUP(BU18,IF('Midterm OVPAA-F-INS-055A RAW SC'!$V$12=0.5,TRANSMUTATION!$C$4:$D$17,TRANSMUTATION!$G$4:$H$17),2,TRUE))</f>
        <v>5</v>
      </c>
      <c r="BW18" s="112">
        <v>0</v>
      </c>
      <c r="BX18" s="113">
        <v>0</v>
      </c>
      <c r="BY18" s="113">
        <v>0</v>
      </c>
      <c r="BZ18" s="113" t="str">
        <f>IF('Midterm OVPAA-F-INS-055A RAW SC'!BX18="","",'Midterm OVPAA-F-INS-055A RAW SC'!BX18/'Midterm OVPAA-F-INS-055A RAW SC'!BX$17*100)</f>
        <v/>
      </c>
      <c r="CA18" s="113" t="str">
        <f>IF('Midterm OVPAA-F-INS-055A RAW SC'!BY18="","",'Midterm OVPAA-F-INS-055A RAW SC'!BY18/'Midterm OVPAA-F-INS-055A RAW SC'!BY$17*100)</f>
        <v/>
      </c>
      <c r="CB18" s="113" t="str">
        <f>IF('Midterm OVPAA-F-INS-055A RAW SC'!BZ18="","",'Midterm OVPAA-F-INS-055A RAW SC'!BZ18/'Midterm OVPAA-F-INS-055A RAW SC'!BZ$17*100)</f>
        <v/>
      </c>
      <c r="CC18" s="113" t="str">
        <f>IF('Midterm OVPAA-F-INS-055A RAW SC'!CA18="","",'Midterm OVPAA-F-INS-055A RAW SC'!CA18/'Midterm OVPAA-F-INS-055A RAW SC'!CA$17*100)</f>
        <v/>
      </c>
      <c r="CD18" s="113" t="str">
        <f>IF('Midterm OVPAA-F-INS-055A RAW SC'!CB18="","",'Midterm OVPAA-F-INS-055A RAW SC'!CB18/'Midterm OVPAA-F-INS-055A RAW SC'!CB$17*100)</f>
        <v/>
      </c>
      <c r="CE18" s="113" t="str">
        <f>IF('Midterm OVPAA-F-INS-055A RAW SC'!CC18="","",'Midterm OVPAA-F-INS-055A RAW SC'!CC18/'Midterm OVPAA-F-INS-055A RAW SC'!CC$17*100)</f>
        <v/>
      </c>
      <c r="CF18" s="113" t="str">
        <f>IF('Midterm OVPAA-F-INS-055A RAW SC'!CD18="","",'Midterm OVPAA-F-INS-055A RAW SC'!CD18/'Midterm OVPAA-F-INS-055A RAW SC'!CD$17*100)</f>
        <v/>
      </c>
      <c r="CG18" s="113" t="str">
        <f>IF('Midterm OVPAA-F-INS-055A RAW SC'!CE18="","",'Midterm OVPAA-F-INS-055A RAW SC'!CE18/'Midterm OVPAA-F-INS-055A RAW SC'!CE$17*100)</f>
        <v/>
      </c>
      <c r="CH18" s="113" t="str">
        <f>IF('Midterm OVPAA-F-INS-055A RAW SC'!CF18="","",'Midterm OVPAA-F-INS-055A RAW SC'!CF18/'Midterm OVPAA-F-INS-055A RAW SC'!CF$17*100)</f>
        <v/>
      </c>
      <c r="CI18" s="113" t="str">
        <f>IF('Midterm OVPAA-F-INS-055A RAW SC'!CG18="","",'Midterm OVPAA-F-INS-055A RAW SC'!CG18/'Midterm OVPAA-F-INS-055A RAW SC'!CG$17*100)</f>
        <v/>
      </c>
      <c r="CJ18" s="113" t="str">
        <f>IF('Midterm OVPAA-F-INS-055A RAW SC'!CH18="","",'Midterm OVPAA-F-INS-055A RAW SC'!CH18/'Midterm OVPAA-F-INS-055A RAW SC'!CH$17*100)</f>
        <v/>
      </c>
      <c r="CK18" s="113" t="str">
        <f>IF('Midterm OVPAA-F-INS-055A RAW SC'!CI18="","",'Midterm OVPAA-F-INS-055A RAW SC'!CI18/'Midterm OVPAA-F-INS-055A RAW SC'!CI$17*100)</f>
        <v/>
      </c>
      <c r="CL18" s="113" t="str">
        <f>IF('Midterm OVPAA-F-INS-055A RAW SC'!CJ18="","",'Midterm OVPAA-F-INS-055A RAW SC'!CJ18/'Midterm OVPAA-F-INS-055A RAW SC'!CJ$17*100)</f>
        <v/>
      </c>
      <c r="CM18" s="113" t="str">
        <f>IF('Midterm OVPAA-F-INS-055A RAW SC'!CK18="","",'Midterm OVPAA-F-INS-055A RAW SC'!CK18/'Midterm OVPAA-F-INS-055A RAW SC'!CK$17*100)</f>
        <v/>
      </c>
      <c r="CN18" s="113" t="str">
        <f>IF('Midterm OVPAA-F-INS-055A RAW SC'!CL18="","",'Midterm OVPAA-F-INS-055A RAW SC'!CL18/'Midterm OVPAA-F-INS-055A RAW SC'!CL$17*100)</f>
        <v/>
      </c>
      <c r="CO18" s="113" t="str">
        <f>IF('Midterm OVPAA-F-INS-055A RAW SC'!CM18="","",'Midterm OVPAA-F-INS-055A RAW SC'!CM18/'Midterm OVPAA-F-INS-055A RAW SC'!CM$17*100)</f>
        <v/>
      </c>
      <c r="CP18" s="114" t="e">
        <f>IF('Midterm OVPAA-F-INS-055A RAW SC'!CN18="","",'Midterm OVPAA-F-INS-055A RAW SC'!CN18/'Midterm OVPAA-F-INS-055A RAW SC'!CN$17*100)</f>
        <v>#DIV/0!</v>
      </c>
      <c r="CQ18" s="115">
        <v>0</v>
      </c>
      <c r="CR18" s="116">
        <f>IF(CQ18="","",VLOOKUP(CQ18,IF('Midterm OVPAA-F-INS-055A RAW SC'!$V$12=0.5,TRANSMUTATION!$C$4:$D$17,TRANSMUTATION!$G$4:$H$17),2,TRUE))</f>
        <v>5</v>
      </c>
      <c r="CS18" s="117">
        <v>0</v>
      </c>
      <c r="CT18" s="117">
        <v>0</v>
      </c>
      <c r="CU18" s="117" t="str">
        <f>IF('Midterm OVPAA-F-INS-055A RAW SC'!CQ18="","",'Midterm OVPAA-F-INS-055A RAW SC'!CQ18/'Midterm OVPAA-F-INS-055A RAW SC'!CQ$17*100)</f>
        <v/>
      </c>
      <c r="CV18" s="117" t="str">
        <f>IF('Midterm OVPAA-F-INS-055A RAW SC'!CR18="","",'Midterm OVPAA-F-INS-055A RAW SC'!CR18/'Midterm OVPAA-F-INS-055A RAW SC'!CR$17*100)</f>
        <v/>
      </c>
      <c r="CW18" s="117" t="str">
        <f>IF('Midterm OVPAA-F-INS-055A RAW SC'!CS18="","",'Midterm OVPAA-F-INS-055A RAW SC'!CS18/'Midterm OVPAA-F-INS-055A RAW SC'!CS$17*100)</f>
        <v/>
      </c>
      <c r="CX18" s="117" t="str">
        <f>IF('Midterm OVPAA-F-INS-055A RAW SC'!CT18="","",'Midterm OVPAA-F-INS-055A RAW SC'!CT18/'Midterm OVPAA-F-INS-055A RAW SC'!CT$17*100)</f>
        <v/>
      </c>
      <c r="CY18" s="117" t="str">
        <f>IF('Midterm OVPAA-F-INS-055A RAW SC'!CU18="","",'Midterm OVPAA-F-INS-055A RAW SC'!CU18/'Midterm OVPAA-F-INS-055A RAW SC'!CU$17*100)</f>
        <v/>
      </c>
      <c r="CZ18" s="117" t="str">
        <f>IF('Midterm OVPAA-F-INS-055A RAW SC'!CV18="","",'Midterm OVPAA-F-INS-055A RAW SC'!CV18/'Midterm OVPAA-F-INS-055A RAW SC'!CV$17*100)</f>
        <v/>
      </c>
      <c r="DA18" s="117" t="str">
        <f>IF('Midterm OVPAA-F-INS-055A RAW SC'!CW18="","",'Midterm OVPAA-F-INS-055A RAW SC'!CW18/'Midterm OVPAA-F-INS-055A RAW SC'!CW$17*100)</f>
        <v/>
      </c>
      <c r="DB18" s="117" t="str">
        <f>IF('Midterm OVPAA-F-INS-055A RAW SC'!CX18="","",'Midterm OVPAA-F-INS-055A RAW SC'!CX18/'Midterm OVPAA-F-INS-055A RAW SC'!CX$17*100)</f>
        <v/>
      </c>
      <c r="DC18" s="118">
        <f t="array" ref="DC18">IF('Midterm OVPAA-F-INS-055A RAW SC'!$G18="","",IF((SUMPRODUCT(--ISBLANK('Midterm OVPAA-F-INS-055A RAW SC'!CO18:CX18))=COLUMNS('Midterm OVPAA-F-INS-055A RAW SC'!CO18:CX18))=TRUE,"",(((COUNTA('Midterm OVPAA-F-INS-055A RAW SC'!$CO$17:$CX$17)+COUNTBLANK('Midterm OVPAA-F-INS-055A RAW SC'!CO18:CX18))-COLUMNS('Midterm OVPAA-F-INS-055A RAW SC'!CO18:CX18))*5+SUM(CS18:DB18))/COUNTA('Midterm OVPAA-F-INS-055A RAW SC'!$CO$17:$CX$17)))</f>
        <v>0</v>
      </c>
      <c r="DD18" s="119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21">
        <f t="shared" ref="DF18:DF117" si="2">IF(CR18="","",(CR18*DF$15))</f>
        <v>1.5</v>
      </c>
      <c r="DG18" s="122">
        <f t="shared" ref="DG18:DG117" si="3">IF(DD18="","",(DD18*DG$15))</f>
        <v>2</v>
      </c>
      <c r="DH18" s="120">
        <f t="shared" ref="DH18:DH117" si="4">IF($DF$15="",IF(OR(DE18="",DG18="")=TRUE,"",(SUM(DE18:DG18))),IF(OR(DE18="",DF18="",DG18="")=TRUE,"",(SUM(DE18:DG18))))</f>
        <v>5</v>
      </c>
      <c r="DI18" s="123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5.5">
      <c r="E19" s="59">
        <v>2</v>
      </c>
      <c r="F19" s="124">
        <v>10</v>
      </c>
      <c r="G19" s="125" t="str">
        <f>IF(NOT(ISBLANK('Midterm OVPAA-F-INS-055A RAW SC'!G19)),'Midterm OVPAA-F-INS-055A RAW SC'!G19,"")</f>
        <v>Añonuevo, Thomas Franz</v>
      </c>
      <c r="H19" s="126">
        <v>70</v>
      </c>
      <c r="I19" s="126">
        <f>IF('Midterm OVPAA-F-INS-055A RAW SC'!I19="","",'Midterm OVPAA-F-INS-055A RAW SC'!I19/'Midterm OVPAA-F-INS-055A RAW SC'!I$17*100)</f>
        <v>50</v>
      </c>
      <c r="J19" s="126">
        <f>IF('Midterm OVPAA-F-INS-055A RAW SC'!J19="","",'Midterm OVPAA-F-INS-055A RAW SC'!J19/'Midterm OVPAA-F-INS-055A RAW SC'!J$17*100)</f>
        <v>86</v>
      </c>
      <c r="K19" s="126" t="str">
        <f>IF('Midterm OVPAA-F-INS-055A RAW SC'!K19="","",'Midterm OVPAA-F-INS-055A RAW SC'!K19/'Midterm OVPAA-F-INS-055A RAW SC'!K$17*100)</f>
        <v/>
      </c>
      <c r="L19" s="126" t="str">
        <f>IF('Midterm OVPAA-F-INS-055A RAW SC'!L19="","",'Midterm OVPAA-F-INS-055A RAW SC'!L19/'Midterm OVPAA-F-INS-055A RAW SC'!L$17*100)</f>
        <v/>
      </c>
      <c r="M19" s="126" t="str">
        <f>IF('Midterm OVPAA-F-INS-055A RAW SC'!M19="","",'Midterm OVPAA-F-INS-055A RAW SC'!M19/'Midterm OVPAA-F-INS-055A RAW SC'!M$17*100)</f>
        <v/>
      </c>
      <c r="N19" s="126" t="str">
        <f>IF('Midterm OVPAA-F-INS-055A RAW SC'!N19="","",'Midterm OVPAA-F-INS-055A RAW SC'!N19/'Midterm OVPAA-F-INS-055A RAW SC'!N$17*100)</f>
        <v/>
      </c>
      <c r="O19" s="126" t="str">
        <f>IF('Midterm OVPAA-F-INS-055A RAW SC'!O19="","",'Midterm OVPAA-F-INS-055A RAW SC'!O19/'Midterm OVPAA-F-INS-055A RAW SC'!O$17*100)</f>
        <v/>
      </c>
      <c r="P19" s="126" t="str">
        <f>IF('Midterm OVPAA-F-INS-055A RAW SC'!P19="","",'Midterm OVPAA-F-INS-055A RAW SC'!P19/'Midterm OVPAA-F-INS-055A RAW SC'!P$17*100)</f>
        <v/>
      </c>
      <c r="Q19" s="126" t="str">
        <f>IF('Midterm OVPAA-F-INS-055A RAW SC'!Q19="","",'Midterm OVPAA-F-INS-055A RAW SC'!Q19/'Midterm OVPAA-F-INS-055A RAW SC'!Q$17*100)</f>
        <v/>
      </c>
      <c r="R19" s="126" t="str">
        <f>IF('Midterm OVPAA-F-INS-055A RAW SC'!R19="","",'Midterm OVPAA-F-INS-055A RAW SC'!R19/'Midterm OVPAA-F-INS-055A RAW SC'!R$17*100)</f>
        <v/>
      </c>
      <c r="S19" s="126" t="str">
        <f>IF('Midterm OVPAA-F-INS-055A RAW SC'!S19="","",'Midterm OVPAA-F-INS-055A RAW SC'!S19/'Midterm OVPAA-F-INS-055A RAW SC'!S$17*100)</f>
        <v/>
      </c>
      <c r="T19" s="126" t="str">
        <f>IF('Midterm OVPAA-F-INS-055A RAW SC'!T19="","",'Midterm OVPAA-F-INS-055A RAW SC'!T19/'Midterm OVPAA-F-INS-055A RAW SC'!T$17*100)</f>
        <v/>
      </c>
      <c r="U19" s="126" t="str">
        <f>IF('Midterm OVPAA-F-INS-055A RAW SC'!U19="","",'Midterm OVPAA-F-INS-055A RAW SC'!U19/'Midterm OVPAA-F-INS-055A RAW SC'!U$17*100)</f>
        <v/>
      </c>
      <c r="V19" s="126" t="str">
        <f>IF('Midterm OVPAA-F-INS-055A RAW SC'!V19="","",'Midterm OVPAA-F-INS-055A RAW SC'!V19/'Midterm OVPAA-F-INS-055A RAW SC'!V$17*100)</f>
        <v/>
      </c>
      <c r="W19" s="126" t="str">
        <f>IF('Midterm OVPAA-F-INS-055A RAW SC'!W19="","",'Midterm OVPAA-F-INS-055A RAW SC'!W19/'Midterm OVPAA-F-INS-055A RAW SC'!W$17*100)</f>
        <v/>
      </c>
      <c r="X19" s="126" t="str">
        <f>IF('Midterm OVPAA-F-INS-055A RAW SC'!X19="","",'Midterm OVPAA-F-INS-055A RAW SC'!X19/'Midterm OVPAA-F-INS-055A RAW SC'!X$17*100)</f>
        <v/>
      </c>
      <c r="Y19" s="126" t="str">
        <f>IF('Midterm OVPAA-F-INS-055A RAW SC'!Y19="","",'Midterm OVPAA-F-INS-055A RAW SC'!Y19/'Midterm OVPAA-F-INS-055A RAW SC'!Y$17*100)</f>
        <v/>
      </c>
      <c r="Z19" s="126" t="str">
        <f>IF('Midterm OVPAA-F-INS-055A RAW SC'!Z19="","",'Midterm OVPAA-F-INS-055A RAW SC'!Z19/'Midterm OVPAA-F-INS-055A RAW SC'!Z$17*100)</f>
        <v/>
      </c>
      <c r="AA19" s="126" t="str">
        <f>IF('Midterm OVPAA-F-INS-055A RAW SC'!AA19="","",'Midterm OVPAA-F-INS-055A RAW SC'!AA19/'Midterm OVPAA-F-INS-055A RAW SC'!AA$17*100)</f>
        <v/>
      </c>
      <c r="AB19" s="126" t="str">
        <f>IF('Midterm OVPAA-F-INS-055A RAW SC'!AB19="","",'Midterm OVPAA-F-INS-055A RAW SC'!AB19/'Midterm OVPAA-F-INS-055A RAW SC'!AB$17*100)</f>
        <v/>
      </c>
      <c r="AC19" s="126" t="str">
        <f>IF('Midterm OVPAA-F-INS-055A RAW SC'!AC19="","",'Midterm OVPAA-F-INS-055A RAW SC'!AC19/'Midterm OVPAA-F-INS-055A RAW SC'!AC$17*100)</f>
        <v/>
      </c>
      <c r="AD19" s="126" t="str">
        <f>IF('Midterm OVPAA-F-INS-055A RAW SC'!AD19="","",'Midterm OVPAA-F-INS-055A RAW SC'!AD19/'Midterm OVPAA-F-INS-055A RAW SC'!AD$17*100)</f>
        <v/>
      </c>
      <c r="AE19" s="126" t="str">
        <f>IF('Midterm OVPAA-F-INS-055A RAW SC'!AE19="","",'Midterm OVPAA-F-INS-055A RAW SC'!AE19/'Midterm OVPAA-F-INS-055A RAW SC'!AE$17*100)</f>
        <v/>
      </c>
      <c r="AF19" s="126" t="str">
        <f>IF('Midterm OVPAA-F-INS-055A RAW SC'!AF19="","",'Midterm OVPAA-F-INS-055A RAW SC'!AF19/'Midterm OVPAA-F-INS-055A RAW SC'!AF$17*100)</f>
        <v/>
      </c>
      <c r="AG19" s="126" t="str">
        <f>IF('Midterm OVPAA-F-INS-055A RAW SC'!AG19="","",'Midterm OVPAA-F-INS-055A RAW SC'!AG19/'Midterm OVPAA-F-INS-055A RAW SC'!AG$17*100)</f>
        <v/>
      </c>
      <c r="AH19" s="126" t="str">
        <f>IF('Midterm OVPAA-F-INS-055A RAW SC'!AH19="","",'Midterm OVPAA-F-INS-055A RAW SC'!AH19/'Midterm OVPAA-F-INS-055A RAW SC'!AH$17*100)</f>
        <v/>
      </c>
      <c r="AI19" s="126" t="str">
        <f>IF('Midterm OVPAA-F-INS-055A RAW SC'!AI19="","",'Midterm OVPAA-F-INS-055A RAW SC'!AI19/'Midterm OVPAA-F-INS-055A RAW SC'!AI$17*100)</f>
        <v/>
      </c>
      <c r="AJ19" s="126" t="str">
        <f>IF('Midterm OVPAA-F-INS-055A RAW SC'!AJ19="","",'Midterm OVPAA-F-INS-055A RAW SC'!AJ19/'Midterm OVPAA-F-INS-055A RAW SC'!AJ$17*100)</f>
        <v/>
      </c>
      <c r="AK19" s="126" t="str">
        <f>IF('Midterm OVPAA-F-INS-055A RAW SC'!AK19="","",'Midterm OVPAA-F-INS-055A RAW SC'!AK19/'Midterm OVPAA-F-INS-055A RAW SC'!AK$17*100)</f>
        <v/>
      </c>
      <c r="AL19" s="126" t="str">
        <f>IF('Midterm OVPAA-F-INS-055A RAW SC'!AL19="","",'Midterm OVPAA-F-INS-055A RAW SC'!AL19/'Midterm OVPAA-F-INS-055A RAW SC'!AL$17*100)</f>
        <v/>
      </c>
      <c r="AM19" s="126" t="str">
        <f>IF('Midterm OVPAA-F-INS-055A RAW SC'!AM19="","",'Midterm OVPAA-F-INS-055A RAW SC'!AM19/'Midterm OVPAA-F-INS-055A RAW SC'!AM$17*100)</f>
        <v/>
      </c>
      <c r="AN19" s="126" t="str">
        <f>IF('Midterm OVPAA-F-INS-055A RAW SC'!AN19="","",'Midterm OVPAA-F-INS-055A RAW SC'!AN19/'Midterm OVPAA-F-INS-055A RAW SC'!AN$17*100)</f>
        <v/>
      </c>
      <c r="AO19" s="126" t="str">
        <f>IF('Midterm OVPAA-F-INS-055A RAW SC'!AO19="","",'Midterm OVPAA-F-INS-055A RAW SC'!AO19/'Midterm OVPAA-F-INS-055A RAW SC'!AO$17*100)</f>
        <v/>
      </c>
      <c r="AP19" s="126" t="str">
        <f>IF('Midterm OVPAA-F-INS-055A RAW SC'!AP19="","",'Midterm OVPAA-F-INS-055A RAW SC'!AP19/'Midterm OVPAA-F-INS-055A RAW SC'!AP$17*100)</f>
        <v/>
      </c>
      <c r="AQ19" s="126" t="str">
        <f>IF('Midterm OVPAA-F-INS-055A RAW SC'!AQ19="","",'Midterm OVPAA-F-INS-055A RAW SC'!AQ19/'Midterm OVPAA-F-INS-055A RAW SC'!AQ$17*100)</f>
        <v/>
      </c>
      <c r="AR19" s="126" t="str">
        <f>IF('Midterm OVPAA-F-INS-055A RAW SC'!AR19="","",'Midterm OVPAA-F-INS-055A RAW SC'!AR19/'Midterm OVPAA-F-INS-055A RAW SC'!AR$17*100)</f>
        <v/>
      </c>
      <c r="AS19" s="126" t="str">
        <f>IF('Midterm OVPAA-F-INS-055A RAW SC'!AS19="","",'Midterm OVPAA-F-INS-055A RAW SC'!AS19/'Midterm OVPAA-F-INS-055A RAW SC'!AS$17*100)</f>
        <v/>
      </c>
      <c r="AT19" s="126" t="str">
        <f>IF('Midterm OVPAA-F-INS-055A RAW SC'!AT19="","",'Midterm OVPAA-F-INS-055A RAW SC'!AT19/'Midterm OVPAA-F-INS-055A RAW SC'!AT$17*100)</f>
        <v/>
      </c>
      <c r="AU19" s="126" t="str">
        <f>IF('Midterm OVPAA-F-INS-055A RAW SC'!AU19="","",'Midterm OVPAA-F-INS-055A RAW SC'!AU19/'Midterm OVPAA-F-INS-055A RAW SC'!AU$17*100)</f>
        <v/>
      </c>
      <c r="AV19" s="126" t="str">
        <f>IF('Midterm OVPAA-F-INS-055A RAW SC'!AV19="","",'Midterm OVPAA-F-INS-055A RAW SC'!AV19/'Midterm OVPAA-F-INS-055A RAW SC'!AV$17*100)</f>
        <v/>
      </c>
      <c r="AW19" s="126" t="str">
        <f>IF('Midterm OVPAA-F-INS-055A RAW SC'!AW19="","",'Midterm OVPAA-F-INS-055A RAW SC'!AW19/'Midterm OVPAA-F-INS-055A RAW SC'!AW$17*100)</f>
        <v/>
      </c>
      <c r="AX19" s="126" t="str">
        <f>IF('Midterm OVPAA-F-INS-055A RAW SC'!AX19="","",'Midterm OVPAA-F-INS-055A RAW SC'!AX19/'Midterm OVPAA-F-INS-055A RAW SC'!AX$17*100)</f>
        <v/>
      </c>
      <c r="AY19" s="126" t="str">
        <f>IF('Midterm OVPAA-F-INS-055A RAW SC'!AY19="","",'Midterm OVPAA-F-INS-055A RAW SC'!AY19/'Midterm OVPAA-F-INS-055A RAW SC'!AY$17*100)</f>
        <v/>
      </c>
      <c r="AZ19" s="126" t="str">
        <f>IF('Midterm OVPAA-F-INS-055A RAW SC'!AZ19="","",'Midterm OVPAA-F-INS-055A RAW SC'!AZ19/'Midterm OVPAA-F-INS-055A RAW SC'!AZ$17*100)</f>
        <v/>
      </c>
      <c r="BA19" s="126" t="str">
        <f>IF('Midterm OVPAA-F-INS-055A RAW SC'!BA19="","",'Midterm OVPAA-F-INS-055A RAW SC'!BA19/'Midterm OVPAA-F-INS-055A RAW SC'!BA$17*100)</f>
        <v/>
      </c>
      <c r="BB19" s="126" t="str">
        <f>IF('Midterm OVPAA-F-INS-055A RAW SC'!BB19="","",'Midterm OVPAA-F-INS-055A RAW SC'!BB19/'Midterm OVPAA-F-INS-055A RAW SC'!BB$17*100)</f>
        <v/>
      </c>
      <c r="BC19" s="126" t="str">
        <f>IF('Midterm OVPAA-F-INS-055A RAW SC'!BC19="","",'Midterm OVPAA-F-INS-055A RAW SC'!BC19/'Midterm OVPAA-F-INS-055A RAW SC'!BC$17*100)</f>
        <v/>
      </c>
      <c r="BD19" s="126" t="str">
        <f>IF('Midterm OVPAA-F-INS-055A RAW SC'!BD19="","",'Midterm OVPAA-F-INS-055A RAW SC'!BD19/'Midterm OVPAA-F-INS-055A RAW SC'!BD$17*100)</f>
        <v/>
      </c>
      <c r="BE19" s="126" t="str">
        <f>IF('Midterm OVPAA-F-INS-055A RAW SC'!BE19="","",'Midterm OVPAA-F-INS-055A RAW SC'!BE19/'Midterm OVPAA-F-INS-055A RAW SC'!BE$17*100)</f>
        <v/>
      </c>
      <c r="BF19" s="126" t="str">
        <f>IF('Midterm OVPAA-F-INS-055A RAW SC'!BF19="","",'Midterm OVPAA-F-INS-055A RAW SC'!BF19/'Midterm OVPAA-F-INS-055A RAW SC'!BF$17*100)</f>
        <v/>
      </c>
      <c r="BG19" s="126" t="str">
        <f>IF('Midterm OVPAA-F-INS-055A RAW SC'!BG19="","",'Midterm OVPAA-F-INS-055A RAW SC'!BG19/'Midterm OVPAA-F-INS-055A RAW SC'!BG$17*100)</f>
        <v/>
      </c>
      <c r="BH19" s="126" t="str">
        <f>IF('Midterm OVPAA-F-INS-055A RAW SC'!BH19="","",'Midterm OVPAA-F-INS-055A RAW SC'!BH19/'Midterm OVPAA-F-INS-055A RAW SC'!BH$17*100)</f>
        <v/>
      </c>
      <c r="BI19" s="126" t="str">
        <f>IF('Midterm OVPAA-F-INS-055A RAW SC'!BI19="","",'Midterm OVPAA-F-INS-055A RAW SC'!BI19/'Midterm OVPAA-F-INS-055A RAW SC'!BI$17*100)</f>
        <v/>
      </c>
      <c r="BJ19" s="126" t="str">
        <f>IF('Midterm OVPAA-F-INS-055A RAW SC'!BJ19="","",'Midterm OVPAA-F-INS-055A RAW SC'!BJ19/'Midterm OVPAA-F-INS-055A RAW SC'!BJ$17*100)</f>
        <v/>
      </c>
      <c r="BK19" s="126" t="str">
        <f>IF('Midterm OVPAA-F-INS-055A RAW SC'!BK19="","",'Midterm OVPAA-F-INS-055A RAW SC'!BK19/'Midterm OVPAA-F-INS-055A RAW SC'!BK$17*100)</f>
        <v/>
      </c>
      <c r="BL19" s="126" t="str">
        <f>IF('Midterm OVPAA-F-INS-055A RAW SC'!BL19="","",'Midterm OVPAA-F-INS-055A RAW SC'!BL19/'Midterm OVPAA-F-INS-055A RAW SC'!BL$17*100)</f>
        <v/>
      </c>
      <c r="BM19" s="126" t="str">
        <f>IF('Midterm OVPAA-F-INS-055A RAW SC'!BM19="","",'Midterm OVPAA-F-INS-055A RAW SC'!BM19/'Midterm OVPAA-F-INS-055A RAW SC'!BM$17*100)</f>
        <v/>
      </c>
      <c r="BN19" s="126" t="str">
        <f>IF('Midterm OVPAA-F-INS-055A RAW SC'!BN19="","",'Midterm OVPAA-F-INS-055A RAW SC'!BN19/'Midterm OVPAA-F-INS-055A RAW SC'!BN$17*100)</f>
        <v/>
      </c>
      <c r="BO19" s="126" t="str">
        <f>IF('Midterm OVPAA-F-INS-055A RAW SC'!BO19="","",'Midterm OVPAA-F-INS-055A RAW SC'!BO19/'Midterm OVPAA-F-INS-055A RAW SC'!BO$17*100)</f>
        <v/>
      </c>
      <c r="BP19" s="126" t="str">
        <f>IF('Midterm OVPAA-F-INS-055A RAW SC'!BP19="","",'Midterm OVPAA-F-INS-055A RAW SC'!BP19/'Midterm OVPAA-F-INS-055A RAW SC'!BP$17*100)</f>
        <v/>
      </c>
      <c r="BQ19" s="126" t="str">
        <f>IF('Midterm OVPAA-F-INS-055A RAW SC'!BQ19="","",'Midterm OVPAA-F-INS-055A RAW SC'!BQ19/'Midterm OVPAA-F-INS-055A RAW SC'!BQ$17*100)</f>
        <v/>
      </c>
      <c r="BR19" s="126" t="str">
        <f>IF('Midterm OVPAA-F-INS-055A RAW SC'!BR19="","",'Midterm OVPAA-F-INS-055A RAW SC'!BR19/'Midterm OVPAA-F-INS-055A RAW SC'!BR$17*100)</f>
        <v/>
      </c>
      <c r="BS19" s="126" t="str">
        <f>IF('Midterm OVPAA-F-INS-055A RAW SC'!BS19="","",'Midterm OVPAA-F-INS-055A RAW SC'!BS19/'Midterm OVPAA-F-INS-055A RAW SC'!BS$17*100)</f>
        <v/>
      </c>
      <c r="BT19" s="126" t="str">
        <f>IF('Midterm OVPAA-F-INS-055A RAW SC'!BT19="","",'Midterm OVPAA-F-INS-055A RAW SC'!BT19/'Midterm OVPAA-F-INS-055A RAW SC'!BT$17*100)</f>
        <v/>
      </c>
      <c r="BU19" s="127">
        <f t="array" ref="BU19">IF('Midterm OVPAA-F-INS-055A RAW SC'!$G19="","",IF((SUMPRODUCT(--ISBLANK('Midterm OVPAA-F-INS-055A RAW SC'!H19:BT19))=COLUMNS('Midterm OVPAA-F-INS-055A RAW SC'!H19:BT19))=TRUE,"",(((COUNTA('Midterm OVPAA-F-INS-055A RAW SC'!$H$17:$BT$17)+COUNTBLANK('Midterm OVPAA-F-INS-055A RAW SC'!H19:BT19))-COLUMNS('Midterm OVPAA-F-INS-055A RAW SC'!H19:BT19))*5+SUM(H19:BT19))/COUNTA('Midterm OVPAA-F-INS-055A RAW SC'!$H$17:$BT$17)))</f>
        <v>68.666666666666671</v>
      </c>
      <c r="BV19" s="128">
        <f>IF(BU19="","",VLOOKUP(BU19,IF('Midterm OVPAA-F-INS-055A RAW SC'!$V$12=0.5,TRANSMUTATION!$C$4:$D$17,TRANSMUTATION!$G$4:$H$17),2,TRUE))</f>
        <v>2.25</v>
      </c>
      <c r="BW19" s="129">
        <f>IF('Midterm OVPAA-F-INS-055A RAW SC'!BU19="","",'Midterm OVPAA-F-INS-055A RAW SC'!BU19/'Midterm OVPAA-F-INS-055A RAW SC'!BU$17*100)</f>
        <v>70</v>
      </c>
      <c r="BX19" s="130">
        <f>IF('Midterm OVPAA-F-INS-055A RAW SC'!BV19="","",'Midterm OVPAA-F-INS-055A RAW SC'!BV19/'Midterm OVPAA-F-INS-055A RAW SC'!BV$17*100)</f>
        <v>100</v>
      </c>
      <c r="BY19" s="130">
        <f>IF('Midterm OVPAA-F-INS-055A RAW SC'!BW19="","",'Midterm OVPAA-F-INS-055A RAW SC'!BW19/'Midterm OVPAA-F-INS-055A RAW SC'!BW$17*100)</f>
        <v>100</v>
      </c>
      <c r="BZ19" s="130" t="str">
        <f>IF('Midterm OVPAA-F-INS-055A RAW SC'!BX19="","",'Midterm OVPAA-F-INS-055A RAW SC'!BX19/'Midterm OVPAA-F-INS-055A RAW SC'!BX$17*100)</f>
        <v/>
      </c>
      <c r="CA19" s="130" t="str">
        <f>IF('Midterm OVPAA-F-INS-055A RAW SC'!BY19="","",'Midterm OVPAA-F-INS-055A RAW SC'!BY19/'Midterm OVPAA-F-INS-055A RAW SC'!BY$17*100)</f>
        <v/>
      </c>
      <c r="CB19" s="130" t="str">
        <f>IF('Midterm OVPAA-F-INS-055A RAW SC'!BZ19="","",'Midterm OVPAA-F-INS-055A RAW SC'!BZ19/'Midterm OVPAA-F-INS-055A RAW SC'!BZ$17*100)</f>
        <v/>
      </c>
      <c r="CC19" s="130" t="str">
        <f>IF('Midterm OVPAA-F-INS-055A RAW SC'!CA19="","",'Midterm OVPAA-F-INS-055A RAW SC'!CA19/'Midterm OVPAA-F-INS-055A RAW SC'!CA$17*100)</f>
        <v/>
      </c>
      <c r="CD19" s="130" t="str">
        <f>IF('Midterm OVPAA-F-INS-055A RAW SC'!CB19="","",'Midterm OVPAA-F-INS-055A RAW SC'!CB19/'Midterm OVPAA-F-INS-055A RAW SC'!CB$17*100)</f>
        <v/>
      </c>
      <c r="CE19" s="130" t="str">
        <f>IF('Midterm OVPAA-F-INS-055A RAW SC'!CC19="","",'Midterm OVPAA-F-INS-055A RAW SC'!CC19/'Midterm OVPAA-F-INS-055A RAW SC'!CC$17*100)</f>
        <v/>
      </c>
      <c r="CF19" s="130" t="str">
        <f>IF('Midterm OVPAA-F-INS-055A RAW SC'!CD19="","",'Midterm OVPAA-F-INS-055A RAW SC'!CD19/'Midterm OVPAA-F-INS-055A RAW SC'!CD$17*100)</f>
        <v/>
      </c>
      <c r="CG19" s="130" t="str">
        <f>IF('Midterm OVPAA-F-INS-055A RAW SC'!CE19="","",'Midterm OVPAA-F-INS-055A RAW SC'!CE19/'Midterm OVPAA-F-INS-055A RAW SC'!CE$17*100)</f>
        <v/>
      </c>
      <c r="CH19" s="130" t="str">
        <f>IF('Midterm OVPAA-F-INS-055A RAW SC'!CF19="","",'Midterm OVPAA-F-INS-055A RAW SC'!CF19/'Midterm OVPAA-F-INS-055A RAW SC'!CF$17*100)</f>
        <v/>
      </c>
      <c r="CI19" s="130" t="str">
        <f>IF('Midterm OVPAA-F-INS-055A RAW SC'!CG19="","",'Midterm OVPAA-F-INS-055A RAW SC'!CG19/'Midterm OVPAA-F-INS-055A RAW SC'!CG$17*100)</f>
        <v/>
      </c>
      <c r="CJ19" s="130" t="str">
        <f>IF('Midterm OVPAA-F-INS-055A RAW SC'!CH19="","",'Midterm OVPAA-F-INS-055A RAW SC'!CH19/'Midterm OVPAA-F-INS-055A RAW SC'!CH$17*100)</f>
        <v/>
      </c>
      <c r="CK19" s="130" t="str">
        <f>IF('Midterm OVPAA-F-INS-055A RAW SC'!CI19="","",'Midterm OVPAA-F-INS-055A RAW SC'!CI19/'Midterm OVPAA-F-INS-055A RAW SC'!CI$17*100)</f>
        <v/>
      </c>
      <c r="CL19" s="130" t="str">
        <f>IF('Midterm OVPAA-F-INS-055A RAW SC'!CJ19="","",'Midterm OVPAA-F-INS-055A RAW SC'!CJ19/'Midterm OVPAA-F-INS-055A RAW SC'!CJ$17*100)</f>
        <v/>
      </c>
      <c r="CM19" s="130" t="str">
        <f>IF('Midterm OVPAA-F-INS-055A RAW SC'!CK19="","",'Midterm OVPAA-F-INS-055A RAW SC'!CK19/'Midterm OVPAA-F-INS-055A RAW SC'!CK$17*100)</f>
        <v/>
      </c>
      <c r="CN19" s="130" t="str">
        <f>IF('Midterm OVPAA-F-INS-055A RAW SC'!CL19="","",'Midterm OVPAA-F-INS-055A RAW SC'!CL19/'Midterm OVPAA-F-INS-055A RAW SC'!CL$17*100)</f>
        <v/>
      </c>
      <c r="CO19" s="130" t="str">
        <f>IF('Midterm OVPAA-F-INS-055A RAW SC'!CM19="","",'Midterm OVPAA-F-INS-055A RAW SC'!CM19/'Midterm OVPAA-F-INS-055A RAW SC'!CM$17*100)</f>
        <v/>
      </c>
      <c r="CP19" s="130" t="str">
        <f>IF('Midterm OVPAA-F-INS-055A RAW SC'!CN19="","",'Midterm OVPAA-F-INS-055A RAW SC'!CN19/'Midterm OVPAA-F-INS-055A RAW SC'!CN$17*100)</f>
        <v/>
      </c>
      <c r="CQ19" s="131">
        <f t="array" ref="CQ19">IF('Midterm OVPAA-F-INS-055A RAW SC'!G19="","",IF((SUMPRODUCT(--ISBLANK('Midterm OVPAA-F-INS-055A RAW SC'!BU19:CN19))=COLUMNS('Midterm OVPAA-F-INS-055A RAW SC'!BU19:CN19))=TRUE,"",(((COUNTA('Midterm OVPAA-F-INS-055A RAW SC'!$BU$17:$CN$17)+COUNTBLANK('Midterm OVPAA-F-INS-055A RAW SC'!BU19:CN19))-COLUMNS('Midterm OVPAA-F-INS-055A RAW SC'!BU19:CN19))*5+SUM(BW19:CP19))/COUNTA('Midterm OVPAA-F-INS-055A RAW SC'!$BU$17:$CN$17)))</f>
        <v>90</v>
      </c>
      <c r="CR19" s="132">
        <f>IF(CQ19="","",VLOOKUP(CQ19,IF('Midterm OVPAA-F-INS-055A RAW SC'!$V$12=0.5,TRANSMUTATION!$C$4:$D$17,TRANSMUTATION!$G$4:$H$17),2,TRUE))</f>
        <v>1.5</v>
      </c>
      <c r="CS19" s="133">
        <f>IF('Midterm OVPAA-F-INS-055A RAW SC'!CO19="","",'Midterm OVPAA-F-INS-055A RAW SC'!CO19/'Midterm OVPAA-F-INS-055A RAW SC'!CO$17*100)</f>
        <v>50</v>
      </c>
      <c r="CT19" s="133">
        <f>IF('Midterm OVPAA-F-INS-055A RAW SC'!CP19="","",'Midterm OVPAA-F-INS-055A RAW SC'!CP19/'Midterm OVPAA-F-INS-055A RAW SC'!CP$17*100)</f>
        <v>60</v>
      </c>
      <c r="CU19" s="133" t="str">
        <f>IF('Midterm OVPAA-F-INS-055A RAW SC'!CQ19="","",'Midterm OVPAA-F-INS-055A RAW SC'!CQ19/'Midterm OVPAA-F-INS-055A RAW SC'!CQ$17*100)</f>
        <v/>
      </c>
      <c r="CV19" s="133" t="str">
        <f>IF('Midterm OVPAA-F-INS-055A RAW SC'!CR19="","",'Midterm OVPAA-F-INS-055A RAW SC'!CR19/'Midterm OVPAA-F-INS-055A RAW SC'!CR$17*100)</f>
        <v/>
      </c>
      <c r="CW19" s="133" t="str">
        <f>IF('Midterm OVPAA-F-INS-055A RAW SC'!CS19="","",'Midterm OVPAA-F-INS-055A RAW SC'!CS19/'Midterm OVPAA-F-INS-055A RAW SC'!CS$17*100)</f>
        <v/>
      </c>
      <c r="CX19" s="133" t="str">
        <f>IF('Midterm OVPAA-F-INS-055A RAW SC'!CT19="","",'Midterm OVPAA-F-INS-055A RAW SC'!CT19/'Midterm OVPAA-F-INS-055A RAW SC'!CT$17*100)</f>
        <v/>
      </c>
      <c r="CY19" s="133" t="str">
        <f>IF('Midterm OVPAA-F-INS-055A RAW SC'!CU19="","",'Midterm OVPAA-F-INS-055A RAW SC'!CU19/'Midterm OVPAA-F-INS-055A RAW SC'!CU$17*100)</f>
        <v/>
      </c>
      <c r="CZ19" s="133" t="str">
        <f>IF('Midterm OVPAA-F-INS-055A RAW SC'!CV19="","",'Midterm OVPAA-F-INS-055A RAW SC'!CV19/'Midterm OVPAA-F-INS-055A RAW SC'!CV$17*100)</f>
        <v/>
      </c>
      <c r="DA19" s="133" t="str">
        <f>IF('Midterm OVPAA-F-INS-055A RAW SC'!CW19="","",'Midterm OVPAA-F-INS-055A RAW SC'!CW19/'Midterm OVPAA-F-INS-055A RAW SC'!CW$17*100)</f>
        <v/>
      </c>
      <c r="DB19" s="133" t="str">
        <f>IF('Midterm OVPAA-F-INS-055A RAW SC'!CX19="","",'Midterm OVPAA-F-INS-055A RAW SC'!CX19/'Midterm OVPAA-F-INS-055A RAW SC'!CX$17*100)</f>
        <v/>
      </c>
      <c r="DC19" s="134">
        <f t="array" ref="DC19">IF('Midterm OVPAA-F-INS-055A RAW SC'!$G19="","",IF((SUMPRODUCT(--ISBLANK('Midterm OVPAA-F-INS-055A RAW SC'!CO19:CX19))=COLUMNS('Midterm OVPAA-F-INS-055A RAW SC'!CO19:CX19))=TRUE,"",(((COUNTA('Midterm OVPAA-F-INS-055A RAW SC'!$CO$17:$CX$17)+COUNTBLANK('Midterm OVPAA-F-INS-055A RAW SC'!CO19:CX19))-COLUMNS('Midterm OVPAA-F-INS-055A RAW SC'!CO19:CX19))*5+SUM(CS19:DB19))/COUNTA('Midterm OVPAA-F-INS-055A RAW SC'!$CO$17:$CX$17)))</f>
        <v>55</v>
      </c>
      <c r="DD19" s="135">
        <f>IF(DC19="","",VLOOKUP(DC19,IF('Midterm OVPAA-F-INS-055A RAW SC'!$V$12=0.5,TRANSMUTATION!$C$4:$D$17,TRANSMUTATION!$G$4:$H$17),2,TRUE))</f>
        <v>3</v>
      </c>
      <c r="DE19" s="136">
        <f t="shared" si="1"/>
        <v>0.67499999999999993</v>
      </c>
      <c r="DF19" s="137">
        <f t="shared" si="2"/>
        <v>0.44999999999999996</v>
      </c>
      <c r="DG19" s="138">
        <f t="shared" si="3"/>
        <v>1.2000000000000002</v>
      </c>
      <c r="DH19" s="136">
        <f t="shared" si="4"/>
        <v>2.3250000000000002</v>
      </c>
      <c r="DI19" s="123" t="str">
        <f t="shared" si="5"/>
        <v>2.25</v>
      </c>
    </row>
    <row r="20" spans="5:113" ht="15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v>0</v>
      </c>
      <c r="I20" s="126">
        <f>IF('Midterm OVPAA-F-INS-055A RAW SC'!I20="","",'Midterm OVPAA-F-INS-055A RAW SC'!I20/'Midterm OVPAA-F-INS-055A RAW SC'!I$17*100)</f>
        <v>93</v>
      </c>
      <c r="J20" s="126">
        <f>IF('Midterm OVPAA-F-INS-055A RAW SC'!J20="","",'Midterm OVPAA-F-INS-055A RAW SC'!J20/'Midterm OVPAA-F-INS-055A RAW SC'!J$17*100)</f>
        <v>88</v>
      </c>
      <c r="K20" s="126" t="str">
        <f>IF('Midterm OVPAA-F-INS-055A RAW SC'!K20="","",'Midterm OVPAA-F-INS-055A RAW SC'!K20/'Midterm OVPAA-F-INS-055A RAW SC'!K$17*100)</f>
        <v/>
      </c>
      <c r="L20" s="126" t="str">
        <f>IF('Midterm OVPAA-F-INS-055A RAW SC'!L20="","",'Midterm OVPAA-F-INS-055A RAW SC'!L20/'Midterm OVPAA-F-INS-055A RAW SC'!L$17*100)</f>
        <v/>
      </c>
      <c r="M20" s="126" t="str">
        <f>IF('Midterm OVPAA-F-INS-055A RAW SC'!M20="","",'Midterm OVPAA-F-INS-055A RAW SC'!M20/'Midterm OVPAA-F-INS-055A RAW SC'!M$17*100)</f>
        <v/>
      </c>
      <c r="N20" s="126" t="str">
        <f>IF('Midterm OVPAA-F-INS-055A RAW SC'!N20="","",'Midterm OVPAA-F-INS-055A RAW SC'!N20/'Midterm OVPAA-F-INS-055A RAW SC'!N$17*100)</f>
        <v/>
      </c>
      <c r="O20" s="126" t="str">
        <f>IF('Midterm OVPAA-F-INS-055A RAW SC'!O20="","",'Midterm OVPAA-F-INS-055A RAW SC'!O20/'Midterm OVPAA-F-INS-055A RAW SC'!O$17*100)</f>
        <v/>
      </c>
      <c r="P20" s="126" t="str">
        <f>IF('Midterm OVPAA-F-INS-055A RAW SC'!P20="","",'Midterm OVPAA-F-INS-055A RAW SC'!P20/'Midterm OVPAA-F-INS-055A RAW SC'!P$17*100)</f>
        <v/>
      </c>
      <c r="Q20" s="126" t="str">
        <f>IF('Midterm OVPAA-F-INS-055A RAW SC'!Q20="","",'Midterm OVPAA-F-INS-055A RAW SC'!Q20/'Midterm OVPAA-F-INS-055A RAW SC'!Q$17*100)</f>
        <v/>
      </c>
      <c r="R20" s="126" t="str">
        <f>IF('Midterm OVPAA-F-INS-055A RAW SC'!R20="","",'Midterm OVPAA-F-INS-055A RAW SC'!R20/'Midterm OVPAA-F-INS-055A RAW SC'!R$17*100)</f>
        <v/>
      </c>
      <c r="S20" s="126" t="str">
        <f>IF('Midterm OVPAA-F-INS-055A RAW SC'!S20="","",'Midterm OVPAA-F-INS-055A RAW SC'!S20/'Midterm OVPAA-F-INS-055A RAW SC'!S$17*100)</f>
        <v/>
      </c>
      <c r="T20" s="126" t="str">
        <f>IF('Midterm OVPAA-F-INS-055A RAW SC'!T20="","",'Midterm OVPAA-F-INS-055A RAW SC'!T20/'Midterm OVPAA-F-INS-055A RAW SC'!T$17*100)</f>
        <v/>
      </c>
      <c r="U20" s="126" t="str">
        <f>IF('Midterm OVPAA-F-INS-055A RAW SC'!U20="","",'Midterm OVPAA-F-INS-055A RAW SC'!U20/'Midterm OVPAA-F-INS-055A RAW SC'!U$17*100)</f>
        <v/>
      </c>
      <c r="V20" s="126" t="str">
        <f>IF('Midterm OVPAA-F-INS-055A RAW SC'!V20="","",'Midterm OVPAA-F-INS-055A RAW SC'!V20/'Midterm OVPAA-F-INS-055A RAW SC'!V$17*100)</f>
        <v/>
      </c>
      <c r="W20" s="126" t="str">
        <f>IF('Midterm OVPAA-F-INS-055A RAW SC'!W20="","",'Midterm OVPAA-F-INS-055A RAW SC'!W20/'Midterm OVPAA-F-INS-055A RAW SC'!W$17*100)</f>
        <v/>
      </c>
      <c r="X20" s="126" t="str">
        <f>IF('Midterm OVPAA-F-INS-055A RAW SC'!X20="","",'Midterm OVPAA-F-INS-055A RAW SC'!X20/'Midterm OVPAA-F-INS-055A RAW SC'!X$17*100)</f>
        <v/>
      </c>
      <c r="Y20" s="126" t="str">
        <f>IF('Midterm OVPAA-F-INS-055A RAW SC'!Y20="","",'Midterm OVPAA-F-INS-055A RAW SC'!Y20/'Midterm OVPAA-F-INS-055A RAW SC'!Y$17*100)</f>
        <v/>
      </c>
      <c r="Z20" s="126" t="str">
        <f>IF('Midterm OVPAA-F-INS-055A RAW SC'!Z20="","",'Midterm OVPAA-F-INS-055A RAW SC'!Z20/'Midterm OVPAA-F-INS-055A RAW SC'!Z$17*100)</f>
        <v/>
      </c>
      <c r="AA20" s="126" t="str">
        <f>IF('Midterm OVPAA-F-INS-055A RAW SC'!AA20="","",'Midterm OVPAA-F-INS-055A RAW SC'!AA20/'Midterm OVPAA-F-INS-055A RAW SC'!AA$17*100)</f>
        <v/>
      </c>
      <c r="AB20" s="126" t="str">
        <f>IF('Midterm OVPAA-F-INS-055A RAW SC'!AB20="","",'Midterm OVPAA-F-INS-055A RAW SC'!AB20/'Midterm OVPAA-F-INS-055A RAW SC'!AB$17*100)</f>
        <v/>
      </c>
      <c r="AC20" s="126" t="str">
        <f>IF('Midterm OVPAA-F-INS-055A RAW SC'!AC20="","",'Midterm OVPAA-F-INS-055A RAW SC'!AC20/'Midterm OVPAA-F-INS-055A RAW SC'!AC$17*100)</f>
        <v/>
      </c>
      <c r="AD20" s="126" t="str">
        <f>IF('Midterm OVPAA-F-INS-055A RAW SC'!AD20="","",'Midterm OVPAA-F-INS-055A RAW SC'!AD20/'Midterm OVPAA-F-INS-055A RAW SC'!AD$17*100)</f>
        <v/>
      </c>
      <c r="AE20" s="126" t="str">
        <f>IF('Midterm OVPAA-F-INS-055A RAW SC'!AE20="","",'Midterm OVPAA-F-INS-055A RAW SC'!AE20/'Midterm OVPAA-F-INS-055A RAW SC'!AE$17*100)</f>
        <v/>
      </c>
      <c r="AF20" s="126" t="str">
        <f>IF('Midterm OVPAA-F-INS-055A RAW SC'!AF20="","",'Midterm OVPAA-F-INS-055A RAW SC'!AF20/'Midterm OVPAA-F-INS-055A RAW SC'!AF$17*100)</f>
        <v/>
      </c>
      <c r="AG20" s="126" t="str">
        <f>IF('Midterm OVPAA-F-INS-055A RAW SC'!AG20="","",'Midterm OVPAA-F-INS-055A RAW SC'!AG20/'Midterm OVPAA-F-INS-055A RAW SC'!AG$17*100)</f>
        <v/>
      </c>
      <c r="AH20" s="126" t="str">
        <f>IF('Midterm OVPAA-F-INS-055A RAW SC'!AH20="","",'Midterm OVPAA-F-INS-055A RAW SC'!AH20/'Midterm OVPAA-F-INS-055A RAW SC'!AH$17*100)</f>
        <v/>
      </c>
      <c r="AI20" s="126" t="str">
        <f>IF('Midterm OVPAA-F-INS-055A RAW SC'!AI20="","",'Midterm OVPAA-F-INS-055A RAW SC'!AI20/'Midterm OVPAA-F-INS-055A RAW SC'!AI$17*100)</f>
        <v/>
      </c>
      <c r="AJ20" s="126" t="str">
        <f>IF('Midterm OVPAA-F-INS-055A RAW SC'!AJ20="","",'Midterm OVPAA-F-INS-055A RAW SC'!AJ20/'Midterm OVPAA-F-INS-055A RAW SC'!AJ$17*100)</f>
        <v/>
      </c>
      <c r="AK20" s="126" t="str">
        <f>IF('Midterm OVPAA-F-INS-055A RAW SC'!AK20="","",'Midterm OVPAA-F-INS-055A RAW SC'!AK20/'Midterm OVPAA-F-INS-055A RAW SC'!AK$17*100)</f>
        <v/>
      </c>
      <c r="AL20" s="126" t="str">
        <f>IF('Midterm OVPAA-F-INS-055A RAW SC'!AL20="","",'Midterm OVPAA-F-INS-055A RAW SC'!AL20/'Midterm OVPAA-F-INS-055A RAW SC'!AL$17*100)</f>
        <v/>
      </c>
      <c r="AM20" s="126" t="str">
        <f>IF('Midterm OVPAA-F-INS-055A RAW SC'!AM20="","",'Midterm OVPAA-F-INS-055A RAW SC'!AM20/'Midterm OVPAA-F-INS-055A RAW SC'!AM$17*100)</f>
        <v/>
      </c>
      <c r="AN20" s="126" t="str">
        <f>IF('Midterm OVPAA-F-INS-055A RAW SC'!AN20="","",'Midterm OVPAA-F-INS-055A RAW SC'!AN20/'Midterm OVPAA-F-INS-055A RAW SC'!AN$17*100)</f>
        <v/>
      </c>
      <c r="AO20" s="126" t="str">
        <f>IF('Midterm OVPAA-F-INS-055A RAW SC'!AO20="","",'Midterm OVPAA-F-INS-055A RAW SC'!AO20/'Midterm OVPAA-F-INS-055A RAW SC'!AO$17*100)</f>
        <v/>
      </c>
      <c r="AP20" s="126" t="str">
        <f>IF('Midterm OVPAA-F-INS-055A RAW SC'!AP20="","",'Midterm OVPAA-F-INS-055A RAW SC'!AP20/'Midterm OVPAA-F-INS-055A RAW SC'!AP$17*100)</f>
        <v/>
      </c>
      <c r="AQ20" s="126" t="str">
        <f>IF('Midterm OVPAA-F-INS-055A RAW SC'!AQ20="","",'Midterm OVPAA-F-INS-055A RAW SC'!AQ20/'Midterm OVPAA-F-INS-055A RAW SC'!AQ$17*100)</f>
        <v/>
      </c>
      <c r="AR20" s="126" t="str">
        <f>IF('Midterm OVPAA-F-INS-055A RAW SC'!AR20="","",'Midterm OVPAA-F-INS-055A RAW SC'!AR20/'Midterm OVPAA-F-INS-055A RAW SC'!AR$17*100)</f>
        <v/>
      </c>
      <c r="AS20" s="126" t="str">
        <f>IF('Midterm OVPAA-F-INS-055A RAW SC'!AS20="","",'Midterm OVPAA-F-INS-055A RAW SC'!AS20/'Midterm OVPAA-F-INS-055A RAW SC'!AS$17*100)</f>
        <v/>
      </c>
      <c r="AT20" s="126" t="str">
        <f>IF('Midterm OVPAA-F-INS-055A RAW SC'!AT20="","",'Midterm OVPAA-F-INS-055A RAW SC'!AT20/'Midterm OVPAA-F-INS-055A RAW SC'!AT$17*100)</f>
        <v/>
      </c>
      <c r="AU20" s="126" t="str">
        <f>IF('Midterm OVPAA-F-INS-055A RAW SC'!AU20="","",'Midterm OVPAA-F-INS-055A RAW SC'!AU20/'Midterm OVPAA-F-INS-055A RAW SC'!AU$17*100)</f>
        <v/>
      </c>
      <c r="AV20" s="126" t="str">
        <f>IF('Midterm OVPAA-F-INS-055A RAW SC'!AV20="","",'Midterm OVPAA-F-INS-055A RAW SC'!AV20/'Midterm OVPAA-F-INS-055A RAW SC'!AV$17*100)</f>
        <v/>
      </c>
      <c r="AW20" s="126" t="str">
        <f>IF('Midterm OVPAA-F-INS-055A RAW SC'!AW20="","",'Midterm OVPAA-F-INS-055A RAW SC'!AW20/'Midterm OVPAA-F-INS-055A RAW SC'!AW$17*100)</f>
        <v/>
      </c>
      <c r="AX20" s="126" t="str">
        <f>IF('Midterm OVPAA-F-INS-055A RAW SC'!AX20="","",'Midterm OVPAA-F-INS-055A RAW SC'!AX20/'Midterm OVPAA-F-INS-055A RAW SC'!AX$17*100)</f>
        <v/>
      </c>
      <c r="AY20" s="126" t="str">
        <f>IF('Midterm OVPAA-F-INS-055A RAW SC'!AY20="","",'Midterm OVPAA-F-INS-055A RAW SC'!AY20/'Midterm OVPAA-F-INS-055A RAW SC'!AY$17*100)</f>
        <v/>
      </c>
      <c r="AZ20" s="126" t="str">
        <f>IF('Midterm OVPAA-F-INS-055A RAW SC'!AZ20="","",'Midterm OVPAA-F-INS-055A RAW SC'!AZ20/'Midterm OVPAA-F-INS-055A RAW SC'!AZ$17*100)</f>
        <v/>
      </c>
      <c r="BA20" s="126" t="str">
        <f>IF('Midterm OVPAA-F-INS-055A RAW SC'!BA20="","",'Midterm OVPAA-F-INS-055A RAW SC'!BA20/'Midterm OVPAA-F-INS-055A RAW SC'!BA$17*100)</f>
        <v/>
      </c>
      <c r="BB20" s="126" t="str">
        <f>IF('Midterm OVPAA-F-INS-055A RAW SC'!BB20="","",'Midterm OVPAA-F-INS-055A RAW SC'!BB20/'Midterm OVPAA-F-INS-055A RAW SC'!BB$17*100)</f>
        <v/>
      </c>
      <c r="BC20" s="126" t="str">
        <f>IF('Midterm OVPAA-F-INS-055A RAW SC'!BC20="","",'Midterm OVPAA-F-INS-055A RAW SC'!BC20/'Midterm OVPAA-F-INS-055A RAW SC'!BC$17*100)</f>
        <v/>
      </c>
      <c r="BD20" s="126" t="str">
        <f>IF('Midterm OVPAA-F-INS-055A RAW SC'!BD20="","",'Midterm OVPAA-F-INS-055A RAW SC'!BD20/'Midterm OVPAA-F-INS-055A RAW SC'!BD$17*100)</f>
        <v/>
      </c>
      <c r="BE20" s="126" t="str">
        <f>IF('Midterm OVPAA-F-INS-055A RAW SC'!BE20="","",'Midterm OVPAA-F-INS-055A RAW SC'!BE20/'Midterm OVPAA-F-INS-055A RAW SC'!BE$17*100)</f>
        <v/>
      </c>
      <c r="BF20" s="126" t="str">
        <f>IF('Midterm OVPAA-F-INS-055A RAW SC'!BF20="","",'Midterm OVPAA-F-INS-055A RAW SC'!BF20/'Midterm OVPAA-F-INS-055A RAW SC'!BF$17*100)</f>
        <v/>
      </c>
      <c r="BG20" s="126" t="str">
        <f>IF('Midterm OVPAA-F-INS-055A RAW SC'!BG20="","",'Midterm OVPAA-F-INS-055A RAW SC'!BG20/'Midterm OVPAA-F-INS-055A RAW SC'!BG$17*100)</f>
        <v/>
      </c>
      <c r="BH20" s="126" t="str">
        <f>IF('Midterm OVPAA-F-INS-055A RAW SC'!BH20="","",'Midterm OVPAA-F-INS-055A RAW SC'!BH20/'Midterm OVPAA-F-INS-055A RAW SC'!BH$17*100)</f>
        <v/>
      </c>
      <c r="BI20" s="126" t="str">
        <f>IF('Midterm OVPAA-F-INS-055A RAW SC'!BI20="","",'Midterm OVPAA-F-INS-055A RAW SC'!BI20/'Midterm OVPAA-F-INS-055A RAW SC'!BI$17*100)</f>
        <v/>
      </c>
      <c r="BJ20" s="126" t="str">
        <f>IF('Midterm OVPAA-F-INS-055A RAW SC'!BJ20="","",'Midterm OVPAA-F-INS-055A RAW SC'!BJ20/'Midterm OVPAA-F-INS-055A RAW SC'!BJ$17*100)</f>
        <v/>
      </c>
      <c r="BK20" s="126" t="str">
        <f>IF('Midterm OVPAA-F-INS-055A RAW SC'!BK20="","",'Midterm OVPAA-F-INS-055A RAW SC'!BK20/'Midterm OVPAA-F-INS-055A RAW SC'!BK$17*100)</f>
        <v/>
      </c>
      <c r="BL20" s="126" t="str">
        <f>IF('Midterm OVPAA-F-INS-055A RAW SC'!BL20="","",'Midterm OVPAA-F-INS-055A RAW SC'!BL20/'Midterm OVPAA-F-INS-055A RAW SC'!BL$17*100)</f>
        <v/>
      </c>
      <c r="BM20" s="126" t="str">
        <f>IF('Midterm OVPAA-F-INS-055A RAW SC'!BM20="","",'Midterm OVPAA-F-INS-055A RAW SC'!BM20/'Midterm OVPAA-F-INS-055A RAW SC'!BM$17*100)</f>
        <v/>
      </c>
      <c r="BN20" s="126" t="str">
        <f>IF('Midterm OVPAA-F-INS-055A RAW SC'!BN20="","",'Midterm OVPAA-F-INS-055A RAW SC'!BN20/'Midterm OVPAA-F-INS-055A RAW SC'!BN$17*100)</f>
        <v/>
      </c>
      <c r="BO20" s="126" t="str">
        <f>IF('Midterm OVPAA-F-INS-055A RAW SC'!BO20="","",'Midterm OVPAA-F-INS-055A RAW SC'!BO20/'Midterm OVPAA-F-INS-055A RAW SC'!BO$17*100)</f>
        <v/>
      </c>
      <c r="BP20" s="126" t="str">
        <f>IF('Midterm OVPAA-F-INS-055A RAW SC'!BP20="","",'Midterm OVPAA-F-INS-055A RAW SC'!BP20/'Midterm OVPAA-F-INS-055A RAW SC'!BP$17*100)</f>
        <v/>
      </c>
      <c r="BQ20" s="126" t="str">
        <f>IF('Midterm OVPAA-F-INS-055A RAW SC'!BQ20="","",'Midterm OVPAA-F-INS-055A RAW SC'!BQ20/'Midterm OVPAA-F-INS-055A RAW SC'!BQ$17*100)</f>
        <v/>
      </c>
      <c r="BR20" s="126" t="str">
        <f>IF('Midterm OVPAA-F-INS-055A RAW SC'!BR20="","",'Midterm OVPAA-F-INS-055A RAW SC'!BR20/'Midterm OVPAA-F-INS-055A RAW SC'!BR$17*100)</f>
        <v/>
      </c>
      <c r="BS20" s="126" t="str">
        <f>IF('Midterm OVPAA-F-INS-055A RAW SC'!BS20="","",'Midterm OVPAA-F-INS-055A RAW SC'!BS20/'Midterm OVPAA-F-INS-055A RAW SC'!BS$17*100)</f>
        <v/>
      </c>
      <c r="BT20" s="126" t="str">
        <f>IF('Midterm OVPAA-F-INS-055A RAW SC'!BT20="","",'Midterm OVPAA-F-INS-055A RAW SC'!BT20/'Midterm OVPAA-F-INS-055A RAW SC'!BT$17*100)</f>
        <v/>
      </c>
      <c r="BU20" s="127">
        <f t="array" ref="BU20">IF('Midterm OVPAA-F-INS-055A RAW SC'!$G20="","",IF((SUMPRODUCT(--ISBLANK('Midterm OVPAA-F-INS-055A RAW SC'!H20:BT20))=COLUMNS('Midterm OVPAA-F-INS-055A RAW SC'!H20:BT20))=TRUE,"",(((COUNTA('Midterm OVPAA-F-INS-055A RAW SC'!$H$17:$BT$17)+COUNTBLANK('Midterm OVPAA-F-INS-055A RAW SC'!H20:BT20))-COLUMNS('Midterm OVPAA-F-INS-055A RAW SC'!H20:BT20))*5+SUM(H20:BT20))/COUNTA('Midterm OVPAA-F-INS-055A RAW SC'!$H$17:$BT$17)))</f>
        <v>60.333333333333336</v>
      </c>
      <c r="BV20" s="128">
        <f>IF(BU20="","",VLOOKUP(BU20,IF('Midterm OVPAA-F-INS-055A RAW SC'!$V$12=0.5,TRANSMUTATION!$C$4:$D$17,TRANSMUTATION!$G$4:$H$17),2,TRUE))</f>
        <v>2.75</v>
      </c>
      <c r="BW20" s="129">
        <f>IF('Midterm OVPAA-F-INS-055A RAW SC'!BU20="","",'Midterm OVPAA-F-INS-055A RAW SC'!BU20/'Midterm OVPAA-F-INS-055A RAW SC'!BU$17*100)</f>
        <v>94</v>
      </c>
      <c r="BX20" s="130">
        <f>IF('Midterm OVPAA-F-INS-055A RAW SC'!BV20="","",'Midterm OVPAA-F-INS-055A RAW SC'!BV20/'Midterm OVPAA-F-INS-055A RAW SC'!BV$17*100)</f>
        <v>100</v>
      </c>
      <c r="BY20" s="130">
        <f>IF('Midterm OVPAA-F-INS-055A RAW SC'!BW20="","",'Midterm OVPAA-F-INS-055A RAW SC'!BW20/'Midterm OVPAA-F-INS-055A RAW SC'!BW$17*100)</f>
        <v>100</v>
      </c>
      <c r="BZ20" s="130" t="str">
        <f>IF('Midterm OVPAA-F-INS-055A RAW SC'!BX20="","",'Midterm OVPAA-F-INS-055A RAW SC'!BX20/'Midterm OVPAA-F-INS-055A RAW SC'!BX$17*100)</f>
        <v/>
      </c>
      <c r="CA20" s="130" t="str">
        <f>IF('Midterm OVPAA-F-INS-055A RAW SC'!BY20="","",'Midterm OVPAA-F-INS-055A RAW SC'!BY20/'Midterm OVPAA-F-INS-055A RAW SC'!BY$17*100)</f>
        <v/>
      </c>
      <c r="CB20" s="130" t="str">
        <f>IF('Midterm OVPAA-F-INS-055A RAW SC'!BZ20="","",'Midterm OVPAA-F-INS-055A RAW SC'!BZ20/'Midterm OVPAA-F-INS-055A RAW SC'!BZ$17*100)</f>
        <v/>
      </c>
      <c r="CC20" s="130" t="str">
        <f>IF('Midterm OVPAA-F-INS-055A RAW SC'!CA20="","",'Midterm OVPAA-F-INS-055A RAW SC'!CA20/'Midterm OVPAA-F-INS-055A RAW SC'!CA$17*100)</f>
        <v/>
      </c>
      <c r="CD20" s="130" t="str">
        <f>IF('Midterm OVPAA-F-INS-055A RAW SC'!CB20="","",'Midterm OVPAA-F-INS-055A RAW SC'!CB20/'Midterm OVPAA-F-INS-055A RAW SC'!CB$17*100)</f>
        <v/>
      </c>
      <c r="CE20" s="130" t="str">
        <f>IF('Midterm OVPAA-F-INS-055A RAW SC'!CC20="","",'Midterm OVPAA-F-INS-055A RAW SC'!CC20/'Midterm OVPAA-F-INS-055A RAW SC'!CC$17*100)</f>
        <v/>
      </c>
      <c r="CF20" s="130" t="str">
        <f>IF('Midterm OVPAA-F-INS-055A RAW SC'!CD20="","",'Midterm OVPAA-F-INS-055A RAW SC'!CD20/'Midterm OVPAA-F-INS-055A RAW SC'!CD$17*100)</f>
        <v/>
      </c>
      <c r="CG20" s="130" t="str">
        <f>IF('Midterm OVPAA-F-INS-055A RAW SC'!CE20="","",'Midterm OVPAA-F-INS-055A RAW SC'!CE20/'Midterm OVPAA-F-INS-055A RAW SC'!CE$17*100)</f>
        <v/>
      </c>
      <c r="CH20" s="130" t="str">
        <f>IF('Midterm OVPAA-F-INS-055A RAW SC'!CF20="","",'Midterm OVPAA-F-INS-055A RAW SC'!CF20/'Midterm OVPAA-F-INS-055A RAW SC'!CF$17*100)</f>
        <v/>
      </c>
      <c r="CI20" s="130" t="str">
        <f>IF('Midterm OVPAA-F-INS-055A RAW SC'!CG20="","",'Midterm OVPAA-F-INS-055A RAW SC'!CG20/'Midterm OVPAA-F-INS-055A RAW SC'!CG$17*100)</f>
        <v/>
      </c>
      <c r="CJ20" s="130" t="str">
        <f>IF('Midterm OVPAA-F-INS-055A RAW SC'!CH20="","",'Midterm OVPAA-F-INS-055A RAW SC'!CH20/'Midterm OVPAA-F-INS-055A RAW SC'!CH$17*100)</f>
        <v/>
      </c>
      <c r="CK20" s="130" t="str">
        <f>IF('Midterm OVPAA-F-INS-055A RAW SC'!CI20="","",'Midterm OVPAA-F-INS-055A RAW SC'!CI20/'Midterm OVPAA-F-INS-055A RAW SC'!CI$17*100)</f>
        <v/>
      </c>
      <c r="CL20" s="130" t="str">
        <f>IF('Midterm OVPAA-F-INS-055A RAW SC'!CJ20="","",'Midterm OVPAA-F-INS-055A RAW SC'!CJ20/'Midterm OVPAA-F-INS-055A RAW SC'!CJ$17*100)</f>
        <v/>
      </c>
      <c r="CM20" s="130" t="str">
        <f>IF('Midterm OVPAA-F-INS-055A RAW SC'!CK20="","",'Midterm OVPAA-F-INS-055A RAW SC'!CK20/'Midterm OVPAA-F-INS-055A RAW SC'!CK$17*100)</f>
        <v/>
      </c>
      <c r="CN20" s="130" t="str">
        <f>IF('Midterm OVPAA-F-INS-055A RAW SC'!CL20="","",'Midterm OVPAA-F-INS-055A RAW SC'!CL20/'Midterm OVPAA-F-INS-055A RAW SC'!CL$17*100)</f>
        <v/>
      </c>
      <c r="CO20" s="130" t="str">
        <f>IF('Midterm OVPAA-F-INS-055A RAW SC'!CM20="","",'Midterm OVPAA-F-INS-055A RAW SC'!CM20/'Midterm OVPAA-F-INS-055A RAW SC'!CM$17*100)</f>
        <v/>
      </c>
      <c r="CP20" s="130" t="str">
        <f>IF('Midterm OVPAA-F-INS-055A RAW SC'!CN20="","",'Midterm OVPAA-F-INS-055A RAW SC'!CN20/'Midterm OVPAA-F-INS-055A RAW SC'!CN$17*100)</f>
        <v/>
      </c>
      <c r="CQ20" s="131">
        <f t="array" ref="CQ20">IF('Midterm OVPAA-F-INS-055A RAW SC'!G20="","",IF((SUMPRODUCT(--ISBLANK('Midterm OVPAA-F-INS-055A RAW SC'!BU20:CN20))=COLUMNS('Midterm OVPAA-F-INS-055A RAW SC'!BU20:CN20))=TRUE,"",(((COUNTA('Midterm OVPAA-F-INS-055A RAW SC'!$BU$17:$CN$17)+COUNTBLANK('Midterm OVPAA-F-INS-055A RAW SC'!BU20:CN20))-COLUMNS('Midterm OVPAA-F-INS-055A RAW SC'!BU20:CN20))*5+SUM(BW20:CP20))/COUNTA('Midterm OVPAA-F-INS-055A RAW SC'!$BU$17:$CN$17)))</f>
        <v>98</v>
      </c>
      <c r="CR20" s="132">
        <f>IF(CQ20="","",VLOOKUP(CQ20,IF('Midterm OVPAA-F-INS-055A RAW SC'!$V$12=0.5,TRANSMUTATION!$C$4:$D$17,TRANSMUTATION!$G$4:$H$17),2,TRUE))</f>
        <v>1</v>
      </c>
      <c r="CS20" s="133">
        <f>IF('Midterm OVPAA-F-INS-055A RAW SC'!CO20="","",'Midterm OVPAA-F-INS-055A RAW SC'!CO20/'Midterm OVPAA-F-INS-055A RAW SC'!CO$17*100)</f>
        <v>94</v>
      </c>
      <c r="CT20" s="133">
        <f>IF('Midterm OVPAA-F-INS-055A RAW SC'!CP20="","",'Midterm OVPAA-F-INS-055A RAW SC'!CP20/'Midterm OVPAA-F-INS-055A RAW SC'!CP$17*100)</f>
        <v>88</v>
      </c>
      <c r="CU20" s="133" t="str">
        <f>IF('Midterm OVPAA-F-INS-055A RAW SC'!CQ20="","",'Midterm OVPAA-F-INS-055A RAW SC'!CQ20/'Midterm OVPAA-F-INS-055A RAW SC'!CQ$17*100)</f>
        <v/>
      </c>
      <c r="CV20" s="133" t="str">
        <f>IF('Midterm OVPAA-F-INS-055A RAW SC'!CR20="","",'Midterm OVPAA-F-INS-055A RAW SC'!CR20/'Midterm OVPAA-F-INS-055A RAW SC'!CR$17*100)</f>
        <v/>
      </c>
      <c r="CW20" s="133" t="str">
        <f>IF('Midterm OVPAA-F-INS-055A RAW SC'!CS20="","",'Midterm OVPAA-F-INS-055A RAW SC'!CS20/'Midterm OVPAA-F-INS-055A RAW SC'!CS$17*100)</f>
        <v/>
      </c>
      <c r="CX20" s="133" t="str">
        <f>IF('Midterm OVPAA-F-INS-055A RAW SC'!CT20="","",'Midterm OVPAA-F-INS-055A RAW SC'!CT20/'Midterm OVPAA-F-INS-055A RAW SC'!CT$17*100)</f>
        <v/>
      </c>
      <c r="CY20" s="133" t="str">
        <f>IF('Midterm OVPAA-F-INS-055A RAW SC'!CU20="","",'Midterm OVPAA-F-INS-055A RAW SC'!CU20/'Midterm OVPAA-F-INS-055A RAW SC'!CU$17*100)</f>
        <v/>
      </c>
      <c r="CZ20" s="133" t="str">
        <f>IF('Midterm OVPAA-F-INS-055A RAW SC'!CV20="","",'Midterm OVPAA-F-INS-055A RAW SC'!CV20/'Midterm OVPAA-F-INS-055A RAW SC'!CV$17*100)</f>
        <v/>
      </c>
      <c r="DA20" s="133" t="str">
        <f>IF('Midterm OVPAA-F-INS-055A RAW SC'!CW20="","",'Midterm OVPAA-F-INS-055A RAW SC'!CW20/'Midterm OVPAA-F-INS-055A RAW SC'!CW$17*100)</f>
        <v/>
      </c>
      <c r="DB20" s="133" t="str">
        <f>IF('Midterm OVPAA-F-INS-055A RAW SC'!CX20="","",'Midterm OVPAA-F-INS-055A RAW SC'!CX20/'Midterm OVPAA-F-INS-055A RAW SC'!CX$17*100)</f>
        <v/>
      </c>
      <c r="DC20" s="134">
        <f t="array" ref="DC20">IF('Midterm OVPAA-F-INS-055A RAW SC'!$G20="","",IF((SUMPRODUCT(--ISBLANK('Midterm OVPAA-F-INS-055A RAW SC'!CO20:CX20))=COLUMNS('Midterm OVPAA-F-INS-055A RAW SC'!CO20:CX20))=TRUE,"",(((COUNTA('Midterm OVPAA-F-INS-055A RAW SC'!$CO$17:$CX$17)+COUNTBLANK('Midterm OVPAA-F-INS-055A RAW SC'!CO20:CX20))-COLUMNS('Midterm OVPAA-F-INS-055A RAW SC'!CO20:CX20))*5+SUM(CS20:DB20))/COUNTA('Midterm OVPAA-F-INS-055A RAW SC'!$CO$17:$CX$17)))</f>
        <v>91</v>
      </c>
      <c r="DD20" s="135">
        <f>IF(DC20="","",VLOOKUP(DC20,IF('Midterm OVPAA-F-INS-055A RAW SC'!$V$12=0.5,TRANSMUTATION!$C$4:$D$17,TRANSMUTATION!$G$4:$H$17),2,TRUE))</f>
        <v>1.25</v>
      </c>
      <c r="DE20" s="136">
        <f t="shared" si="1"/>
        <v>0.82499999999999996</v>
      </c>
      <c r="DF20" s="137">
        <f t="shared" si="2"/>
        <v>0.3</v>
      </c>
      <c r="DG20" s="138">
        <f t="shared" si="3"/>
        <v>0.5</v>
      </c>
      <c r="DH20" s="136">
        <f t="shared" si="4"/>
        <v>1.625</v>
      </c>
      <c r="DI20" s="123" t="str">
        <f t="shared" si="5"/>
        <v>1.50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v>70</v>
      </c>
      <c r="I21" s="126">
        <v>70</v>
      </c>
      <c r="J21" s="126">
        <v>70</v>
      </c>
      <c r="K21" s="126" t="str">
        <f>IF('Midterm OVPAA-F-INS-055A RAW SC'!K21="","",'Midterm OVPAA-F-INS-055A RAW SC'!K21/'Midterm OVPAA-F-INS-055A RAW SC'!K$17*100)</f>
        <v/>
      </c>
      <c r="L21" s="126" t="str">
        <f>IF('Midterm OVPAA-F-INS-055A RAW SC'!L21="","",'Midterm OVPAA-F-INS-055A RAW SC'!L21/'Midterm OVPAA-F-INS-055A RAW SC'!L$17*100)</f>
        <v/>
      </c>
      <c r="M21" s="126" t="str">
        <f>IF('Midterm OVPAA-F-INS-055A RAW SC'!M21="","",'Midterm OVPAA-F-INS-055A RAW SC'!M21/'Midterm OVPAA-F-INS-055A RAW SC'!M$17*100)</f>
        <v/>
      </c>
      <c r="N21" s="126" t="str">
        <f>IF('Midterm OVPAA-F-INS-055A RAW SC'!N21="","",'Midterm OVPAA-F-INS-055A RAW SC'!N21/'Midterm OVPAA-F-INS-055A RAW SC'!N$17*100)</f>
        <v/>
      </c>
      <c r="O21" s="126" t="str">
        <f>IF('Midterm OVPAA-F-INS-055A RAW SC'!O21="","",'Midterm OVPAA-F-INS-055A RAW SC'!O21/'Midterm OVPAA-F-INS-055A RAW SC'!O$17*100)</f>
        <v/>
      </c>
      <c r="P21" s="126" t="str">
        <f>IF('Midterm OVPAA-F-INS-055A RAW SC'!P21="","",'Midterm OVPAA-F-INS-055A RAW SC'!P21/'Midterm OVPAA-F-INS-055A RAW SC'!P$17*100)</f>
        <v/>
      </c>
      <c r="Q21" s="126" t="str">
        <f>IF('Midterm OVPAA-F-INS-055A RAW SC'!Q21="","",'Midterm OVPAA-F-INS-055A RAW SC'!Q21/'Midterm OVPAA-F-INS-055A RAW SC'!Q$17*100)</f>
        <v/>
      </c>
      <c r="R21" s="126" t="str">
        <f>IF('Midterm OVPAA-F-INS-055A RAW SC'!R21="","",'Midterm OVPAA-F-INS-055A RAW SC'!R21/'Midterm OVPAA-F-INS-055A RAW SC'!R$17*100)</f>
        <v/>
      </c>
      <c r="S21" s="126" t="str">
        <f>IF('Midterm OVPAA-F-INS-055A RAW SC'!S21="","",'Midterm OVPAA-F-INS-055A RAW SC'!S21/'Midterm OVPAA-F-INS-055A RAW SC'!S$17*100)</f>
        <v/>
      </c>
      <c r="T21" s="126" t="str">
        <f>IF('Midterm OVPAA-F-INS-055A RAW SC'!T21="","",'Midterm OVPAA-F-INS-055A RAW SC'!T21/'Midterm OVPAA-F-INS-055A RAW SC'!T$17*100)</f>
        <v/>
      </c>
      <c r="U21" s="126" t="str">
        <f>IF('Midterm OVPAA-F-INS-055A RAW SC'!U21="","",'Midterm OVPAA-F-INS-055A RAW SC'!U21/'Midterm OVPAA-F-INS-055A RAW SC'!U$17*100)</f>
        <v/>
      </c>
      <c r="V21" s="126" t="str">
        <f>IF('Midterm OVPAA-F-INS-055A RAW SC'!V21="","",'Midterm OVPAA-F-INS-055A RAW SC'!V21/'Midterm OVPAA-F-INS-055A RAW SC'!V$17*100)</f>
        <v/>
      </c>
      <c r="W21" s="126" t="str">
        <f>IF('Midterm OVPAA-F-INS-055A RAW SC'!W21="","",'Midterm OVPAA-F-INS-055A RAW SC'!W21/'Midterm OVPAA-F-INS-055A RAW SC'!W$17*100)</f>
        <v/>
      </c>
      <c r="X21" s="126" t="str">
        <f>IF('Midterm OVPAA-F-INS-055A RAW SC'!X21="","",'Midterm OVPAA-F-INS-055A RAW SC'!X21/'Midterm OVPAA-F-INS-055A RAW SC'!X$17*100)</f>
        <v/>
      </c>
      <c r="Y21" s="126" t="str">
        <f>IF('Midterm OVPAA-F-INS-055A RAW SC'!Y21="","",'Midterm OVPAA-F-INS-055A RAW SC'!Y21/'Midterm OVPAA-F-INS-055A RAW SC'!Y$17*100)</f>
        <v/>
      </c>
      <c r="Z21" s="126" t="str">
        <f>IF('Midterm OVPAA-F-INS-055A RAW SC'!Z21="","",'Midterm OVPAA-F-INS-055A RAW SC'!Z21/'Midterm OVPAA-F-INS-055A RAW SC'!Z$17*100)</f>
        <v/>
      </c>
      <c r="AA21" s="126" t="str">
        <f>IF('Midterm OVPAA-F-INS-055A RAW SC'!AA21="","",'Midterm OVPAA-F-INS-055A RAW SC'!AA21/'Midterm OVPAA-F-INS-055A RAW SC'!AA$17*100)</f>
        <v/>
      </c>
      <c r="AB21" s="126" t="str">
        <f>IF('Midterm OVPAA-F-INS-055A RAW SC'!AB21="","",'Midterm OVPAA-F-INS-055A RAW SC'!AB21/'Midterm OVPAA-F-INS-055A RAW SC'!AB$17*100)</f>
        <v/>
      </c>
      <c r="AC21" s="126" t="str">
        <f>IF('Midterm OVPAA-F-INS-055A RAW SC'!AC21="","",'Midterm OVPAA-F-INS-055A RAW SC'!AC21/'Midterm OVPAA-F-INS-055A RAW SC'!AC$17*100)</f>
        <v/>
      </c>
      <c r="AD21" s="126" t="str">
        <f>IF('Midterm OVPAA-F-INS-055A RAW SC'!AD21="","",'Midterm OVPAA-F-INS-055A RAW SC'!AD21/'Midterm OVPAA-F-INS-055A RAW SC'!AD$17*100)</f>
        <v/>
      </c>
      <c r="AE21" s="126" t="str">
        <f>IF('Midterm OVPAA-F-INS-055A RAW SC'!AE21="","",'Midterm OVPAA-F-INS-055A RAW SC'!AE21/'Midterm OVPAA-F-INS-055A RAW SC'!AE$17*100)</f>
        <v/>
      </c>
      <c r="AF21" s="126" t="str">
        <f>IF('Midterm OVPAA-F-INS-055A RAW SC'!AF21="","",'Midterm OVPAA-F-INS-055A RAW SC'!AF21/'Midterm OVPAA-F-INS-055A RAW SC'!AF$17*100)</f>
        <v/>
      </c>
      <c r="AG21" s="126" t="str">
        <f>IF('Midterm OVPAA-F-INS-055A RAW SC'!AG21="","",'Midterm OVPAA-F-INS-055A RAW SC'!AG21/'Midterm OVPAA-F-INS-055A RAW SC'!AG$17*100)</f>
        <v/>
      </c>
      <c r="AH21" s="126" t="str">
        <f>IF('Midterm OVPAA-F-INS-055A RAW SC'!AH21="","",'Midterm OVPAA-F-INS-055A RAW SC'!AH21/'Midterm OVPAA-F-INS-055A RAW SC'!AH$17*100)</f>
        <v/>
      </c>
      <c r="AI21" s="126" t="str">
        <f>IF('Midterm OVPAA-F-INS-055A RAW SC'!AI21="","",'Midterm OVPAA-F-INS-055A RAW SC'!AI21/'Midterm OVPAA-F-INS-055A RAW SC'!AI$17*100)</f>
        <v/>
      </c>
      <c r="AJ21" s="126" t="str">
        <f>IF('Midterm OVPAA-F-INS-055A RAW SC'!AJ21="","",'Midterm OVPAA-F-INS-055A RAW SC'!AJ21/'Midterm OVPAA-F-INS-055A RAW SC'!AJ$17*100)</f>
        <v/>
      </c>
      <c r="AK21" s="126" t="str">
        <f>IF('Midterm OVPAA-F-INS-055A RAW SC'!AK21="","",'Midterm OVPAA-F-INS-055A RAW SC'!AK21/'Midterm OVPAA-F-INS-055A RAW SC'!AK$17*100)</f>
        <v/>
      </c>
      <c r="AL21" s="126" t="str">
        <f>IF('Midterm OVPAA-F-INS-055A RAW SC'!AL21="","",'Midterm OVPAA-F-INS-055A RAW SC'!AL21/'Midterm OVPAA-F-INS-055A RAW SC'!AL$17*100)</f>
        <v/>
      </c>
      <c r="AM21" s="126" t="str">
        <f>IF('Midterm OVPAA-F-INS-055A RAW SC'!AM21="","",'Midterm OVPAA-F-INS-055A RAW SC'!AM21/'Midterm OVPAA-F-INS-055A RAW SC'!AM$17*100)</f>
        <v/>
      </c>
      <c r="AN21" s="126" t="str">
        <f>IF('Midterm OVPAA-F-INS-055A RAW SC'!AN21="","",'Midterm OVPAA-F-INS-055A RAW SC'!AN21/'Midterm OVPAA-F-INS-055A RAW SC'!AN$17*100)</f>
        <v/>
      </c>
      <c r="AO21" s="126" t="str">
        <f>IF('Midterm OVPAA-F-INS-055A RAW SC'!AO21="","",'Midterm OVPAA-F-INS-055A RAW SC'!AO21/'Midterm OVPAA-F-INS-055A RAW SC'!AO$17*100)</f>
        <v/>
      </c>
      <c r="AP21" s="126" t="str">
        <f>IF('Midterm OVPAA-F-INS-055A RAW SC'!AP21="","",'Midterm OVPAA-F-INS-055A RAW SC'!AP21/'Midterm OVPAA-F-INS-055A RAW SC'!AP$17*100)</f>
        <v/>
      </c>
      <c r="AQ21" s="126" t="str">
        <f>IF('Midterm OVPAA-F-INS-055A RAW SC'!AQ21="","",'Midterm OVPAA-F-INS-055A RAW SC'!AQ21/'Midterm OVPAA-F-INS-055A RAW SC'!AQ$17*100)</f>
        <v/>
      </c>
      <c r="AR21" s="126" t="str">
        <f>IF('Midterm OVPAA-F-INS-055A RAW SC'!AR21="","",'Midterm OVPAA-F-INS-055A RAW SC'!AR21/'Midterm OVPAA-F-INS-055A RAW SC'!AR$17*100)</f>
        <v/>
      </c>
      <c r="AS21" s="126" t="str">
        <f>IF('Midterm OVPAA-F-INS-055A RAW SC'!AS21="","",'Midterm OVPAA-F-INS-055A RAW SC'!AS21/'Midterm OVPAA-F-INS-055A RAW SC'!AS$17*100)</f>
        <v/>
      </c>
      <c r="AT21" s="126" t="str">
        <f>IF('Midterm OVPAA-F-INS-055A RAW SC'!AT21="","",'Midterm OVPAA-F-INS-055A RAW SC'!AT21/'Midterm OVPAA-F-INS-055A RAW SC'!AT$17*100)</f>
        <v/>
      </c>
      <c r="AU21" s="126" t="str">
        <f>IF('Midterm OVPAA-F-INS-055A RAW SC'!AU21="","",'Midterm OVPAA-F-INS-055A RAW SC'!AU21/'Midterm OVPAA-F-INS-055A RAW SC'!AU$17*100)</f>
        <v/>
      </c>
      <c r="AV21" s="126" t="str">
        <f>IF('Midterm OVPAA-F-INS-055A RAW SC'!AV21="","",'Midterm OVPAA-F-INS-055A RAW SC'!AV21/'Midterm OVPAA-F-INS-055A RAW SC'!AV$17*100)</f>
        <v/>
      </c>
      <c r="AW21" s="126" t="str">
        <f>IF('Midterm OVPAA-F-INS-055A RAW SC'!AW21="","",'Midterm OVPAA-F-INS-055A RAW SC'!AW21/'Midterm OVPAA-F-INS-055A RAW SC'!AW$17*100)</f>
        <v/>
      </c>
      <c r="AX21" s="126" t="str">
        <f>IF('Midterm OVPAA-F-INS-055A RAW SC'!AX21="","",'Midterm OVPAA-F-INS-055A RAW SC'!AX21/'Midterm OVPAA-F-INS-055A RAW SC'!AX$17*100)</f>
        <v/>
      </c>
      <c r="AY21" s="126" t="str">
        <f>IF('Midterm OVPAA-F-INS-055A RAW SC'!AY21="","",'Midterm OVPAA-F-INS-055A RAW SC'!AY21/'Midterm OVPAA-F-INS-055A RAW SC'!AY$17*100)</f>
        <v/>
      </c>
      <c r="AZ21" s="126" t="str">
        <f>IF('Midterm OVPAA-F-INS-055A RAW SC'!AZ21="","",'Midterm OVPAA-F-INS-055A RAW SC'!AZ21/'Midterm OVPAA-F-INS-055A RAW SC'!AZ$17*100)</f>
        <v/>
      </c>
      <c r="BA21" s="126" t="str">
        <f>IF('Midterm OVPAA-F-INS-055A RAW SC'!BA21="","",'Midterm OVPAA-F-INS-055A RAW SC'!BA21/'Midterm OVPAA-F-INS-055A RAW SC'!BA$17*100)</f>
        <v/>
      </c>
      <c r="BB21" s="126" t="str">
        <f>IF('Midterm OVPAA-F-INS-055A RAW SC'!BB21="","",'Midterm OVPAA-F-INS-055A RAW SC'!BB21/'Midterm OVPAA-F-INS-055A RAW SC'!BB$17*100)</f>
        <v/>
      </c>
      <c r="BC21" s="126" t="str">
        <f>IF('Midterm OVPAA-F-INS-055A RAW SC'!BC21="","",'Midterm OVPAA-F-INS-055A RAW SC'!BC21/'Midterm OVPAA-F-INS-055A RAW SC'!BC$17*100)</f>
        <v/>
      </c>
      <c r="BD21" s="126" t="str">
        <f>IF('Midterm OVPAA-F-INS-055A RAW SC'!BD21="","",'Midterm OVPAA-F-INS-055A RAW SC'!BD21/'Midterm OVPAA-F-INS-055A RAW SC'!BD$17*100)</f>
        <v/>
      </c>
      <c r="BE21" s="126" t="str">
        <f>IF('Midterm OVPAA-F-INS-055A RAW SC'!BE21="","",'Midterm OVPAA-F-INS-055A RAW SC'!BE21/'Midterm OVPAA-F-INS-055A RAW SC'!BE$17*100)</f>
        <v/>
      </c>
      <c r="BF21" s="126" t="str">
        <f>IF('Midterm OVPAA-F-INS-055A RAW SC'!BF21="","",'Midterm OVPAA-F-INS-055A RAW SC'!BF21/'Midterm OVPAA-F-INS-055A RAW SC'!BF$17*100)</f>
        <v/>
      </c>
      <c r="BG21" s="126" t="str">
        <f>IF('Midterm OVPAA-F-INS-055A RAW SC'!BG21="","",'Midterm OVPAA-F-INS-055A RAW SC'!BG21/'Midterm OVPAA-F-INS-055A RAW SC'!BG$17*100)</f>
        <v/>
      </c>
      <c r="BH21" s="126" t="str">
        <f>IF('Midterm OVPAA-F-INS-055A RAW SC'!BH21="","",'Midterm OVPAA-F-INS-055A RAW SC'!BH21/'Midterm OVPAA-F-INS-055A RAW SC'!BH$17*100)</f>
        <v/>
      </c>
      <c r="BI21" s="126" t="str">
        <f>IF('Midterm OVPAA-F-INS-055A RAW SC'!BI21="","",'Midterm OVPAA-F-INS-055A RAW SC'!BI21/'Midterm OVPAA-F-INS-055A RAW SC'!BI$17*100)</f>
        <v/>
      </c>
      <c r="BJ21" s="126" t="str">
        <f>IF('Midterm OVPAA-F-INS-055A RAW SC'!BJ21="","",'Midterm OVPAA-F-INS-055A RAW SC'!BJ21/'Midterm OVPAA-F-INS-055A RAW SC'!BJ$17*100)</f>
        <v/>
      </c>
      <c r="BK21" s="126" t="str">
        <f>IF('Midterm OVPAA-F-INS-055A RAW SC'!BK21="","",'Midterm OVPAA-F-INS-055A RAW SC'!BK21/'Midterm OVPAA-F-INS-055A RAW SC'!BK$17*100)</f>
        <v/>
      </c>
      <c r="BL21" s="126" t="str">
        <f>IF('Midterm OVPAA-F-INS-055A RAW SC'!BL21="","",'Midterm OVPAA-F-INS-055A RAW SC'!BL21/'Midterm OVPAA-F-INS-055A RAW SC'!BL$17*100)</f>
        <v/>
      </c>
      <c r="BM21" s="126" t="str">
        <f>IF('Midterm OVPAA-F-INS-055A RAW SC'!BM21="","",'Midterm OVPAA-F-INS-055A RAW SC'!BM21/'Midterm OVPAA-F-INS-055A RAW SC'!BM$17*100)</f>
        <v/>
      </c>
      <c r="BN21" s="126" t="str">
        <f>IF('Midterm OVPAA-F-INS-055A RAW SC'!BN21="","",'Midterm OVPAA-F-INS-055A RAW SC'!BN21/'Midterm OVPAA-F-INS-055A RAW SC'!BN$17*100)</f>
        <v/>
      </c>
      <c r="BO21" s="126" t="str">
        <f>IF('Midterm OVPAA-F-INS-055A RAW SC'!BO21="","",'Midterm OVPAA-F-INS-055A RAW SC'!BO21/'Midterm OVPAA-F-INS-055A RAW SC'!BO$17*100)</f>
        <v/>
      </c>
      <c r="BP21" s="126" t="str">
        <f>IF('Midterm OVPAA-F-INS-055A RAW SC'!BP21="","",'Midterm OVPAA-F-INS-055A RAW SC'!BP21/'Midterm OVPAA-F-INS-055A RAW SC'!BP$17*100)</f>
        <v/>
      </c>
      <c r="BQ21" s="126" t="str">
        <f>IF('Midterm OVPAA-F-INS-055A RAW SC'!BQ21="","",'Midterm OVPAA-F-INS-055A RAW SC'!BQ21/'Midterm OVPAA-F-INS-055A RAW SC'!BQ$17*100)</f>
        <v/>
      </c>
      <c r="BR21" s="126" t="str">
        <f>IF('Midterm OVPAA-F-INS-055A RAW SC'!BR21="","",'Midterm OVPAA-F-INS-055A RAW SC'!BR21/'Midterm OVPAA-F-INS-055A RAW SC'!BR$17*100)</f>
        <v/>
      </c>
      <c r="BS21" s="126" t="str">
        <f>IF('Midterm OVPAA-F-INS-055A RAW SC'!BS21="","",'Midterm OVPAA-F-INS-055A RAW SC'!BS21/'Midterm OVPAA-F-INS-055A RAW SC'!BS$17*100)</f>
        <v/>
      </c>
      <c r="BT21" s="126" t="str">
        <f>IF('Midterm OVPAA-F-INS-055A RAW SC'!BT21="","",'Midterm OVPAA-F-INS-055A RAW SC'!BT21/'Midterm OVPAA-F-INS-055A RAW SC'!BT$17*100)</f>
        <v/>
      </c>
      <c r="BU21" s="127">
        <f t="array" ref="BU21">IF('Midterm OVPAA-F-INS-055A RAW SC'!$G21="","",IF((SUMPRODUCT(--ISBLANK('Midterm OVPAA-F-INS-055A RAW SC'!H21:BT21))=COLUMNS('Midterm OVPAA-F-INS-055A RAW SC'!H21:BT21))=TRUE,"",(((COUNTA('Midterm OVPAA-F-INS-055A RAW SC'!$H$17:$BT$17)+COUNTBLANK('Midterm OVPAA-F-INS-055A RAW SC'!H21:BT21))-COLUMNS('Midterm OVPAA-F-INS-055A RAW SC'!H21:BT21))*5+SUM(H21:BT21))/COUNTA('Midterm OVPAA-F-INS-055A RAW SC'!$H$17:$BT$17)))</f>
        <v>70</v>
      </c>
      <c r="BV21" s="128">
        <f>IF(BU21="","",VLOOKUP(BU21,IF('Midterm OVPAA-F-INS-055A RAW SC'!$V$12=0.5,TRANSMUTATION!$C$4:$D$17,TRANSMUTATION!$G$4:$H$17),2,TRUE))</f>
        <v>2.25</v>
      </c>
      <c r="BW21" s="129">
        <f>IF('Midterm OVPAA-F-INS-055A RAW SC'!BU21="","",'Midterm OVPAA-F-INS-055A RAW SC'!BU21/'Midterm OVPAA-F-INS-055A RAW SC'!BU$17*100)</f>
        <v>80</v>
      </c>
      <c r="BX21" s="130">
        <f>IF('Midterm OVPAA-F-INS-055A RAW SC'!BV21="","",'Midterm OVPAA-F-INS-055A RAW SC'!BV21/'Midterm OVPAA-F-INS-055A RAW SC'!BV$17*100)</f>
        <v>100</v>
      </c>
      <c r="BY21" s="130">
        <f>IF('Midterm OVPAA-F-INS-055A RAW SC'!BW21="","",'Midterm OVPAA-F-INS-055A RAW SC'!BW21/'Midterm OVPAA-F-INS-055A RAW SC'!BW$17*100)</f>
        <v>90</v>
      </c>
      <c r="BZ21" s="130" t="str">
        <f>IF('Midterm OVPAA-F-INS-055A RAW SC'!BX21="","",'Midterm OVPAA-F-INS-055A RAW SC'!BX21/'Midterm OVPAA-F-INS-055A RAW SC'!BX$17*100)</f>
        <v/>
      </c>
      <c r="CA21" s="130" t="str">
        <f>IF('Midterm OVPAA-F-INS-055A RAW SC'!BY21="","",'Midterm OVPAA-F-INS-055A RAW SC'!BY21/'Midterm OVPAA-F-INS-055A RAW SC'!BY$17*100)</f>
        <v/>
      </c>
      <c r="CB21" s="130" t="str">
        <f>IF('Midterm OVPAA-F-INS-055A RAW SC'!BZ21="","",'Midterm OVPAA-F-INS-055A RAW SC'!BZ21/'Midterm OVPAA-F-INS-055A RAW SC'!BZ$17*100)</f>
        <v/>
      </c>
      <c r="CC21" s="130" t="str">
        <f>IF('Midterm OVPAA-F-INS-055A RAW SC'!CA21="","",'Midterm OVPAA-F-INS-055A RAW SC'!CA21/'Midterm OVPAA-F-INS-055A RAW SC'!CA$17*100)</f>
        <v/>
      </c>
      <c r="CD21" s="130" t="str">
        <f>IF('Midterm OVPAA-F-INS-055A RAW SC'!CB21="","",'Midterm OVPAA-F-INS-055A RAW SC'!CB21/'Midterm OVPAA-F-INS-055A RAW SC'!CB$17*100)</f>
        <v/>
      </c>
      <c r="CE21" s="130" t="str">
        <f>IF('Midterm OVPAA-F-INS-055A RAW SC'!CC21="","",'Midterm OVPAA-F-INS-055A RAW SC'!CC21/'Midterm OVPAA-F-INS-055A RAW SC'!CC$17*100)</f>
        <v/>
      </c>
      <c r="CF21" s="130" t="str">
        <f>IF('Midterm OVPAA-F-INS-055A RAW SC'!CD21="","",'Midterm OVPAA-F-INS-055A RAW SC'!CD21/'Midterm OVPAA-F-INS-055A RAW SC'!CD$17*100)</f>
        <v/>
      </c>
      <c r="CG21" s="130" t="str">
        <f>IF('Midterm OVPAA-F-INS-055A RAW SC'!CE21="","",'Midterm OVPAA-F-INS-055A RAW SC'!CE21/'Midterm OVPAA-F-INS-055A RAW SC'!CE$17*100)</f>
        <v/>
      </c>
      <c r="CH21" s="130" t="str">
        <f>IF('Midterm OVPAA-F-INS-055A RAW SC'!CF21="","",'Midterm OVPAA-F-INS-055A RAW SC'!CF21/'Midterm OVPAA-F-INS-055A RAW SC'!CF$17*100)</f>
        <v/>
      </c>
      <c r="CI21" s="130" t="str">
        <f>IF('Midterm OVPAA-F-INS-055A RAW SC'!CG21="","",'Midterm OVPAA-F-INS-055A RAW SC'!CG21/'Midterm OVPAA-F-INS-055A RAW SC'!CG$17*100)</f>
        <v/>
      </c>
      <c r="CJ21" s="130" t="str">
        <f>IF('Midterm OVPAA-F-INS-055A RAW SC'!CH21="","",'Midterm OVPAA-F-INS-055A RAW SC'!CH21/'Midterm OVPAA-F-INS-055A RAW SC'!CH$17*100)</f>
        <v/>
      </c>
      <c r="CK21" s="130" t="str">
        <f>IF('Midterm OVPAA-F-INS-055A RAW SC'!CI21="","",'Midterm OVPAA-F-INS-055A RAW SC'!CI21/'Midterm OVPAA-F-INS-055A RAW SC'!CI$17*100)</f>
        <v/>
      </c>
      <c r="CL21" s="130" t="str">
        <f>IF('Midterm OVPAA-F-INS-055A RAW SC'!CJ21="","",'Midterm OVPAA-F-INS-055A RAW SC'!CJ21/'Midterm OVPAA-F-INS-055A RAW SC'!CJ$17*100)</f>
        <v/>
      </c>
      <c r="CM21" s="130" t="str">
        <f>IF('Midterm OVPAA-F-INS-055A RAW SC'!CK21="","",'Midterm OVPAA-F-INS-055A RAW SC'!CK21/'Midterm OVPAA-F-INS-055A RAW SC'!CK$17*100)</f>
        <v/>
      </c>
      <c r="CN21" s="130" t="str">
        <f>IF('Midterm OVPAA-F-INS-055A RAW SC'!CL21="","",'Midterm OVPAA-F-INS-055A RAW SC'!CL21/'Midterm OVPAA-F-INS-055A RAW SC'!CL$17*100)</f>
        <v/>
      </c>
      <c r="CO21" s="130" t="str">
        <f>IF('Midterm OVPAA-F-INS-055A RAW SC'!CM21="","",'Midterm OVPAA-F-INS-055A RAW SC'!CM21/'Midterm OVPAA-F-INS-055A RAW SC'!CM$17*100)</f>
        <v/>
      </c>
      <c r="CP21" s="130" t="str">
        <f>IF('Midterm OVPAA-F-INS-055A RAW SC'!CN21="","",'Midterm OVPAA-F-INS-055A RAW SC'!CN21/'Midterm OVPAA-F-INS-055A RAW SC'!CN$17*100)</f>
        <v/>
      </c>
      <c r="CQ21" s="131">
        <f t="array" ref="CQ21">IF('Midterm OVPAA-F-INS-055A RAW SC'!G21="","",IF((SUMPRODUCT(--ISBLANK('Midterm OVPAA-F-INS-055A RAW SC'!BU21:CN21))=COLUMNS('Midterm OVPAA-F-INS-055A RAW SC'!BU21:CN21))=TRUE,"",(((COUNTA('Midterm OVPAA-F-INS-055A RAW SC'!$BU$17:$CN$17)+COUNTBLANK('Midterm OVPAA-F-INS-055A RAW SC'!BU21:CN21))-COLUMNS('Midterm OVPAA-F-INS-055A RAW SC'!BU21:CN21))*5+SUM(BW21:CP21))/COUNTA('Midterm OVPAA-F-INS-055A RAW SC'!$BU$17:$CN$17)))</f>
        <v>90</v>
      </c>
      <c r="CR21" s="132">
        <f>IF(CQ21="","",VLOOKUP(CQ21,IF('Midterm OVPAA-F-INS-055A RAW SC'!$V$12=0.5,TRANSMUTATION!$C$4:$D$17,TRANSMUTATION!$G$4:$H$17),2,TRUE))</f>
        <v>1.5</v>
      </c>
      <c r="CS21" s="133">
        <f>IF('Midterm OVPAA-F-INS-055A RAW SC'!CO21="","",'Midterm OVPAA-F-INS-055A RAW SC'!CO21/'Midterm OVPAA-F-INS-055A RAW SC'!CO$17*100)</f>
        <v>72</v>
      </c>
      <c r="CT21" s="133">
        <f>IF('Midterm OVPAA-F-INS-055A RAW SC'!CP21="","",'Midterm OVPAA-F-INS-055A RAW SC'!CP21/'Midterm OVPAA-F-INS-055A RAW SC'!CP$17*100)</f>
        <v>72</v>
      </c>
      <c r="CU21" s="133" t="str">
        <f>IF('Midterm OVPAA-F-INS-055A RAW SC'!CQ21="","",'Midterm OVPAA-F-INS-055A RAW SC'!CQ21/'Midterm OVPAA-F-INS-055A RAW SC'!CQ$17*100)</f>
        <v/>
      </c>
      <c r="CV21" s="133" t="str">
        <f>IF('Midterm OVPAA-F-INS-055A RAW SC'!CR21="","",'Midterm OVPAA-F-INS-055A RAW SC'!CR21/'Midterm OVPAA-F-INS-055A RAW SC'!CR$17*100)</f>
        <v/>
      </c>
      <c r="CW21" s="133" t="str">
        <f>IF('Midterm OVPAA-F-INS-055A RAW SC'!CS21="","",'Midterm OVPAA-F-INS-055A RAW SC'!CS21/'Midterm OVPAA-F-INS-055A RAW SC'!CS$17*100)</f>
        <v/>
      </c>
      <c r="CX21" s="133" t="str">
        <f>IF('Midterm OVPAA-F-INS-055A RAW SC'!CT21="","",'Midterm OVPAA-F-INS-055A RAW SC'!CT21/'Midterm OVPAA-F-INS-055A RAW SC'!CT$17*100)</f>
        <v/>
      </c>
      <c r="CY21" s="133" t="str">
        <f>IF('Midterm OVPAA-F-INS-055A RAW SC'!CU21="","",'Midterm OVPAA-F-INS-055A RAW SC'!CU21/'Midterm OVPAA-F-INS-055A RAW SC'!CU$17*100)</f>
        <v/>
      </c>
      <c r="CZ21" s="133" t="str">
        <f>IF('Midterm OVPAA-F-INS-055A RAW SC'!CV21="","",'Midterm OVPAA-F-INS-055A RAW SC'!CV21/'Midterm OVPAA-F-INS-055A RAW SC'!CV$17*100)</f>
        <v/>
      </c>
      <c r="DA21" s="133" t="str">
        <f>IF('Midterm OVPAA-F-INS-055A RAW SC'!CW21="","",'Midterm OVPAA-F-INS-055A RAW SC'!CW21/'Midterm OVPAA-F-INS-055A RAW SC'!CW$17*100)</f>
        <v/>
      </c>
      <c r="DB21" s="133" t="str">
        <f>IF('Midterm OVPAA-F-INS-055A RAW SC'!CX21="","",'Midterm OVPAA-F-INS-055A RAW SC'!CX21/'Midterm OVPAA-F-INS-055A RAW SC'!CX$17*100)</f>
        <v/>
      </c>
      <c r="DC21" s="134">
        <f t="array" ref="DC21">IF('Midterm OVPAA-F-INS-055A RAW SC'!$G21="","",IF((SUMPRODUCT(--ISBLANK('Midterm OVPAA-F-INS-055A RAW SC'!CO21:CX21))=COLUMNS('Midterm OVPAA-F-INS-055A RAW SC'!CO21:CX21))=TRUE,"",(((COUNTA('Midterm OVPAA-F-INS-055A RAW SC'!$CO$17:$CX$17)+COUNTBLANK('Midterm OVPAA-F-INS-055A RAW SC'!CO21:CX21))-COLUMNS('Midterm OVPAA-F-INS-055A RAW SC'!CO21:CX21))*5+SUM(CS21:DB21))/COUNTA('Midterm OVPAA-F-INS-055A RAW SC'!$CO$17:$CX$17)))</f>
        <v>72</v>
      </c>
      <c r="DD21" s="135">
        <f>IF(DC21="","",VLOOKUP(DC21,IF('Midterm OVPAA-F-INS-055A RAW SC'!$V$12=0.5,TRANSMUTATION!$C$4:$D$17,TRANSMUTATION!$G$4:$H$17),2,TRUE))</f>
        <v>2.25</v>
      </c>
      <c r="DE21" s="136">
        <f t="shared" si="1"/>
        <v>0.67499999999999993</v>
      </c>
      <c r="DF21" s="137">
        <f t="shared" si="2"/>
        <v>0.44999999999999996</v>
      </c>
      <c r="DG21" s="138">
        <f t="shared" si="3"/>
        <v>0.9</v>
      </c>
      <c r="DH21" s="136">
        <f t="shared" si="4"/>
        <v>2.0249999999999999</v>
      </c>
      <c r="DI21" s="123" t="str">
        <f t="shared" si="5"/>
        <v>2.00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IF('Midterm OVPAA-F-INS-055A RAW SC'!H22="","",'Midterm OVPAA-F-INS-055A RAW SC'!H22/'Midterm OVPAA-F-INS-055A RAW SC'!H$17*100)</f>
        <v>70</v>
      </c>
      <c r="I22" s="126">
        <f>IF('Midterm OVPAA-F-INS-055A RAW SC'!I22="","",'Midterm OVPAA-F-INS-055A RAW SC'!I22/'Midterm OVPAA-F-INS-055A RAW SC'!I$17*100)</f>
        <v>92</v>
      </c>
      <c r="J22" s="126">
        <f>IF('Midterm OVPAA-F-INS-055A RAW SC'!J22="","",'Midterm OVPAA-F-INS-055A RAW SC'!J22/'Midterm OVPAA-F-INS-055A RAW SC'!J$17*100)</f>
        <v>90</v>
      </c>
      <c r="K22" s="126" t="str">
        <f>IF('Midterm OVPAA-F-INS-055A RAW SC'!K22="","",'Midterm OVPAA-F-INS-055A RAW SC'!K22/'Midterm OVPAA-F-INS-055A RAW SC'!K$17*100)</f>
        <v/>
      </c>
      <c r="L22" s="126" t="str">
        <f>IF('Midterm OVPAA-F-INS-055A RAW SC'!L22="","",'Midterm OVPAA-F-INS-055A RAW SC'!L22/'Midterm OVPAA-F-INS-055A RAW SC'!L$17*100)</f>
        <v/>
      </c>
      <c r="M22" s="126" t="str">
        <f>IF('Midterm OVPAA-F-INS-055A RAW SC'!M22="","",'Midterm OVPAA-F-INS-055A RAW SC'!M22/'Midterm OVPAA-F-INS-055A RAW SC'!M$17*100)</f>
        <v/>
      </c>
      <c r="N22" s="126" t="str">
        <f>IF('Midterm OVPAA-F-INS-055A RAW SC'!N22="","",'Midterm OVPAA-F-INS-055A RAW SC'!N22/'Midterm OVPAA-F-INS-055A RAW SC'!N$17*100)</f>
        <v/>
      </c>
      <c r="O22" s="126" t="str">
        <f>IF('Midterm OVPAA-F-INS-055A RAW SC'!O22="","",'Midterm OVPAA-F-INS-055A RAW SC'!O22/'Midterm OVPAA-F-INS-055A RAW SC'!O$17*100)</f>
        <v/>
      </c>
      <c r="P22" s="126" t="str">
        <f>IF('Midterm OVPAA-F-INS-055A RAW SC'!P22="","",'Midterm OVPAA-F-INS-055A RAW SC'!P22/'Midterm OVPAA-F-INS-055A RAW SC'!P$17*100)</f>
        <v/>
      </c>
      <c r="Q22" s="126" t="str">
        <f>IF('Midterm OVPAA-F-INS-055A RAW SC'!Q22="","",'Midterm OVPAA-F-INS-055A RAW SC'!Q22/'Midterm OVPAA-F-INS-055A RAW SC'!Q$17*100)</f>
        <v/>
      </c>
      <c r="R22" s="126" t="str">
        <f>IF('Midterm OVPAA-F-INS-055A RAW SC'!R22="","",'Midterm OVPAA-F-INS-055A RAW SC'!R22/'Midterm OVPAA-F-INS-055A RAW SC'!R$17*100)</f>
        <v/>
      </c>
      <c r="S22" s="126" t="str">
        <f>IF('Midterm OVPAA-F-INS-055A RAW SC'!S22="","",'Midterm OVPAA-F-INS-055A RAW SC'!S22/'Midterm OVPAA-F-INS-055A RAW SC'!S$17*100)</f>
        <v/>
      </c>
      <c r="T22" s="126" t="str">
        <f>IF('Midterm OVPAA-F-INS-055A RAW SC'!T22="","",'Midterm OVPAA-F-INS-055A RAW SC'!T22/'Midterm OVPAA-F-INS-055A RAW SC'!T$17*100)</f>
        <v/>
      </c>
      <c r="U22" s="126" t="str">
        <f>IF('Midterm OVPAA-F-INS-055A RAW SC'!U22="","",'Midterm OVPAA-F-INS-055A RAW SC'!U22/'Midterm OVPAA-F-INS-055A RAW SC'!U$17*100)</f>
        <v/>
      </c>
      <c r="V22" s="126" t="str">
        <f>IF('Midterm OVPAA-F-INS-055A RAW SC'!V22="","",'Midterm OVPAA-F-INS-055A RAW SC'!V22/'Midterm OVPAA-F-INS-055A RAW SC'!V$17*100)</f>
        <v/>
      </c>
      <c r="W22" s="126" t="str">
        <f>IF('Midterm OVPAA-F-INS-055A RAW SC'!W22="","",'Midterm OVPAA-F-INS-055A RAW SC'!W22/'Midterm OVPAA-F-INS-055A RAW SC'!W$17*100)</f>
        <v/>
      </c>
      <c r="X22" s="126" t="str">
        <f>IF('Midterm OVPAA-F-INS-055A RAW SC'!X22="","",'Midterm OVPAA-F-INS-055A RAW SC'!X22/'Midterm OVPAA-F-INS-055A RAW SC'!X$17*100)</f>
        <v/>
      </c>
      <c r="Y22" s="126" t="str">
        <f>IF('Midterm OVPAA-F-INS-055A RAW SC'!Y22="","",'Midterm OVPAA-F-INS-055A RAW SC'!Y22/'Midterm OVPAA-F-INS-055A RAW SC'!Y$17*100)</f>
        <v/>
      </c>
      <c r="Z22" s="126" t="str">
        <f>IF('Midterm OVPAA-F-INS-055A RAW SC'!Z22="","",'Midterm OVPAA-F-INS-055A RAW SC'!Z22/'Midterm OVPAA-F-INS-055A RAW SC'!Z$17*100)</f>
        <v/>
      </c>
      <c r="AA22" s="126" t="str">
        <f>IF('Midterm OVPAA-F-INS-055A RAW SC'!AA22="","",'Midterm OVPAA-F-INS-055A RAW SC'!AA22/'Midterm OVPAA-F-INS-055A RAW SC'!AA$17*100)</f>
        <v/>
      </c>
      <c r="AB22" s="126" t="str">
        <f>IF('Midterm OVPAA-F-INS-055A RAW SC'!AB22="","",'Midterm OVPAA-F-INS-055A RAW SC'!AB22/'Midterm OVPAA-F-INS-055A RAW SC'!AB$17*100)</f>
        <v/>
      </c>
      <c r="AC22" s="126" t="str">
        <f>IF('Midterm OVPAA-F-INS-055A RAW SC'!AC22="","",'Midterm OVPAA-F-INS-055A RAW SC'!AC22/'Midterm OVPAA-F-INS-055A RAW SC'!AC$17*100)</f>
        <v/>
      </c>
      <c r="AD22" s="126" t="str">
        <f>IF('Midterm OVPAA-F-INS-055A RAW SC'!AD22="","",'Midterm OVPAA-F-INS-055A RAW SC'!AD22/'Midterm OVPAA-F-INS-055A RAW SC'!AD$17*100)</f>
        <v/>
      </c>
      <c r="AE22" s="126" t="str">
        <f>IF('Midterm OVPAA-F-INS-055A RAW SC'!AE22="","",'Midterm OVPAA-F-INS-055A RAW SC'!AE22/'Midterm OVPAA-F-INS-055A RAW SC'!AE$17*100)</f>
        <v/>
      </c>
      <c r="AF22" s="126" t="str">
        <f>IF('Midterm OVPAA-F-INS-055A RAW SC'!AF22="","",'Midterm OVPAA-F-INS-055A RAW SC'!AF22/'Midterm OVPAA-F-INS-055A RAW SC'!AF$17*100)</f>
        <v/>
      </c>
      <c r="AG22" s="126" t="str">
        <f>IF('Midterm OVPAA-F-INS-055A RAW SC'!AG22="","",'Midterm OVPAA-F-INS-055A RAW SC'!AG22/'Midterm OVPAA-F-INS-055A RAW SC'!AG$17*100)</f>
        <v/>
      </c>
      <c r="AH22" s="126" t="str">
        <f>IF('Midterm OVPAA-F-INS-055A RAW SC'!AH22="","",'Midterm OVPAA-F-INS-055A RAW SC'!AH22/'Midterm OVPAA-F-INS-055A RAW SC'!AH$17*100)</f>
        <v/>
      </c>
      <c r="AI22" s="126" t="str">
        <f>IF('Midterm OVPAA-F-INS-055A RAW SC'!AI22="","",'Midterm OVPAA-F-INS-055A RAW SC'!AI22/'Midterm OVPAA-F-INS-055A RAW SC'!AI$17*100)</f>
        <v/>
      </c>
      <c r="AJ22" s="126" t="str">
        <f>IF('Midterm OVPAA-F-INS-055A RAW SC'!AJ22="","",'Midterm OVPAA-F-INS-055A RAW SC'!AJ22/'Midterm OVPAA-F-INS-055A RAW SC'!AJ$17*100)</f>
        <v/>
      </c>
      <c r="AK22" s="126" t="str">
        <f>IF('Midterm OVPAA-F-INS-055A RAW SC'!AK22="","",'Midterm OVPAA-F-INS-055A RAW SC'!AK22/'Midterm OVPAA-F-INS-055A RAW SC'!AK$17*100)</f>
        <v/>
      </c>
      <c r="AL22" s="126" t="str">
        <f>IF('Midterm OVPAA-F-INS-055A RAW SC'!AL22="","",'Midterm OVPAA-F-INS-055A RAW SC'!AL22/'Midterm OVPAA-F-INS-055A RAW SC'!AL$17*100)</f>
        <v/>
      </c>
      <c r="AM22" s="126" t="str">
        <f>IF('Midterm OVPAA-F-INS-055A RAW SC'!AM22="","",'Midterm OVPAA-F-INS-055A RAW SC'!AM22/'Midterm OVPAA-F-INS-055A RAW SC'!AM$17*100)</f>
        <v/>
      </c>
      <c r="AN22" s="126" t="str">
        <f>IF('Midterm OVPAA-F-INS-055A RAW SC'!AN22="","",'Midterm OVPAA-F-INS-055A RAW SC'!AN22/'Midterm OVPAA-F-INS-055A RAW SC'!AN$17*100)</f>
        <v/>
      </c>
      <c r="AO22" s="126" t="str">
        <f>IF('Midterm OVPAA-F-INS-055A RAW SC'!AO22="","",'Midterm OVPAA-F-INS-055A RAW SC'!AO22/'Midterm OVPAA-F-INS-055A RAW SC'!AO$17*100)</f>
        <v/>
      </c>
      <c r="AP22" s="126" t="str">
        <f>IF('Midterm OVPAA-F-INS-055A RAW SC'!AP22="","",'Midterm OVPAA-F-INS-055A RAW SC'!AP22/'Midterm OVPAA-F-INS-055A RAW SC'!AP$17*100)</f>
        <v/>
      </c>
      <c r="AQ22" s="126" t="str">
        <f>IF('Midterm OVPAA-F-INS-055A RAW SC'!AQ22="","",'Midterm OVPAA-F-INS-055A RAW SC'!AQ22/'Midterm OVPAA-F-INS-055A RAW SC'!AQ$17*100)</f>
        <v/>
      </c>
      <c r="AR22" s="126" t="str">
        <f>IF('Midterm OVPAA-F-INS-055A RAW SC'!AR22="","",'Midterm OVPAA-F-INS-055A RAW SC'!AR22/'Midterm OVPAA-F-INS-055A RAW SC'!AR$17*100)</f>
        <v/>
      </c>
      <c r="AS22" s="126" t="str">
        <f>IF('Midterm OVPAA-F-INS-055A RAW SC'!AS22="","",'Midterm OVPAA-F-INS-055A RAW SC'!AS22/'Midterm OVPAA-F-INS-055A RAW SC'!AS$17*100)</f>
        <v/>
      </c>
      <c r="AT22" s="126" t="str">
        <f>IF('Midterm OVPAA-F-INS-055A RAW SC'!AT22="","",'Midterm OVPAA-F-INS-055A RAW SC'!AT22/'Midterm OVPAA-F-INS-055A RAW SC'!AT$17*100)</f>
        <v/>
      </c>
      <c r="AU22" s="126" t="str">
        <f>IF('Midterm OVPAA-F-INS-055A RAW SC'!AU22="","",'Midterm OVPAA-F-INS-055A RAW SC'!AU22/'Midterm OVPAA-F-INS-055A RAW SC'!AU$17*100)</f>
        <v/>
      </c>
      <c r="AV22" s="126" t="str">
        <f>IF('Midterm OVPAA-F-INS-055A RAW SC'!AV22="","",'Midterm OVPAA-F-INS-055A RAW SC'!AV22/'Midterm OVPAA-F-INS-055A RAW SC'!AV$17*100)</f>
        <v/>
      </c>
      <c r="AW22" s="126" t="str">
        <f>IF('Midterm OVPAA-F-INS-055A RAW SC'!AW22="","",'Midterm OVPAA-F-INS-055A RAW SC'!AW22/'Midterm OVPAA-F-INS-055A RAW SC'!AW$17*100)</f>
        <v/>
      </c>
      <c r="AX22" s="126" t="str">
        <f>IF('Midterm OVPAA-F-INS-055A RAW SC'!AX22="","",'Midterm OVPAA-F-INS-055A RAW SC'!AX22/'Midterm OVPAA-F-INS-055A RAW SC'!AX$17*100)</f>
        <v/>
      </c>
      <c r="AY22" s="126" t="str">
        <f>IF('Midterm OVPAA-F-INS-055A RAW SC'!AY22="","",'Midterm OVPAA-F-INS-055A RAW SC'!AY22/'Midterm OVPAA-F-INS-055A RAW SC'!AY$17*100)</f>
        <v/>
      </c>
      <c r="AZ22" s="126" t="str">
        <f>IF('Midterm OVPAA-F-INS-055A RAW SC'!AZ22="","",'Midterm OVPAA-F-INS-055A RAW SC'!AZ22/'Midterm OVPAA-F-INS-055A RAW SC'!AZ$17*100)</f>
        <v/>
      </c>
      <c r="BA22" s="126" t="str">
        <f>IF('Midterm OVPAA-F-INS-055A RAW SC'!BA22="","",'Midterm OVPAA-F-INS-055A RAW SC'!BA22/'Midterm OVPAA-F-INS-055A RAW SC'!BA$17*100)</f>
        <v/>
      </c>
      <c r="BB22" s="126" t="str">
        <f>IF('Midterm OVPAA-F-INS-055A RAW SC'!BB22="","",'Midterm OVPAA-F-INS-055A RAW SC'!BB22/'Midterm OVPAA-F-INS-055A RAW SC'!BB$17*100)</f>
        <v/>
      </c>
      <c r="BC22" s="126" t="str">
        <f>IF('Midterm OVPAA-F-INS-055A RAW SC'!BC22="","",'Midterm OVPAA-F-INS-055A RAW SC'!BC22/'Midterm OVPAA-F-INS-055A RAW SC'!BC$17*100)</f>
        <v/>
      </c>
      <c r="BD22" s="126" t="str">
        <f>IF('Midterm OVPAA-F-INS-055A RAW SC'!BD22="","",'Midterm OVPAA-F-INS-055A RAW SC'!BD22/'Midterm OVPAA-F-INS-055A RAW SC'!BD$17*100)</f>
        <v/>
      </c>
      <c r="BE22" s="126" t="str">
        <f>IF('Midterm OVPAA-F-INS-055A RAW SC'!BE22="","",'Midterm OVPAA-F-INS-055A RAW SC'!BE22/'Midterm OVPAA-F-INS-055A RAW SC'!BE$17*100)</f>
        <v/>
      </c>
      <c r="BF22" s="126" t="str">
        <f>IF('Midterm OVPAA-F-INS-055A RAW SC'!BF22="","",'Midterm OVPAA-F-INS-055A RAW SC'!BF22/'Midterm OVPAA-F-INS-055A RAW SC'!BF$17*100)</f>
        <v/>
      </c>
      <c r="BG22" s="126" t="str">
        <f>IF('Midterm OVPAA-F-INS-055A RAW SC'!BG22="","",'Midterm OVPAA-F-INS-055A RAW SC'!BG22/'Midterm OVPAA-F-INS-055A RAW SC'!BG$17*100)</f>
        <v/>
      </c>
      <c r="BH22" s="126" t="str">
        <f>IF('Midterm OVPAA-F-INS-055A RAW SC'!BH22="","",'Midterm OVPAA-F-INS-055A RAW SC'!BH22/'Midterm OVPAA-F-INS-055A RAW SC'!BH$17*100)</f>
        <v/>
      </c>
      <c r="BI22" s="126" t="str">
        <f>IF('Midterm OVPAA-F-INS-055A RAW SC'!BI22="","",'Midterm OVPAA-F-INS-055A RAW SC'!BI22/'Midterm OVPAA-F-INS-055A RAW SC'!BI$17*100)</f>
        <v/>
      </c>
      <c r="BJ22" s="126" t="str">
        <f>IF('Midterm OVPAA-F-INS-055A RAW SC'!BJ22="","",'Midterm OVPAA-F-INS-055A RAW SC'!BJ22/'Midterm OVPAA-F-INS-055A RAW SC'!BJ$17*100)</f>
        <v/>
      </c>
      <c r="BK22" s="126" t="str">
        <f>IF('Midterm OVPAA-F-INS-055A RAW SC'!BK22="","",'Midterm OVPAA-F-INS-055A RAW SC'!BK22/'Midterm OVPAA-F-INS-055A RAW SC'!BK$17*100)</f>
        <v/>
      </c>
      <c r="BL22" s="126" t="str">
        <f>IF('Midterm OVPAA-F-INS-055A RAW SC'!BL22="","",'Midterm OVPAA-F-INS-055A RAW SC'!BL22/'Midterm OVPAA-F-INS-055A RAW SC'!BL$17*100)</f>
        <v/>
      </c>
      <c r="BM22" s="126" t="str">
        <f>IF('Midterm OVPAA-F-INS-055A RAW SC'!BM22="","",'Midterm OVPAA-F-INS-055A RAW SC'!BM22/'Midterm OVPAA-F-INS-055A RAW SC'!BM$17*100)</f>
        <v/>
      </c>
      <c r="BN22" s="126" t="str">
        <f>IF('Midterm OVPAA-F-INS-055A RAW SC'!BN22="","",'Midterm OVPAA-F-INS-055A RAW SC'!BN22/'Midterm OVPAA-F-INS-055A RAW SC'!BN$17*100)</f>
        <v/>
      </c>
      <c r="BO22" s="126" t="str">
        <f>IF('Midterm OVPAA-F-INS-055A RAW SC'!BO22="","",'Midterm OVPAA-F-INS-055A RAW SC'!BO22/'Midterm OVPAA-F-INS-055A RAW SC'!BO$17*100)</f>
        <v/>
      </c>
      <c r="BP22" s="126" t="str">
        <f>IF('Midterm OVPAA-F-INS-055A RAW SC'!BP22="","",'Midterm OVPAA-F-INS-055A RAW SC'!BP22/'Midterm OVPAA-F-INS-055A RAW SC'!BP$17*100)</f>
        <v/>
      </c>
      <c r="BQ22" s="126" t="str">
        <f>IF('Midterm OVPAA-F-INS-055A RAW SC'!BQ22="","",'Midterm OVPAA-F-INS-055A RAW SC'!BQ22/'Midterm OVPAA-F-INS-055A RAW SC'!BQ$17*100)</f>
        <v/>
      </c>
      <c r="BR22" s="126" t="str">
        <f>IF('Midterm OVPAA-F-INS-055A RAW SC'!BR22="","",'Midterm OVPAA-F-INS-055A RAW SC'!BR22/'Midterm OVPAA-F-INS-055A RAW SC'!BR$17*100)</f>
        <v/>
      </c>
      <c r="BS22" s="126" t="str">
        <f>IF('Midterm OVPAA-F-INS-055A RAW SC'!BS22="","",'Midterm OVPAA-F-INS-055A RAW SC'!BS22/'Midterm OVPAA-F-INS-055A RAW SC'!BS$17*100)</f>
        <v/>
      </c>
      <c r="BT22" s="126" t="str">
        <f>IF('Midterm OVPAA-F-INS-055A RAW SC'!BT22="","",'Midterm OVPAA-F-INS-055A RAW SC'!BT22/'Midterm OVPAA-F-INS-055A RAW SC'!BT$17*100)</f>
        <v/>
      </c>
      <c r="BU22" s="127">
        <f t="array" ref="BU22">IF('Midterm OVPAA-F-INS-055A RAW SC'!$G22="","",IF((SUMPRODUCT(--ISBLANK('Midterm OVPAA-F-INS-055A RAW SC'!H22:BT22))=COLUMNS('Midterm OVPAA-F-INS-055A RAW SC'!H22:BT22))=TRUE,"",(((COUNTA('Midterm OVPAA-F-INS-055A RAW SC'!$H$17:$BT$17)+COUNTBLANK('Midterm OVPAA-F-INS-055A RAW SC'!H22:BT22))-COLUMNS('Midterm OVPAA-F-INS-055A RAW SC'!H22:BT22))*5+SUM(H22:BT22))/COUNTA('Midterm OVPAA-F-INS-055A RAW SC'!$H$17:$BT$17)))</f>
        <v>84</v>
      </c>
      <c r="BV22" s="128">
        <f>IF(BU22="","",VLOOKUP(BU22,IF('Midterm OVPAA-F-INS-055A RAW SC'!$V$12=0.5,TRANSMUTATION!$C$4:$D$17,TRANSMUTATION!$G$4:$H$17),2,TRUE))</f>
        <v>1.75</v>
      </c>
      <c r="BW22" s="129">
        <f>IF('Midterm OVPAA-F-INS-055A RAW SC'!BU22="","",'Midterm OVPAA-F-INS-055A RAW SC'!BU22/'Midterm OVPAA-F-INS-055A RAW SC'!BU$17*100)</f>
        <v>70</v>
      </c>
      <c r="BX22" s="130">
        <f>IF('Midterm OVPAA-F-INS-055A RAW SC'!BV22="","",'Midterm OVPAA-F-INS-055A RAW SC'!BV22/'Midterm OVPAA-F-INS-055A RAW SC'!BV$17*100)</f>
        <v>100</v>
      </c>
      <c r="BY22" s="130">
        <f>IF('Midterm OVPAA-F-INS-055A RAW SC'!BW22="","",'Midterm OVPAA-F-INS-055A RAW SC'!BW22/'Midterm OVPAA-F-INS-055A RAW SC'!BW$17*100)</f>
        <v>100</v>
      </c>
      <c r="BZ22" s="130" t="str">
        <f>IF('Midterm OVPAA-F-INS-055A RAW SC'!BX22="","",'Midterm OVPAA-F-INS-055A RAW SC'!BX22/'Midterm OVPAA-F-INS-055A RAW SC'!BX$17*100)</f>
        <v/>
      </c>
      <c r="CA22" s="130" t="str">
        <f>IF('Midterm OVPAA-F-INS-055A RAW SC'!BY22="","",'Midterm OVPAA-F-INS-055A RAW SC'!BY22/'Midterm OVPAA-F-INS-055A RAW SC'!BY$17*100)</f>
        <v/>
      </c>
      <c r="CB22" s="130" t="str">
        <f>IF('Midterm OVPAA-F-INS-055A RAW SC'!BZ22="","",'Midterm OVPAA-F-INS-055A RAW SC'!BZ22/'Midterm OVPAA-F-INS-055A RAW SC'!BZ$17*100)</f>
        <v/>
      </c>
      <c r="CC22" s="130" t="str">
        <f>IF('Midterm OVPAA-F-INS-055A RAW SC'!CA22="","",'Midterm OVPAA-F-INS-055A RAW SC'!CA22/'Midterm OVPAA-F-INS-055A RAW SC'!CA$17*100)</f>
        <v/>
      </c>
      <c r="CD22" s="130" t="str">
        <f>IF('Midterm OVPAA-F-INS-055A RAW SC'!CB22="","",'Midterm OVPAA-F-INS-055A RAW SC'!CB22/'Midterm OVPAA-F-INS-055A RAW SC'!CB$17*100)</f>
        <v/>
      </c>
      <c r="CE22" s="130" t="str">
        <f>IF('Midterm OVPAA-F-INS-055A RAW SC'!CC22="","",'Midterm OVPAA-F-INS-055A RAW SC'!CC22/'Midterm OVPAA-F-INS-055A RAW SC'!CC$17*100)</f>
        <v/>
      </c>
      <c r="CF22" s="130" t="str">
        <f>IF('Midterm OVPAA-F-INS-055A RAW SC'!CD22="","",'Midterm OVPAA-F-INS-055A RAW SC'!CD22/'Midterm OVPAA-F-INS-055A RAW SC'!CD$17*100)</f>
        <v/>
      </c>
      <c r="CG22" s="130" t="str">
        <f>IF('Midterm OVPAA-F-INS-055A RAW SC'!CE22="","",'Midterm OVPAA-F-INS-055A RAW SC'!CE22/'Midterm OVPAA-F-INS-055A RAW SC'!CE$17*100)</f>
        <v/>
      </c>
      <c r="CH22" s="130" t="str">
        <f>IF('Midterm OVPAA-F-INS-055A RAW SC'!CF22="","",'Midterm OVPAA-F-INS-055A RAW SC'!CF22/'Midterm OVPAA-F-INS-055A RAW SC'!CF$17*100)</f>
        <v/>
      </c>
      <c r="CI22" s="130" t="str">
        <f>IF('Midterm OVPAA-F-INS-055A RAW SC'!CG22="","",'Midterm OVPAA-F-INS-055A RAW SC'!CG22/'Midterm OVPAA-F-INS-055A RAW SC'!CG$17*100)</f>
        <v/>
      </c>
      <c r="CJ22" s="130" t="str">
        <f>IF('Midterm OVPAA-F-INS-055A RAW SC'!CH22="","",'Midterm OVPAA-F-INS-055A RAW SC'!CH22/'Midterm OVPAA-F-INS-055A RAW SC'!CH$17*100)</f>
        <v/>
      </c>
      <c r="CK22" s="130" t="str">
        <f>IF('Midterm OVPAA-F-INS-055A RAW SC'!CI22="","",'Midterm OVPAA-F-INS-055A RAW SC'!CI22/'Midterm OVPAA-F-INS-055A RAW SC'!CI$17*100)</f>
        <v/>
      </c>
      <c r="CL22" s="130" t="str">
        <f>IF('Midterm OVPAA-F-INS-055A RAW SC'!CJ22="","",'Midterm OVPAA-F-INS-055A RAW SC'!CJ22/'Midterm OVPAA-F-INS-055A RAW SC'!CJ$17*100)</f>
        <v/>
      </c>
      <c r="CM22" s="130" t="str">
        <f>IF('Midterm OVPAA-F-INS-055A RAW SC'!CK22="","",'Midterm OVPAA-F-INS-055A RAW SC'!CK22/'Midterm OVPAA-F-INS-055A RAW SC'!CK$17*100)</f>
        <v/>
      </c>
      <c r="CN22" s="130" t="str">
        <f>IF('Midterm OVPAA-F-INS-055A RAW SC'!CL22="","",'Midterm OVPAA-F-INS-055A RAW SC'!CL22/'Midterm OVPAA-F-INS-055A RAW SC'!CL$17*100)</f>
        <v/>
      </c>
      <c r="CO22" s="130" t="str">
        <f>IF('Midterm OVPAA-F-INS-055A RAW SC'!CM22="","",'Midterm OVPAA-F-INS-055A RAW SC'!CM22/'Midterm OVPAA-F-INS-055A RAW SC'!CM$17*100)</f>
        <v/>
      </c>
      <c r="CP22" s="130" t="str">
        <f>IF('Midterm OVPAA-F-INS-055A RAW SC'!CN22="","",'Midterm OVPAA-F-INS-055A RAW SC'!CN22/'Midterm OVPAA-F-INS-055A RAW SC'!CN$17*100)</f>
        <v/>
      </c>
      <c r="CQ22" s="131">
        <f t="array" ref="CQ22">IF('Midterm OVPAA-F-INS-055A RAW SC'!G22="","",IF((SUMPRODUCT(--ISBLANK('Midterm OVPAA-F-INS-055A RAW SC'!BU22:CN22))=COLUMNS('Midterm OVPAA-F-INS-055A RAW SC'!BU22:CN22))=TRUE,"",(((COUNTA('Midterm OVPAA-F-INS-055A RAW SC'!$BU$17:$CN$17)+COUNTBLANK('Midterm OVPAA-F-INS-055A RAW SC'!BU22:CN22))-COLUMNS('Midterm OVPAA-F-INS-055A RAW SC'!BU22:CN22))*5+SUM(BW22:CP22))/COUNTA('Midterm OVPAA-F-INS-055A RAW SC'!$BU$17:$CN$17)))</f>
        <v>90</v>
      </c>
      <c r="CR22" s="132">
        <f>IF(CQ22="","",VLOOKUP(CQ22,IF('Midterm OVPAA-F-INS-055A RAW SC'!$V$12=0.5,TRANSMUTATION!$C$4:$D$17,TRANSMUTATION!$G$4:$H$17),2,TRUE))</f>
        <v>1.5</v>
      </c>
      <c r="CS22" s="133">
        <f>IF('Midterm OVPAA-F-INS-055A RAW SC'!CO22="","",'Midterm OVPAA-F-INS-055A RAW SC'!CO22/'Midterm OVPAA-F-INS-055A RAW SC'!CO$17*100)</f>
        <v>76</v>
      </c>
      <c r="CT22" s="133">
        <f>IF('Midterm OVPAA-F-INS-055A RAW SC'!CP22="","",'Midterm OVPAA-F-INS-055A RAW SC'!CP22/'Midterm OVPAA-F-INS-055A RAW SC'!CP$17*100)</f>
        <v>86</v>
      </c>
      <c r="CU22" s="133" t="str">
        <f>IF('Midterm OVPAA-F-INS-055A RAW SC'!CQ22="","",'Midterm OVPAA-F-INS-055A RAW SC'!CQ22/'Midterm OVPAA-F-INS-055A RAW SC'!CQ$17*100)</f>
        <v/>
      </c>
      <c r="CV22" s="133" t="str">
        <f>IF('Midterm OVPAA-F-INS-055A RAW SC'!CR22="","",'Midterm OVPAA-F-INS-055A RAW SC'!CR22/'Midterm OVPAA-F-INS-055A RAW SC'!CR$17*100)</f>
        <v/>
      </c>
      <c r="CW22" s="133" t="str">
        <f>IF('Midterm OVPAA-F-INS-055A RAW SC'!CS22="","",'Midterm OVPAA-F-INS-055A RAW SC'!CS22/'Midterm OVPAA-F-INS-055A RAW SC'!CS$17*100)</f>
        <v/>
      </c>
      <c r="CX22" s="133" t="str">
        <f>IF('Midterm OVPAA-F-INS-055A RAW SC'!CT22="","",'Midterm OVPAA-F-INS-055A RAW SC'!CT22/'Midterm OVPAA-F-INS-055A RAW SC'!CT$17*100)</f>
        <v/>
      </c>
      <c r="CY22" s="133" t="str">
        <f>IF('Midterm OVPAA-F-INS-055A RAW SC'!CU22="","",'Midterm OVPAA-F-INS-055A RAW SC'!CU22/'Midterm OVPAA-F-INS-055A RAW SC'!CU$17*100)</f>
        <v/>
      </c>
      <c r="CZ22" s="133" t="str">
        <f>IF('Midterm OVPAA-F-INS-055A RAW SC'!CV22="","",'Midterm OVPAA-F-INS-055A RAW SC'!CV22/'Midterm OVPAA-F-INS-055A RAW SC'!CV$17*100)</f>
        <v/>
      </c>
      <c r="DA22" s="133" t="str">
        <f>IF('Midterm OVPAA-F-INS-055A RAW SC'!CW22="","",'Midterm OVPAA-F-INS-055A RAW SC'!CW22/'Midterm OVPAA-F-INS-055A RAW SC'!CW$17*100)</f>
        <v/>
      </c>
      <c r="DB22" s="133" t="str">
        <f>IF('Midterm OVPAA-F-INS-055A RAW SC'!CX22="","",'Midterm OVPAA-F-INS-055A RAW SC'!CX22/'Midterm OVPAA-F-INS-055A RAW SC'!CX$17*100)</f>
        <v/>
      </c>
      <c r="DC22" s="134">
        <f t="array" ref="DC22">IF('Midterm OVPAA-F-INS-055A RAW SC'!$G22="","",IF((SUMPRODUCT(--ISBLANK('Midterm OVPAA-F-INS-055A RAW SC'!CO22:CX22))=COLUMNS('Midterm OVPAA-F-INS-055A RAW SC'!CO22:CX22))=TRUE,"",(((COUNTA('Midterm OVPAA-F-INS-055A RAW SC'!$CO$17:$CX$17)+COUNTBLANK('Midterm OVPAA-F-INS-055A RAW SC'!CO22:CX22))-COLUMNS('Midterm OVPAA-F-INS-055A RAW SC'!CO22:CX22))*5+SUM(CS22:DB22))/COUNTA('Midterm OVPAA-F-INS-055A RAW SC'!$CO$17:$CX$17)))</f>
        <v>81</v>
      </c>
      <c r="DD22" s="135">
        <f>IF(DC22="","",VLOOKUP(DC22,IF('Midterm OVPAA-F-INS-055A RAW SC'!$V$12=0.5,TRANSMUTATION!$C$4:$D$17,TRANSMUTATION!$G$4:$H$17),2,TRUE))</f>
        <v>1.75</v>
      </c>
      <c r="DE22" s="136">
        <f t="shared" si="1"/>
        <v>0.52500000000000002</v>
      </c>
      <c r="DF22" s="137">
        <f t="shared" si="2"/>
        <v>0.44999999999999996</v>
      </c>
      <c r="DG22" s="138">
        <f t="shared" si="3"/>
        <v>0.70000000000000007</v>
      </c>
      <c r="DH22" s="136">
        <f t="shared" si="4"/>
        <v>1.675</v>
      </c>
      <c r="DI22" s="123" t="str">
        <f t="shared" si="5"/>
        <v>1.75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IF('Midterm OVPAA-F-INS-055A RAW SC'!H23="","",'Midterm OVPAA-F-INS-055A RAW SC'!H23/'Midterm OVPAA-F-INS-055A RAW SC'!H$17*100)</f>
        <v>80</v>
      </c>
      <c r="I23" s="126">
        <v>0</v>
      </c>
      <c r="J23" s="126">
        <f>IF('Midterm OVPAA-F-INS-055A RAW SC'!J23="","",'Midterm OVPAA-F-INS-055A RAW SC'!J23/'Midterm OVPAA-F-INS-055A RAW SC'!J$17*100)</f>
        <v>84</v>
      </c>
      <c r="K23" s="126" t="str">
        <f>IF('Midterm OVPAA-F-INS-055A RAW SC'!K23="","",'Midterm OVPAA-F-INS-055A RAW SC'!K23/'Midterm OVPAA-F-INS-055A RAW SC'!K$17*100)</f>
        <v/>
      </c>
      <c r="L23" s="126" t="str">
        <f>IF('Midterm OVPAA-F-INS-055A RAW SC'!L23="","",'Midterm OVPAA-F-INS-055A RAW SC'!L23/'Midterm OVPAA-F-INS-055A RAW SC'!L$17*100)</f>
        <v/>
      </c>
      <c r="M23" s="126" t="str">
        <f>IF('Midterm OVPAA-F-INS-055A RAW SC'!M23="","",'Midterm OVPAA-F-INS-055A RAW SC'!M23/'Midterm OVPAA-F-INS-055A RAW SC'!M$17*100)</f>
        <v/>
      </c>
      <c r="N23" s="126" t="str">
        <f>IF('Midterm OVPAA-F-INS-055A RAW SC'!N23="","",'Midterm OVPAA-F-INS-055A RAW SC'!N23/'Midterm OVPAA-F-INS-055A RAW SC'!N$17*100)</f>
        <v/>
      </c>
      <c r="O23" s="126" t="str">
        <f>IF('Midterm OVPAA-F-INS-055A RAW SC'!O23="","",'Midterm OVPAA-F-INS-055A RAW SC'!O23/'Midterm OVPAA-F-INS-055A RAW SC'!O$17*100)</f>
        <v/>
      </c>
      <c r="P23" s="126" t="str">
        <f>IF('Midterm OVPAA-F-INS-055A RAW SC'!P23="","",'Midterm OVPAA-F-INS-055A RAW SC'!P23/'Midterm OVPAA-F-INS-055A RAW SC'!P$17*100)</f>
        <v/>
      </c>
      <c r="Q23" s="126" t="str">
        <f>IF('Midterm OVPAA-F-INS-055A RAW SC'!Q23="","",'Midterm OVPAA-F-INS-055A RAW SC'!Q23/'Midterm OVPAA-F-INS-055A RAW SC'!Q$17*100)</f>
        <v/>
      </c>
      <c r="R23" s="126" t="str">
        <f>IF('Midterm OVPAA-F-INS-055A RAW SC'!R23="","",'Midterm OVPAA-F-INS-055A RAW SC'!R23/'Midterm OVPAA-F-INS-055A RAW SC'!R$17*100)</f>
        <v/>
      </c>
      <c r="S23" s="126" t="str">
        <f>IF('Midterm OVPAA-F-INS-055A RAW SC'!S23="","",'Midterm OVPAA-F-INS-055A RAW SC'!S23/'Midterm OVPAA-F-INS-055A RAW SC'!S$17*100)</f>
        <v/>
      </c>
      <c r="T23" s="126" t="str">
        <f>IF('Midterm OVPAA-F-INS-055A RAW SC'!T23="","",'Midterm OVPAA-F-INS-055A RAW SC'!T23/'Midterm OVPAA-F-INS-055A RAW SC'!T$17*100)</f>
        <v/>
      </c>
      <c r="U23" s="126" t="str">
        <f>IF('Midterm OVPAA-F-INS-055A RAW SC'!U23="","",'Midterm OVPAA-F-INS-055A RAW SC'!U23/'Midterm OVPAA-F-INS-055A RAW SC'!U$17*100)</f>
        <v/>
      </c>
      <c r="V23" s="126" t="str">
        <f>IF('Midterm OVPAA-F-INS-055A RAW SC'!V23="","",'Midterm OVPAA-F-INS-055A RAW SC'!V23/'Midterm OVPAA-F-INS-055A RAW SC'!V$17*100)</f>
        <v/>
      </c>
      <c r="W23" s="126" t="str">
        <f>IF('Midterm OVPAA-F-INS-055A RAW SC'!W23="","",'Midterm OVPAA-F-INS-055A RAW SC'!W23/'Midterm OVPAA-F-INS-055A RAW SC'!W$17*100)</f>
        <v/>
      </c>
      <c r="X23" s="126" t="str">
        <f>IF('Midterm OVPAA-F-INS-055A RAW SC'!X23="","",'Midterm OVPAA-F-INS-055A RAW SC'!X23/'Midterm OVPAA-F-INS-055A RAW SC'!X$17*100)</f>
        <v/>
      </c>
      <c r="Y23" s="126" t="str">
        <f>IF('Midterm OVPAA-F-INS-055A RAW SC'!Y23="","",'Midterm OVPAA-F-INS-055A RAW SC'!Y23/'Midterm OVPAA-F-INS-055A RAW SC'!Y$17*100)</f>
        <v/>
      </c>
      <c r="Z23" s="126" t="str">
        <f>IF('Midterm OVPAA-F-INS-055A RAW SC'!Z23="","",'Midterm OVPAA-F-INS-055A RAW SC'!Z23/'Midterm OVPAA-F-INS-055A RAW SC'!Z$17*100)</f>
        <v/>
      </c>
      <c r="AA23" s="126" t="str">
        <f>IF('Midterm OVPAA-F-INS-055A RAW SC'!AA23="","",'Midterm OVPAA-F-INS-055A RAW SC'!AA23/'Midterm OVPAA-F-INS-055A RAW SC'!AA$17*100)</f>
        <v/>
      </c>
      <c r="AB23" s="126" t="str">
        <f>IF('Midterm OVPAA-F-INS-055A RAW SC'!AB23="","",'Midterm OVPAA-F-INS-055A RAW SC'!AB23/'Midterm OVPAA-F-INS-055A RAW SC'!AB$17*100)</f>
        <v/>
      </c>
      <c r="AC23" s="126" t="str">
        <f>IF('Midterm OVPAA-F-INS-055A RAW SC'!AC23="","",'Midterm OVPAA-F-INS-055A RAW SC'!AC23/'Midterm OVPAA-F-INS-055A RAW SC'!AC$17*100)</f>
        <v/>
      </c>
      <c r="AD23" s="126" t="str">
        <f>IF('Midterm OVPAA-F-INS-055A RAW SC'!AD23="","",'Midterm OVPAA-F-INS-055A RAW SC'!AD23/'Midterm OVPAA-F-INS-055A RAW SC'!AD$17*100)</f>
        <v/>
      </c>
      <c r="AE23" s="126" t="str">
        <f>IF('Midterm OVPAA-F-INS-055A RAW SC'!AE23="","",'Midterm OVPAA-F-INS-055A RAW SC'!AE23/'Midterm OVPAA-F-INS-055A RAW SC'!AE$17*100)</f>
        <v/>
      </c>
      <c r="AF23" s="126" t="str">
        <f>IF('Midterm OVPAA-F-INS-055A RAW SC'!AF23="","",'Midterm OVPAA-F-INS-055A RAW SC'!AF23/'Midterm OVPAA-F-INS-055A RAW SC'!AF$17*100)</f>
        <v/>
      </c>
      <c r="AG23" s="126" t="str">
        <f>IF('Midterm OVPAA-F-INS-055A RAW SC'!AG23="","",'Midterm OVPAA-F-INS-055A RAW SC'!AG23/'Midterm OVPAA-F-INS-055A RAW SC'!AG$17*100)</f>
        <v/>
      </c>
      <c r="AH23" s="126" t="str">
        <f>IF('Midterm OVPAA-F-INS-055A RAW SC'!AH23="","",'Midterm OVPAA-F-INS-055A RAW SC'!AH23/'Midterm OVPAA-F-INS-055A RAW SC'!AH$17*100)</f>
        <v/>
      </c>
      <c r="AI23" s="126" t="str">
        <f>IF('Midterm OVPAA-F-INS-055A RAW SC'!AI23="","",'Midterm OVPAA-F-INS-055A RAW SC'!AI23/'Midterm OVPAA-F-INS-055A RAW SC'!AI$17*100)</f>
        <v/>
      </c>
      <c r="AJ23" s="126" t="str">
        <f>IF('Midterm OVPAA-F-INS-055A RAW SC'!AJ23="","",'Midterm OVPAA-F-INS-055A RAW SC'!AJ23/'Midterm OVPAA-F-INS-055A RAW SC'!AJ$17*100)</f>
        <v/>
      </c>
      <c r="AK23" s="126" t="str">
        <f>IF('Midterm OVPAA-F-INS-055A RAW SC'!AK23="","",'Midterm OVPAA-F-INS-055A RAW SC'!AK23/'Midterm OVPAA-F-INS-055A RAW SC'!AK$17*100)</f>
        <v/>
      </c>
      <c r="AL23" s="126" t="str">
        <f>IF('Midterm OVPAA-F-INS-055A RAW SC'!AL23="","",'Midterm OVPAA-F-INS-055A RAW SC'!AL23/'Midterm OVPAA-F-INS-055A RAW SC'!AL$17*100)</f>
        <v/>
      </c>
      <c r="AM23" s="126" t="str">
        <f>IF('Midterm OVPAA-F-INS-055A RAW SC'!AM23="","",'Midterm OVPAA-F-INS-055A RAW SC'!AM23/'Midterm OVPAA-F-INS-055A RAW SC'!AM$17*100)</f>
        <v/>
      </c>
      <c r="AN23" s="126" t="str">
        <f>IF('Midterm OVPAA-F-INS-055A RAW SC'!AN23="","",'Midterm OVPAA-F-INS-055A RAW SC'!AN23/'Midterm OVPAA-F-INS-055A RAW SC'!AN$17*100)</f>
        <v/>
      </c>
      <c r="AO23" s="126" t="str">
        <f>IF('Midterm OVPAA-F-INS-055A RAW SC'!AO23="","",'Midterm OVPAA-F-INS-055A RAW SC'!AO23/'Midterm OVPAA-F-INS-055A RAW SC'!AO$17*100)</f>
        <v/>
      </c>
      <c r="AP23" s="126" t="str">
        <f>IF('Midterm OVPAA-F-INS-055A RAW SC'!AP23="","",'Midterm OVPAA-F-INS-055A RAW SC'!AP23/'Midterm OVPAA-F-INS-055A RAW SC'!AP$17*100)</f>
        <v/>
      </c>
      <c r="AQ23" s="126" t="str">
        <f>IF('Midterm OVPAA-F-INS-055A RAW SC'!AQ23="","",'Midterm OVPAA-F-INS-055A RAW SC'!AQ23/'Midterm OVPAA-F-INS-055A RAW SC'!AQ$17*100)</f>
        <v/>
      </c>
      <c r="AR23" s="126" t="str">
        <f>IF('Midterm OVPAA-F-INS-055A RAW SC'!AR23="","",'Midterm OVPAA-F-INS-055A RAW SC'!AR23/'Midterm OVPAA-F-INS-055A RAW SC'!AR$17*100)</f>
        <v/>
      </c>
      <c r="AS23" s="126" t="str">
        <f>IF('Midterm OVPAA-F-INS-055A RAW SC'!AS23="","",'Midterm OVPAA-F-INS-055A RAW SC'!AS23/'Midterm OVPAA-F-INS-055A RAW SC'!AS$17*100)</f>
        <v/>
      </c>
      <c r="AT23" s="126" t="str">
        <f>IF('Midterm OVPAA-F-INS-055A RAW SC'!AT23="","",'Midterm OVPAA-F-INS-055A RAW SC'!AT23/'Midterm OVPAA-F-INS-055A RAW SC'!AT$17*100)</f>
        <v/>
      </c>
      <c r="AU23" s="126" t="str">
        <f>IF('Midterm OVPAA-F-INS-055A RAW SC'!AU23="","",'Midterm OVPAA-F-INS-055A RAW SC'!AU23/'Midterm OVPAA-F-INS-055A RAW SC'!AU$17*100)</f>
        <v/>
      </c>
      <c r="AV23" s="126" t="str">
        <f>IF('Midterm OVPAA-F-INS-055A RAW SC'!AV23="","",'Midterm OVPAA-F-INS-055A RAW SC'!AV23/'Midterm OVPAA-F-INS-055A RAW SC'!AV$17*100)</f>
        <v/>
      </c>
      <c r="AW23" s="126" t="str">
        <f>IF('Midterm OVPAA-F-INS-055A RAW SC'!AW23="","",'Midterm OVPAA-F-INS-055A RAW SC'!AW23/'Midterm OVPAA-F-INS-055A RAW SC'!AW$17*100)</f>
        <v/>
      </c>
      <c r="AX23" s="126" t="str">
        <f>IF('Midterm OVPAA-F-INS-055A RAW SC'!AX23="","",'Midterm OVPAA-F-INS-055A RAW SC'!AX23/'Midterm OVPAA-F-INS-055A RAW SC'!AX$17*100)</f>
        <v/>
      </c>
      <c r="AY23" s="126" t="str">
        <f>IF('Midterm OVPAA-F-INS-055A RAW SC'!AY23="","",'Midterm OVPAA-F-INS-055A RAW SC'!AY23/'Midterm OVPAA-F-INS-055A RAW SC'!AY$17*100)</f>
        <v/>
      </c>
      <c r="AZ23" s="126" t="str">
        <f>IF('Midterm OVPAA-F-INS-055A RAW SC'!AZ23="","",'Midterm OVPAA-F-INS-055A RAW SC'!AZ23/'Midterm OVPAA-F-INS-055A RAW SC'!AZ$17*100)</f>
        <v/>
      </c>
      <c r="BA23" s="126" t="str">
        <f>IF('Midterm OVPAA-F-INS-055A RAW SC'!BA23="","",'Midterm OVPAA-F-INS-055A RAW SC'!BA23/'Midterm OVPAA-F-INS-055A RAW SC'!BA$17*100)</f>
        <v/>
      </c>
      <c r="BB23" s="126" t="str">
        <f>IF('Midterm OVPAA-F-INS-055A RAW SC'!BB23="","",'Midterm OVPAA-F-INS-055A RAW SC'!BB23/'Midterm OVPAA-F-INS-055A RAW SC'!BB$17*100)</f>
        <v/>
      </c>
      <c r="BC23" s="126" t="str">
        <f>IF('Midterm OVPAA-F-INS-055A RAW SC'!BC23="","",'Midterm OVPAA-F-INS-055A RAW SC'!BC23/'Midterm OVPAA-F-INS-055A RAW SC'!BC$17*100)</f>
        <v/>
      </c>
      <c r="BD23" s="126" t="str">
        <f>IF('Midterm OVPAA-F-INS-055A RAW SC'!BD23="","",'Midterm OVPAA-F-INS-055A RAW SC'!BD23/'Midterm OVPAA-F-INS-055A RAW SC'!BD$17*100)</f>
        <v/>
      </c>
      <c r="BE23" s="126" t="str">
        <f>IF('Midterm OVPAA-F-INS-055A RAW SC'!BE23="","",'Midterm OVPAA-F-INS-055A RAW SC'!BE23/'Midterm OVPAA-F-INS-055A RAW SC'!BE$17*100)</f>
        <v/>
      </c>
      <c r="BF23" s="126" t="str">
        <f>IF('Midterm OVPAA-F-INS-055A RAW SC'!BF23="","",'Midterm OVPAA-F-INS-055A RAW SC'!BF23/'Midterm OVPAA-F-INS-055A RAW SC'!BF$17*100)</f>
        <v/>
      </c>
      <c r="BG23" s="126" t="str">
        <f>IF('Midterm OVPAA-F-INS-055A RAW SC'!BG23="","",'Midterm OVPAA-F-INS-055A RAW SC'!BG23/'Midterm OVPAA-F-INS-055A RAW SC'!BG$17*100)</f>
        <v/>
      </c>
      <c r="BH23" s="126" t="str">
        <f>IF('Midterm OVPAA-F-INS-055A RAW SC'!BH23="","",'Midterm OVPAA-F-INS-055A RAW SC'!BH23/'Midterm OVPAA-F-INS-055A RAW SC'!BH$17*100)</f>
        <v/>
      </c>
      <c r="BI23" s="126" t="str">
        <f>IF('Midterm OVPAA-F-INS-055A RAW SC'!BI23="","",'Midterm OVPAA-F-INS-055A RAW SC'!BI23/'Midterm OVPAA-F-INS-055A RAW SC'!BI$17*100)</f>
        <v/>
      </c>
      <c r="BJ23" s="126" t="str">
        <f>IF('Midterm OVPAA-F-INS-055A RAW SC'!BJ23="","",'Midterm OVPAA-F-INS-055A RAW SC'!BJ23/'Midterm OVPAA-F-INS-055A RAW SC'!BJ$17*100)</f>
        <v/>
      </c>
      <c r="BK23" s="126" t="str">
        <f>IF('Midterm OVPAA-F-INS-055A RAW SC'!BK23="","",'Midterm OVPAA-F-INS-055A RAW SC'!BK23/'Midterm OVPAA-F-INS-055A RAW SC'!BK$17*100)</f>
        <v/>
      </c>
      <c r="BL23" s="126" t="str">
        <f>IF('Midterm OVPAA-F-INS-055A RAW SC'!BL23="","",'Midterm OVPAA-F-INS-055A RAW SC'!BL23/'Midterm OVPAA-F-INS-055A RAW SC'!BL$17*100)</f>
        <v/>
      </c>
      <c r="BM23" s="126" t="str">
        <f>IF('Midterm OVPAA-F-INS-055A RAW SC'!BM23="","",'Midterm OVPAA-F-INS-055A RAW SC'!BM23/'Midterm OVPAA-F-INS-055A RAW SC'!BM$17*100)</f>
        <v/>
      </c>
      <c r="BN23" s="126" t="str">
        <f>IF('Midterm OVPAA-F-INS-055A RAW SC'!BN23="","",'Midterm OVPAA-F-INS-055A RAW SC'!BN23/'Midterm OVPAA-F-INS-055A RAW SC'!BN$17*100)</f>
        <v/>
      </c>
      <c r="BO23" s="126" t="str">
        <f>IF('Midterm OVPAA-F-INS-055A RAW SC'!BO23="","",'Midterm OVPAA-F-INS-055A RAW SC'!BO23/'Midterm OVPAA-F-INS-055A RAW SC'!BO$17*100)</f>
        <v/>
      </c>
      <c r="BP23" s="126" t="str">
        <f>IF('Midterm OVPAA-F-INS-055A RAW SC'!BP23="","",'Midterm OVPAA-F-INS-055A RAW SC'!BP23/'Midterm OVPAA-F-INS-055A RAW SC'!BP$17*100)</f>
        <v/>
      </c>
      <c r="BQ23" s="126" t="str">
        <f>IF('Midterm OVPAA-F-INS-055A RAW SC'!BQ23="","",'Midterm OVPAA-F-INS-055A RAW SC'!BQ23/'Midterm OVPAA-F-INS-055A RAW SC'!BQ$17*100)</f>
        <v/>
      </c>
      <c r="BR23" s="126" t="str">
        <f>IF('Midterm OVPAA-F-INS-055A RAW SC'!BR23="","",'Midterm OVPAA-F-INS-055A RAW SC'!BR23/'Midterm OVPAA-F-INS-055A RAW SC'!BR$17*100)</f>
        <v/>
      </c>
      <c r="BS23" s="126" t="str">
        <f>IF('Midterm OVPAA-F-INS-055A RAW SC'!BS23="","",'Midterm OVPAA-F-INS-055A RAW SC'!BS23/'Midterm OVPAA-F-INS-055A RAW SC'!BS$17*100)</f>
        <v/>
      </c>
      <c r="BT23" s="126" t="str">
        <f>IF('Midterm OVPAA-F-INS-055A RAW SC'!BT23="","",'Midterm OVPAA-F-INS-055A RAW SC'!BT23/'Midterm OVPAA-F-INS-055A RAW SC'!BT$17*100)</f>
        <v/>
      </c>
      <c r="BU23" s="127">
        <f t="array" ref="BU23">IF('Midterm OVPAA-F-INS-055A RAW SC'!$G23="","",IF((SUMPRODUCT(--ISBLANK('Midterm OVPAA-F-INS-055A RAW SC'!H23:BT23))=COLUMNS('Midterm OVPAA-F-INS-055A RAW SC'!H23:BT23))=TRUE,"",(((COUNTA('Midterm OVPAA-F-INS-055A RAW SC'!$H$17:$BT$17)+COUNTBLANK('Midterm OVPAA-F-INS-055A RAW SC'!H23:BT23))-COLUMNS('Midterm OVPAA-F-INS-055A RAW SC'!H23:BT23))*5+SUM(H23:BT23))/COUNTA('Midterm OVPAA-F-INS-055A RAW SC'!$H$17:$BT$17)))</f>
        <v>54.666666666666664</v>
      </c>
      <c r="BV23" s="128">
        <f>IF(BU23="","",VLOOKUP(BU23,IF('Midterm OVPAA-F-INS-055A RAW SC'!$V$12=0.5,TRANSMUTATION!$C$4:$D$17,TRANSMUTATION!$G$4:$H$17),2,TRUE))</f>
        <v>3</v>
      </c>
      <c r="BW23" s="129">
        <f>IF('Midterm OVPAA-F-INS-055A RAW SC'!BU23="","",'Midterm OVPAA-F-INS-055A RAW SC'!BU23/'Midterm OVPAA-F-INS-055A RAW SC'!BU$17*100)</f>
        <v>80</v>
      </c>
      <c r="BX23" s="130">
        <f>IF('Midterm OVPAA-F-INS-055A RAW SC'!BV23="","",'Midterm OVPAA-F-INS-055A RAW SC'!BV23/'Midterm OVPAA-F-INS-055A RAW SC'!BV$17*100)</f>
        <v>100</v>
      </c>
      <c r="BY23" s="130">
        <f>IF('Midterm OVPAA-F-INS-055A RAW SC'!BW23="","",'Midterm OVPAA-F-INS-055A RAW SC'!BW23/'Midterm OVPAA-F-INS-055A RAW SC'!BW$17*100)</f>
        <v>100</v>
      </c>
      <c r="BZ23" s="130" t="str">
        <f>IF('Midterm OVPAA-F-INS-055A RAW SC'!BX23="","",'Midterm OVPAA-F-INS-055A RAW SC'!BX23/'Midterm OVPAA-F-INS-055A RAW SC'!BX$17*100)</f>
        <v/>
      </c>
      <c r="CA23" s="130" t="str">
        <f>IF('Midterm OVPAA-F-INS-055A RAW SC'!BY23="","",'Midterm OVPAA-F-INS-055A RAW SC'!BY23/'Midterm OVPAA-F-INS-055A RAW SC'!BY$17*100)</f>
        <v/>
      </c>
      <c r="CB23" s="130" t="str">
        <f>IF('Midterm OVPAA-F-INS-055A RAW SC'!BZ23="","",'Midterm OVPAA-F-INS-055A RAW SC'!BZ23/'Midterm OVPAA-F-INS-055A RAW SC'!BZ$17*100)</f>
        <v/>
      </c>
      <c r="CC23" s="130" t="str">
        <f>IF('Midterm OVPAA-F-INS-055A RAW SC'!CA23="","",'Midterm OVPAA-F-INS-055A RAW SC'!CA23/'Midterm OVPAA-F-INS-055A RAW SC'!CA$17*100)</f>
        <v/>
      </c>
      <c r="CD23" s="130" t="str">
        <f>IF('Midterm OVPAA-F-INS-055A RAW SC'!CB23="","",'Midterm OVPAA-F-INS-055A RAW SC'!CB23/'Midterm OVPAA-F-INS-055A RAW SC'!CB$17*100)</f>
        <v/>
      </c>
      <c r="CE23" s="130" t="str">
        <f>IF('Midterm OVPAA-F-INS-055A RAW SC'!CC23="","",'Midterm OVPAA-F-INS-055A RAW SC'!CC23/'Midterm OVPAA-F-INS-055A RAW SC'!CC$17*100)</f>
        <v/>
      </c>
      <c r="CF23" s="130" t="str">
        <f>IF('Midterm OVPAA-F-INS-055A RAW SC'!CD23="","",'Midterm OVPAA-F-INS-055A RAW SC'!CD23/'Midterm OVPAA-F-INS-055A RAW SC'!CD$17*100)</f>
        <v/>
      </c>
      <c r="CG23" s="130" t="str">
        <f>IF('Midterm OVPAA-F-INS-055A RAW SC'!CE23="","",'Midterm OVPAA-F-INS-055A RAW SC'!CE23/'Midterm OVPAA-F-INS-055A RAW SC'!CE$17*100)</f>
        <v/>
      </c>
      <c r="CH23" s="130" t="str">
        <f>IF('Midterm OVPAA-F-INS-055A RAW SC'!CF23="","",'Midterm OVPAA-F-INS-055A RAW SC'!CF23/'Midterm OVPAA-F-INS-055A RAW SC'!CF$17*100)</f>
        <v/>
      </c>
      <c r="CI23" s="130" t="str">
        <f>IF('Midterm OVPAA-F-INS-055A RAW SC'!CG23="","",'Midterm OVPAA-F-INS-055A RAW SC'!CG23/'Midterm OVPAA-F-INS-055A RAW SC'!CG$17*100)</f>
        <v/>
      </c>
      <c r="CJ23" s="130" t="str">
        <f>IF('Midterm OVPAA-F-INS-055A RAW SC'!CH23="","",'Midterm OVPAA-F-INS-055A RAW SC'!CH23/'Midterm OVPAA-F-INS-055A RAW SC'!CH$17*100)</f>
        <v/>
      </c>
      <c r="CK23" s="130" t="str">
        <f>IF('Midterm OVPAA-F-INS-055A RAW SC'!CI23="","",'Midterm OVPAA-F-INS-055A RAW SC'!CI23/'Midterm OVPAA-F-INS-055A RAW SC'!CI$17*100)</f>
        <v/>
      </c>
      <c r="CL23" s="130" t="str">
        <f>IF('Midterm OVPAA-F-INS-055A RAW SC'!CJ23="","",'Midterm OVPAA-F-INS-055A RAW SC'!CJ23/'Midterm OVPAA-F-INS-055A RAW SC'!CJ$17*100)</f>
        <v/>
      </c>
      <c r="CM23" s="130" t="str">
        <f>IF('Midterm OVPAA-F-INS-055A RAW SC'!CK23="","",'Midterm OVPAA-F-INS-055A RAW SC'!CK23/'Midterm OVPAA-F-INS-055A RAW SC'!CK$17*100)</f>
        <v/>
      </c>
      <c r="CN23" s="130" t="str">
        <f>IF('Midterm OVPAA-F-INS-055A RAW SC'!CL23="","",'Midterm OVPAA-F-INS-055A RAW SC'!CL23/'Midterm OVPAA-F-INS-055A RAW SC'!CL$17*100)</f>
        <v/>
      </c>
      <c r="CO23" s="130" t="str">
        <f>IF('Midterm OVPAA-F-INS-055A RAW SC'!CM23="","",'Midterm OVPAA-F-INS-055A RAW SC'!CM23/'Midterm OVPAA-F-INS-055A RAW SC'!CM$17*100)</f>
        <v/>
      </c>
      <c r="CP23" s="130" t="str">
        <f>IF('Midterm OVPAA-F-INS-055A RAW SC'!CN23="","",'Midterm OVPAA-F-INS-055A RAW SC'!CN23/'Midterm OVPAA-F-INS-055A RAW SC'!CN$17*100)</f>
        <v/>
      </c>
      <c r="CQ23" s="131">
        <f t="array" ref="CQ23">IF('Midterm OVPAA-F-INS-055A RAW SC'!G23="","",IF((SUMPRODUCT(--ISBLANK('Midterm OVPAA-F-INS-055A RAW SC'!BU23:CN23))=COLUMNS('Midterm OVPAA-F-INS-055A RAW SC'!BU23:CN23))=TRUE,"",(((COUNTA('Midterm OVPAA-F-INS-055A RAW SC'!$BU$17:$CN$17)+COUNTBLANK('Midterm OVPAA-F-INS-055A RAW SC'!BU23:CN23))-COLUMNS('Midterm OVPAA-F-INS-055A RAW SC'!BU23:CN23))*5+SUM(BW23:CP23))/COUNTA('Midterm OVPAA-F-INS-055A RAW SC'!$BU$17:$CN$17)))</f>
        <v>93.333333333333329</v>
      </c>
      <c r="CR23" s="132">
        <f>IF(CQ23="","",VLOOKUP(CQ23,IF('Midterm OVPAA-F-INS-055A RAW SC'!$V$12=0.5,TRANSMUTATION!$C$4:$D$17,TRANSMUTATION!$G$4:$H$17),2,TRUE))</f>
        <v>1.25</v>
      </c>
      <c r="CS23" s="133">
        <f>IF('Midterm OVPAA-F-INS-055A RAW SC'!CO23="","",'Midterm OVPAA-F-INS-055A RAW SC'!CO23/'Midterm OVPAA-F-INS-055A RAW SC'!CO$17*100)</f>
        <v>92</v>
      </c>
      <c r="CT23" s="133">
        <f>IF('Midterm OVPAA-F-INS-055A RAW SC'!CP23="","",'Midterm OVPAA-F-INS-055A RAW SC'!CP23/'Midterm OVPAA-F-INS-055A RAW SC'!CP$17*100)</f>
        <v>80</v>
      </c>
      <c r="CU23" s="133" t="str">
        <f>IF('Midterm OVPAA-F-INS-055A RAW SC'!CQ23="","",'Midterm OVPAA-F-INS-055A RAW SC'!CQ23/'Midterm OVPAA-F-INS-055A RAW SC'!CQ$17*100)</f>
        <v/>
      </c>
      <c r="CV23" s="133" t="str">
        <f>IF('Midterm OVPAA-F-INS-055A RAW SC'!CR23="","",'Midterm OVPAA-F-INS-055A RAW SC'!CR23/'Midterm OVPAA-F-INS-055A RAW SC'!CR$17*100)</f>
        <v/>
      </c>
      <c r="CW23" s="133" t="str">
        <f>IF('Midterm OVPAA-F-INS-055A RAW SC'!CS23="","",'Midterm OVPAA-F-INS-055A RAW SC'!CS23/'Midterm OVPAA-F-INS-055A RAW SC'!CS$17*100)</f>
        <v/>
      </c>
      <c r="CX23" s="133" t="str">
        <f>IF('Midterm OVPAA-F-INS-055A RAW SC'!CT23="","",'Midterm OVPAA-F-INS-055A RAW SC'!CT23/'Midterm OVPAA-F-INS-055A RAW SC'!CT$17*100)</f>
        <v/>
      </c>
      <c r="CY23" s="133" t="str">
        <f>IF('Midterm OVPAA-F-INS-055A RAW SC'!CU23="","",'Midterm OVPAA-F-INS-055A RAW SC'!CU23/'Midterm OVPAA-F-INS-055A RAW SC'!CU$17*100)</f>
        <v/>
      </c>
      <c r="CZ23" s="133" t="str">
        <f>IF('Midterm OVPAA-F-INS-055A RAW SC'!CV23="","",'Midterm OVPAA-F-INS-055A RAW SC'!CV23/'Midterm OVPAA-F-INS-055A RAW SC'!CV$17*100)</f>
        <v/>
      </c>
      <c r="DA23" s="133" t="str">
        <f>IF('Midterm OVPAA-F-INS-055A RAW SC'!CW23="","",'Midterm OVPAA-F-INS-055A RAW SC'!CW23/'Midterm OVPAA-F-INS-055A RAW SC'!CW$17*100)</f>
        <v/>
      </c>
      <c r="DB23" s="133" t="str">
        <f>IF('Midterm OVPAA-F-INS-055A RAW SC'!CX23="","",'Midterm OVPAA-F-INS-055A RAW SC'!CX23/'Midterm OVPAA-F-INS-055A RAW SC'!CX$17*100)</f>
        <v/>
      </c>
      <c r="DC23" s="134">
        <f t="array" ref="DC23">IF('Midterm OVPAA-F-INS-055A RAW SC'!$G23="","",IF((SUMPRODUCT(--ISBLANK('Midterm OVPAA-F-INS-055A RAW SC'!CO23:CX23))=COLUMNS('Midterm OVPAA-F-INS-055A RAW SC'!CO23:CX23))=TRUE,"",(((COUNTA('Midterm OVPAA-F-INS-055A RAW SC'!$CO$17:$CX$17)+COUNTBLANK('Midterm OVPAA-F-INS-055A RAW SC'!CO23:CX23))-COLUMNS('Midterm OVPAA-F-INS-055A RAW SC'!CO23:CX23))*5+SUM(CS23:DB23))/COUNTA('Midterm OVPAA-F-INS-055A RAW SC'!$CO$17:$CX$17)))</f>
        <v>86</v>
      </c>
      <c r="DD23" s="135">
        <f>IF(DC23="","",VLOOKUP(DC23,IF('Midterm OVPAA-F-INS-055A RAW SC'!$V$12=0.5,TRANSMUTATION!$C$4:$D$17,TRANSMUTATION!$G$4:$H$17),2,TRUE))</f>
        <v>1.5</v>
      </c>
      <c r="DE23" s="136">
        <f t="shared" si="1"/>
        <v>0.89999999999999991</v>
      </c>
      <c r="DF23" s="137">
        <f t="shared" si="2"/>
        <v>0.375</v>
      </c>
      <c r="DG23" s="138">
        <f t="shared" si="3"/>
        <v>0.60000000000000009</v>
      </c>
      <c r="DH23" s="136">
        <f t="shared" si="4"/>
        <v>1.875</v>
      </c>
      <c r="DI23" s="123" t="str">
        <f t="shared" si="5"/>
        <v>1.75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IF('Midterm OVPAA-F-INS-055A RAW SC'!H24="","",'Midterm OVPAA-F-INS-055A RAW SC'!H24/'Midterm OVPAA-F-INS-055A RAW SC'!H$17*100)</f>
        <v>72</v>
      </c>
      <c r="I24" s="126">
        <v>0</v>
      </c>
      <c r="J24" s="126">
        <f>IF('Midterm OVPAA-F-INS-055A RAW SC'!J24="","",'Midterm OVPAA-F-INS-055A RAW SC'!J24/'Midterm OVPAA-F-INS-055A RAW SC'!J$17*100)</f>
        <v>100</v>
      </c>
      <c r="K24" s="126" t="str">
        <f>IF('Midterm OVPAA-F-INS-055A RAW SC'!K24="","",'Midterm OVPAA-F-INS-055A RAW SC'!K24/'Midterm OVPAA-F-INS-055A RAW SC'!K$17*100)</f>
        <v/>
      </c>
      <c r="L24" s="126" t="str">
        <f>IF('Midterm OVPAA-F-INS-055A RAW SC'!L24="","",'Midterm OVPAA-F-INS-055A RAW SC'!L24/'Midterm OVPAA-F-INS-055A RAW SC'!L$17*100)</f>
        <v/>
      </c>
      <c r="M24" s="126" t="str">
        <f>IF('Midterm OVPAA-F-INS-055A RAW SC'!M24="","",'Midterm OVPAA-F-INS-055A RAW SC'!M24/'Midterm OVPAA-F-INS-055A RAW SC'!M$17*100)</f>
        <v/>
      </c>
      <c r="N24" s="126" t="str">
        <f>IF('Midterm OVPAA-F-INS-055A RAW SC'!N24="","",'Midterm OVPAA-F-INS-055A RAW SC'!N24/'Midterm OVPAA-F-INS-055A RAW SC'!N$17*100)</f>
        <v/>
      </c>
      <c r="O24" s="126" t="str">
        <f>IF('Midterm OVPAA-F-INS-055A RAW SC'!O24="","",'Midterm OVPAA-F-INS-055A RAW SC'!O24/'Midterm OVPAA-F-INS-055A RAW SC'!O$17*100)</f>
        <v/>
      </c>
      <c r="P24" s="126" t="str">
        <f>IF('Midterm OVPAA-F-INS-055A RAW SC'!P24="","",'Midterm OVPAA-F-INS-055A RAW SC'!P24/'Midterm OVPAA-F-INS-055A RAW SC'!P$17*100)</f>
        <v/>
      </c>
      <c r="Q24" s="126" t="str">
        <f>IF('Midterm OVPAA-F-INS-055A RAW SC'!Q24="","",'Midterm OVPAA-F-INS-055A RAW SC'!Q24/'Midterm OVPAA-F-INS-055A RAW SC'!Q$17*100)</f>
        <v/>
      </c>
      <c r="R24" s="126" t="str">
        <f>IF('Midterm OVPAA-F-INS-055A RAW SC'!R24="","",'Midterm OVPAA-F-INS-055A RAW SC'!R24/'Midterm OVPAA-F-INS-055A RAW SC'!R$17*100)</f>
        <v/>
      </c>
      <c r="S24" s="126" t="str">
        <f>IF('Midterm OVPAA-F-INS-055A RAW SC'!S24="","",'Midterm OVPAA-F-INS-055A RAW SC'!S24/'Midterm OVPAA-F-INS-055A RAW SC'!S$17*100)</f>
        <v/>
      </c>
      <c r="T24" s="126" t="str">
        <f>IF('Midterm OVPAA-F-INS-055A RAW SC'!T24="","",'Midterm OVPAA-F-INS-055A RAW SC'!T24/'Midterm OVPAA-F-INS-055A RAW SC'!T$17*100)</f>
        <v/>
      </c>
      <c r="U24" s="126" t="str">
        <f>IF('Midterm OVPAA-F-INS-055A RAW SC'!U24="","",'Midterm OVPAA-F-INS-055A RAW SC'!U24/'Midterm OVPAA-F-INS-055A RAW SC'!U$17*100)</f>
        <v/>
      </c>
      <c r="V24" s="126" t="str">
        <f>IF('Midterm OVPAA-F-INS-055A RAW SC'!V24="","",'Midterm OVPAA-F-INS-055A RAW SC'!V24/'Midterm OVPAA-F-INS-055A RAW SC'!V$17*100)</f>
        <v/>
      </c>
      <c r="W24" s="126" t="str">
        <f>IF('Midterm OVPAA-F-INS-055A RAW SC'!W24="","",'Midterm OVPAA-F-INS-055A RAW SC'!W24/'Midterm OVPAA-F-INS-055A RAW SC'!W$17*100)</f>
        <v/>
      </c>
      <c r="X24" s="126" t="str">
        <f>IF('Midterm OVPAA-F-INS-055A RAW SC'!X24="","",'Midterm OVPAA-F-INS-055A RAW SC'!X24/'Midterm OVPAA-F-INS-055A RAW SC'!X$17*100)</f>
        <v/>
      </c>
      <c r="Y24" s="126" t="str">
        <f>IF('Midterm OVPAA-F-INS-055A RAW SC'!Y24="","",'Midterm OVPAA-F-INS-055A RAW SC'!Y24/'Midterm OVPAA-F-INS-055A RAW SC'!Y$17*100)</f>
        <v/>
      </c>
      <c r="Z24" s="126" t="str">
        <f>IF('Midterm OVPAA-F-INS-055A RAW SC'!Z24="","",'Midterm OVPAA-F-INS-055A RAW SC'!Z24/'Midterm OVPAA-F-INS-055A RAW SC'!Z$17*100)</f>
        <v/>
      </c>
      <c r="AA24" s="126" t="str">
        <f>IF('Midterm OVPAA-F-INS-055A RAW SC'!AA24="","",'Midterm OVPAA-F-INS-055A RAW SC'!AA24/'Midterm OVPAA-F-INS-055A RAW SC'!AA$17*100)</f>
        <v/>
      </c>
      <c r="AB24" s="126" t="str">
        <f>IF('Midterm OVPAA-F-INS-055A RAW SC'!AB24="","",'Midterm OVPAA-F-INS-055A RAW SC'!AB24/'Midterm OVPAA-F-INS-055A RAW SC'!AB$17*100)</f>
        <v/>
      </c>
      <c r="AC24" s="126" t="str">
        <f>IF('Midterm OVPAA-F-INS-055A RAW SC'!AC24="","",'Midterm OVPAA-F-INS-055A RAW SC'!AC24/'Midterm OVPAA-F-INS-055A RAW SC'!AC$17*100)</f>
        <v/>
      </c>
      <c r="AD24" s="126" t="str">
        <f>IF('Midterm OVPAA-F-INS-055A RAW SC'!AD24="","",'Midterm OVPAA-F-INS-055A RAW SC'!AD24/'Midterm OVPAA-F-INS-055A RAW SC'!AD$17*100)</f>
        <v/>
      </c>
      <c r="AE24" s="126" t="str">
        <f>IF('Midterm OVPAA-F-INS-055A RAW SC'!AE24="","",'Midterm OVPAA-F-INS-055A RAW SC'!AE24/'Midterm OVPAA-F-INS-055A RAW SC'!AE$17*100)</f>
        <v/>
      </c>
      <c r="AF24" s="126" t="str">
        <f>IF('Midterm OVPAA-F-INS-055A RAW SC'!AF24="","",'Midterm OVPAA-F-INS-055A RAW SC'!AF24/'Midterm OVPAA-F-INS-055A RAW SC'!AF$17*100)</f>
        <v/>
      </c>
      <c r="AG24" s="126" t="str">
        <f>IF('Midterm OVPAA-F-INS-055A RAW SC'!AG24="","",'Midterm OVPAA-F-INS-055A RAW SC'!AG24/'Midterm OVPAA-F-INS-055A RAW SC'!AG$17*100)</f>
        <v/>
      </c>
      <c r="AH24" s="126" t="str">
        <f>IF('Midterm OVPAA-F-INS-055A RAW SC'!AH24="","",'Midterm OVPAA-F-INS-055A RAW SC'!AH24/'Midterm OVPAA-F-INS-055A RAW SC'!AH$17*100)</f>
        <v/>
      </c>
      <c r="AI24" s="126" t="str">
        <f>IF('Midterm OVPAA-F-INS-055A RAW SC'!AI24="","",'Midterm OVPAA-F-INS-055A RAW SC'!AI24/'Midterm OVPAA-F-INS-055A RAW SC'!AI$17*100)</f>
        <v/>
      </c>
      <c r="AJ24" s="126" t="str">
        <f>IF('Midterm OVPAA-F-INS-055A RAW SC'!AJ24="","",'Midterm OVPAA-F-INS-055A RAW SC'!AJ24/'Midterm OVPAA-F-INS-055A RAW SC'!AJ$17*100)</f>
        <v/>
      </c>
      <c r="AK24" s="126" t="str">
        <f>IF('Midterm OVPAA-F-INS-055A RAW SC'!AK24="","",'Midterm OVPAA-F-INS-055A RAW SC'!AK24/'Midterm OVPAA-F-INS-055A RAW SC'!AK$17*100)</f>
        <v/>
      </c>
      <c r="AL24" s="126" t="str">
        <f>IF('Midterm OVPAA-F-INS-055A RAW SC'!AL24="","",'Midterm OVPAA-F-INS-055A RAW SC'!AL24/'Midterm OVPAA-F-INS-055A RAW SC'!AL$17*100)</f>
        <v/>
      </c>
      <c r="AM24" s="126" t="str">
        <f>IF('Midterm OVPAA-F-INS-055A RAW SC'!AM24="","",'Midterm OVPAA-F-INS-055A RAW SC'!AM24/'Midterm OVPAA-F-INS-055A RAW SC'!AM$17*100)</f>
        <v/>
      </c>
      <c r="AN24" s="126" t="str">
        <f>IF('Midterm OVPAA-F-INS-055A RAW SC'!AN24="","",'Midterm OVPAA-F-INS-055A RAW SC'!AN24/'Midterm OVPAA-F-INS-055A RAW SC'!AN$17*100)</f>
        <v/>
      </c>
      <c r="AO24" s="126" t="str">
        <f>IF('Midterm OVPAA-F-INS-055A RAW SC'!AO24="","",'Midterm OVPAA-F-INS-055A RAW SC'!AO24/'Midterm OVPAA-F-INS-055A RAW SC'!AO$17*100)</f>
        <v/>
      </c>
      <c r="AP24" s="126" t="str">
        <f>IF('Midterm OVPAA-F-INS-055A RAW SC'!AP24="","",'Midterm OVPAA-F-INS-055A RAW SC'!AP24/'Midterm OVPAA-F-INS-055A RAW SC'!AP$17*100)</f>
        <v/>
      </c>
      <c r="AQ24" s="126" t="str">
        <f>IF('Midterm OVPAA-F-INS-055A RAW SC'!AQ24="","",'Midterm OVPAA-F-INS-055A RAW SC'!AQ24/'Midterm OVPAA-F-INS-055A RAW SC'!AQ$17*100)</f>
        <v/>
      </c>
      <c r="AR24" s="126" t="str">
        <f>IF('Midterm OVPAA-F-INS-055A RAW SC'!AR24="","",'Midterm OVPAA-F-INS-055A RAW SC'!AR24/'Midterm OVPAA-F-INS-055A RAW SC'!AR$17*100)</f>
        <v/>
      </c>
      <c r="AS24" s="126" t="str">
        <f>IF('Midterm OVPAA-F-INS-055A RAW SC'!AS24="","",'Midterm OVPAA-F-INS-055A RAW SC'!AS24/'Midterm OVPAA-F-INS-055A RAW SC'!AS$17*100)</f>
        <v/>
      </c>
      <c r="AT24" s="126" t="str">
        <f>IF('Midterm OVPAA-F-INS-055A RAW SC'!AT24="","",'Midterm OVPAA-F-INS-055A RAW SC'!AT24/'Midterm OVPAA-F-INS-055A RAW SC'!AT$17*100)</f>
        <v/>
      </c>
      <c r="AU24" s="126" t="str">
        <f>IF('Midterm OVPAA-F-INS-055A RAW SC'!AU24="","",'Midterm OVPAA-F-INS-055A RAW SC'!AU24/'Midterm OVPAA-F-INS-055A RAW SC'!AU$17*100)</f>
        <v/>
      </c>
      <c r="AV24" s="126" t="str">
        <f>IF('Midterm OVPAA-F-INS-055A RAW SC'!AV24="","",'Midterm OVPAA-F-INS-055A RAW SC'!AV24/'Midterm OVPAA-F-INS-055A RAW SC'!AV$17*100)</f>
        <v/>
      </c>
      <c r="AW24" s="126" t="str">
        <f>IF('Midterm OVPAA-F-INS-055A RAW SC'!AW24="","",'Midterm OVPAA-F-INS-055A RAW SC'!AW24/'Midterm OVPAA-F-INS-055A RAW SC'!AW$17*100)</f>
        <v/>
      </c>
      <c r="AX24" s="126" t="str">
        <f>IF('Midterm OVPAA-F-INS-055A RAW SC'!AX24="","",'Midterm OVPAA-F-INS-055A RAW SC'!AX24/'Midterm OVPAA-F-INS-055A RAW SC'!AX$17*100)</f>
        <v/>
      </c>
      <c r="AY24" s="126" t="str">
        <f>IF('Midterm OVPAA-F-INS-055A RAW SC'!AY24="","",'Midterm OVPAA-F-INS-055A RAW SC'!AY24/'Midterm OVPAA-F-INS-055A RAW SC'!AY$17*100)</f>
        <v/>
      </c>
      <c r="AZ24" s="126" t="str">
        <f>IF('Midterm OVPAA-F-INS-055A RAW SC'!AZ24="","",'Midterm OVPAA-F-INS-055A RAW SC'!AZ24/'Midterm OVPAA-F-INS-055A RAW SC'!AZ$17*100)</f>
        <v/>
      </c>
      <c r="BA24" s="126" t="str">
        <f>IF('Midterm OVPAA-F-INS-055A RAW SC'!BA24="","",'Midterm OVPAA-F-INS-055A RAW SC'!BA24/'Midterm OVPAA-F-INS-055A RAW SC'!BA$17*100)</f>
        <v/>
      </c>
      <c r="BB24" s="126" t="str">
        <f>IF('Midterm OVPAA-F-INS-055A RAW SC'!BB24="","",'Midterm OVPAA-F-INS-055A RAW SC'!BB24/'Midterm OVPAA-F-INS-055A RAW SC'!BB$17*100)</f>
        <v/>
      </c>
      <c r="BC24" s="126" t="str">
        <f>IF('Midterm OVPAA-F-INS-055A RAW SC'!BC24="","",'Midterm OVPAA-F-INS-055A RAW SC'!BC24/'Midterm OVPAA-F-INS-055A RAW SC'!BC$17*100)</f>
        <v/>
      </c>
      <c r="BD24" s="126" t="str">
        <f>IF('Midterm OVPAA-F-INS-055A RAW SC'!BD24="","",'Midterm OVPAA-F-INS-055A RAW SC'!BD24/'Midterm OVPAA-F-INS-055A RAW SC'!BD$17*100)</f>
        <v/>
      </c>
      <c r="BE24" s="126" t="str">
        <f>IF('Midterm OVPAA-F-INS-055A RAW SC'!BE24="","",'Midterm OVPAA-F-INS-055A RAW SC'!BE24/'Midterm OVPAA-F-INS-055A RAW SC'!BE$17*100)</f>
        <v/>
      </c>
      <c r="BF24" s="126" t="str">
        <f>IF('Midterm OVPAA-F-INS-055A RAW SC'!BF24="","",'Midterm OVPAA-F-INS-055A RAW SC'!BF24/'Midterm OVPAA-F-INS-055A RAW SC'!BF$17*100)</f>
        <v/>
      </c>
      <c r="BG24" s="126" t="str">
        <f>IF('Midterm OVPAA-F-INS-055A RAW SC'!BG24="","",'Midterm OVPAA-F-INS-055A RAW SC'!BG24/'Midterm OVPAA-F-INS-055A RAW SC'!BG$17*100)</f>
        <v/>
      </c>
      <c r="BH24" s="126" t="str">
        <f>IF('Midterm OVPAA-F-INS-055A RAW SC'!BH24="","",'Midterm OVPAA-F-INS-055A RAW SC'!BH24/'Midterm OVPAA-F-INS-055A RAW SC'!BH$17*100)</f>
        <v/>
      </c>
      <c r="BI24" s="126" t="str">
        <f>IF('Midterm OVPAA-F-INS-055A RAW SC'!BI24="","",'Midterm OVPAA-F-INS-055A RAW SC'!BI24/'Midterm OVPAA-F-INS-055A RAW SC'!BI$17*100)</f>
        <v/>
      </c>
      <c r="BJ24" s="126" t="str">
        <f>IF('Midterm OVPAA-F-INS-055A RAW SC'!BJ24="","",'Midterm OVPAA-F-INS-055A RAW SC'!BJ24/'Midterm OVPAA-F-INS-055A RAW SC'!BJ$17*100)</f>
        <v/>
      </c>
      <c r="BK24" s="126" t="str">
        <f>IF('Midterm OVPAA-F-INS-055A RAW SC'!BK24="","",'Midterm OVPAA-F-INS-055A RAW SC'!BK24/'Midterm OVPAA-F-INS-055A RAW SC'!BK$17*100)</f>
        <v/>
      </c>
      <c r="BL24" s="126" t="str">
        <f>IF('Midterm OVPAA-F-INS-055A RAW SC'!BL24="","",'Midterm OVPAA-F-INS-055A RAW SC'!BL24/'Midterm OVPAA-F-INS-055A RAW SC'!BL$17*100)</f>
        <v/>
      </c>
      <c r="BM24" s="126" t="str">
        <f>IF('Midterm OVPAA-F-INS-055A RAW SC'!BM24="","",'Midterm OVPAA-F-INS-055A RAW SC'!BM24/'Midterm OVPAA-F-INS-055A RAW SC'!BM$17*100)</f>
        <v/>
      </c>
      <c r="BN24" s="126" t="str">
        <f>IF('Midterm OVPAA-F-INS-055A RAW SC'!BN24="","",'Midterm OVPAA-F-INS-055A RAW SC'!BN24/'Midterm OVPAA-F-INS-055A RAW SC'!BN$17*100)</f>
        <v/>
      </c>
      <c r="BO24" s="126" t="str">
        <f>IF('Midterm OVPAA-F-INS-055A RAW SC'!BO24="","",'Midterm OVPAA-F-INS-055A RAW SC'!BO24/'Midterm OVPAA-F-INS-055A RAW SC'!BO$17*100)</f>
        <v/>
      </c>
      <c r="BP24" s="126" t="str">
        <f>IF('Midterm OVPAA-F-INS-055A RAW SC'!BP24="","",'Midterm OVPAA-F-INS-055A RAW SC'!BP24/'Midterm OVPAA-F-INS-055A RAW SC'!BP$17*100)</f>
        <v/>
      </c>
      <c r="BQ24" s="126" t="str">
        <f>IF('Midterm OVPAA-F-INS-055A RAW SC'!BQ24="","",'Midterm OVPAA-F-INS-055A RAW SC'!BQ24/'Midterm OVPAA-F-INS-055A RAW SC'!BQ$17*100)</f>
        <v/>
      </c>
      <c r="BR24" s="126" t="str">
        <f>IF('Midterm OVPAA-F-INS-055A RAW SC'!BR24="","",'Midterm OVPAA-F-INS-055A RAW SC'!BR24/'Midterm OVPAA-F-INS-055A RAW SC'!BR$17*100)</f>
        <v/>
      </c>
      <c r="BS24" s="126" t="str">
        <f>IF('Midterm OVPAA-F-INS-055A RAW SC'!BS24="","",'Midterm OVPAA-F-INS-055A RAW SC'!BS24/'Midterm OVPAA-F-INS-055A RAW SC'!BS$17*100)</f>
        <v/>
      </c>
      <c r="BT24" s="126" t="str">
        <f>IF('Midterm OVPAA-F-INS-055A RAW SC'!BT24="","",'Midterm OVPAA-F-INS-055A RAW SC'!BT24/'Midterm OVPAA-F-INS-055A RAW SC'!BT$17*100)</f>
        <v/>
      </c>
      <c r="BU24" s="127">
        <f t="array" ref="BU24">IF('Midterm OVPAA-F-INS-055A RAW SC'!$G24="","",IF((SUMPRODUCT(--ISBLANK('Midterm OVPAA-F-INS-055A RAW SC'!H24:BT24))=COLUMNS('Midterm OVPAA-F-INS-055A RAW SC'!H24:BT24))=TRUE,"",(((COUNTA('Midterm OVPAA-F-INS-055A RAW SC'!$H$17:$BT$17)+COUNTBLANK('Midterm OVPAA-F-INS-055A RAW SC'!H24:BT24))-COLUMNS('Midterm OVPAA-F-INS-055A RAW SC'!H24:BT24))*5+SUM(H24:BT24))/COUNTA('Midterm OVPAA-F-INS-055A RAW SC'!$H$17:$BT$17)))</f>
        <v>57.333333333333336</v>
      </c>
      <c r="BV24" s="128">
        <f>IF(BU24="","",VLOOKUP(BU24,IF('Midterm OVPAA-F-INS-055A RAW SC'!$V$12=0.5,TRANSMUTATION!$C$4:$D$17,TRANSMUTATION!$G$4:$H$17),2,TRUE))</f>
        <v>2.75</v>
      </c>
      <c r="BW24" s="129">
        <f>IF('Midterm OVPAA-F-INS-055A RAW SC'!BU24="","",'Midterm OVPAA-F-INS-055A RAW SC'!BU24/'Midterm OVPAA-F-INS-055A RAW SC'!BU$17*100)</f>
        <v>72</v>
      </c>
      <c r="BX24" s="130">
        <f>IF('Midterm OVPAA-F-INS-055A RAW SC'!BV24="","",'Midterm OVPAA-F-INS-055A RAW SC'!BV24/'Midterm OVPAA-F-INS-055A RAW SC'!BV$17*100)</f>
        <v>100</v>
      </c>
      <c r="BY24" s="130">
        <f>IF('Midterm OVPAA-F-INS-055A RAW SC'!BW24="","",'Midterm OVPAA-F-INS-055A RAW SC'!BW24/'Midterm OVPAA-F-INS-055A RAW SC'!BW$17*100)</f>
        <v>80</v>
      </c>
      <c r="BZ24" s="130" t="str">
        <f>IF('Midterm OVPAA-F-INS-055A RAW SC'!BX24="","",'Midterm OVPAA-F-INS-055A RAW SC'!BX24/'Midterm OVPAA-F-INS-055A RAW SC'!BX$17*100)</f>
        <v/>
      </c>
      <c r="CA24" s="130" t="str">
        <f>IF('Midterm OVPAA-F-INS-055A RAW SC'!BY24="","",'Midterm OVPAA-F-INS-055A RAW SC'!BY24/'Midterm OVPAA-F-INS-055A RAW SC'!BY$17*100)</f>
        <v/>
      </c>
      <c r="CB24" s="130" t="str">
        <f>IF('Midterm OVPAA-F-INS-055A RAW SC'!BZ24="","",'Midterm OVPAA-F-INS-055A RAW SC'!BZ24/'Midterm OVPAA-F-INS-055A RAW SC'!BZ$17*100)</f>
        <v/>
      </c>
      <c r="CC24" s="130" t="str">
        <f>IF('Midterm OVPAA-F-INS-055A RAW SC'!CA24="","",'Midterm OVPAA-F-INS-055A RAW SC'!CA24/'Midterm OVPAA-F-INS-055A RAW SC'!CA$17*100)</f>
        <v/>
      </c>
      <c r="CD24" s="130" t="str">
        <f>IF('Midterm OVPAA-F-INS-055A RAW SC'!CB24="","",'Midterm OVPAA-F-INS-055A RAW SC'!CB24/'Midterm OVPAA-F-INS-055A RAW SC'!CB$17*100)</f>
        <v/>
      </c>
      <c r="CE24" s="130" t="str">
        <f>IF('Midterm OVPAA-F-INS-055A RAW SC'!CC24="","",'Midterm OVPAA-F-INS-055A RAW SC'!CC24/'Midterm OVPAA-F-INS-055A RAW SC'!CC$17*100)</f>
        <v/>
      </c>
      <c r="CF24" s="130" t="str">
        <f>IF('Midterm OVPAA-F-INS-055A RAW SC'!CD24="","",'Midterm OVPAA-F-INS-055A RAW SC'!CD24/'Midterm OVPAA-F-INS-055A RAW SC'!CD$17*100)</f>
        <v/>
      </c>
      <c r="CG24" s="130" t="str">
        <f>IF('Midterm OVPAA-F-INS-055A RAW SC'!CE24="","",'Midterm OVPAA-F-INS-055A RAW SC'!CE24/'Midterm OVPAA-F-INS-055A RAW SC'!CE$17*100)</f>
        <v/>
      </c>
      <c r="CH24" s="130" t="str">
        <f>IF('Midterm OVPAA-F-INS-055A RAW SC'!CF24="","",'Midterm OVPAA-F-INS-055A RAW SC'!CF24/'Midterm OVPAA-F-INS-055A RAW SC'!CF$17*100)</f>
        <v/>
      </c>
      <c r="CI24" s="130" t="str">
        <f>IF('Midterm OVPAA-F-INS-055A RAW SC'!CG24="","",'Midterm OVPAA-F-INS-055A RAW SC'!CG24/'Midterm OVPAA-F-INS-055A RAW SC'!CG$17*100)</f>
        <v/>
      </c>
      <c r="CJ24" s="130" t="str">
        <f>IF('Midterm OVPAA-F-INS-055A RAW SC'!CH24="","",'Midterm OVPAA-F-INS-055A RAW SC'!CH24/'Midterm OVPAA-F-INS-055A RAW SC'!CH$17*100)</f>
        <v/>
      </c>
      <c r="CK24" s="130" t="str">
        <f>IF('Midterm OVPAA-F-INS-055A RAW SC'!CI24="","",'Midterm OVPAA-F-INS-055A RAW SC'!CI24/'Midterm OVPAA-F-INS-055A RAW SC'!CI$17*100)</f>
        <v/>
      </c>
      <c r="CL24" s="130" t="str">
        <f>IF('Midterm OVPAA-F-INS-055A RAW SC'!CJ24="","",'Midterm OVPAA-F-INS-055A RAW SC'!CJ24/'Midterm OVPAA-F-INS-055A RAW SC'!CJ$17*100)</f>
        <v/>
      </c>
      <c r="CM24" s="130" t="str">
        <f>IF('Midterm OVPAA-F-INS-055A RAW SC'!CK24="","",'Midterm OVPAA-F-INS-055A RAW SC'!CK24/'Midterm OVPAA-F-INS-055A RAW SC'!CK$17*100)</f>
        <v/>
      </c>
      <c r="CN24" s="130" t="str">
        <f>IF('Midterm OVPAA-F-INS-055A RAW SC'!CL24="","",'Midterm OVPAA-F-INS-055A RAW SC'!CL24/'Midterm OVPAA-F-INS-055A RAW SC'!CL$17*100)</f>
        <v/>
      </c>
      <c r="CO24" s="130" t="str">
        <f>IF('Midterm OVPAA-F-INS-055A RAW SC'!CM24="","",'Midterm OVPAA-F-INS-055A RAW SC'!CM24/'Midterm OVPAA-F-INS-055A RAW SC'!CM$17*100)</f>
        <v/>
      </c>
      <c r="CP24" s="130" t="str">
        <f>IF('Midterm OVPAA-F-INS-055A RAW SC'!CN24="","",'Midterm OVPAA-F-INS-055A RAW SC'!CN24/'Midterm OVPAA-F-INS-055A RAW SC'!CN$17*100)</f>
        <v/>
      </c>
      <c r="CQ24" s="131">
        <f t="array" ref="CQ24">IF('Midterm OVPAA-F-INS-055A RAW SC'!G24="","",IF((SUMPRODUCT(--ISBLANK('Midterm OVPAA-F-INS-055A RAW SC'!BU24:CN24))=COLUMNS('Midterm OVPAA-F-INS-055A RAW SC'!BU24:CN24))=TRUE,"",(((COUNTA('Midterm OVPAA-F-INS-055A RAW SC'!$BU$17:$CN$17)+COUNTBLANK('Midterm OVPAA-F-INS-055A RAW SC'!BU24:CN24))-COLUMNS('Midterm OVPAA-F-INS-055A RAW SC'!BU24:CN24))*5+SUM(BW24:CP24))/COUNTA('Midterm OVPAA-F-INS-055A RAW SC'!$BU$17:$CN$17)))</f>
        <v>84</v>
      </c>
      <c r="CR24" s="132">
        <f>IF(CQ24="","",VLOOKUP(CQ24,IF('Midterm OVPAA-F-INS-055A RAW SC'!$V$12=0.5,TRANSMUTATION!$C$4:$D$17,TRANSMUTATION!$G$4:$H$17),2,TRUE))</f>
        <v>1.75</v>
      </c>
      <c r="CS24" s="133">
        <f>IF('Midterm OVPAA-F-INS-055A RAW SC'!CO24="","",'Midterm OVPAA-F-INS-055A RAW SC'!CO24/'Midterm OVPAA-F-INS-055A RAW SC'!CO$17*100)</f>
        <v>72</v>
      </c>
      <c r="CT24" s="133">
        <f>IF('Midterm OVPAA-F-INS-055A RAW SC'!CP24="","",'Midterm OVPAA-F-INS-055A RAW SC'!CP24/'Midterm OVPAA-F-INS-055A RAW SC'!CP$17*100)</f>
        <v>70</v>
      </c>
      <c r="CU24" s="133" t="str">
        <f>IF('Midterm OVPAA-F-INS-055A RAW SC'!CQ24="","",'Midterm OVPAA-F-INS-055A RAW SC'!CQ24/'Midterm OVPAA-F-INS-055A RAW SC'!CQ$17*100)</f>
        <v/>
      </c>
      <c r="CV24" s="133" t="str">
        <f>IF('Midterm OVPAA-F-INS-055A RAW SC'!CR24="","",'Midterm OVPAA-F-INS-055A RAW SC'!CR24/'Midterm OVPAA-F-INS-055A RAW SC'!CR$17*100)</f>
        <v/>
      </c>
      <c r="CW24" s="133" t="str">
        <f>IF('Midterm OVPAA-F-INS-055A RAW SC'!CS24="","",'Midterm OVPAA-F-INS-055A RAW SC'!CS24/'Midterm OVPAA-F-INS-055A RAW SC'!CS$17*100)</f>
        <v/>
      </c>
      <c r="CX24" s="133" t="str">
        <f>IF('Midterm OVPAA-F-INS-055A RAW SC'!CT24="","",'Midterm OVPAA-F-INS-055A RAW SC'!CT24/'Midterm OVPAA-F-INS-055A RAW SC'!CT$17*100)</f>
        <v/>
      </c>
      <c r="CY24" s="133" t="str">
        <f>IF('Midterm OVPAA-F-INS-055A RAW SC'!CU24="","",'Midterm OVPAA-F-INS-055A RAW SC'!CU24/'Midterm OVPAA-F-INS-055A RAW SC'!CU$17*100)</f>
        <v/>
      </c>
      <c r="CZ24" s="133" t="str">
        <f>IF('Midterm OVPAA-F-INS-055A RAW SC'!CV24="","",'Midterm OVPAA-F-INS-055A RAW SC'!CV24/'Midterm OVPAA-F-INS-055A RAW SC'!CV$17*100)</f>
        <v/>
      </c>
      <c r="DA24" s="133" t="str">
        <f>IF('Midterm OVPAA-F-INS-055A RAW SC'!CW24="","",'Midterm OVPAA-F-INS-055A RAW SC'!CW24/'Midterm OVPAA-F-INS-055A RAW SC'!CW$17*100)</f>
        <v/>
      </c>
      <c r="DB24" s="133" t="str">
        <f>IF('Midterm OVPAA-F-INS-055A RAW SC'!CX24="","",'Midterm OVPAA-F-INS-055A RAW SC'!CX24/'Midterm OVPAA-F-INS-055A RAW SC'!CX$17*100)</f>
        <v/>
      </c>
      <c r="DC24" s="134">
        <f t="array" ref="DC24">IF('Midterm OVPAA-F-INS-055A RAW SC'!$G24="","",IF((SUMPRODUCT(--ISBLANK('Midterm OVPAA-F-INS-055A RAW SC'!CO24:CX24))=COLUMNS('Midterm OVPAA-F-INS-055A RAW SC'!CO24:CX24))=TRUE,"",(((COUNTA('Midterm OVPAA-F-INS-055A RAW SC'!$CO$17:$CX$17)+COUNTBLANK('Midterm OVPAA-F-INS-055A RAW SC'!CO24:CX24))-COLUMNS('Midterm OVPAA-F-INS-055A RAW SC'!CO24:CX24))*5+SUM(CS24:DB24))/COUNTA('Midterm OVPAA-F-INS-055A RAW SC'!$CO$17:$CX$17)))</f>
        <v>71</v>
      </c>
      <c r="DD24" s="135">
        <f>IF(DC24="","",VLOOKUP(DC24,IF('Midterm OVPAA-F-INS-055A RAW SC'!$V$12=0.5,TRANSMUTATION!$C$4:$D$17,TRANSMUTATION!$G$4:$H$17),2,TRUE))</f>
        <v>2.25</v>
      </c>
      <c r="DE24" s="136">
        <f t="shared" si="1"/>
        <v>0.82499999999999996</v>
      </c>
      <c r="DF24" s="137">
        <f t="shared" si="2"/>
        <v>0.52500000000000002</v>
      </c>
      <c r="DG24" s="138">
        <f t="shared" si="3"/>
        <v>0.9</v>
      </c>
      <c r="DH24" s="136">
        <f t="shared" si="4"/>
        <v>2.25</v>
      </c>
      <c r="DI24" s="123" t="str">
        <f t="shared" si="5"/>
        <v>2.25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v>72</v>
      </c>
      <c r="I25" s="126">
        <v>60</v>
      </c>
      <c r="J25" s="126">
        <v>80</v>
      </c>
      <c r="K25" s="126" t="str">
        <f>IF('Midterm OVPAA-F-INS-055A RAW SC'!K25="","",'Midterm OVPAA-F-INS-055A RAW SC'!K25/'Midterm OVPAA-F-INS-055A RAW SC'!K$17*100)</f>
        <v/>
      </c>
      <c r="L25" s="126" t="str">
        <f>IF('Midterm OVPAA-F-INS-055A RAW SC'!L25="","",'Midterm OVPAA-F-INS-055A RAW SC'!L25/'Midterm OVPAA-F-INS-055A RAW SC'!L$17*100)</f>
        <v/>
      </c>
      <c r="M25" s="126" t="str">
        <f>IF('Midterm OVPAA-F-INS-055A RAW SC'!M25="","",'Midterm OVPAA-F-INS-055A RAW SC'!M25/'Midterm OVPAA-F-INS-055A RAW SC'!M$17*100)</f>
        <v/>
      </c>
      <c r="N25" s="126" t="str">
        <f>IF('Midterm OVPAA-F-INS-055A RAW SC'!N25="","",'Midterm OVPAA-F-INS-055A RAW SC'!N25/'Midterm OVPAA-F-INS-055A RAW SC'!N$17*100)</f>
        <v/>
      </c>
      <c r="O25" s="126" t="str">
        <f>IF('Midterm OVPAA-F-INS-055A RAW SC'!O25="","",'Midterm OVPAA-F-INS-055A RAW SC'!O25/'Midterm OVPAA-F-INS-055A RAW SC'!O$17*100)</f>
        <v/>
      </c>
      <c r="P25" s="126" t="str">
        <f>IF('Midterm OVPAA-F-INS-055A RAW SC'!P25="","",'Midterm OVPAA-F-INS-055A RAW SC'!P25/'Midterm OVPAA-F-INS-055A RAW SC'!P$17*100)</f>
        <v/>
      </c>
      <c r="Q25" s="126" t="str">
        <f>IF('Midterm OVPAA-F-INS-055A RAW SC'!Q25="","",'Midterm OVPAA-F-INS-055A RAW SC'!Q25/'Midterm OVPAA-F-INS-055A RAW SC'!Q$17*100)</f>
        <v/>
      </c>
      <c r="R25" s="126" t="str">
        <f>IF('Midterm OVPAA-F-INS-055A RAW SC'!R25="","",'Midterm OVPAA-F-INS-055A RAW SC'!R25/'Midterm OVPAA-F-INS-055A RAW SC'!R$17*100)</f>
        <v/>
      </c>
      <c r="S25" s="126" t="str">
        <f>IF('Midterm OVPAA-F-INS-055A RAW SC'!S25="","",'Midterm OVPAA-F-INS-055A RAW SC'!S25/'Midterm OVPAA-F-INS-055A RAW SC'!S$17*100)</f>
        <v/>
      </c>
      <c r="T25" s="126" t="str">
        <f>IF('Midterm OVPAA-F-INS-055A RAW SC'!T25="","",'Midterm OVPAA-F-INS-055A RAW SC'!T25/'Midterm OVPAA-F-INS-055A RAW SC'!T$17*100)</f>
        <v/>
      </c>
      <c r="U25" s="126" t="str">
        <f>IF('Midterm OVPAA-F-INS-055A RAW SC'!U25="","",'Midterm OVPAA-F-INS-055A RAW SC'!U25/'Midterm OVPAA-F-INS-055A RAW SC'!U$17*100)</f>
        <v/>
      </c>
      <c r="V25" s="126" t="str">
        <f>IF('Midterm OVPAA-F-INS-055A RAW SC'!V25="","",'Midterm OVPAA-F-INS-055A RAW SC'!V25/'Midterm OVPAA-F-INS-055A RAW SC'!V$17*100)</f>
        <v/>
      </c>
      <c r="W25" s="126" t="str">
        <f>IF('Midterm OVPAA-F-INS-055A RAW SC'!W25="","",'Midterm OVPAA-F-INS-055A RAW SC'!W25/'Midterm OVPAA-F-INS-055A RAW SC'!W$17*100)</f>
        <v/>
      </c>
      <c r="X25" s="126" t="str">
        <f>IF('Midterm OVPAA-F-INS-055A RAW SC'!X25="","",'Midterm OVPAA-F-INS-055A RAW SC'!X25/'Midterm OVPAA-F-INS-055A RAW SC'!X$17*100)</f>
        <v/>
      </c>
      <c r="Y25" s="126" t="str">
        <f>IF('Midterm OVPAA-F-INS-055A RAW SC'!Y25="","",'Midterm OVPAA-F-INS-055A RAW SC'!Y25/'Midterm OVPAA-F-INS-055A RAW SC'!Y$17*100)</f>
        <v/>
      </c>
      <c r="Z25" s="126" t="str">
        <f>IF('Midterm OVPAA-F-INS-055A RAW SC'!Z25="","",'Midterm OVPAA-F-INS-055A RAW SC'!Z25/'Midterm OVPAA-F-INS-055A RAW SC'!Z$17*100)</f>
        <v/>
      </c>
      <c r="AA25" s="126" t="str">
        <f>IF('Midterm OVPAA-F-INS-055A RAW SC'!AA25="","",'Midterm OVPAA-F-INS-055A RAW SC'!AA25/'Midterm OVPAA-F-INS-055A RAW SC'!AA$17*100)</f>
        <v/>
      </c>
      <c r="AB25" s="126" t="str">
        <f>IF('Midterm OVPAA-F-INS-055A RAW SC'!AB25="","",'Midterm OVPAA-F-INS-055A RAW SC'!AB25/'Midterm OVPAA-F-INS-055A RAW SC'!AB$17*100)</f>
        <v/>
      </c>
      <c r="AC25" s="126" t="str">
        <f>IF('Midterm OVPAA-F-INS-055A RAW SC'!AC25="","",'Midterm OVPAA-F-INS-055A RAW SC'!AC25/'Midterm OVPAA-F-INS-055A RAW SC'!AC$17*100)</f>
        <v/>
      </c>
      <c r="AD25" s="126" t="str">
        <f>IF('Midterm OVPAA-F-INS-055A RAW SC'!AD25="","",'Midterm OVPAA-F-INS-055A RAW SC'!AD25/'Midterm OVPAA-F-INS-055A RAW SC'!AD$17*100)</f>
        <v/>
      </c>
      <c r="AE25" s="126" t="str">
        <f>IF('Midterm OVPAA-F-INS-055A RAW SC'!AE25="","",'Midterm OVPAA-F-INS-055A RAW SC'!AE25/'Midterm OVPAA-F-INS-055A RAW SC'!AE$17*100)</f>
        <v/>
      </c>
      <c r="AF25" s="126" t="str">
        <f>IF('Midterm OVPAA-F-INS-055A RAW SC'!AF25="","",'Midterm OVPAA-F-INS-055A RAW SC'!AF25/'Midterm OVPAA-F-INS-055A RAW SC'!AF$17*100)</f>
        <v/>
      </c>
      <c r="AG25" s="126" t="str">
        <f>IF('Midterm OVPAA-F-INS-055A RAW SC'!AG25="","",'Midterm OVPAA-F-INS-055A RAW SC'!AG25/'Midterm OVPAA-F-INS-055A RAW SC'!AG$17*100)</f>
        <v/>
      </c>
      <c r="AH25" s="126" t="str">
        <f>IF('Midterm OVPAA-F-INS-055A RAW SC'!AH25="","",'Midterm OVPAA-F-INS-055A RAW SC'!AH25/'Midterm OVPAA-F-INS-055A RAW SC'!AH$17*100)</f>
        <v/>
      </c>
      <c r="AI25" s="126" t="str">
        <f>IF('Midterm OVPAA-F-INS-055A RAW SC'!AI25="","",'Midterm OVPAA-F-INS-055A RAW SC'!AI25/'Midterm OVPAA-F-INS-055A RAW SC'!AI$17*100)</f>
        <v/>
      </c>
      <c r="AJ25" s="126" t="str">
        <f>IF('Midterm OVPAA-F-INS-055A RAW SC'!AJ25="","",'Midterm OVPAA-F-INS-055A RAW SC'!AJ25/'Midterm OVPAA-F-INS-055A RAW SC'!AJ$17*100)</f>
        <v/>
      </c>
      <c r="AK25" s="126" t="str">
        <f>IF('Midterm OVPAA-F-INS-055A RAW SC'!AK25="","",'Midterm OVPAA-F-INS-055A RAW SC'!AK25/'Midterm OVPAA-F-INS-055A RAW SC'!AK$17*100)</f>
        <v/>
      </c>
      <c r="AL25" s="126" t="str">
        <f>IF('Midterm OVPAA-F-INS-055A RAW SC'!AL25="","",'Midterm OVPAA-F-INS-055A RAW SC'!AL25/'Midterm OVPAA-F-INS-055A RAW SC'!AL$17*100)</f>
        <v/>
      </c>
      <c r="AM25" s="126" t="str">
        <f>IF('Midterm OVPAA-F-INS-055A RAW SC'!AM25="","",'Midterm OVPAA-F-INS-055A RAW SC'!AM25/'Midterm OVPAA-F-INS-055A RAW SC'!AM$17*100)</f>
        <v/>
      </c>
      <c r="AN25" s="126" t="str">
        <f>IF('Midterm OVPAA-F-INS-055A RAW SC'!AN25="","",'Midterm OVPAA-F-INS-055A RAW SC'!AN25/'Midterm OVPAA-F-INS-055A RAW SC'!AN$17*100)</f>
        <v/>
      </c>
      <c r="AO25" s="126" t="str">
        <f>IF('Midterm OVPAA-F-INS-055A RAW SC'!AO25="","",'Midterm OVPAA-F-INS-055A RAW SC'!AO25/'Midterm OVPAA-F-INS-055A RAW SC'!AO$17*100)</f>
        <v/>
      </c>
      <c r="AP25" s="126" t="str">
        <f>IF('Midterm OVPAA-F-INS-055A RAW SC'!AP25="","",'Midterm OVPAA-F-INS-055A RAW SC'!AP25/'Midterm OVPAA-F-INS-055A RAW SC'!AP$17*100)</f>
        <v/>
      </c>
      <c r="AQ25" s="126" t="str">
        <f>IF('Midterm OVPAA-F-INS-055A RAW SC'!AQ25="","",'Midterm OVPAA-F-INS-055A RAW SC'!AQ25/'Midterm OVPAA-F-INS-055A RAW SC'!AQ$17*100)</f>
        <v/>
      </c>
      <c r="AR25" s="126" t="str">
        <f>IF('Midterm OVPAA-F-INS-055A RAW SC'!AR25="","",'Midterm OVPAA-F-INS-055A RAW SC'!AR25/'Midterm OVPAA-F-INS-055A RAW SC'!AR$17*100)</f>
        <v/>
      </c>
      <c r="AS25" s="126" t="str">
        <f>IF('Midterm OVPAA-F-INS-055A RAW SC'!AS25="","",'Midterm OVPAA-F-INS-055A RAW SC'!AS25/'Midterm OVPAA-F-INS-055A RAW SC'!AS$17*100)</f>
        <v/>
      </c>
      <c r="AT25" s="126" t="str">
        <f>IF('Midterm OVPAA-F-INS-055A RAW SC'!AT25="","",'Midterm OVPAA-F-INS-055A RAW SC'!AT25/'Midterm OVPAA-F-INS-055A RAW SC'!AT$17*100)</f>
        <v/>
      </c>
      <c r="AU25" s="126" t="str">
        <f>IF('Midterm OVPAA-F-INS-055A RAW SC'!AU25="","",'Midterm OVPAA-F-INS-055A RAW SC'!AU25/'Midterm OVPAA-F-INS-055A RAW SC'!AU$17*100)</f>
        <v/>
      </c>
      <c r="AV25" s="126" t="str">
        <f>IF('Midterm OVPAA-F-INS-055A RAW SC'!AV25="","",'Midterm OVPAA-F-INS-055A RAW SC'!AV25/'Midterm OVPAA-F-INS-055A RAW SC'!AV$17*100)</f>
        <v/>
      </c>
      <c r="AW25" s="126" t="str">
        <f>IF('Midterm OVPAA-F-INS-055A RAW SC'!AW25="","",'Midterm OVPAA-F-INS-055A RAW SC'!AW25/'Midterm OVPAA-F-INS-055A RAW SC'!AW$17*100)</f>
        <v/>
      </c>
      <c r="AX25" s="126" t="str">
        <f>IF('Midterm OVPAA-F-INS-055A RAW SC'!AX25="","",'Midterm OVPAA-F-INS-055A RAW SC'!AX25/'Midterm OVPAA-F-INS-055A RAW SC'!AX$17*100)</f>
        <v/>
      </c>
      <c r="AY25" s="126" t="str">
        <f>IF('Midterm OVPAA-F-INS-055A RAW SC'!AY25="","",'Midterm OVPAA-F-INS-055A RAW SC'!AY25/'Midterm OVPAA-F-INS-055A RAW SC'!AY$17*100)</f>
        <v/>
      </c>
      <c r="AZ25" s="126" t="str">
        <f>IF('Midterm OVPAA-F-INS-055A RAW SC'!AZ25="","",'Midterm OVPAA-F-INS-055A RAW SC'!AZ25/'Midterm OVPAA-F-INS-055A RAW SC'!AZ$17*100)</f>
        <v/>
      </c>
      <c r="BA25" s="126" t="str">
        <f>IF('Midterm OVPAA-F-INS-055A RAW SC'!BA25="","",'Midterm OVPAA-F-INS-055A RAW SC'!BA25/'Midterm OVPAA-F-INS-055A RAW SC'!BA$17*100)</f>
        <v/>
      </c>
      <c r="BB25" s="126" t="str">
        <f>IF('Midterm OVPAA-F-INS-055A RAW SC'!BB25="","",'Midterm OVPAA-F-INS-055A RAW SC'!BB25/'Midterm OVPAA-F-INS-055A RAW SC'!BB$17*100)</f>
        <v/>
      </c>
      <c r="BC25" s="126" t="str">
        <f>IF('Midterm OVPAA-F-INS-055A RAW SC'!BC25="","",'Midterm OVPAA-F-INS-055A RAW SC'!BC25/'Midterm OVPAA-F-INS-055A RAW SC'!BC$17*100)</f>
        <v/>
      </c>
      <c r="BD25" s="126" t="str">
        <f>IF('Midterm OVPAA-F-INS-055A RAW SC'!BD25="","",'Midterm OVPAA-F-INS-055A RAW SC'!BD25/'Midterm OVPAA-F-INS-055A RAW SC'!BD$17*100)</f>
        <v/>
      </c>
      <c r="BE25" s="126" t="str">
        <f>IF('Midterm OVPAA-F-INS-055A RAW SC'!BE25="","",'Midterm OVPAA-F-INS-055A RAW SC'!BE25/'Midterm OVPAA-F-INS-055A RAW SC'!BE$17*100)</f>
        <v/>
      </c>
      <c r="BF25" s="126" t="str">
        <f>IF('Midterm OVPAA-F-INS-055A RAW SC'!BF25="","",'Midterm OVPAA-F-INS-055A RAW SC'!BF25/'Midterm OVPAA-F-INS-055A RAW SC'!BF$17*100)</f>
        <v/>
      </c>
      <c r="BG25" s="126" t="str">
        <f>IF('Midterm OVPAA-F-INS-055A RAW SC'!BG25="","",'Midterm OVPAA-F-INS-055A RAW SC'!BG25/'Midterm OVPAA-F-INS-055A RAW SC'!BG$17*100)</f>
        <v/>
      </c>
      <c r="BH25" s="126" t="str">
        <f>IF('Midterm OVPAA-F-INS-055A RAW SC'!BH25="","",'Midterm OVPAA-F-INS-055A RAW SC'!BH25/'Midterm OVPAA-F-INS-055A RAW SC'!BH$17*100)</f>
        <v/>
      </c>
      <c r="BI25" s="126" t="str">
        <f>IF('Midterm OVPAA-F-INS-055A RAW SC'!BI25="","",'Midterm OVPAA-F-INS-055A RAW SC'!BI25/'Midterm OVPAA-F-INS-055A RAW SC'!BI$17*100)</f>
        <v/>
      </c>
      <c r="BJ25" s="126" t="str">
        <f>IF('Midterm OVPAA-F-INS-055A RAW SC'!BJ25="","",'Midterm OVPAA-F-INS-055A RAW SC'!BJ25/'Midterm OVPAA-F-INS-055A RAW SC'!BJ$17*100)</f>
        <v/>
      </c>
      <c r="BK25" s="126" t="str">
        <f>IF('Midterm OVPAA-F-INS-055A RAW SC'!BK25="","",'Midterm OVPAA-F-INS-055A RAW SC'!BK25/'Midterm OVPAA-F-INS-055A RAW SC'!BK$17*100)</f>
        <v/>
      </c>
      <c r="BL25" s="126" t="str">
        <f>IF('Midterm OVPAA-F-INS-055A RAW SC'!BL25="","",'Midterm OVPAA-F-INS-055A RAW SC'!BL25/'Midterm OVPAA-F-INS-055A RAW SC'!BL$17*100)</f>
        <v/>
      </c>
      <c r="BM25" s="126" t="str">
        <f>IF('Midterm OVPAA-F-INS-055A RAW SC'!BM25="","",'Midterm OVPAA-F-INS-055A RAW SC'!BM25/'Midterm OVPAA-F-INS-055A RAW SC'!BM$17*100)</f>
        <v/>
      </c>
      <c r="BN25" s="126" t="str">
        <f>IF('Midterm OVPAA-F-INS-055A RAW SC'!BN25="","",'Midterm OVPAA-F-INS-055A RAW SC'!BN25/'Midterm OVPAA-F-INS-055A RAW SC'!BN$17*100)</f>
        <v/>
      </c>
      <c r="BO25" s="126" t="str">
        <f>IF('Midterm OVPAA-F-INS-055A RAW SC'!BO25="","",'Midterm OVPAA-F-INS-055A RAW SC'!BO25/'Midterm OVPAA-F-INS-055A RAW SC'!BO$17*100)</f>
        <v/>
      </c>
      <c r="BP25" s="126" t="str">
        <f>IF('Midterm OVPAA-F-INS-055A RAW SC'!BP25="","",'Midterm OVPAA-F-INS-055A RAW SC'!BP25/'Midterm OVPAA-F-INS-055A RAW SC'!BP$17*100)</f>
        <v/>
      </c>
      <c r="BQ25" s="126" t="str">
        <f>IF('Midterm OVPAA-F-INS-055A RAW SC'!BQ25="","",'Midterm OVPAA-F-INS-055A RAW SC'!BQ25/'Midterm OVPAA-F-INS-055A RAW SC'!BQ$17*100)</f>
        <v/>
      </c>
      <c r="BR25" s="126" t="str">
        <f>IF('Midterm OVPAA-F-INS-055A RAW SC'!BR25="","",'Midterm OVPAA-F-INS-055A RAW SC'!BR25/'Midterm OVPAA-F-INS-055A RAW SC'!BR$17*100)</f>
        <v/>
      </c>
      <c r="BS25" s="126" t="str">
        <f>IF('Midterm OVPAA-F-INS-055A RAW SC'!BS25="","",'Midterm OVPAA-F-INS-055A RAW SC'!BS25/'Midterm OVPAA-F-INS-055A RAW SC'!BS$17*100)</f>
        <v/>
      </c>
      <c r="BT25" s="126" t="str">
        <f>IF('Midterm OVPAA-F-INS-055A RAW SC'!BT25="","",'Midterm OVPAA-F-INS-055A RAW SC'!BT25/'Midterm OVPAA-F-INS-055A RAW SC'!BT$17*100)</f>
        <v/>
      </c>
      <c r="BU25" s="127">
        <f t="array" ref="BU25">IF('Midterm OVPAA-F-INS-055A RAW SC'!$G25="","",IF((SUMPRODUCT(--ISBLANK('Midterm OVPAA-F-INS-055A RAW SC'!H25:BT25))=COLUMNS('Midterm OVPAA-F-INS-055A RAW SC'!H25:BT25))=TRUE,"",(((COUNTA('Midterm OVPAA-F-INS-055A RAW SC'!$H$17:$BT$17)+COUNTBLANK('Midterm OVPAA-F-INS-055A RAW SC'!H25:BT25))-COLUMNS('Midterm OVPAA-F-INS-055A RAW SC'!H25:BT25))*5+SUM(H25:BT25))/COUNTA('Midterm OVPAA-F-INS-055A RAW SC'!$H$17:$BT$17)))</f>
        <v>70.666666666666671</v>
      </c>
      <c r="BV25" s="128">
        <f>IF(BU25="","",VLOOKUP(BU25,IF('Midterm OVPAA-F-INS-055A RAW SC'!$V$12=0.5,TRANSMUTATION!$C$4:$D$17,TRANSMUTATION!$G$4:$H$17),2,TRUE))</f>
        <v>2.25</v>
      </c>
      <c r="BW25" s="129">
        <f>IF('Midterm OVPAA-F-INS-055A RAW SC'!BU25="","",'Midterm OVPAA-F-INS-055A RAW SC'!BU25/'Midterm OVPAA-F-INS-055A RAW SC'!BU$17*100)</f>
        <v>80</v>
      </c>
      <c r="BX25" s="130">
        <f>IF('Midterm OVPAA-F-INS-055A RAW SC'!BV25="","",'Midterm OVPAA-F-INS-055A RAW SC'!BV25/'Midterm OVPAA-F-INS-055A RAW SC'!BV$17*100)</f>
        <v>100</v>
      </c>
      <c r="BY25" s="130">
        <f>IF('Midterm OVPAA-F-INS-055A RAW SC'!BW25="","",'Midterm OVPAA-F-INS-055A RAW SC'!BW25/'Midterm OVPAA-F-INS-055A RAW SC'!BW$17*100)</f>
        <v>100</v>
      </c>
      <c r="BZ25" s="130" t="str">
        <f>IF('Midterm OVPAA-F-INS-055A RAW SC'!BX25="","",'Midterm OVPAA-F-INS-055A RAW SC'!BX25/'Midterm OVPAA-F-INS-055A RAW SC'!BX$17*100)</f>
        <v/>
      </c>
      <c r="CA25" s="130" t="str">
        <f>IF('Midterm OVPAA-F-INS-055A RAW SC'!BY25="","",'Midterm OVPAA-F-INS-055A RAW SC'!BY25/'Midterm OVPAA-F-INS-055A RAW SC'!BY$17*100)</f>
        <v/>
      </c>
      <c r="CB25" s="130" t="str">
        <f>IF('Midterm OVPAA-F-INS-055A RAW SC'!BZ25="","",'Midterm OVPAA-F-INS-055A RAW SC'!BZ25/'Midterm OVPAA-F-INS-055A RAW SC'!BZ$17*100)</f>
        <v/>
      </c>
      <c r="CC25" s="130" t="str">
        <f>IF('Midterm OVPAA-F-INS-055A RAW SC'!CA25="","",'Midterm OVPAA-F-INS-055A RAW SC'!CA25/'Midterm OVPAA-F-INS-055A RAW SC'!CA$17*100)</f>
        <v/>
      </c>
      <c r="CD25" s="130" t="str">
        <f>IF('Midterm OVPAA-F-INS-055A RAW SC'!CB25="","",'Midterm OVPAA-F-INS-055A RAW SC'!CB25/'Midterm OVPAA-F-INS-055A RAW SC'!CB$17*100)</f>
        <v/>
      </c>
      <c r="CE25" s="130" t="str">
        <f>IF('Midterm OVPAA-F-INS-055A RAW SC'!CC25="","",'Midterm OVPAA-F-INS-055A RAW SC'!CC25/'Midterm OVPAA-F-INS-055A RAW SC'!CC$17*100)</f>
        <v/>
      </c>
      <c r="CF25" s="130" t="str">
        <f>IF('Midterm OVPAA-F-INS-055A RAW SC'!CD25="","",'Midterm OVPAA-F-INS-055A RAW SC'!CD25/'Midterm OVPAA-F-INS-055A RAW SC'!CD$17*100)</f>
        <v/>
      </c>
      <c r="CG25" s="130" t="str">
        <f>IF('Midterm OVPAA-F-INS-055A RAW SC'!CE25="","",'Midterm OVPAA-F-INS-055A RAW SC'!CE25/'Midterm OVPAA-F-INS-055A RAW SC'!CE$17*100)</f>
        <v/>
      </c>
      <c r="CH25" s="130" t="str">
        <f>IF('Midterm OVPAA-F-INS-055A RAW SC'!CF25="","",'Midterm OVPAA-F-INS-055A RAW SC'!CF25/'Midterm OVPAA-F-INS-055A RAW SC'!CF$17*100)</f>
        <v/>
      </c>
      <c r="CI25" s="130" t="str">
        <f>IF('Midterm OVPAA-F-INS-055A RAW SC'!CG25="","",'Midterm OVPAA-F-INS-055A RAW SC'!CG25/'Midterm OVPAA-F-INS-055A RAW SC'!CG$17*100)</f>
        <v/>
      </c>
      <c r="CJ25" s="130" t="str">
        <f>IF('Midterm OVPAA-F-INS-055A RAW SC'!CH25="","",'Midterm OVPAA-F-INS-055A RAW SC'!CH25/'Midterm OVPAA-F-INS-055A RAW SC'!CH$17*100)</f>
        <v/>
      </c>
      <c r="CK25" s="130" t="str">
        <f>IF('Midterm OVPAA-F-INS-055A RAW SC'!CI25="","",'Midterm OVPAA-F-INS-055A RAW SC'!CI25/'Midterm OVPAA-F-INS-055A RAW SC'!CI$17*100)</f>
        <v/>
      </c>
      <c r="CL25" s="130" t="str">
        <f>IF('Midterm OVPAA-F-INS-055A RAW SC'!CJ25="","",'Midterm OVPAA-F-INS-055A RAW SC'!CJ25/'Midterm OVPAA-F-INS-055A RAW SC'!CJ$17*100)</f>
        <v/>
      </c>
      <c r="CM25" s="130" t="str">
        <f>IF('Midterm OVPAA-F-INS-055A RAW SC'!CK25="","",'Midterm OVPAA-F-INS-055A RAW SC'!CK25/'Midterm OVPAA-F-INS-055A RAW SC'!CK$17*100)</f>
        <v/>
      </c>
      <c r="CN25" s="130" t="str">
        <f>IF('Midterm OVPAA-F-INS-055A RAW SC'!CL25="","",'Midterm OVPAA-F-INS-055A RAW SC'!CL25/'Midterm OVPAA-F-INS-055A RAW SC'!CL$17*100)</f>
        <v/>
      </c>
      <c r="CO25" s="130" t="str">
        <f>IF('Midterm OVPAA-F-INS-055A RAW SC'!CM25="","",'Midterm OVPAA-F-INS-055A RAW SC'!CM25/'Midterm OVPAA-F-INS-055A RAW SC'!CM$17*100)</f>
        <v/>
      </c>
      <c r="CP25" s="130" t="str">
        <f>IF('Midterm OVPAA-F-INS-055A RAW SC'!CN25="","",'Midterm OVPAA-F-INS-055A RAW SC'!CN25/'Midterm OVPAA-F-INS-055A RAW SC'!CN$17*100)</f>
        <v/>
      </c>
      <c r="CQ25" s="131">
        <f t="array" ref="CQ25">IF('Midterm OVPAA-F-INS-055A RAW SC'!G25="","",IF((SUMPRODUCT(--ISBLANK('Midterm OVPAA-F-INS-055A RAW SC'!BU25:CN25))=COLUMNS('Midterm OVPAA-F-INS-055A RAW SC'!BU25:CN25))=TRUE,"",(((COUNTA('Midterm OVPAA-F-INS-055A RAW SC'!$BU$17:$CN$17)+COUNTBLANK('Midterm OVPAA-F-INS-055A RAW SC'!BU25:CN25))-COLUMNS('Midterm OVPAA-F-INS-055A RAW SC'!BU25:CN25))*5+SUM(BW25:CP25))/COUNTA('Midterm OVPAA-F-INS-055A RAW SC'!$BU$17:$CN$17)))</f>
        <v>93.333333333333329</v>
      </c>
      <c r="CR25" s="132">
        <f>IF(CQ25="","",VLOOKUP(CQ25,IF('Midterm OVPAA-F-INS-055A RAW SC'!$V$12=0.5,TRANSMUTATION!$C$4:$D$17,TRANSMUTATION!$G$4:$H$17),2,TRUE))</f>
        <v>1.25</v>
      </c>
      <c r="CS25" s="133">
        <f>IF('Midterm OVPAA-F-INS-055A RAW SC'!CO25="","",'Midterm OVPAA-F-INS-055A RAW SC'!CO25/'Midterm OVPAA-F-INS-055A RAW SC'!CO$17*100)</f>
        <v>92</v>
      </c>
      <c r="CT25" s="133">
        <f>IF('Midterm OVPAA-F-INS-055A RAW SC'!CP25="","",'Midterm OVPAA-F-INS-055A RAW SC'!CP25/'Midterm OVPAA-F-INS-055A RAW SC'!CP$17*100)</f>
        <v>80</v>
      </c>
      <c r="CU25" s="133" t="str">
        <f>IF('Midterm OVPAA-F-INS-055A RAW SC'!CQ25="","",'Midterm OVPAA-F-INS-055A RAW SC'!CQ25/'Midterm OVPAA-F-INS-055A RAW SC'!CQ$17*100)</f>
        <v/>
      </c>
      <c r="CV25" s="133" t="str">
        <f>IF('Midterm OVPAA-F-INS-055A RAW SC'!CR25="","",'Midterm OVPAA-F-INS-055A RAW SC'!CR25/'Midterm OVPAA-F-INS-055A RAW SC'!CR$17*100)</f>
        <v/>
      </c>
      <c r="CW25" s="133" t="str">
        <f>IF('Midterm OVPAA-F-INS-055A RAW SC'!CS25="","",'Midterm OVPAA-F-INS-055A RAW SC'!CS25/'Midterm OVPAA-F-INS-055A RAW SC'!CS$17*100)</f>
        <v/>
      </c>
      <c r="CX25" s="133" t="str">
        <f>IF('Midterm OVPAA-F-INS-055A RAW SC'!CT25="","",'Midterm OVPAA-F-INS-055A RAW SC'!CT25/'Midterm OVPAA-F-INS-055A RAW SC'!CT$17*100)</f>
        <v/>
      </c>
      <c r="CY25" s="133" t="str">
        <f>IF('Midterm OVPAA-F-INS-055A RAW SC'!CU25="","",'Midterm OVPAA-F-INS-055A RAW SC'!CU25/'Midterm OVPAA-F-INS-055A RAW SC'!CU$17*100)</f>
        <v/>
      </c>
      <c r="CZ25" s="133" t="str">
        <f>IF('Midterm OVPAA-F-INS-055A RAW SC'!CV25="","",'Midterm OVPAA-F-INS-055A RAW SC'!CV25/'Midterm OVPAA-F-INS-055A RAW SC'!CV$17*100)</f>
        <v/>
      </c>
      <c r="DA25" s="133" t="str">
        <f>IF('Midterm OVPAA-F-INS-055A RAW SC'!CW25="","",'Midterm OVPAA-F-INS-055A RAW SC'!CW25/'Midterm OVPAA-F-INS-055A RAW SC'!CW$17*100)</f>
        <v/>
      </c>
      <c r="DB25" s="133" t="str">
        <f>IF('Midterm OVPAA-F-INS-055A RAW SC'!CX25="","",'Midterm OVPAA-F-INS-055A RAW SC'!CX25/'Midterm OVPAA-F-INS-055A RAW SC'!CX$17*100)</f>
        <v/>
      </c>
      <c r="DC25" s="134">
        <f t="array" ref="DC25">IF('Midterm OVPAA-F-INS-055A RAW SC'!$G25="","",IF((SUMPRODUCT(--ISBLANK('Midterm OVPAA-F-INS-055A RAW SC'!CO25:CX25))=COLUMNS('Midterm OVPAA-F-INS-055A RAW SC'!CO25:CX25))=TRUE,"",(((COUNTA('Midterm OVPAA-F-INS-055A RAW SC'!$CO$17:$CX$17)+COUNTBLANK('Midterm OVPAA-F-INS-055A RAW SC'!CO25:CX25))-COLUMNS('Midterm OVPAA-F-INS-055A RAW SC'!CO25:CX25))*5+SUM(CS25:DB25))/COUNTA('Midterm OVPAA-F-INS-055A RAW SC'!$CO$17:$CX$17)))</f>
        <v>86</v>
      </c>
      <c r="DD25" s="135">
        <f>IF(DC25="","",VLOOKUP(DC25,IF('Midterm OVPAA-F-INS-055A RAW SC'!$V$12=0.5,TRANSMUTATION!$C$4:$D$17,TRANSMUTATION!$G$4:$H$17),2,TRUE))</f>
        <v>1.5</v>
      </c>
      <c r="DE25" s="136">
        <f t="shared" si="1"/>
        <v>0.67499999999999993</v>
      </c>
      <c r="DF25" s="137">
        <f t="shared" si="2"/>
        <v>0.375</v>
      </c>
      <c r="DG25" s="138">
        <f t="shared" si="3"/>
        <v>0.60000000000000009</v>
      </c>
      <c r="DH25" s="136">
        <f t="shared" si="4"/>
        <v>1.65</v>
      </c>
      <c r="DI25" s="123" t="str">
        <f t="shared" si="5"/>
        <v>1.75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IF('Midterm OVPAA-F-INS-055A RAW SC'!H26="","",'Midterm OVPAA-F-INS-055A RAW SC'!H26/'Midterm OVPAA-F-INS-055A RAW SC'!H$17*100)</f>
        <v>72</v>
      </c>
      <c r="I26" s="126">
        <f>IF('Midterm OVPAA-F-INS-055A RAW SC'!I26="","",'Midterm OVPAA-F-INS-055A RAW SC'!I26/'Midterm OVPAA-F-INS-055A RAW SC'!I$17*100)</f>
        <v>60</v>
      </c>
      <c r="J26" s="126">
        <f>IF('Midterm OVPAA-F-INS-055A RAW SC'!J26="","",'Midterm OVPAA-F-INS-055A RAW SC'!J26/'Midterm OVPAA-F-INS-055A RAW SC'!J$17*100)</f>
        <v>100</v>
      </c>
      <c r="K26" s="126" t="str">
        <f>IF('Midterm OVPAA-F-INS-055A RAW SC'!K26="","",'Midterm OVPAA-F-INS-055A RAW SC'!K26/'Midterm OVPAA-F-INS-055A RAW SC'!K$17*100)</f>
        <v/>
      </c>
      <c r="L26" s="126" t="str">
        <f>IF('Midterm OVPAA-F-INS-055A RAW SC'!L26="","",'Midterm OVPAA-F-INS-055A RAW SC'!L26/'Midterm OVPAA-F-INS-055A RAW SC'!L$17*100)</f>
        <v/>
      </c>
      <c r="M26" s="126" t="str">
        <f>IF('Midterm OVPAA-F-INS-055A RAW SC'!M26="","",'Midterm OVPAA-F-INS-055A RAW SC'!M26/'Midterm OVPAA-F-INS-055A RAW SC'!M$17*100)</f>
        <v/>
      </c>
      <c r="N26" s="126" t="str">
        <f>IF('Midterm OVPAA-F-INS-055A RAW SC'!N26="","",'Midterm OVPAA-F-INS-055A RAW SC'!N26/'Midterm OVPAA-F-INS-055A RAW SC'!N$17*100)</f>
        <v/>
      </c>
      <c r="O26" s="126" t="str">
        <f>IF('Midterm OVPAA-F-INS-055A RAW SC'!O26="","",'Midterm OVPAA-F-INS-055A RAW SC'!O26/'Midterm OVPAA-F-INS-055A RAW SC'!O$17*100)</f>
        <v/>
      </c>
      <c r="P26" s="126"/>
      <c r="Q26" s="126" t="str">
        <f>IF('Midterm OVPAA-F-INS-055A RAW SC'!Q26="","",'Midterm OVPAA-F-INS-055A RAW SC'!Q26/'Midterm OVPAA-F-INS-055A RAW SC'!Q$17*100)</f>
        <v/>
      </c>
      <c r="R26" s="126" t="str">
        <f>IF('Midterm OVPAA-F-INS-055A RAW SC'!R26="","",'Midterm OVPAA-F-INS-055A RAW SC'!R26/'Midterm OVPAA-F-INS-055A RAW SC'!R$17*100)</f>
        <v/>
      </c>
      <c r="S26" s="126" t="str">
        <f>IF('Midterm OVPAA-F-INS-055A RAW SC'!S26="","",'Midterm OVPAA-F-INS-055A RAW SC'!S26/'Midterm OVPAA-F-INS-055A RAW SC'!S$17*100)</f>
        <v/>
      </c>
      <c r="T26" s="126" t="str">
        <f>IF('Midterm OVPAA-F-INS-055A RAW SC'!T26="","",'Midterm OVPAA-F-INS-055A RAW SC'!T26/'Midterm OVPAA-F-INS-055A RAW SC'!T$17*100)</f>
        <v/>
      </c>
      <c r="U26" s="126" t="str">
        <f>IF('Midterm OVPAA-F-INS-055A RAW SC'!U26="","",'Midterm OVPAA-F-INS-055A RAW SC'!U26/'Midterm OVPAA-F-INS-055A RAW SC'!U$17*100)</f>
        <v/>
      </c>
      <c r="V26" s="126" t="str">
        <f>IF('Midterm OVPAA-F-INS-055A RAW SC'!V26="","",'Midterm OVPAA-F-INS-055A RAW SC'!V26/'Midterm OVPAA-F-INS-055A RAW SC'!V$17*100)</f>
        <v/>
      </c>
      <c r="W26" s="126" t="str">
        <f>IF('Midterm OVPAA-F-INS-055A RAW SC'!W26="","",'Midterm OVPAA-F-INS-055A RAW SC'!W26/'Midterm OVPAA-F-INS-055A RAW SC'!W$17*100)</f>
        <v/>
      </c>
      <c r="X26" s="126" t="str">
        <f>IF('Midterm OVPAA-F-INS-055A RAW SC'!X26="","",'Midterm OVPAA-F-INS-055A RAW SC'!X26/'Midterm OVPAA-F-INS-055A RAW SC'!X$17*100)</f>
        <v/>
      </c>
      <c r="Y26" s="126" t="str">
        <f>IF('Midterm OVPAA-F-INS-055A RAW SC'!Y26="","",'Midterm OVPAA-F-INS-055A RAW SC'!Y26/'Midterm OVPAA-F-INS-055A RAW SC'!Y$17*100)</f>
        <v/>
      </c>
      <c r="Z26" s="126" t="str">
        <f>IF('Midterm OVPAA-F-INS-055A RAW SC'!Z26="","",'Midterm OVPAA-F-INS-055A RAW SC'!Z26/'Midterm OVPAA-F-INS-055A RAW SC'!Z$17*100)</f>
        <v/>
      </c>
      <c r="AA26" s="126" t="str">
        <f>IF('Midterm OVPAA-F-INS-055A RAW SC'!AA26="","",'Midterm OVPAA-F-INS-055A RAW SC'!AA26/'Midterm OVPAA-F-INS-055A RAW SC'!AA$17*100)</f>
        <v/>
      </c>
      <c r="AB26" s="126" t="str">
        <f>IF('Midterm OVPAA-F-INS-055A RAW SC'!AB26="","",'Midterm OVPAA-F-INS-055A RAW SC'!AB26/'Midterm OVPAA-F-INS-055A RAW SC'!AB$17*100)</f>
        <v/>
      </c>
      <c r="AC26" s="126" t="str">
        <f>IF('Midterm OVPAA-F-INS-055A RAW SC'!AC26="","",'Midterm OVPAA-F-INS-055A RAW SC'!AC26/'Midterm OVPAA-F-INS-055A RAW SC'!AC$17*100)</f>
        <v/>
      </c>
      <c r="AD26" s="126" t="str">
        <f>IF('Midterm OVPAA-F-INS-055A RAW SC'!AD26="","",'Midterm OVPAA-F-INS-055A RAW SC'!AD26/'Midterm OVPAA-F-INS-055A RAW SC'!AD$17*100)</f>
        <v/>
      </c>
      <c r="AE26" s="126" t="str">
        <f>IF('Midterm OVPAA-F-INS-055A RAW SC'!AE26="","",'Midterm OVPAA-F-INS-055A RAW SC'!AE26/'Midterm OVPAA-F-INS-055A RAW SC'!AE$17*100)</f>
        <v/>
      </c>
      <c r="AF26" s="126" t="str">
        <f>IF('Midterm OVPAA-F-INS-055A RAW SC'!AF26="","",'Midterm OVPAA-F-INS-055A RAW SC'!AF26/'Midterm OVPAA-F-INS-055A RAW SC'!AF$17*100)</f>
        <v/>
      </c>
      <c r="AG26" s="126" t="str">
        <f>IF('Midterm OVPAA-F-INS-055A RAW SC'!AG26="","",'Midterm OVPAA-F-INS-055A RAW SC'!AG26/'Midterm OVPAA-F-INS-055A RAW SC'!AG$17*100)</f>
        <v/>
      </c>
      <c r="AH26" s="126" t="str">
        <f>IF('Midterm OVPAA-F-INS-055A RAW SC'!AH26="","",'Midterm OVPAA-F-INS-055A RAW SC'!AH26/'Midterm OVPAA-F-INS-055A RAW SC'!AH$17*100)</f>
        <v/>
      </c>
      <c r="AI26" s="126" t="str">
        <f>IF('Midterm OVPAA-F-INS-055A RAW SC'!AI26="","",'Midterm OVPAA-F-INS-055A RAW SC'!AI26/'Midterm OVPAA-F-INS-055A RAW SC'!AI$17*100)</f>
        <v/>
      </c>
      <c r="AJ26" s="126" t="str">
        <f>IF('Midterm OVPAA-F-INS-055A RAW SC'!AJ26="","",'Midterm OVPAA-F-INS-055A RAW SC'!AJ26/'Midterm OVPAA-F-INS-055A RAW SC'!AJ$17*100)</f>
        <v/>
      </c>
      <c r="AK26" s="126" t="str">
        <f>IF('Midterm OVPAA-F-INS-055A RAW SC'!AK26="","",'Midterm OVPAA-F-INS-055A RAW SC'!AK26/'Midterm OVPAA-F-INS-055A RAW SC'!AK$17*100)</f>
        <v/>
      </c>
      <c r="AL26" s="126" t="str">
        <f>IF('Midterm OVPAA-F-INS-055A RAW SC'!AL26="","",'Midterm OVPAA-F-INS-055A RAW SC'!AL26/'Midterm OVPAA-F-INS-055A RAW SC'!AL$17*100)</f>
        <v/>
      </c>
      <c r="AM26" s="126" t="str">
        <f>IF('Midterm OVPAA-F-INS-055A RAW SC'!AM26="","",'Midterm OVPAA-F-INS-055A RAW SC'!AM26/'Midterm OVPAA-F-INS-055A RAW SC'!AM$17*100)</f>
        <v/>
      </c>
      <c r="AN26" s="126" t="str">
        <f>IF('Midterm OVPAA-F-INS-055A RAW SC'!AN26="","",'Midterm OVPAA-F-INS-055A RAW SC'!AN26/'Midterm OVPAA-F-INS-055A RAW SC'!AN$17*100)</f>
        <v/>
      </c>
      <c r="AO26" s="126" t="str">
        <f>IF('Midterm OVPAA-F-INS-055A RAW SC'!AO26="","",'Midterm OVPAA-F-INS-055A RAW SC'!AO26/'Midterm OVPAA-F-INS-055A RAW SC'!AO$17*100)</f>
        <v/>
      </c>
      <c r="AP26" s="126" t="str">
        <f>IF('Midterm OVPAA-F-INS-055A RAW SC'!AP26="","",'Midterm OVPAA-F-INS-055A RAW SC'!AP26/'Midterm OVPAA-F-INS-055A RAW SC'!AP$17*100)</f>
        <v/>
      </c>
      <c r="AQ26" s="126" t="str">
        <f>IF('Midterm OVPAA-F-INS-055A RAW SC'!AQ26="","",'Midterm OVPAA-F-INS-055A RAW SC'!AQ26/'Midterm OVPAA-F-INS-055A RAW SC'!AQ$17*100)</f>
        <v/>
      </c>
      <c r="AR26" s="126" t="str">
        <f>IF('Midterm OVPAA-F-INS-055A RAW SC'!AR26="","",'Midterm OVPAA-F-INS-055A RAW SC'!AR26/'Midterm OVPAA-F-INS-055A RAW SC'!AR$17*100)</f>
        <v/>
      </c>
      <c r="AS26" s="126" t="str">
        <f>IF('Midterm OVPAA-F-INS-055A RAW SC'!AS26="","",'Midterm OVPAA-F-INS-055A RAW SC'!AS26/'Midterm OVPAA-F-INS-055A RAW SC'!AS$17*100)</f>
        <v/>
      </c>
      <c r="AT26" s="126" t="str">
        <f>IF('Midterm OVPAA-F-INS-055A RAW SC'!AT26="","",'Midterm OVPAA-F-INS-055A RAW SC'!AT26/'Midterm OVPAA-F-INS-055A RAW SC'!AT$17*100)</f>
        <v/>
      </c>
      <c r="AU26" s="126" t="str">
        <f>IF('Midterm OVPAA-F-INS-055A RAW SC'!AU26="","",'Midterm OVPAA-F-INS-055A RAW SC'!AU26/'Midterm OVPAA-F-INS-055A RAW SC'!AU$17*100)</f>
        <v/>
      </c>
      <c r="AV26" s="126" t="str">
        <f>IF('Midterm OVPAA-F-INS-055A RAW SC'!AV26="","",'Midterm OVPAA-F-INS-055A RAW SC'!AV26/'Midterm OVPAA-F-INS-055A RAW SC'!AV$17*100)</f>
        <v/>
      </c>
      <c r="AW26" s="126" t="str">
        <f>IF('Midterm OVPAA-F-INS-055A RAW SC'!AW26="","",'Midterm OVPAA-F-INS-055A RAW SC'!AW26/'Midterm OVPAA-F-INS-055A RAW SC'!AW$17*100)</f>
        <v/>
      </c>
      <c r="AX26" s="126" t="str">
        <f>IF('Midterm OVPAA-F-INS-055A RAW SC'!AX26="","",'Midterm OVPAA-F-INS-055A RAW SC'!AX26/'Midterm OVPAA-F-INS-055A RAW SC'!AX$17*100)</f>
        <v/>
      </c>
      <c r="AY26" s="126" t="str">
        <f>IF('Midterm OVPAA-F-INS-055A RAW SC'!AY26="","",'Midterm OVPAA-F-INS-055A RAW SC'!AY26/'Midterm OVPAA-F-INS-055A RAW SC'!AY$17*100)</f>
        <v/>
      </c>
      <c r="AZ26" s="126" t="str">
        <f>IF('Midterm OVPAA-F-INS-055A RAW SC'!AZ26="","",'Midterm OVPAA-F-INS-055A RAW SC'!AZ26/'Midterm OVPAA-F-INS-055A RAW SC'!AZ$17*100)</f>
        <v/>
      </c>
      <c r="BA26" s="126" t="str">
        <f>IF('Midterm OVPAA-F-INS-055A RAW SC'!BA26="","",'Midterm OVPAA-F-INS-055A RAW SC'!BA26/'Midterm OVPAA-F-INS-055A RAW SC'!BA$17*100)</f>
        <v/>
      </c>
      <c r="BB26" s="126" t="str">
        <f>IF('Midterm OVPAA-F-INS-055A RAW SC'!BB26="","",'Midterm OVPAA-F-INS-055A RAW SC'!BB26/'Midterm OVPAA-F-INS-055A RAW SC'!BB$17*100)</f>
        <v/>
      </c>
      <c r="BC26" s="126" t="str">
        <f>IF('Midterm OVPAA-F-INS-055A RAW SC'!BC26="","",'Midterm OVPAA-F-INS-055A RAW SC'!BC26/'Midterm OVPAA-F-INS-055A RAW SC'!BC$17*100)</f>
        <v/>
      </c>
      <c r="BD26" s="126" t="str">
        <f>IF('Midterm OVPAA-F-INS-055A RAW SC'!BD26="","",'Midterm OVPAA-F-INS-055A RAW SC'!BD26/'Midterm OVPAA-F-INS-055A RAW SC'!BD$17*100)</f>
        <v/>
      </c>
      <c r="BE26" s="126" t="str">
        <f>IF('Midterm OVPAA-F-INS-055A RAW SC'!BE26="","",'Midterm OVPAA-F-INS-055A RAW SC'!BE26/'Midterm OVPAA-F-INS-055A RAW SC'!BE$17*100)</f>
        <v/>
      </c>
      <c r="BF26" s="126" t="str">
        <f>IF('Midterm OVPAA-F-INS-055A RAW SC'!BF26="","",'Midterm OVPAA-F-INS-055A RAW SC'!BF26/'Midterm OVPAA-F-INS-055A RAW SC'!BF$17*100)</f>
        <v/>
      </c>
      <c r="BG26" s="126" t="str">
        <f>IF('Midterm OVPAA-F-INS-055A RAW SC'!BG26="","",'Midterm OVPAA-F-INS-055A RAW SC'!BG26/'Midterm OVPAA-F-INS-055A RAW SC'!BG$17*100)</f>
        <v/>
      </c>
      <c r="BH26" s="126" t="str">
        <f>IF('Midterm OVPAA-F-INS-055A RAW SC'!BH26="","",'Midterm OVPAA-F-INS-055A RAW SC'!BH26/'Midterm OVPAA-F-INS-055A RAW SC'!BH$17*100)</f>
        <v/>
      </c>
      <c r="BI26" s="126" t="str">
        <f>IF('Midterm OVPAA-F-INS-055A RAW SC'!BI26="","",'Midterm OVPAA-F-INS-055A RAW SC'!BI26/'Midterm OVPAA-F-INS-055A RAW SC'!BI$17*100)</f>
        <v/>
      </c>
      <c r="BJ26" s="126" t="str">
        <f>IF('Midterm OVPAA-F-INS-055A RAW SC'!BJ26="","",'Midterm OVPAA-F-INS-055A RAW SC'!BJ26/'Midterm OVPAA-F-INS-055A RAW SC'!BJ$17*100)</f>
        <v/>
      </c>
      <c r="BK26" s="126" t="str">
        <f>IF('Midterm OVPAA-F-INS-055A RAW SC'!BK26="","",'Midterm OVPAA-F-INS-055A RAW SC'!BK26/'Midterm OVPAA-F-INS-055A RAW SC'!BK$17*100)</f>
        <v/>
      </c>
      <c r="BL26" s="126" t="str">
        <f>IF('Midterm OVPAA-F-INS-055A RAW SC'!BL26="","",'Midterm OVPAA-F-INS-055A RAW SC'!BL26/'Midterm OVPAA-F-INS-055A RAW SC'!BL$17*100)</f>
        <v/>
      </c>
      <c r="BM26" s="126" t="str">
        <f>IF('Midterm OVPAA-F-INS-055A RAW SC'!BM26="","",'Midterm OVPAA-F-INS-055A RAW SC'!BM26/'Midterm OVPAA-F-INS-055A RAW SC'!BM$17*100)</f>
        <v/>
      </c>
      <c r="BN26" s="126" t="str">
        <f>IF('Midterm OVPAA-F-INS-055A RAW SC'!BN26="","",'Midterm OVPAA-F-INS-055A RAW SC'!BN26/'Midterm OVPAA-F-INS-055A RAW SC'!BN$17*100)</f>
        <v/>
      </c>
      <c r="BO26" s="126" t="str">
        <f>IF('Midterm OVPAA-F-INS-055A RAW SC'!BO26="","",'Midterm OVPAA-F-INS-055A RAW SC'!BO26/'Midterm OVPAA-F-INS-055A RAW SC'!BO$17*100)</f>
        <v/>
      </c>
      <c r="BP26" s="126" t="str">
        <f>IF('Midterm OVPAA-F-INS-055A RAW SC'!BP26="","",'Midterm OVPAA-F-INS-055A RAW SC'!BP26/'Midterm OVPAA-F-INS-055A RAW SC'!BP$17*100)</f>
        <v/>
      </c>
      <c r="BQ26" s="126" t="str">
        <f>IF('Midterm OVPAA-F-INS-055A RAW SC'!BQ26="","",'Midterm OVPAA-F-INS-055A RAW SC'!BQ26/'Midterm OVPAA-F-INS-055A RAW SC'!BQ$17*100)</f>
        <v/>
      </c>
      <c r="BR26" s="126" t="str">
        <f>IF('Midterm OVPAA-F-INS-055A RAW SC'!BR26="","",'Midterm OVPAA-F-INS-055A RAW SC'!BR26/'Midterm OVPAA-F-INS-055A RAW SC'!BR$17*100)</f>
        <v/>
      </c>
      <c r="BS26" s="126" t="str">
        <f>IF('Midterm OVPAA-F-INS-055A RAW SC'!BS26="","",'Midterm OVPAA-F-INS-055A RAW SC'!BS26/'Midterm OVPAA-F-INS-055A RAW SC'!BS$17*100)</f>
        <v/>
      </c>
      <c r="BT26" s="126" t="str">
        <f>IF('Midterm OVPAA-F-INS-055A RAW SC'!BT26="","",'Midterm OVPAA-F-INS-055A RAW SC'!BT26/'Midterm OVPAA-F-INS-055A RAW SC'!BT$17*100)</f>
        <v/>
      </c>
      <c r="BU26" s="127">
        <f t="array" ref="BU26">IF('Midterm OVPAA-F-INS-055A RAW SC'!$G26="","",IF((SUMPRODUCT(--ISBLANK('Midterm OVPAA-F-INS-055A RAW SC'!H26:BT26))=COLUMNS('Midterm OVPAA-F-INS-055A RAW SC'!H26:BT26))=TRUE,"",(((COUNTA('Midterm OVPAA-F-INS-055A RAW SC'!$H$17:$BT$17)+COUNTBLANK('Midterm OVPAA-F-INS-055A RAW SC'!H26:BT26))-COLUMNS('Midterm OVPAA-F-INS-055A RAW SC'!H26:BT26))*5+SUM(H26:BT26))/COUNTA('Midterm OVPAA-F-INS-055A RAW SC'!$H$17:$BT$17)))</f>
        <v>75.666666666666671</v>
      </c>
      <c r="BV26" s="128">
        <f>IF(BU26="","",VLOOKUP(BU26,IF('Midterm OVPAA-F-INS-055A RAW SC'!$V$12=0.5,TRANSMUTATION!$C$4:$D$17,TRANSMUTATION!$G$4:$H$17),2,TRUE))</f>
        <v>2</v>
      </c>
      <c r="BW26" s="129">
        <f>IF('Midterm OVPAA-F-INS-055A RAW SC'!BU26="","",'Midterm OVPAA-F-INS-055A RAW SC'!BU26/'Midterm OVPAA-F-INS-055A RAW SC'!BU$17*100)</f>
        <v>72</v>
      </c>
      <c r="BX26" s="130">
        <f>IF('Midterm OVPAA-F-INS-055A RAW SC'!BV26="","",'Midterm OVPAA-F-INS-055A RAW SC'!BV26/'Midterm OVPAA-F-INS-055A RAW SC'!BV$17*100)</f>
        <v>100</v>
      </c>
      <c r="BY26" s="130">
        <f>IF('Midterm OVPAA-F-INS-055A RAW SC'!BW26="","",'Midterm OVPAA-F-INS-055A RAW SC'!BW26/'Midterm OVPAA-F-INS-055A RAW SC'!BW$17*100)</f>
        <v>75</v>
      </c>
      <c r="BZ26" s="130" t="str">
        <f>IF('Midterm OVPAA-F-INS-055A RAW SC'!BX26="","",'Midterm OVPAA-F-INS-055A RAW SC'!BX26/'Midterm OVPAA-F-INS-055A RAW SC'!BX$17*100)</f>
        <v/>
      </c>
      <c r="CA26" s="130" t="str">
        <f>IF('Midterm OVPAA-F-INS-055A RAW SC'!BY26="","",'Midterm OVPAA-F-INS-055A RAW SC'!BY26/'Midterm OVPAA-F-INS-055A RAW SC'!BY$17*100)</f>
        <v/>
      </c>
      <c r="CB26" s="130" t="str">
        <f>IF('Midterm OVPAA-F-INS-055A RAW SC'!BZ26="","",'Midterm OVPAA-F-INS-055A RAW SC'!BZ26/'Midterm OVPAA-F-INS-055A RAW SC'!BZ$17*100)</f>
        <v/>
      </c>
      <c r="CC26" s="130" t="str">
        <f>IF('Midterm OVPAA-F-INS-055A RAW SC'!CA26="","",'Midterm OVPAA-F-INS-055A RAW SC'!CA26/'Midterm OVPAA-F-INS-055A RAW SC'!CA$17*100)</f>
        <v/>
      </c>
      <c r="CD26" s="130" t="str">
        <f>IF('Midterm OVPAA-F-INS-055A RAW SC'!CB26="","",'Midterm OVPAA-F-INS-055A RAW SC'!CB26/'Midterm OVPAA-F-INS-055A RAW SC'!CB$17*100)</f>
        <v/>
      </c>
      <c r="CE26" s="130" t="str">
        <f>IF('Midterm OVPAA-F-INS-055A RAW SC'!CC26="","",'Midterm OVPAA-F-INS-055A RAW SC'!CC26/'Midterm OVPAA-F-INS-055A RAW SC'!CC$17*100)</f>
        <v/>
      </c>
      <c r="CF26" s="130" t="str">
        <f>IF('Midterm OVPAA-F-INS-055A RAW SC'!CD26="","",'Midterm OVPAA-F-INS-055A RAW SC'!CD26/'Midterm OVPAA-F-INS-055A RAW SC'!CD$17*100)</f>
        <v/>
      </c>
      <c r="CG26" s="130" t="str">
        <f>IF('Midterm OVPAA-F-INS-055A RAW SC'!CE26="","",'Midterm OVPAA-F-INS-055A RAW SC'!CE26/'Midterm OVPAA-F-INS-055A RAW SC'!CE$17*100)</f>
        <v/>
      </c>
      <c r="CH26" s="130" t="str">
        <f>IF('Midterm OVPAA-F-INS-055A RAW SC'!CF26="","",'Midterm OVPAA-F-INS-055A RAW SC'!CF26/'Midterm OVPAA-F-INS-055A RAW SC'!CF$17*100)</f>
        <v/>
      </c>
      <c r="CI26" s="130" t="str">
        <f>IF('Midterm OVPAA-F-INS-055A RAW SC'!CG26="","",'Midterm OVPAA-F-INS-055A RAW SC'!CG26/'Midterm OVPAA-F-INS-055A RAW SC'!CG$17*100)</f>
        <v/>
      </c>
      <c r="CJ26" s="130" t="str">
        <f>IF('Midterm OVPAA-F-INS-055A RAW SC'!CH26="","",'Midterm OVPAA-F-INS-055A RAW SC'!CH26/'Midterm OVPAA-F-INS-055A RAW SC'!CH$17*100)</f>
        <v/>
      </c>
      <c r="CK26" s="130" t="str">
        <f>IF('Midterm OVPAA-F-INS-055A RAW SC'!CI26="","",'Midterm OVPAA-F-INS-055A RAW SC'!CI26/'Midterm OVPAA-F-INS-055A RAW SC'!CI$17*100)</f>
        <v/>
      </c>
      <c r="CL26" s="130" t="str">
        <f>IF('Midterm OVPAA-F-INS-055A RAW SC'!CJ26="","",'Midterm OVPAA-F-INS-055A RAW SC'!CJ26/'Midterm OVPAA-F-INS-055A RAW SC'!CJ$17*100)</f>
        <v/>
      </c>
      <c r="CM26" s="130" t="str">
        <f>IF('Midterm OVPAA-F-INS-055A RAW SC'!CK26="","",'Midterm OVPAA-F-INS-055A RAW SC'!CK26/'Midterm OVPAA-F-INS-055A RAW SC'!CK$17*100)</f>
        <v/>
      </c>
      <c r="CN26" s="130" t="str">
        <f>IF('Midterm OVPAA-F-INS-055A RAW SC'!CL26="","",'Midterm OVPAA-F-INS-055A RAW SC'!CL26/'Midterm OVPAA-F-INS-055A RAW SC'!CL$17*100)</f>
        <v/>
      </c>
      <c r="CO26" s="130" t="str">
        <f>IF('Midterm OVPAA-F-INS-055A RAW SC'!CM26="","",'Midterm OVPAA-F-INS-055A RAW SC'!CM26/'Midterm OVPAA-F-INS-055A RAW SC'!CM$17*100)</f>
        <v/>
      </c>
      <c r="CP26" s="130" t="str">
        <f>IF('Midterm OVPAA-F-INS-055A RAW SC'!CN26="","",'Midterm OVPAA-F-INS-055A RAW SC'!CN26/'Midterm OVPAA-F-INS-055A RAW SC'!CN$17*100)</f>
        <v/>
      </c>
      <c r="CQ26" s="131">
        <f t="array" ref="CQ26">IF('Midterm OVPAA-F-INS-055A RAW SC'!G26="","",IF((SUMPRODUCT(--ISBLANK('Midterm OVPAA-F-INS-055A RAW SC'!BU26:CN26))=COLUMNS('Midterm OVPAA-F-INS-055A RAW SC'!BU26:CN26))=TRUE,"",(((COUNTA('Midterm OVPAA-F-INS-055A RAW SC'!$BU$17:$CN$17)+COUNTBLANK('Midterm OVPAA-F-INS-055A RAW SC'!BU26:CN26))-COLUMNS('Midterm OVPAA-F-INS-055A RAW SC'!BU26:CN26))*5+SUM(BW26:CP26))/COUNTA('Midterm OVPAA-F-INS-055A RAW SC'!$BU$17:$CN$17)))</f>
        <v>82.333333333333329</v>
      </c>
      <c r="CR26" s="132">
        <f>IF(CQ26="","",VLOOKUP(CQ26,IF('Midterm OVPAA-F-INS-055A RAW SC'!$V$12=0.5,TRANSMUTATION!$C$4:$D$17,TRANSMUTATION!$G$4:$H$17),2,TRUE))</f>
        <v>1.75</v>
      </c>
      <c r="CS26" s="133">
        <f>IF('Midterm OVPAA-F-INS-055A RAW SC'!CO26="","",'Midterm OVPAA-F-INS-055A RAW SC'!CO26/'Midterm OVPAA-F-INS-055A RAW SC'!CO$17*100)</f>
        <v>72</v>
      </c>
      <c r="CT26" s="133">
        <f>IF('Midterm OVPAA-F-INS-055A RAW SC'!CP26="","",'Midterm OVPAA-F-INS-055A RAW SC'!CP26/'Midterm OVPAA-F-INS-055A RAW SC'!CP$17*100)</f>
        <v>90</v>
      </c>
      <c r="CU26" s="133" t="str">
        <f>IF('Midterm OVPAA-F-INS-055A RAW SC'!CQ26="","",'Midterm OVPAA-F-INS-055A RAW SC'!CQ26/'Midterm OVPAA-F-INS-055A RAW SC'!CQ$17*100)</f>
        <v/>
      </c>
      <c r="CV26" s="133" t="str">
        <f>IF('Midterm OVPAA-F-INS-055A RAW SC'!CR26="","",'Midterm OVPAA-F-INS-055A RAW SC'!CR26/'Midterm OVPAA-F-INS-055A RAW SC'!CR$17*100)</f>
        <v/>
      </c>
      <c r="CW26" s="133" t="str">
        <f>IF('Midterm OVPAA-F-INS-055A RAW SC'!CS26="","",'Midterm OVPAA-F-INS-055A RAW SC'!CS26/'Midterm OVPAA-F-INS-055A RAW SC'!CS$17*100)</f>
        <v/>
      </c>
      <c r="CX26" s="133" t="str">
        <f>IF('Midterm OVPAA-F-INS-055A RAW SC'!CT26="","",'Midterm OVPAA-F-INS-055A RAW SC'!CT26/'Midterm OVPAA-F-INS-055A RAW SC'!CT$17*100)</f>
        <v/>
      </c>
      <c r="CY26" s="133" t="str">
        <f>IF('Midterm OVPAA-F-INS-055A RAW SC'!CU26="","",'Midterm OVPAA-F-INS-055A RAW SC'!CU26/'Midterm OVPAA-F-INS-055A RAW SC'!CU$17*100)</f>
        <v/>
      </c>
      <c r="CZ26" s="133" t="str">
        <f>IF('Midterm OVPAA-F-INS-055A RAW SC'!CV26="","",'Midterm OVPAA-F-INS-055A RAW SC'!CV26/'Midterm OVPAA-F-INS-055A RAW SC'!CV$17*100)</f>
        <v/>
      </c>
      <c r="DA26" s="133" t="str">
        <f>IF('Midterm OVPAA-F-INS-055A RAW SC'!CW26="","",'Midterm OVPAA-F-INS-055A RAW SC'!CW26/'Midterm OVPAA-F-INS-055A RAW SC'!CW$17*100)</f>
        <v/>
      </c>
      <c r="DB26" s="133" t="str">
        <f>IF('Midterm OVPAA-F-INS-055A RAW SC'!CX26="","",'Midterm OVPAA-F-INS-055A RAW SC'!CX26/'Midterm OVPAA-F-INS-055A RAW SC'!CX$17*100)</f>
        <v/>
      </c>
      <c r="DC26" s="134">
        <f t="array" ref="DC26">IF('Midterm OVPAA-F-INS-055A RAW SC'!$G26="","",IF((SUMPRODUCT(--ISBLANK('Midterm OVPAA-F-INS-055A RAW SC'!CO26:CX26))=COLUMNS('Midterm OVPAA-F-INS-055A RAW SC'!CO26:CX26))=TRUE,"",(((COUNTA('Midterm OVPAA-F-INS-055A RAW SC'!$CO$17:$CX$17)+COUNTBLANK('Midterm OVPAA-F-INS-055A RAW SC'!CO26:CX26))-COLUMNS('Midterm OVPAA-F-INS-055A RAW SC'!CO26:CX26))*5+SUM(CS26:DB26))/COUNTA('Midterm OVPAA-F-INS-055A RAW SC'!$CO$17:$CX$17)))</f>
        <v>81</v>
      </c>
      <c r="DD26" s="135">
        <f>IF(DC26="","",VLOOKUP(DC26,IF('Midterm OVPAA-F-INS-055A RAW SC'!$V$12=0.5,TRANSMUTATION!$C$4:$D$17,TRANSMUTATION!$G$4:$H$17),2,TRUE))</f>
        <v>1.75</v>
      </c>
      <c r="DE26" s="136">
        <f t="shared" si="1"/>
        <v>0.6</v>
      </c>
      <c r="DF26" s="137">
        <f t="shared" si="2"/>
        <v>0.52500000000000002</v>
      </c>
      <c r="DG26" s="138">
        <f t="shared" si="3"/>
        <v>0.70000000000000007</v>
      </c>
      <c r="DH26" s="136">
        <f t="shared" si="4"/>
        <v>1.8250000000000002</v>
      </c>
      <c r="DI26" s="123" t="str">
        <f t="shared" si="5"/>
        <v>1.75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IF('Midterm OVPAA-F-INS-055A RAW SC'!H27="","",'Midterm OVPAA-F-INS-055A RAW SC'!H27/'Midterm OVPAA-F-INS-055A RAW SC'!H$17*100)</f>
        <v>72</v>
      </c>
      <c r="I27" s="126">
        <f>IF('Midterm OVPAA-F-INS-055A RAW SC'!I27="","",'Midterm OVPAA-F-INS-055A RAW SC'!I27/'Midterm OVPAA-F-INS-055A RAW SC'!I$17*100)</f>
        <v>60</v>
      </c>
      <c r="J27" s="126">
        <f>IF('Midterm OVPAA-F-INS-055A RAW SC'!J27="","",'Midterm OVPAA-F-INS-055A RAW SC'!J27/'Midterm OVPAA-F-INS-055A RAW SC'!J$17*100)</f>
        <v>80</v>
      </c>
      <c r="K27" s="126" t="str">
        <f>IF('Midterm OVPAA-F-INS-055A RAW SC'!K27="","",'Midterm OVPAA-F-INS-055A RAW SC'!K27/'Midterm OVPAA-F-INS-055A RAW SC'!K$17*100)</f>
        <v/>
      </c>
      <c r="L27" s="126" t="str">
        <f>IF('Midterm OVPAA-F-INS-055A RAW SC'!L27="","",'Midterm OVPAA-F-INS-055A RAW SC'!L27/'Midterm OVPAA-F-INS-055A RAW SC'!L$17*100)</f>
        <v/>
      </c>
      <c r="M27" s="126" t="str">
        <f>IF('Midterm OVPAA-F-INS-055A RAW SC'!M27="","",'Midterm OVPAA-F-INS-055A RAW SC'!M27/'Midterm OVPAA-F-INS-055A RAW SC'!M$17*100)</f>
        <v/>
      </c>
      <c r="N27" s="126" t="str">
        <f>IF('Midterm OVPAA-F-INS-055A RAW SC'!N27="","",'Midterm OVPAA-F-INS-055A RAW SC'!N27/'Midterm OVPAA-F-INS-055A RAW SC'!N$17*100)</f>
        <v/>
      </c>
      <c r="O27" s="126" t="str">
        <f>IF('Midterm OVPAA-F-INS-055A RAW SC'!O27="","",'Midterm OVPAA-F-INS-055A RAW SC'!O27/'Midterm OVPAA-F-INS-055A RAW SC'!O$17*100)</f>
        <v/>
      </c>
      <c r="P27" s="126" t="str">
        <f>IF('Midterm OVPAA-F-INS-055A RAW SC'!P27="","",'Midterm OVPAA-F-INS-055A RAW SC'!P27/'Midterm OVPAA-F-INS-055A RAW SC'!P$17*100)</f>
        <v/>
      </c>
      <c r="Q27" s="126" t="str">
        <f>IF('Midterm OVPAA-F-INS-055A RAW SC'!Q27="","",'Midterm OVPAA-F-INS-055A RAW SC'!Q27/'Midterm OVPAA-F-INS-055A RAW SC'!Q$17*100)</f>
        <v/>
      </c>
      <c r="R27" s="126" t="str">
        <f>IF('Midterm OVPAA-F-INS-055A RAW SC'!R27="","",'Midterm OVPAA-F-INS-055A RAW SC'!R27/'Midterm OVPAA-F-INS-055A RAW SC'!R$17*100)</f>
        <v/>
      </c>
      <c r="S27" s="126" t="str">
        <f>IF('Midterm OVPAA-F-INS-055A RAW SC'!S27="","",'Midterm OVPAA-F-INS-055A RAW SC'!S27/'Midterm OVPAA-F-INS-055A RAW SC'!S$17*100)</f>
        <v/>
      </c>
      <c r="T27" s="126" t="str">
        <f>IF('Midterm OVPAA-F-INS-055A RAW SC'!T27="","",'Midterm OVPAA-F-INS-055A RAW SC'!T27/'Midterm OVPAA-F-INS-055A RAW SC'!T$17*100)</f>
        <v/>
      </c>
      <c r="U27" s="126" t="str">
        <f>IF('Midterm OVPAA-F-INS-055A RAW SC'!U27="","",'Midterm OVPAA-F-INS-055A RAW SC'!U27/'Midterm OVPAA-F-INS-055A RAW SC'!U$17*100)</f>
        <v/>
      </c>
      <c r="V27" s="126" t="str">
        <f>IF('Midterm OVPAA-F-INS-055A RAW SC'!V27="","",'Midterm OVPAA-F-INS-055A RAW SC'!V27/'Midterm OVPAA-F-INS-055A RAW SC'!V$17*100)</f>
        <v/>
      </c>
      <c r="W27" s="126" t="str">
        <f>IF('Midterm OVPAA-F-INS-055A RAW SC'!W27="","",'Midterm OVPAA-F-INS-055A RAW SC'!W27/'Midterm OVPAA-F-INS-055A RAW SC'!W$17*100)</f>
        <v/>
      </c>
      <c r="X27" s="126" t="str">
        <f>IF('Midterm OVPAA-F-INS-055A RAW SC'!X27="","",'Midterm OVPAA-F-INS-055A RAW SC'!X27/'Midterm OVPAA-F-INS-055A RAW SC'!X$17*100)</f>
        <v/>
      </c>
      <c r="Y27" s="126" t="str">
        <f>IF('Midterm OVPAA-F-INS-055A RAW SC'!Y27="","",'Midterm OVPAA-F-INS-055A RAW SC'!Y27/'Midterm OVPAA-F-INS-055A RAW SC'!Y$17*100)</f>
        <v/>
      </c>
      <c r="Z27" s="126" t="str">
        <f>IF('Midterm OVPAA-F-INS-055A RAW SC'!Z27="","",'Midterm OVPAA-F-INS-055A RAW SC'!Z27/'Midterm OVPAA-F-INS-055A RAW SC'!Z$17*100)</f>
        <v/>
      </c>
      <c r="AA27" s="126" t="str">
        <f>IF('Midterm OVPAA-F-INS-055A RAW SC'!AA27="","",'Midterm OVPAA-F-INS-055A RAW SC'!AA27/'Midterm OVPAA-F-INS-055A RAW SC'!AA$17*100)</f>
        <v/>
      </c>
      <c r="AB27" s="126" t="str">
        <f>IF('Midterm OVPAA-F-INS-055A RAW SC'!AB27="","",'Midterm OVPAA-F-INS-055A RAW SC'!AB27/'Midterm OVPAA-F-INS-055A RAW SC'!AB$17*100)</f>
        <v/>
      </c>
      <c r="AC27" s="126" t="str">
        <f>IF('Midterm OVPAA-F-INS-055A RAW SC'!AC27="","",'Midterm OVPAA-F-INS-055A RAW SC'!AC27/'Midterm OVPAA-F-INS-055A RAW SC'!AC$17*100)</f>
        <v/>
      </c>
      <c r="AD27" s="126" t="str">
        <f>IF('Midterm OVPAA-F-INS-055A RAW SC'!AD27="","",'Midterm OVPAA-F-INS-055A RAW SC'!AD27/'Midterm OVPAA-F-INS-055A RAW SC'!AD$17*100)</f>
        <v/>
      </c>
      <c r="AE27" s="126" t="str">
        <f>IF('Midterm OVPAA-F-INS-055A RAW SC'!AE27="","",'Midterm OVPAA-F-INS-055A RAW SC'!AE27/'Midterm OVPAA-F-INS-055A RAW SC'!AE$17*100)</f>
        <v/>
      </c>
      <c r="AF27" s="126" t="str">
        <f>IF('Midterm OVPAA-F-INS-055A RAW SC'!AF27="","",'Midterm OVPAA-F-INS-055A RAW SC'!AF27/'Midterm OVPAA-F-INS-055A RAW SC'!AF$17*100)</f>
        <v/>
      </c>
      <c r="AG27" s="126" t="str">
        <f>IF('Midterm OVPAA-F-INS-055A RAW SC'!AG27="","",'Midterm OVPAA-F-INS-055A RAW SC'!AG27/'Midterm OVPAA-F-INS-055A RAW SC'!AG$17*100)</f>
        <v/>
      </c>
      <c r="AH27" s="126" t="str">
        <f>IF('Midterm OVPAA-F-INS-055A RAW SC'!AH27="","",'Midterm OVPAA-F-INS-055A RAW SC'!AH27/'Midterm OVPAA-F-INS-055A RAW SC'!AH$17*100)</f>
        <v/>
      </c>
      <c r="AI27" s="126" t="str">
        <f>IF('Midterm OVPAA-F-INS-055A RAW SC'!AI27="","",'Midterm OVPAA-F-INS-055A RAW SC'!AI27/'Midterm OVPAA-F-INS-055A RAW SC'!AI$17*100)</f>
        <v/>
      </c>
      <c r="AJ27" s="126" t="str">
        <f>IF('Midterm OVPAA-F-INS-055A RAW SC'!AJ27="","",'Midterm OVPAA-F-INS-055A RAW SC'!AJ27/'Midterm OVPAA-F-INS-055A RAW SC'!AJ$17*100)</f>
        <v/>
      </c>
      <c r="AK27" s="126" t="str">
        <f>IF('Midterm OVPAA-F-INS-055A RAW SC'!AK27="","",'Midterm OVPAA-F-INS-055A RAW SC'!AK27/'Midterm OVPAA-F-INS-055A RAW SC'!AK$17*100)</f>
        <v/>
      </c>
      <c r="AL27" s="126" t="str">
        <f>IF('Midterm OVPAA-F-INS-055A RAW SC'!AL27="","",'Midterm OVPAA-F-INS-055A RAW SC'!AL27/'Midterm OVPAA-F-INS-055A RAW SC'!AL$17*100)</f>
        <v/>
      </c>
      <c r="AM27" s="126" t="str">
        <f>IF('Midterm OVPAA-F-INS-055A RAW SC'!AM27="","",'Midterm OVPAA-F-INS-055A RAW SC'!AM27/'Midterm OVPAA-F-INS-055A RAW SC'!AM$17*100)</f>
        <v/>
      </c>
      <c r="AN27" s="126" t="str">
        <f>IF('Midterm OVPAA-F-INS-055A RAW SC'!AN27="","",'Midterm OVPAA-F-INS-055A RAW SC'!AN27/'Midterm OVPAA-F-INS-055A RAW SC'!AN$17*100)</f>
        <v/>
      </c>
      <c r="AO27" s="126" t="str">
        <f>IF('Midterm OVPAA-F-INS-055A RAW SC'!AO27="","",'Midterm OVPAA-F-INS-055A RAW SC'!AO27/'Midterm OVPAA-F-INS-055A RAW SC'!AO$17*100)</f>
        <v/>
      </c>
      <c r="AP27" s="126" t="str">
        <f>IF('Midterm OVPAA-F-INS-055A RAW SC'!AP27="","",'Midterm OVPAA-F-INS-055A RAW SC'!AP27/'Midterm OVPAA-F-INS-055A RAW SC'!AP$17*100)</f>
        <v/>
      </c>
      <c r="AQ27" s="126" t="str">
        <f>IF('Midterm OVPAA-F-INS-055A RAW SC'!AQ27="","",'Midterm OVPAA-F-INS-055A RAW SC'!AQ27/'Midterm OVPAA-F-INS-055A RAW SC'!AQ$17*100)</f>
        <v/>
      </c>
      <c r="AR27" s="126" t="str">
        <f>IF('Midterm OVPAA-F-INS-055A RAW SC'!AR27="","",'Midterm OVPAA-F-INS-055A RAW SC'!AR27/'Midterm OVPAA-F-INS-055A RAW SC'!AR$17*100)</f>
        <v/>
      </c>
      <c r="AS27" s="126" t="str">
        <f>IF('Midterm OVPAA-F-INS-055A RAW SC'!AS27="","",'Midterm OVPAA-F-INS-055A RAW SC'!AS27/'Midterm OVPAA-F-INS-055A RAW SC'!AS$17*100)</f>
        <v/>
      </c>
      <c r="AT27" s="126" t="str">
        <f>IF('Midterm OVPAA-F-INS-055A RAW SC'!AT27="","",'Midterm OVPAA-F-INS-055A RAW SC'!AT27/'Midterm OVPAA-F-INS-055A RAW SC'!AT$17*100)</f>
        <v/>
      </c>
      <c r="AU27" s="126" t="str">
        <f>IF('Midterm OVPAA-F-INS-055A RAW SC'!AU27="","",'Midterm OVPAA-F-INS-055A RAW SC'!AU27/'Midterm OVPAA-F-INS-055A RAW SC'!AU$17*100)</f>
        <v/>
      </c>
      <c r="AV27" s="126" t="str">
        <f>IF('Midterm OVPAA-F-INS-055A RAW SC'!AV27="","",'Midterm OVPAA-F-INS-055A RAW SC'!AV27/'Midterm OVPAA-F-INS-055A RAW SC'!AV$17*100)</f>
        <v/>
      </c>
      <c r="AW27" s="126" t="str">
        <f>IF('Midterm OVPAA-F-INS-055A RAW SC'!AW27="","",'Midterm OVPAA-F-INS-055A RAW SC'!AW27/'Midterm OVPAA-F-INS-055A RAW SC'!AW$17*100)</f>
        <v/>
      </c>
      <c r="AX27" s="126" t="str">
        <f>IF('Midterm OVPAA-F-INS-055A RAW SC'!AX27="","",'Midterm OVPAA-F-INS-055A RAW SC'!AX27/'Midterm OVPAA-F-INS-055A RAW SC'!AX$17*100)</f>
        <v/>
      </c>
      <c r="AY27" s="126" t="str">
        <f>IF('Midterm OVPAA-F-INS-055A RAW SC'!AY27="","",'Midterm OVPAA-F-INS-055A RAW SC'!AY27/'Midterm OVPAA-F-INS-055A RAW SC'!AY$17*100)</f>
        <v/>
      </c>
      <c r="AZ27" s="126" t="str">
        <f>IF('Midterm OVPAA-F-INS-055A RAW SC'!AZ27="","",'Midterm OVPAA-F-INS-055A RAW SC'!AZ27/'Midterm OVPAA-F-INS-055A RAW SC'!AZ$17*100)</f>
        <v/>
      </c>
      <c r="BA27" s="126" t="str">
        <f>IF('Midterm OVPAA-F-INS-055A RAW SC'!BA27="","",'Midterm OVPAA-F-INS-055A RAW SC'!BA27/'Midterm OVPAA-F-INS-055A RAW SC'!BA$17*100)</f>
        <v/>
      </c>
      <c r="BB27" s="126" t="str">
        <f>IF('Midterm OVPAA-F-INS-055A RAW SC'!BB27="","",'Midterm OVPAA-F-INS-055A RAW SC'!BB27/'Midterm OVPAA-F-INS-055A RAW SC'!BB$17*100)</f>
        <v/>
      </c>
      <c r="BC27" s="126" t="str">
        <f>IF('Midterm OVPAA-F-INS-055A RAW SC'!BC27="","",'Midterm OVPAA-F-INS-055A RAW SC'!BC27/'Midterm OVPAA-F-INS-055A RAW SC'!BC$17*100)</f>
        <v/>
      </c>
      <c r="BD27" s="126" t="str">
        <f>IF('Midterm OVPAA-F-INS-055A RAW SC'!BD27="","",'Midterm OVPAA-F-INS-055A RAW SC'!BD27/'Midterm OVPAA-F-INS-055A RAW SC'!BD$17*100)</f>
        <v/>
      </c>
      <c r="BE27" s="126" t="str">
        <f>IF('Midterm OVPAA-F-INS-055A RAW SC'!BE27="","",'Midterm OVPAA-F-INS-055A RAW SC'!BE27/'Midterm OVPAA-F-INS-055A RAW SC'!BE$17*100)</f>
        <v/>
      </c>
      <c r="BF27" s="126" t="str">
        <f>IF('Midterm OVPAA-F-INS-055A RAW SC'!BF27="","",'Midterm OVPAA-F-INS-055A RAW SC'!BF27/'Midterm OVPAA-F-INS-055A RAW SC'!BF$17*100)</f>
        <v/>
      </c>
      <c r="BG27" s="126" t="str">
        <f>IF('Midterm OVPAA-F-INS-055A RAW SC'!BG27="","",'Midterm OVPAA-F-INS-055A RAW SC'!BG27/'Midterm OVPAA-F-INS-055A RAW SC'!BG$17*100)</f>
        <v/>
      </c>
      <c r="BH27" s="126" t="str">
        <f>IF('Midterm OVPAA-F-INS-055A RAW SC'!BH27="","",'Midterm OVPAA-F-INS-055A RAW SC'!BH27/'Midterm OVPAA-F-INS-055A RAW SC'!BH$17*100)</f>
        <v/>
      </c>
      <c r="BI27" s="126" t="str">
        <f>IF('Midterm OVPAA-F-INS-055A RAW SC'!BI27="","",'Midterm OVPAA-F-INS-055A RAW SC'!BI27/'Midterm OVPAA-F-INS-055A RAW SC'!BI$17*100)</f>
        <v/>
      </c>
      <c r="BJ27" s="126" t="str">
        <f>IF('Midterm OVPAA-F-INS-055A RAW SC'!BJ27="","",'Midterm OVPAA-F-INS-055A RAW SC'!BJ27/'Midterm OVPAA-F-INS-055A RAW SC'!BJ$17*100)</f>
        <v/>
      </c>
      <c r="BK27" s="126" t="str">
        <f>IF('Midterm OVPAA-F-INS-055A RAW SC'!BK27="","",'Midterm OVPAA-F-INS-055A RAW SC'!BK27/'Midterm OVPAA-F-INS-055A RAW SC'!BK$17*100)</f>
        <v/>
      </c>
      <c r="BL27" s="126" t="str">
        <f>IF('Midterm OVPAA-F-INS-055A RAW SC'!BL27="","",'Midterm OVPAA-F-INS-055A RAW SC'!BL27/'Midterm OVPAA-F-INS-055A RAW SC'!BL$17*100)</f>
        <v/>
      </c>
      <c r="BM27" s="126" t="str">
        <f>IF('Midterm OVPAA-F-INS-055A RAW SC'!BM27="","",'Midterm OVPAA-F-INS-055A RAW SC'!BM27/'Midterm OVPAA-F-INS-055A RAW SC'!BM$17*100)</f>
        <v/>
      </c>
      <c r="BN27" s="126" t="str">
        <f>IF('Midterm OVPAA-F-INS-055A RAW SC'!BN27="","",'Midterm OVPAA-F-INS-055A RAW SC'!BN27/'Midterm OVPAA-F-INS-055A RAW SC'!BN$17*100)</f>
        <v/>
      </c>
      <c r="BO27" s="126" t="str">
        <f>IF('Midterm OVPAA-F-INS-055A RAW SC'!BO27="","",'Midterm OVPAA-F-INS-055A RAW SC'!BO27/'Midterm OVPAA-F-INS-055A RAW SC'!BO$17*100)</f>
        <v/>
      </c>
      <c r="BP27" s="126" t="str">
        <f>IF('Midterm OVPAA-F-INS-055A RAW SC'!BP27="","",'Midterm OVPAA-F-INS-055A RAW SC'!BP27/'Midterm OVPAA-F-INS-055A RAW SC'!BP$17*100)</f>
        <v/>
      </c>
      <c r="BQ27" s="126" t="str">
        <f>IF('Midterm OVPAA-F-INS-055A RAW SC'!BQ27="","",'Midterm OVPAA-F-INS-055A RAW SC'!BQ27/'Midterm OVPAA-F-INS-055A RAW SC'!BQ$17*100)</f>
        <v/>
      </c>
      <c r="BR27" s="126" t="str">
        <f>IF('Midterm OVPAA-F-INS-055A RAW SC'!BR27="","",'Midterm OVPAA-F-INS-055A RAW SC'!BR27/'Midterm OVPAA-F-INS-055A RAW SC'!BR$17*100)</f>
        <v/>
      </c>
      <c r="BS27" s="126" t="str">
        <f>IF('Midterm OVPAA-F-INS-055A RAW SC'!BS27="","",'Midterm OVPAA-F-INS-055A RAW SC'!BS27/'Midterm OVPAA-F-INS-055A RAW SC'!BS$17*100)</f>
        <v/>
      </c>
      <c r="BT27" s="126" t="str">
        <f>IF('Midterm OVPAA-F-INS-055A RAW SC'!BT27="","",'Midterm OVPAA-F-INS-055A RAW SC'!BT27/'Midterm OVPAA-F-INS-055A RAW SC'!BT$17*100)</f>
        <v/>
      </c>
      <c r="BU27" s="127">
        <f t="array" ref="BU27">IF('Midterm OVPAA-F-INS-055A RAW SC'!$G27="","",IF((SUMPRODUCT(--ISBLANK('Midterm OVPAA-F-INS-055A RAW SC'!H27:BT27))=COLUMNS('Midterm OVPAA-F-INS-055A RAW SC'!H27:BT27))=TRUE,"",(((COUNTA('Midterm OVPAA-F-INS-055A RAW SC'!$H$17:$BT$17)+COUNTBLANK('Midterm OVPAA-F-INS-055A RAW SC'!H27:BT27))-COLUMNS('Midterm OVPAA-F-INS-055A RAW SC'!H27:BT27))*5+SUM(H27:BT27))/COUNTA('Midterm OVPAA-F-INS-055A RAW SC'!$H$17:$BT$17)))</f>
        <v>70.666666666666671</v>
      </c>
      <c r="BV27" s="128">
        <f>IF(BU27="","",VLOOKUP(BU27,IF('Midterm OVPAA-F-INS-055A RAW SC'!$V$12=0.5,TRANSMUTATION!$C$4:$D$17,TRANSMUTATION!$G$4:$H$17),2,TRUE))</f>
        <v>2.25</v>
      </c>
      <c r="BW27" s="129">
        <f>IF('Midterm OVPAA-F-INS-055A RAW SC'!BU27="","",'Midterm OVPAA-F-INS-055A RAW SC'!BU27/'Midterm OVPAA-F-INS-055A RAW SC'!BU$17*100)</f>
        <v>72</v>
      </c>
      <c r="BX27" s="130">
        <f>IF('Midterm OVPAA-F-INS-055A RAW SC'!BV27="","",'Midterm OVPAA-F-INS-055A RAW SC'!BV27/'Midterm OVPAA-F-INS-055A RAW SC'!BV$17*100)</f>
        <v>100</v>
      </c>
      <c r="BY27" s="130">
        <f>IF('Midterm OVPAA-F-INS-055A RAW SC'!BW27="","",'Midterm OVPAA-F-INS-055A RAW SC'!BW27/'Midterm OVPAA-F-INS-055A RAW SC'!BW$17*100)</f>
        <v>80</v>
      </c>
      <c r="BZ27" s="130" t="str">
        <f>IF('Midterm OVPAA-F-INS-055A RAW SC'!BX27="","",'Midterm OVPAA-F-INS-055A RAW SC'!BX27/'Midterm OVPAA-F-INS-055A RAW SC'!BX$17*100)</f>
        <v/>
      </c>
      <c r="CA27" s="130" t="str">
        <f>IF('Midterm OVPAA-F-INS-055A RAW SC'!BY27="","",'Midterm OVPAA-F-INS-055A RAW SC'!BY27/'Midterm OVPAA-F-INS-055A RAW SC'!BY$17*100)</f>
        <v/>
      </c>
      <c r="CB27" s="130" t="str">
        <f>IF('Midterm OVPAA-F-INS-055A RAW SC'!BZ27="","",'Midterm OVPAA-F-INS-055A RAW SC'!BZ27/'Midterm OVPAA-F-INS-055A RAW SC'!BZ$17*100)</f>
        <v/>
      </c>
      <c r="CC27" s="130" t="str">
        <f>IF('Midterm OVPAA-F-INS-055A RAW SC'!CA27="","",'Midterm OVPAA-F-INS-055A RAW SC'!CA27/'Midterm OVPAA-F-INS-055A RAW SC'!CA$17*100)</f>
        <v/>
      </c>
      <c r="CD27" s="130" t="str">
        <f>IF('Midterm OVPAA-F-INS-055A RAW SC'!CB27="","",'Midterm OVPAA-F-INS-055A RAW SC'!CB27/'Midterm OVPAA-F-INS-055A RAW SC'!CB$17*100)</f>
        <v/>
      </c>
      <c r="CE27" s="130" t="str">
        <f>IF('Midterm OVPAA-F-INS-055A RAW SC'!CC27="","",'Midterm OVPAA-F-INS-055A RAW SC'!CC27/'Midterm OVPAA-F-INS-055A RAW SC'!CC$17*100)</f>
        <v/>
      </c>
      <c r="CF27" s="130" t="str">
        <f>IF('Midterm OVPAA-F-INS-055A RAW SC'!CD27="","",'Midterm OVPAA-F-INS-055A RAW SC'!CD27/'Midterm OVPAA-F-INS-055A RAW SC'!CD$17*100)</f>
        <v/>
      </c>
      <c r="CG27" s="130" t="str">
        <f>IF('Midterm OVPAA-F-INS-055A RAW SC'!CE27="","",'Midterm OVPAA-F-INS-055A RAW SC'!CE27/'Midterm OVPAA-F-INS-055A RAW SC'!CE$17*100)</f>
        <v/>
      </c>
      <c r="CH27" s="130" t="str">
        <f>IF('Midterm OVPAA-F-INS-055A RAW SC'!CF27="","",'Midterm OVPAA-F-INS-055A RAW SC'!CF27/'Midterm OVPAA-F-INS-055A RAW SC'!CF$17*100)</f>
        <v/>
      </c>
      <c r="CI27" s="130" t="str">
        <f>IF('Midterm OVPAA-F-INS-055A RAW SC'!CG27="","",'Midterm OVPAA-F-INS-055A RAW SC'!CG27/'Midterm OVPAA-F-INS-055A RAW SC'!CG$17*100)</f>
        <v/>
      </c>
      <c r="CJ27" s="130" t="str">
        <f>IF('Midterm OVPAA-F-INS-055A RAW SC'!CH27="","",'Midterm OVPAA-F-INS-055A RAW SC'!CH27/'Midterm OVPAA-F-INS-055A RAW SC'!CH$17*100)</f>
        <v/>
      </c>
      <c r="CK27" s="130" t="str">
        <f>IF('Midterm OVPAA-F-INS-055A RAW SC'!CI27="","",'Midterm OVPAA-F-INS-055A RAW SC'!CI27/'Midterm OVPAA-F-INS-055A RAW SC'!CI$17*100)</f>
        <v/>
      </c>
      <c r="CL27" s="130" t="str">
        <f>IF('Midterm OVPAA-F-INS-055A RAW SC'!CJ27="","",'Midterm OVPAA-F-INS-055A RAW SC'!CJ27/'Midterm OVPAA-F-INS-055A RAW SC'!CJ$17*100)</f>
        <v/>
      </c>
      <c r="CM27" s="130" t="str">
        <f>IF('Midterm OVPAA-F-INS-055A RAW SC'!CK27="","",'Midterm OVPAA-F-INS-055A RAW SC'!CK27/'Midterm OVPAA-F-INS-055A RAW SC'!CK$17*100)</f>
        <v/>
      </c>
      <c r="CN27" s="130" t="str">
        <f>IF('Midterm OVPAA-F-INS-055A RAW SC'!CL27="","",'Midterm OVPAA-F-INS-055A RAW SC'!CL27/'Midterm OVPAA-F-INS-055A RAW SC'!CL$17*100)</f>
        <v/>
      </c>
      <c r="CO27" s="130" t="str">
        <f>IF('Midterm OVPAA-F-INS-055A RAW SC'!CM27="","",'Midterm OVPAA-F-INS-055A RAW SC'!CM27/'Midterm OVPAA-F-INS-055A RAW SC'!CM$17*100)</f>
        <v/>
      </c>
      <c r="CP27" s="130" t="str">
        <f>IF('Midterm OVPAA-F-INS-055A RAW SC'!CN27="","",'Midterm OVPAA-F-INS-055A RAW SC'!CN27/'Midterm OVPAA-F-INS-055A RAW SC'!CN$17*100)</f>
        <v/>
      </c>
      <c r="CQ27" s="131">
        <f t="array" ref="CQ27">IF('Midterm OVPAA-F-INS-055A RAW SC'!G27="","",IF((SUMPRODUCT(--ISBLANK('Midterm OVPAA-F-INS-055A RAW SC'!BU27:CN27))=COLUMNS('Midterm OVPAA-F-INS-055A RAW SC'!BU27:CN27))=TRUE,"",(((COUNTA('Midterm OVPAA-F-INS-055A RAW SC'!$BU$17:$CN$17)+COUNTBLANK('Midterm OVPAA-F-INS-055A RAW SC'!BU27:CN27))-COLUMNS('Midterm OVPAA-F-INS-055A RAW SC'!BU27:CN27))*5+SUM(BW27:CP27))/COUNTA('Midterm OVPAA-F-INS-055A RAW SC'!$BU$17:$CN$17)))</f>
        <v>84</v>
      </c>
      <c r="CR27" s="132">
        <f>IF(CQ27="","",VLOOKUP(CQ27,IF('Midterm OVPAA-F-INS-055A RAW SC'!$V$12=0.5,TRANSMUTATION!$C$4:$D$17,TRANSMUTATION!$G$4:$H$17),2,TRUE))</f>
        <v>1.75</v>
      </c>
      <c r="CS27" s="133">
        <f>IF('Midterm OVPAA-F-INS-055A RAW SC'!CO27="","",'Midterm OVPAA-F-INS-055A RAW SC'!CO27/'Midterm OVPAA-F-INS-055A RAW SC'!CO$17*100)</f>
        <v>72</v>
      </c>
      <c r="CT27" s="133">
        <f>IF('Midterm OVPAA-F-INS-055A RAW SC'!CP27="","",'Midterm OVPAA-F-INS-055A RAW SC'!CP27/'Midterm OVPAA-F-INS-055A RAW SC'!CP$17*100)</f>
        <v>66</v>
      </c>
      <c r="CU27" s="133" t="str">
        <f>IF('Midterm OVPAA-F-INS-055A RAW SC'!CQ27="","",'Midterm OVPAA-F-INS-055A RAW SC'!CQ27/'Midterm OVPAA-F-INS-055A RAW SC'!CQ$17*100)</f>
        <v/>
      </c>
      <c r="CV27" s="133" t="str">
        <f>IF('Midterm OVPAA-F-INS-055A RAW SC'!CR27="","",'Midterm OVPAA-F-INS-055A RAW SC'!CR27/'Midterm OVPAA-F-INS-055A RAW SC'!CR$17*100)</f>
        <v/>
      </c>
      <c r="CW27" s="133" t="str">
        <f>IF('Midterm OVPAA-F-INS-055A RAW SC'!CS27="","",'Midterm OVPAA-F-INS-055A RAW SC'!CS27/'Midterm OVPAA-F-INS-055A RAW SC'!CS$17*100)</f>
        <v/>
      </c>
      <c r="CX27" s="133" t="str">
        <f>IF('Midterm OVPAA-F-INS-055A RAW SC'!CT27="","",'Midterm OVPAA-F-INS-055A RAW SC'!CT27/'Midterm OVPAA-F-INS-055A RAW SC'!CT$17*100)</f>
        <v/>
      </c>
      <c r="CY27" s="133" t="str">
        <f>IF('Midterm OVPAA-F-INS-055A RAW SC'!CU27="","",'Midterm OVPAA-F-INS-055A RAW SC'!CU27/'Midterm OVPAA-F-INS-055A RAW SC'!CU$17*100)</f>
        <v/>
      </c>
      <c r="CZ27" s="133" t="str">
        <f>IF('Midterm OVPAA-F-INS-055A RAW SC'!CV27="","",'Midterm OVPAA-F-INS-055A RAW SC'!CV27/'Midterm OVPAA-F-INS-055A RAW SC'!CV$17*100)</f>
        <v/>
      </c>
      <c r="DA27" s="133" t="str">
        <f>IF('Midterm OVPAA-F-INS-055A RAW SC'!CW27="","",'Midterm OVPAA-F-INS-055A RAW SC'!CW27/'Midterm OVPAA-F-INS-055A RAW SC'!CW$17*100)</f>
        <v/>
      </c>
      <c r="DB27" s="133" t="str">
        <f>IF('Midterm OVPAA-F-INS-055A RAW SC'!CX27="","",'Midterm OVPAA-F-INS-055A RAW SC'!CX27/'Midterm OVPAA-F-INS-055A RAW SC'!CX$17*100)</f>
        <v/>
      </c>
      <c r="DC27" s="134">
        <f t="array" ref="DC27">IF('Midterm OVPAA-F-INS-055A RAW SC'!$G27="","",IF((SUMPRODUCT(--ISBLANK('Midterm OVPAA-F-INS-055A RAW SC'!CO27:CX27))=COLUMNS('Midterm OVPAA-F-INS-055A RAW SC'!CO27:CX27))=TRUE,"",(((COUNTA('Midterm OVPAA-F-INS-055A RAW SC'!$CO$17:$CX$17)+COUNTBLANK('Midterm OVPAA-F-INS-055A RAW SC'!CO27:CX27))-COLUMNS('Midterm OVPAA-F-INS-055A RAW SC'!CO27:CX27))*5+SUM(CS27:DB27))/COUNTA('Midterm OVPAA-F-INS-055A RAW SC'!$CO$17:$CX$17)))</f>
        <v>69</v>
      </c>
      <c r="DD27" s="135">
        <f>IF(DC27="","",VLOOKUP(DC27,IF('Midterm OVPAA-F-INS-055A RAW SC'!$V$12=0.5,TRANSMUTATION!$C$4:$D$17,TRANSMUTATION!$G$4:$H$17),2,TRUE))</f>
        <v>2.25</v>
      </c>
      <c r="DE27" s="136">
        <f t="shared" si="1"/>
        <v>0.67499999999999993</v>
      </c>
      <c r="DF27" s="137">
        <f t="shared" si="2"/>
        <v>0.52500000000000002</v>
      </c>
      <c r="DG27" s="138">
        <f t="shared" si="3"/>
        <v>0.9</v>
      </c>
      <c r="DH27" s="136">
        <f t="shared" si="4"/>
        <v>2.1</v>
      </c>
      <c r="DI27" s="123" t="str">
        <f t="shared" si="5"/>
        <v>2.00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IF('Midterm OVPAA-F-INS-055A RAW SC'!H28="","",'Midterm OVPAA-F-INS-055A RAW SC'!H28/'Midterm OVPAA-F-INS-055A RAW SC'!H$17*100)</f>
        <v>72</v>
      </c>
      <c r="I28" s="126">
        <f>IF('Midterm OVPAA-F-INS-055A RAW SC'!I28="","",'Midterm OVPAA-F-INS-055A RAW SC'!I28/'Midterm OVPAA-F-INS-055A RAW SC'!I$17*100)</f>
        <v>60</v>
      </c>
      <c r="J28" s="126">
        <f>IF('Midterm OVPAA-F-INS-055A RAW SC'!J28="","",'Midterm OVPAA-F-INS-055A RAW SC'!J28/'Midterm OVPAA-F-INS-055A RAW SC'!J$17*100)</f>
        <v>100</v>
      </c>
      <c r="K28" s="126" t="str">
        <f>IF('Midterm OVPAA-F-INS-055A RAW SC'!K28="","",'Midterm OVPAA-F-INS-055A RAW SC'!K28/'Midterm OVPAA-F-INS-055A RAW SC'!K$17*100)</f>
        <v/>
      </c>
      <c r="L28" s="126" t="str">
        <f>IF('Midterm OVPAA-F-INS-055A RAW SC'!L28="","",'Midterm OVPAA-F-INS-055A RAW SC'!L28/'Midterm OVPAA-F-INS-055A RAW SC'!L$17*100)</f>
        <v/>
      </c>
      <c r="M28" s="126" t="str">
        <f>IF('Midterm OVPAA-F-INS-055A RAW SC'!M28="","",'Midterm OVPAA-F-INS-055A RAW SC'!M28/'Midterm OVPAA-F-INS-055A RAW SC'!M$17*100)</f>
        <v/>
      </c>
      <c r="N28" s="126" t="str">
        <f>IF('Midterm OVPAA-F-INS-055A RAW SC'!N28="","",'Midterm OVPAA-F-INS-055A RAW SC'!N28/'Midterm OVPAA-F-INS-055A RAW SC'!N$17*100)</f>
        <v/>
      </c>
      <c r="O28" s="126" t="str">
        <f>IF('Midterm OVPAA-F-INS-055A RAW SC'!O28="","",'Midterm OVPAA-F-INS-055A RAW SC'!O28/'Midterm OVPAA-F-INS-055A RAW SC'!O$17*100)</f>
        <v/>
      </c>
      <c r="P28" s="126" t="str">
        <f>IF('Midterm OVPAA-F-INS-055A RAW SC'!P28="","",'Midterm OVPAA-F-INS-055A RAW SC'!P28/'Midterm OVPAA-F-INS-055A RAW SC'!P$17*100)</f>
        <v/>
      </c>
      <c r="Q28" s="126" t="str">
        <f>IF('Midterm OVPAA-F-INS-055A RAW SC'!Q28="","",'Midterm OVPAA-F-INS-055A RAW SC'!Q28/'Midterm OVPAA-F-INS-055A RAW SC'!Q$17*100)</f>
        <v/>
      </c>
      <c r="R28" s="126" t="str">
        <f>IF('Midterm OVPAA-F-INS-055A RAW SC'!R28="","",'Midterm OVPAA-F-INS-055A RAW SC'!R28/'Midterm OVPAA-F-INS-055A RAW SC'!R$17*100)</f>
        <v/>
      </c>
      <c r="S28" s="126" t="str">
        <f>IF('Midterm OVPAA-F-INS-055A RAW SC'!S28="","",'Midterm OVPAA-F-INS-055A RAW SC'!S28/'Midterm OVPAA-F-INS-055A RAW SC'!S$17*100)</f>
        <v/>
      </c>
      <c r="T28" s="126" t="str">
        <f>IF('Midterm OVPAA-F-INS-055A RAW SC'!T28="","",'Midterm OVPAA-F-INS-055A RAW SC'!T28/'Midterm OVPAA-F-INS-055A RAW SC'!T$17*100)</f>
        <v/>
      </c>
      <c r="U28" s="126" t="str">
        <f>IF('Midterm OVPAA-F-INS-055A RAW SC'!U28="","",'Midterm OVPAA-F-INS-055A RAW SC'!U28/'Midterm OVPAA-F-INS-055A RAW SC'!U$17*100)</f>
        <v/>
      </c>
      <c r="V28" s="126" t="str">
        <f>IF('Midterm OVPAA-F-INS-055A RAW SC'!V28="","",'Midterm OVPAA-F-INS-055A RAW SC'!V28/'Midterm OVPAA-F-INS-055A RAW SC'!V$17*100)</f>
        <v/>
      </c>
      <c r="W28" s="126" t="str">
        <f>IF('Midterm OVPAA-F-INS-055A RAW SC'!W28="","",'Midterm OVPAA-F-INS-055A RAW SC'!W28/'Midterm OVPAA-F-INS-055A RAW SC'!W$17*100)</f>
        <v/>
      </c>
      <c r="X28" s="126" t="str">
        <f>IF('Midterm OVPAA-F-INS-055A RAW SC'!X28="","",'Midterm OVPAA-F-INS-055A RAW SC'!X28/'Midterm OVPAA-F-INS-055A RAW SC'!X$17*100)</f>
        <v/>
      </c>
      <c r="Y28" s="126" t="str">
        <f>IF('Midterm OVPAA-F-INS-055A RAW SC'!Y28="","",'Midterm OVPAA-F-INS-055A RAW SC'!Y28/'Midterm OVPAA-F-INS-055A RAW SC'!Y$17*100)</f>
        <v/>
      </c>
      <c r="Z28" s="126" t="str">
        <f>IF('Midterm OVPAA-F-INS-055A RAW SC'!Z28="","",'Midterm OVPAA-F-INS-055A RAW SC'!Z28/'Midterm OVPAA-F-INS-055A RAW SC'!Z$17*100)</f>
        <v/>
      </c>
      <c r="AA28" s="126" t="str">
        <f>IF('Midterm OVPAA-F-INS-055A RAW SC'!AA28="","",'Midterm OVPAA-F-INS-055A RAW SC'!AA28/'Midterm OVPAA-F-INS-055A RAW SC'!AA$17*100)</f>
        <v/>
      </c>
      <c r="AB28" s="126" t="str">
        <f>IF('Midterm OVPAA-F-INS-055A RAW SC'!AB28="","",'Midterm OVPAA-F-INS-055A RAW SC'!AB28/'Midterm OVPAA-F-INS-055A RAW SC'!AB$17*100)</f>
        <v/>
      </c>
      <c r="AC28" s="126" t="str">
        <f>IF('Midterm OVPAA-F-INS-055A RAW SC'!AC28="","",'Midterm OVPAA-F-INS-055A RAW SC'!AC28/'Midterm OVPAA-F-INS-055A RAW SC'!AC$17*100)</f>
        <v/>
      </c>
      <c r="AD28" s="126" t="str">
        <f>IF('Midterm OVPAA-F-INS-055A RAW SC'!AD28="","",'Midterm OVPAA-F-INS-055A RAW SC'!AD28/'Midterm OVPAA-F-INS-055A RAW SC'!AD$17*100)</f>
        <v/>
      </c>
      <c r="AE28" s="126" t="str">
        <f>IF('Midterm OVPAA-F-INS-055A RAW SC'!AE28="","",'Midterm OVPAA-F-INS-055A RAW SC'!AE28/'Midterm OVPAA-F-INS-055A RAW SC'!AE$17*100)</f>
        <v/>
      </c>
      <c r="AF28" s="126" t="str">
        <f>IF('Midterm OVPAA-F-INS-055A RAW SC'!AF28="","",'Midterm OVPAA-F-INS-055A RAW SC'!AF28/'Midterm OVPAA-F-INS-055A RAW SC'!AF$17*100)</f>
        <v/>
      </c>
      <c r="AG28" s="126" t="str">
        <f>IF('Midterm OVPAA-F-INS-055A RAW SC'!AG28="","",'Midterm OVPAA-F-INS-055A RAW SC'!AG28/'Midterm OVPAA-F-INS-055A RAW SC'!AG$17*100)</f>
        <v/>
      </c>
      <c r="AH28" s="126" t="str">
        <f>IF('Midterm OVPAA-F-INS-055A RAW SC'!AH28="","",'Midterm OVPAA-F-INS-055A RAW SC'!AH28/'Midterm OVPAA-F-INS-055A RAW SC'!AH$17*100)</f>
        <v/>
      </c>
      <c r="AI28" s="126" t="str">
        <f>IF('Midterm OVPAA-F-INS-055A RAW SC'!AI28="","",'Midterm OVPAA-F-INS-055A RAW SC'!AI28/'Midterm OVPAA-F-INS-055A RAW SC'!AI$17*100)</f>
        <v/>
      </c>
      <c r="AJ28" s="126" t="str">
        <f>IF('Midterm OVPAA-F-INS-055A RAW SC'!AJ28="","",'Midterm OVPAA-F-INS-055A RAW SC'!AJ28/'Midterm OVPAA-F-INS-055A RAW SC'!AJ$17*100)</f>
        <v/>
      </c>
      <c r="AK28" s="126" t="str">
        <f>IF('Midterm OVPAA-F-INS-055A RAW SC'!AK28="","",'Midterm OVPAA-F-INS-055A RAW SC'!AK28/'Midterm OVPAA-F-INS-055A RAW SC'!AK$17*100)</f>
        <v/>
      </c>
      <c r="AL28" s="126" t="str">
        <f>IF('Midterm OVPAA-F-INS-055A RAW SC'!AL28="","",'Midterm OVPAA-F-INS-055A RAW SC'!AL28/'Midterm OVPAA-F-INS-055A RAW SC'!AL$17*100)</f>
        <v/>
      </c>
      <c r="AM28" s="126" t="str">
        <f>IF('Midterm OVPAA-F-INS-055A RAW SC'!AM28="","",'Midterm OVPAA-F-INS-055A RAW SC'!AM28/'Midterm OVPAA-F-INS-055A RAW SC'!AM$17*100)</f>
        <v/>
      </c>
      <c r="AN28" s="126" t="str">
        <f>IF('Midterm OVPAA-F-INS-055A RAW SC'!AN28="","",'Midterm OVPAA-F-INS-055A RAW SC'!AN28/'Midterm OVPAA-F-INS-055A RAW SC'!AN$17*100)</f>
        <v/>
      </c>
      <c r="AO28" s="126" t="str">
        <f>IF('Midterm OVPAA-F-INS-055A RAW SC'!AO28="","",'Midterm OVPAA-F-INS-055A RAW SC'!AO28/'Midterm OVPAA-F-INS-055A RAW SC'!AO$17*100)</f>
        <v/>
      </c>
      <c r="AP28" s="126" t="str">
        <f>IF('Midterm OVPAA-F-INS-055A RAW SC'!AP28="","",'Midterm OVPAA-F-INS-055A RAW SC'!AP28/'Midterm OVPAA-F-INS-055A RAW SC'!AP$17*100)</f>
        <v/>
      </c>
      <c r="AQ28" s="126" t="str">
        <f>IF('Midterm OVPAA-F-INS-055A RAW SC'!AQ28="","",'Midterm OVPAA-F-INS-055A RAW SC'!AQ28/'Midterm OVPAA-F-INS-055A RAW SC'!AQ$17*100)</f>
        <v/>
      </c>
      <c r="AR28" s="126" t="str">
        <f>IF('Midterm OVPAA-F-INS-055A RAW SC'!AR28="","",'Midterm OVPAA-F-INS-055A RAW SC'!AR28/'Midterm OVPAA-F-INS-055A RAW SC'!AR$17*100)</f>
        <v/>
      </c>
      <c r="AS28" s="126" t="str">
        <f>IF('Midterm OVPAA-F-INS-055A RAW SC'!AS28="","",'Midterm OVPAA-F-INS-055A RAW SC'!AS28/'Midterm OVPAA-F-INS-055A RAW SC'!AS$17*100)</f>
        <v/>
      </c>
      <c r="AT28" s="126" t="str">
        <f>IF('Midterm OVPAA-F-INS-055A RAW SC'!AT28="","",'Midterm OVPAA-F-INS-055A RAW SC'!AT28/'Midterm OVPAA-F-INS-055A RAW SC'!AT$17*100)</f>
        <v/>
      </c>
      <c r="AU28" s="126" t="str">
        <f>IF('Midterm OVPAA-F-INS-055A RAW SC'!AU28="","",'Midterm OVPAA-F-INS-055A RAW SC'!AU28/'Midterm OVPAA-F-INS-055A RAW SC'!AU$17*100)</f>
        <v/>
      </c>
      <c r="AV28" s="126" t="str">
        <f>IF('Midterm OVPAA-F-INS-055A RAW SC'!AV28="","",'Midterm OVPAA-F-INS-055A RAW SC'!AV28/'Midterm OVPAA-F-INS-055A RAW SC'!AV$17*100)</f>
        <v/>
      </c>
      <c r="AW28" s="126" t="str">
        <f>IF('Midterm OVPAA-F-INS-055A RAW SC'!AW28="","",'Midterm OVPAA-F-INS-055A RAW SC'!AW28/'Midterm OVPAA-F-INS-055A RAW SC'!AW$17*100)</f>
        <v/>
      </c>
      <c r="AX28" s="126" t="str">
        <f>IF('Midterm OVPAA-F-INS-055A RAW SC'!AX28="","",'Midterm OVPAA-F-INS-055A RAW SC'!AX28/'Midterm OVPAA-F-INS-055A RAW SC'!AX$17*100)</f>
        <v/>
      </c>
      <c r="AY28" s="126" t="str">
        <f>IF('Midterm OVPAA-F-INS-055A RAW SC'!AY28="","",'Midterm OVPAA-F-INS-055A RAW SC'!AY28/'Midterm OVPAA-F-INS-055A RAW SC'!AY$17*100)</f>
        <v/>
      </c>
      <c r="AZ28" s="126" t="str">
        <f>IF('Midterm OVPAA-F-INS-055A RAW SC'!AZ28="","",'Midterm OVPAA-F-INS-055A RAW SC'!AZ28/'Midterm OVPAA-F-INS-055A RAW SC'!AZ$17*100)</f>
        <v/>
      </c>
      <c r="BA28" s="126" t="str">
        <f>IF('Midterm OVPAA-F-INS-055A RAW SC'!BA28="","",'Midterm OVPAA-F-INS-055A RAW SC'!BA28/'Midterm OVPAA-F-INS-055A RAW SC'!BA$17*100)</f>
        <v/>
      </c>
      <c r="BB28" s="126" t="str">
        <f>IF('Midterm OVPAA-F-INS-055A RAW SC'!BB28="","",'Midterm OVPAA-F-INS-055A RAW SC'!BB28/'Midterm OVPAA-F-INS-055A RAW SC'!BB$17*100)</f>
        <v/>
      </c>
      <c r="BC28" s="126" t="str">
        <f>IF('Midterm OVPAA-F-INS-055A RAW SC'!BC28="","",'Midterm OVPAA-F-INS-055A RAW SC'!BC28/'Midterm OVPAA-F-INS-055A RAW SC'!BC$17*100)</f>
        <v/>
      </c>
      <c r="BD28" s="126" t="str">
        <f>IF('Midterm OVPAA-F-INS-055A RAW SC'!BD28="","",'Midterm OVPAA-F-INS-055A RAW SC'!BD28/'Midterm OVPAA-F-INS-055A RAW SC'!BD$17*100)</f>
        <v/>
      </c>
      <c r="BE28" s="126" t="str">
        <f>IF('Midterm OVPAA-F-INS-055A RAW SC'!BE28="","",'Midterm OVPAA-F-INS-055A RAW SC'!BE28/'Midterm OVPAA-F-INS-055A RAW SC'!BE$17*100)</f>
        <v/>
      </c>
      <c r="BF28" s="126" t="str">
        <f>IF('Midterm OVPAA-F-INS-055A RAW SC'!BF28="","",'Midterm OVPAA-F-INS-055A RAW SC'!BF28/'Midterm OVPAA-F-INS-055A RAW SC'!BF$17*100)</f>
        <v/>
      </c>
      <c r="BG28" s="126" t="str">
        <f>IF('Midterm OVPAA-F-INS-055A RAW SC'!BG28="","",'Midterm OVPAA-F-INS-055A RAW SC'!BG28/'Midterm OVPAA-F-INS-055A RAW SC'!BG$17*100)</f>
        <v/>
      </c>
      <c r="BH28" s="126" t="str">
        <f>IF('Midterm OVPAA-F-INS-055A RAW SC'!BH28="","",'Midterm OVPAA-F-INS-055A RAW SC'!BH28/'Midterm OVPAA-F-INS-055A RAW SC'!BH$17*100)</f>
        <v/>
      </c>
      <c r="BI28" s="126" t="str">
        <f>IF('Midterm OVPAA-F-INS-055A RAW SC'!BI28="","",'Midterm OVPAA-F-INS-055A RAW SC'!BI28/'Midterm OVPAA-F-INS-055A RAW SC'!BI$17*100)</f>
        <v/>
      </c>
      <c r="BJ28" s="126" t="str">
        <f>IF('Midterm OVPAA-F-INS-055A RAW SC'!BJ28="","",'Midterm OVPAA-F-INS-055A RAW SC'!BJ28/'Midterm OVPAA-F-INS-055A RAW SC'!BJ$17*100)</f>
        <v/>
      </c>
      <c r="BK28" s="126" t="str">
        <f>IF('Midterm OVPAA-F-INS-055A RAW SC'!BK28="","",'Midterm OVPAA-F-INS-055A RAW SC'!BK28/'Midterm OVPAA-F-INS-055A RAW SC'!BK$17*100)</f>
        <v/>
      </c>
      <c r="BL28" s="126" t="str">
        <f>IF('Midterm OVPAA-F-INS-055A RAW SC'!BL28="","",'Midterm OVPAA-F-INS-055A RAW SC'!BL28/'Midterm OVPAA-F-INS-055A RAW SC'!BL$17*100)</f>
        <v/>
      </c>
      <c r="BM28" s="126" t="str">
        <f>IF('Midterm OVPAA-F-INS-055A RAW SC'!BM28="","",'Midterm OVPAA-F-INS-055A RAW SC'!BM28/'Midterm OVPAA-F-INS-055A RAW SC'!BM$17*100)</f>
        <v/>
      </c>
      <c r="BN28" s="126" t="str">
        <f>IF('Midterm OVPAA-F-INS-055A RAW SC'!BN28="","",'Midterm OVPAA-F-INS-055A RAW SC'!BN28/'Midterm OVPAA-F-INS-055A RAW SC'!BN$17*100)</f>
        <v/>
      </c>
      <c r="BO28" s="126" t="str">
        <f>IF('Midterm OVPAA-F-INS-055A RAW SC'!BO28="","",'Midterm OVPAA-F-INS-055A RAW SC'!BO28/'Midterm OVPAA-F-INS-055A RAW SC'!BO$17*100)</f>
        <v/>
      </c>
      <c r="BP28" s="126" t="str">
        <f>IF('Midterm OVPAA-F-INS-055A RAW SC'!BP28="","",'Midterm OVPAA-F-INS-055A RAW SC'!BP28/'Midterm OVPAA-F-INS-055A RAW SC'!BP$17*100)</f>
        <v/>
      </c>
      <c r="BQ28" s="126" t="str">
        <f>IF('Midterm OVPAA-F-INS-055A RAW SC'!BQ28="","",'Midterm OVPAA-F-INS-055A RAW SC'!BQ28/'Midterm OVPAA-F-INS-055A RAW SC'!BQ$17*100)</f>
        <v/>
      </c>
      <c r="BR28" s="126" t="str">
        <f>IF('Midterm OVPAA-F-INS-055A RAW SC'!BR28="","",'Midterm OVPAA-F-INS-055A RAW SC'!BR28/'Midterm OVPAA-F-INS-055A RAW SC'!BR$17*100)</f>
        <v/>
      </c>
      <c r="BS28" s="126" t="str">
        <f>IF('Midterm OVPAA-F-INS-055A RAW SC'!BS28="","",'Midterm OVPAA-F-INS-055A RAW SC'!BS28/'Midterm OVPAA-F-INS-055A RAW SC'!BS$17*100)</f>
        <v/>
      </c>
      <c r="BT28" s="126" t="str">
        <f>IF('Midterm OVPAA-F-INS-055A RAW SC'!BT28="","",'Midterm OVPAA-F-INS-055A RAW SC'!BT28/'Midterm OVPAA-F-INS-055A RAW SC'!BT$17*100)</f>
        <v/>
      </c>
      <c r="BU28" s="127">
        <f t="array" ref="BU28">IF('Midterm OVPAA-F-INS-055A RAW SC'!$G28="","",IF((SUMPRODUCT(--ISBLANK('Midterm OVPAA-F-INS-055A RAW SC'!H28:BT28))=COLUMNS('Midterm OVPAA-F-INS-055A RAW SC'!H28:BT28))=TRUE,"",(((COUNTA('Midterm OVPAA-F-INS-055A RAW SC'!$H$17:$BT$17)+COUNTBLANK('Midterm OVPAA-F-INS-055A RAW SC'!H28:BT28))-COLUMNS('Midterm OVPAA-F-INS-055A RAW SC'!H28:BT28))*5+SUM(H28:BT28))/COUNTA('Midterm OVPAA-F-INS-055A RAW SC'!$H$17:$BT$17)))</f>
        <v>77.333333333333329</v>
      </c>
      <c r="BV28" s="128">
        <f>IF(BU28="","",VLOOKUP(BU28,IF('Midterm OVPAA-F-INS-055A RAW SC'!$V$12=0.5,TRANSMUTATION!$C$4:$D$17,TRANSMUTATION!$G$4:$H$17),2,TRUE))</f>
        <v>2</v>
      </c>
      <c r="BW28" s="129">
        <f>IF('Midterm OVPAA-F-INS-055A RAW SC'!BU28="","",'Midterm OVPAA-F-INS-055A RAW SC'!BU28/'Midterm OVPAA-F-INS-055A RAW SC'!BU$17*100)</f>
        <v>72</v>
      </c>
      <c r="BX28" s="130">
        <f>IF('Midterm OVPAA-F-INS-055A RAW SC'!BV28="","",'Midterm OVPAA-F-INS-055A RAW SC'!BV28/'Midterm OVPAA-F-INS-055A RAW SC'!BV$17*100)</f>
        <v>100</v>
      </c>
      <c r="BY28" s="130">
        <f>IF('Midterm OVPAA-F-INS-055A RAW SC'!BW28="","",'Midterm OVPAA-F-INS-055A RAW SC'!BW28/'Midterm OVPAA-F-INS-055A RAW SC'!BW$17*100)</f>
        <v>75</v>
      </c>
      <c r="BZ28" s="130" t="str">
        <f>IF('Midterm OVPAA-F-INS-055A RAW SC'!BX28="","",'Midterm OVPAA-F-INS-055A RAW SC'!BX28/'Midterm OVPAA-F-INS-055A RAW SC'!BX$17*100)</f>
        <v/>
      </c>
      <c r="CA28" s="130" t="str">
        <f>IF('Midterm OVPAA-F-INS-055A RAW SC'!BY28="","",'Midterm OVPAA-F-INS-055A RAW SC'!BY28/'Midterm OVPAA-F-INS-055A RAW SC'!BY$17*100)</f>
        <v/>
      </c>
      <c r="CB28" s="130" t="str">
        <f>IF('Midterm OVPAA-F-INS-055A RAW SC'!BZ28="","",'Midterm OVPAA-F-INS-055A RAW SC'!BZ28/'Midterm OVPAA-F-INS-055A RAW SC'!BZ$17*100)</f>
        <v/>
      </c>
      <c r="CC28" s="130" t="str">
        <f>IF('Midterm OVPAA-F-INS-055A RAW SC'!CA28="","",'Midterm OVPAA-F-INS-055A RAW SC'!CA28/'Midterm OVPAA-F-INS-055A RAW SC'!CA$17*100)</f>
        <v/>
      </c>
      <c r="CD28" s="130" t="str">
        <f>IF('Midterm OVPAA-F-INS-055A RAW SC'!CB28="","",'Midterm OVPAA-F-INS-055A RAW SC'!CB28/'Midterm OVPAA-F-INS-055A RAW SC'!CB$17*100)</f>
        <v/>
      </c>
      <c r="CE28" s="130" t="str">
        <f>IF('Midterm OVPAA-F-INS-055A RAW SC'!CC28="","",'Midterm OVPAA-F-INS-055A RAW SC'!CC28/'Midterm OVPAA-F-INS-055A RAW SC'!CC$17*100)</f>
        <v/>
      </c>
      <c r="CF28" s="130" t="str">
        <f>IF('Midterm OVPAA-F-INS-055A RAW SC'!CD28="","",'Midterm OVPAA-F-INS-055A RAW SC'!CD28/'Midterm OVPAA-F-INS-055A RAW SC'!CD$17*100)</f>
        <v/>
      </c>
      <c r="CG28" s="130" t="str">
        <f>IF('Midterm OVPAA-F-INS-055A RAW SC'!CE28="","",'Midterm OVPAA-F-INS-055A RAW SC'!CE28/'Midterm OVPAA-F-INS-055A RAW SC'!CE$17*100)</f>
        <v/>
      </c>
      <c r="CH28" s="130" t="str">
        <f>IF('Midterm OVPAA-F-INS-055A RAW SC'!CF28="","",'Midterm OVPAA-F-INS-055A RAW SC'!CF28/'Midterm OVPAA-F-INS-055A RAW SC'!CF$17*100)</f>
        <v/>
      </c>
      <c r="CI28" s="130" t="str">
        <f>IF('Midterm OVPAA-F-INS-055A RAW SC'!CG28="","",'Midterm OVPAA-F-INS-055A RAW SC'!CG28/'Midterm OVPAA-F-INS-055A RAW SC'!CG$17*100)</f>
        <v/>
      </c>
      <c r="CJ28" s="130" t="str">
        <f>IF('Midterm OVPAA-F-INS-055A RAW SC'!CH28="","",'Midterm OVPAA-F-INS-055A RAW SC'!CH28/'Midterm OVPAA-F-INS-055A RAW SC'!CH$17*100)</f>
        <v/>
      </c>
      <c r="CK28" s="130" t="str">
        <f>IF('Midterm OVPAA-F-INS-055A RAW SC'!CI28="","",'Midterm OVPAA-F-INS-055A RAW SC'!CI28/'Midterm OVPAA-F-INS-055A RAW SC'!CI$17*100)</f>
        <v/>
      </c>
      <c r="CL28" s="130" t="str">
        <f>IF('Midterm OVPAA-F-INS-055A RAW SC'!CJ28="","",'Midterm OVPAA-F-INS-055A RAW SC'!CJ28/'Midterm OVPAA-F-INS-055A RAW SC'!CJ$17*100)</f>
        <v/>
      </c>
      <c r="CM28" s="130" t="str">
        <f>IF('Midterm OVPAA-F-INS-055A RAW SC'!CK28="","",'Midterm OVPAA-F-INS-055A RAW SC'!CK28/'Midterm OVPAA-F-INS-055A RAW SC'!CK$17*100)</f>
        <v/>
      </c>
      <c r="CN28" s="130" t="str">
        <f>IF('Midterm OVPAA-F-INS-055A RAW SC'!CL28="","",'Midterm OVPAA-F-INS-055A RAW SC'!CL28/'Midterm OVPAA-F-INS-055A RAW SC'!CL$17*100)</f>
        <v/>
      </c>
      <c r="CO28" s="130" t="str">
        <f>IF('Midterm OVPAA-F-INS-055A RAW SC'!CM28="","",'Midterm OVPAA-F-INS-055A RAW SC'!CM28/'Midterm OVPAA-F-INS-055A RAW SC'!CM$17*100)</f>
        <v/>
      </c>
      <c r="CP28" s="130" t="str">
        <f>IF('Midterm OVPAA-F-INS-055A RAW SC'!CN28="","",'Midterm OVPAA-F-INS-055A RAW SC'!CN28/'Midterm OVPAA-F-INS-055A RAW SC'!CN$17*100)</f>
        <v/>
      </c>
      <c r="CQ28" s="131">
        <f t="array" ref="CQ28">IF('Midterm OVPAA-F-INS-055A RAW SC'!G28="","",IF((SUMPRODUCT(--ISBLANK('Midterm OVPAA-F-INS-055A RAW SC'!BU28:CN28))=COLUMNS('Midterm OVPAA-F-INS-055A RAW SC'!BU28:CN28))=TRUE,"",(((COUNTA('Midterm OVPAA-F-INS-055A RAW SC'!$BU$17:$CN$17)+COUNTBLANK('Midterm OVPAA-F-INS-055A RAW SC'!BU28:CN28))-COLUMNS('Midterm OVPAA-F-INS-055A RAW SC'!BU28:CN28))*5+SUM(BW28:CP28))/COUNTA('Midterm OVPAA-F-INS-055A RAW SC'!$BU$17:$CN$17)))</f>
        <v>82.333333333333329</v>
      </c>
      <c r="CR28" s="132">
        <f>IF(CQ28="","",VLOOKUP(CQ28,IF('Midterm OVPAA-F-INS-055A RAW SC'!$V$12=0.5,TRANSMUTATION!$C$4:$D$17,TRANSMUTATION!$G$4:$H$17),2,TRUE))</f>
        <v>1.75</v>
      </c>
      <c r="CS28" s="133">
        <f>IF('Midterm OVPAA-F-INS-055A RAW SC'!CO28="","",'Midterm OVPAA-F-INS-055A RAW SC'!CO28/'Midterm OVPAA-F-INS-055A RAW SC'!CO$17*100)</f>
        <v>72</v>
      </c>
      <c r="CT28" s="133">
        <f>IF('Midterm OVPAA-F-INS-055A RAW SC'!CP28="","",'Midterm OVPAA-F-INS-055A RAW SC'!CP28/'Midterm OVPAA-F-INS-055A RAW SC'!CP$17*100)</f>
        <v>80</v>
      </c>
      <c r="CU28" s="133" t="str">
        <f>IF('Midterm OVPAA-F-INS-055A RAW SC'!CQ28="","",'Midterm OVPAA-F-INS-055A RAW SC'!CQ28/'Midterm OVPAA-F-INS-055A RAW SC'!CQ$17*100)</f>
        <v/>
      </c>
      <c r="CV28" s="133" t="str">
        <f>IF('Midterm OVPAA-F-INS-055A RAW SC'!CR28="","",'Midterm OVPAA-F-INS-055A RAW SC'!CR28/'Midterm OVPAA-F-INS-055A RAW SC'!CR$17*100)</f>
        <v/>
      </c>
      <c r="CW28" s="133" t="str">
        <f>IF('Midterm OVPAA-F-INS-055A RAW SC'!CS28="","",'Midterm OVPAA-F-INS-055A RAW SC'!CS28/'Midterm OVPAA-F-INS-055A RAW SC'!CS$17*100)</f>
        <v/>
      </c>
      <c r="CX28" s="133" t="str">
        <f>IF('Midterm OVPAA-F-INS-055A RAW SC'!CT28="","",'Midterm OVPAA-F-INS-055A RAW SC'!CT28/'Midterm OVPAA-F-INS-055A RAW SC'!CT$17*100)</f>
        <v/>
      </c>
      <c r="CY28" s="133" t="str">
        <f>IF('Midterm OVPAA-F-INS-055A RAW SC'!CU28="","",'Midterm OVPAA-F-INS-055A RAW SC'!CU28/'Midterm OVPAA-F-INS-055A RAW SC'!CU$17*100)</f>
        <v/>
      </c>
      <c r="CZ28" s="133" t="str">
        <f>IF('Midterm OVPAA-F-INS-055A RAW SC'!CV28="","",'Midterm OVPAA-F-INS-055A RAW SC'!CV28/'Midterm OVPAA-F-INS-055A RAW SC'!CV$17*100)</f>
        <v/>
      </c>
      <c r="DA28" s="133" t="str">
        <f>IF('Midterm OVPAA-F-INS-055A RAW SC'!CW28="","",'Midterm OVPAA-F-INS-055A RAW SC'!CW28/'Midterm OVPAA-F-INS-055A RAW SC'!CW$17*100)</f>
        <v/>
      </c>
      <c r="DB28" s="133" t="str">
        <f>IF('Midterm OVPAA-F-INS-055A RAW SC'!CX28="","",'Midterm OVPAA-F-INS-055A RAW SC'!CX28/'Midterm OVPAA-F-INS-055A RAW SC'!CX$17*100)</f>
        <v/>
      </c>
      <c r="DC28" s="134">
        <f t="array" ref="DC28">IF('Midterm OVPAA-F-INS-055A RAW SC'!$G28="","",IF((SUMPRODUCT(--ISBLANK('Midterm OVPAA-F-INS-055A RAW SC'!CO28:CX28))=COLUMNS('Midterm OVPAA-F-INS-055A RAW SC'!CO28:CX28))=TRUE,"",(((COUNTA('Midterm OVPAA-F-INS-055A RAW SC'!$CO$17:$CX$17)+COUNTBLANK('Midterm OVPAA-F-INS-055A RAW SC'!CO28:CX28))-COLUMNS('Midterm OVPAA-F-INS-055A RAW SC'!CO28:CX28))*5+SUM(CS28:DB28))/COUNTA('Midterm OVPAA-F-INS-055A RAW SC'!$CO$17:$CX$17)))</f>
        <v>76</v>
      </c>
      <c r="DD28" s="135">
        <f>IF(DC28="","",VLOOKUP(DC28,IF('Midterm OVPAA-F-INS-055A RAW SC'!$V$12=0.5,TRANSMUTATION!$C$4:$D$17,TRANSMUTATION!$G$4:$H$17),2,TRUE))</f>
        <v>2</v>
      </c>
      <c r="DE28" s="136">
        <f t="shared" si="1"/>
        <v>0.6</v>
      </c>
      <c r="DF28" s="137">
        <f t="shared" si="2"/>
        <v>0.52500000000000002</v>
      </c>
      <c r="DG28" s="138">
        <f t="shared" si="3"/>
        <v>0.8</v>
      </c>
      <c r="DH28" s="136">
        <f t="shared" si="4"/>
        <v>1.925</v>
      </c>
      <c r="DI28" s="123" t="str">
        <f t="shared" si="5"/>
        <v>2.00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v>72</v>
      </c>
      <c r="I29" s="126">
        <v>80</v>
      </c>
      <c r="J29" s="126">
        <v>90</v>
      </c>
      <c r="K29" s="126" t="str">
        <f>IF('Midterm OVPAA-F-INS-055A RAW SC'!K29="","",'Midterm OVPAA-F-INS-055A RAW SC'!K29/'Midterm OVPAA-F-INS-055A RAW SC'!K$17*100)</f>
        <v/>
      </c>
      <c r="L29" s="126" t="str">
        <f>IF('Midterm OVPAA-F-INS-055A RAW SC'!L29="","",'Midterm OVPAA-F-INS-055A RAW SC'!L29/'Midterm OVPAA-F-INS-055A RAW SC'!L$17*100)</f>
        <v/>
      </c>
      <c r="M29" s="126" t="str">
        <f>IF('Midterm OVPAA-F-INS-055A RAW SC'!M29="","",'Midterm OVPAA-F-INS-055A RAW SC'!M29/'Midterm OVPAA-F-INS-055A RAW SC'!M$17*100)</f>
        <v/>
      </c>
      <c r="N29" s="126" t="str">
        <f>IF('Midterm OVPAA-F-INS-055A RAW SC'!N29="","",'Midterm OVPAA-F-INS-055A RAW SC'!N29/'Midterm OVPAA-F-INS-055A RAW SC'!N$17*100)</f>
        <v/>
      </c>
      <c r="O29" s="126" t="str">
        <f>IF('Midterm OVPAA-F-INS-055A RAW SC'!O29="","",'Midterm OVPAA-F-INS-055A RAW SC'!O29/'Midterm OVPAA-F-INS-055A RAW SC'!O$17*100)</f>
        <v/>
      </c>
      <c r="P29" s="126" t="str">
        <f>IF('Midterm OVPAA-F-INS-055A RAW SC'!P29="","",'Midterm OVPAA-F-INS-055A RAW SC'!P29/'Midterm OVPAA-F-INS-055A RAW SC'!P$17*100)</f>
        <v/>
      </c>
      <c r="Q29" s="126" t="str">
        <f>IF('Midterm OVPAA-F-INS-055A RAW SC'!Q29="","",'Midterm OVPAA-F-INS-055A RAW SC'!Q29/'Midterm OVPAA-F-INS-055A RAW SC'!Q$17*100)</f>
        <v/>
      </c>
      <c r="R29" s="126" t="str">
        <f>IF('Midterm OVPAA-F-INS-055A RAW SC'!R29="","",'Midterm OVPAA-F-INS-055A RAW SC'!R29/'Midterm OVPAA-F-INS-055A RAW SC'!R$17*100)</f>
        <v/>
      </c>
      <c r="S29" s="126" t="str">
        <f>IF('Midterm OVPAA-F-INS-055A RAW SC'!S29="","",'Midterm OVPAA-F-INS-055A RAW SC'!S29/'Midterm OVPAA-F-INS-055A RAW SC'!S$17*100)</f>
        <v/>
      </c>
      <c r="T29" s="126" t="str">
        <f>IF('Midterm OVPAA-F-INS-055A RAW SC'!T29="","",'Midterm OVPAA-F-INS-055A RAW SC'!T29/'Midterm OVPAA-F-INS-055A RAW SC'!T$17*100)</f>
        <v/>
      </c>
      <c r="U29" s="126" t="str">
        <f>IF('Midterm OVPAA-F-INS-055A RAW SC'!U29="","",'Midterm OVPAA-F-INS-055A RAW SC'!U29/'Midterm OVPAA-F-INS-055A RAW SC'!U$17*100)</f>
        <v/>
      </c>
      <c r="V29" s="126" t="str">
        <f>IF('Midterm OVPAA-F-INS-055A RAW SC'!V29="","",'Midterm OVPAA-F-INS-055A RAW SC'!V29/'Midterm OVPAA-F-INS-055A RAW SC'!V$17*100)</f>
        <v/>
      </c>
      <c r="W29" s="126" t="str">
        <f>IF('Midterm OVPAA-F-INS-055A RAW SC'!W29="","",'Midterm OVPAA-F-INS-055A RAW SC'!W29/'Midterm OVPAA-F-INS-055A RAW SC'!W$17*100)</f>
        <v/>
      </c>
      <c r="X29" s="126" t="str">
        <f>IF('Midterm OVPAA-F-INS-055A RAW SC'!X29="","",'Midterm OVPAA-F-INS-055A RAW SC'!X29/'Midterm OVPAA-F-INS-055A RAW SC'!X$17*100)</f>
        <v/>
      </c>
      <c r="Y29" s="126" t="str">
        <f>IF('Midterm OVPAA-F-INS-055A RAW SC'!Y29="","",'Midterm OVPAA-F-INS-055A RAW SC'!Y29/'Midterm OVPAA-F-INS-055A RAW SC'!Y$17*100)</f>
        <v/>
      </c>
      <c r="Z29" s="126" t="str">
        <f>IF('Midterm OVPAA-F-INS-055A RAW SC'!Z29="","",'Midterm OVPAA-F-INS-055A RAW SC'!Z29/'Midterm OVPAA-F-INS-055A RAW SC'!Z$17*100)</f>
        <v/>
      </c>
      <c r="AA29" s="126" t="str">
        <f>IF('Midterm OVPAA-F-INS-055A RAW SC'!AA29="","",'Midterm OVPAA-F-INS-055A RAW SC'!AA29/'Midterm OVPAA-F-INS-055A RAW SC'!AA$17*100)</f>
        <v/>
      </c>
      <c r="AB29" s="126" t="str">
        <f>IF('Midterm OVPAA-F-INS-055A RAW SC'!AB29="","",'Midterm OVPAA-F-INS-055A RAW SC'!AB29/'Midterm OVPAA-F-INS-055A RAW SC'!AB$17*100)</f>
        <v/>
      </c>
      <c r="AC29" s="126" t="str">
        <f>IF('Midterm OVPAA-F-INS-055A RAW SC'!AC29="","",'Midterm OVPAA-F-INS-055A RAW SC'!AC29/'Midterm OVPAA-F-INS-055A RAW SC'!AC$17*100)</f>
        <v/>
      </c>
      <c r="AD29" s="126" t="str">
        <f>IF('Midterm OVPAA-F-INS-055A RAW SC'!AD29="","",'Midterm OVPAA-F-INS-055A RAW SC'!AD29/'Midterm OVPAA-F-INS-055A RAW SC'!AD$17*100)</f>
        <v/>
      </c>
      <c r="AE29" s="126" t="str">
        <f>IF('Midterm OVPAA-F-INS-055A RAW SC'!AE29="","",'Midterm OVPAA-F-INS-055A RAW SC'!AE29/'Midterm OVPAA-F-INS-055A RAW SC'!AE$17*100)</f>
        <v/>
      </c>
      <c r="AF29" s="126" t="str">
        <f>IF('Midterm OVPAA-F-INS-055A RAW SC'!AF29="","",'Midterm OVPAA-F-INS-055A RAW SC'!AF29/'Midterm OVPAA-F-INS-055A RAW SC'!AF$17*100)</f>
        <v/>
      </c>
      <c r="AG29" s="126" t="str">
        <f>IF('Midterm OVPAA-F-INS-055A RAW SC'!AG29="","",'Midterm OVPAA-F-INS-055A RAW SC'!AG29/'Midterm OVPAA-F-INS-055A RAW SC'!AG$17*100)</f>
        <v/>
      </c>
      <c r="AH29" s="126" t="str">
        <f>IF('Midterm OVPAA-F-INS-055A RAW SC'!AH29="","",'Midterm OVPAA-F-INS-055A RAW SC'!AH29/'Midterm OVPAA-F-INS-055A RAW SC'!AH$17*100)</f>
        <v/>
      </c>
      <c r="AI29" s="126" t="str">
        <f>IF('Midterm OVPAA-F-INS-055A RAW SC'!AI29="","",'Midterm OVPAA-F-INS-055A RAW SC'!AI29/'Midterm OVPAA-F-INS-055A RAW SC'!AI$17*100)</f>
        <v/>
      </c>
      <c r="AJ29" s="126" t="str">
        <f>IF('Midterm OVPAA-F-INS-055A RAW SC'!AJ29="","",'Midterm OVPAA-F-INS-055A RAW SC'!AJ29/'Midterm OVPAA-F-INS-055A RAW SC'!AJ$17*100)</f>
        <v/>
      </c>
      <c r="AK29" s="126" t="str">
        <f>IF('Midterm OVPAA-F-INS-055A RAW SC'!AK29="","",'Midterm OVPAA-F-INS-055A RAW SC'!AK29/'Midterm OVPAA-F-INS-055A RAW SC'!AK$17*100)</f>
        <v/>
      </c>
      <c r="AL29" s="126" t="str">
        <f>IF('Midterm OVPAA-F-INS-055A RAW SC'!AL29="","",'Midterm OVPAA-F-INS-055A RAW SC'!AL29/'Midterm OVPAA-F-INS-055A RAW SC'!AL$17*100)</f>
        <v/>
      </c>
      <c r="AM29" s="126" t="str">
        <f>IF('Midterm OVPAA-F-INS-055A RAW SC'!AM29="","",'Midterm OVPAA-F-INS-055A RAW SC'!AM29/'Midterm OVPAA-F-INS-055A RAW SC'!AM$17*100)</f>
        <v/>
      </c>
      <c r="AN29" s="126" t="str">
        <f>IF('Midterm OVPAA-F-INS-055A RAW SC'!AN29="","",'Midterm OVPAA-F-INS-055A RAW SC'!AN29/'Midterm OVPAA-F-INS-055A RAW SC'!AN$17*100)</f>
        <v/>
      </c>
      <c r="AO29" s="126" t="str">
        <f>IF('Midterm OVPAA-F-INS-055A RAW SC'!AO29="","",'Midterm OVPAA-F-INS-055A RAW SC'!AO29/'Midterm OVPAA-F-INS-055A RAW SC'!AO$17*100)</f>
        <v/>
      </c>
      <c r="AP29" s="126" t="str">
        <f>IF('Midterm OVPAA-F-INS-055A RAW SC'!AP29="","",'Midterm OVPAA-F-INS-055A RAW SC'!AP29/'Midterm OVPAA-F-INS-055A RAW SC'!AP$17*100)</f>
        <v/>
      </c>
      <c r="AQ29" s="126" t="str">
        <f>IF('Midterm OVPAA-F-INS-055A RAW SC'!AQ29="","",'Midterm OVPAA-F-INS-055A RAW SC'!AQ29/'Midterm OVPAA-F-INS-055A RAW SC'!AQ$17*100)</f>
        <v/>
      </c>
      <c r="AR29" s="126" t="str">
        <f>IF('Midterm OVPAA-F-INS-055A RAW SC'!AR29="","",'Midterm OVPAA-F-INS-055A RAW SC'!AR29/'Midterm OVPAA-F-INS-055A RAW SC'!AR$17*100)</f>
        <v/>
      </c>
      <c r="AS29" s="126" t="str">
        <f>IF('Midterm OVPAA-F-INS-055A RAW SC'!AS29="","",'Midterm OVPAA-F-INS-055A RAW SC'!AS29/'Midterm OVPAA-F-INS-055A RAW SC'!AS$17*100)</f>
        <v/>
      </c>
      <c r="AT29" s="126" t="str">
        <f>IF('Midterm OVPAA-F-INS-055A RAW SC'!AT29="","",'Midterm OVPAA-F-INS-055A RAW SC'!AT29/'Midterm OVPAA-F-INS-055A RAW SC'!AT$17*100)</f>
        <v/>
      </c>
      <c r="AU29" s="126" t="str">
        <f>IF('Midterm OVPAA-F-INS-055A RAW SC'!AU29="","",'Midterm OVPAA-F-INS-055A RAW SC'!AU29/'Midterm OVPAA-F-INS-055A RAW SC'!AU$17*100)</f>
        <v/>
      </c>
      <c r="AV29" s="126" t="str">
        <f>IF('Midterm OVPAA-F-INS-055A RAW SC'!AV29="","",'Midterm OVPAA-F-INS-055A RAW SC'!AV29/'Midterm OVPAA-F-INS-055A RAW SC'!AV$17*100)</f>
        <v/>
      </c>
      <c r="AW29" s="126" t="str">
        <f>IF('Midterm OVPAA-F-INS-055A RAW SC'!AW29="","",'Midterm OVPAA-F-INS-055A RAW SC'!AW29/'Midterm OVPAA-F-INS-055A RAW SC'!AW$17*100)</f>
        <v/>
      </c>
      <c r="AX29" s="126" t="str">
        <f>IF('Midterm OVPAA-F-INS-055A RAW SC'!AX29="","",'Midterm OVPAA-F-INS-055A RAW SC'!AX29/'Midterm OVPAA-F-INS-055A RAW SC'!AX$17*100)</f>
        <v/>
      </c>
      <c r="AY29" s="126" t="str">
        <f>IF('Midterm OVPAA-F-INS-055A RAW SC'!AY29="","",'Midterm OVPAA-F-INS-055A RAW SC'!AY29/'Midterm OVPAA-F-INS-055A RAW SC'!AY$17*100)</f>
        <v/>
      </c>
      <c r="AZ29" s="126" t="str">
        <f>IF('Midterm OVPAA-F-INS-055A RAW SC'!AZ29="","",'Midterm OVPAA-F-INS-055A RAW SC'!AZ29/'Midterm OVPAA-F-INS-055A RAW SC'!AZ$17*100)</f>
        <v/>
      </c>
      <c r="BA29" s="126" t="str">
        <f>IF('Midterm OVPAA-F-INS-055A RAW SC'!BA29="","",'Midterm OVPAA-F-INS-055A RAW SC'!BA29/'Midterm OVPAA-F-INS-055A RAW SC'!BA$17*100)</f>
        <v/>
      </c>
      <c r="BB29" s="126" t="str">
        <f>IF('Midterm OVPAA-F-INS-055A RAW SC'!BB29="","",'Midterm OVPAA-F-INS-055A RAW SC'!BB29/'Midterm OVPAA-F-INS-055A RAW SC'!BB$17*100)</f>
        <v/>
      </c>
      <c r="BC29" s="126" t="str">
        <f>IF('Midterm OVPAA-F-INS-055A RAW SC'!BC29="","",'Midterm OVPAA-F-INS-055A RAW SC'!BC29/'Midterm OVPAA-F-INS-055A RAW SC'!BC$17*100)</f>
        <v/>
      </c>
      <c r="BD29" s="126" t="str">
        <f>IF('Midterm OVPAA-F-INS-055A RAW SC'!BD29="","",'Midterm OVPAA-F-INS-055A RAW SC'!BD29/'Midterm OVPAA-F-INS-055A RAW SC'!BD$17*100)</f>
        <v/>
      </c>
      <c r="BE29" s="126" t="str">
        <f>IF('Midterm OVPAA-F-INS-055A RAW SC'!BE29="","",'Midterm OVPAA-F-INS-055A RAW SC'!BE29/'Midterm OVPAA-F-INS-055A RAW SC'!BE$17*100)</f>
        <v/>
      </c>
      <c r="BF29" s="126" t="str">
        <f>IF('Midterm OVPAA-F-INS-055A RAW SC'!BF29="","",'Midterm OVPAA-F-INS-055A RAW SC'!BF29/'Midterm OVPAA-F-INS-055A RAW SC'!BF$17*100)</f>
        <v/>
      </c>
      <c r="BG29" s="126" t="str">
        <f>IF('Midterm OVPAA-F-INS-055A RAW SC'!BG29="","",'Midterm OVPAA-F-INS-055A RAW SC'!BG29/'Midterm OVPAA-F-INS-055A RAW SC'!BG$17*100)</f>
        <v/>
      </c>
      <c r="BH29" s="126" t="str">
        <f>IF('Midterm OVPAA-F-INS-055A RAW SC'!BH29="","",'Midterm OVPAA-F-INS-055A RAW SC'!BH29/'Midterm OVPAA-F-INS-055A RAW SC'!BH$17*100)</f>
        <v/>
      </c>
      <c r="BI29" s="126" t="str">
        <f>IF('Midterm OVPAA-F-INS-055A RAW SC'!BI29="","",'Midterm OVPAA-F-INS-055A RAW SC'!BI29/'Midterm OVPAA-F-INS-055A RAW SC'!BI$17*100)</f>
        <v/>
      </c>
      <c r="BJ29" s="126" t="str">
        <f>IF('Midterm OVPAA-F-INS-055A RAW SC'!BJ29="","",'Midterm OVPAA-F-INS-055A RAW SC'!BJ29/'Midterm OVPAA-F-INS-055A RAW SC'!BJ$17*100)</f>
        <v/>
      </c>
      <c r="BK29" s="126" t="str">
        <f>IF('Midterm OVPAA-F-INS-055A RAW SC'!BK29="","",'Midterm OVPAA-F-INS-055A RAW SC'!BK29/'Midterm OVPAA-F-INS-055A RAW SC'!BK$17*100)</f>
        <v/>
      </c>
      <c r="BL29" s="126" t="str">
        <f>IF('Midterm OVPAA-F-INS-055A RAW SC'!BL29="","",'Midterm OVPAA-F-INS-055A RAW SC'!BL29/'Midterm OVPAA-F-INS-055A RAW SC'!BL$17*100)</f>
        <v/>
      </c>
      <c r="BM29" s="126" t="str">
        <f>IF('Midterm OVPAA-F-INS-055A RAW SC'!BM29="","",'Midterm OVPAA-F-INS-055A RAW SC'!BM29/'Midterm OVPAA-F-INS-055A RAW SC'!BM$17*100)</f>
        <v/>
      </c>
      <c r="BN29" s="126" t="str">
        <f>IF('Midterm OVPAA-F-INS-055A RAW SC'!BN29="","",'Midterm OVPAA-F-INS-055A RAW SC'!BN29/'Midterm OVPAA-F-INS-055A RAW SC'!BN$17*100)</f>
        <v/>
      </c>
      <c r="BO29" s="126" t="str">
        <f>IF('Midterm OVPAA-F-INS-055A RAW SC'!BO29="","",'Midterm OVPAA-F-INS-055A RAW SC'!BO29/'Midterm OVPAA-F-INS-055A RAW SC'!BO$17*100)</f>
        <v/>
      </c>
      <c r="BP29" s="126" t="str">
        <f>IF('Midterm OVPAA-F-INS-055A RAW SC'!BP29="","",'Midterm OVPAA-F-INS-055A RAW SC'!BP29/'Midterm OVPAA-F-INS-055A RAW SC'!BP$17*100)</f>
        <v/>
      </c>
      <c r="BQ29" s="126" t="str">
        <f>IF('Midterm OVPAA-F-INS-055A RAW SC'!BQ29="","",'Midterm OVPAA-F-INS-055A RAW SC'!BQ29/'Midterm OVPAA-F-INS-055A RAW SC'!BQ$17*100)</f>
        <v/>
      </c>
      <c r="BR29" s="126" t="str">
        <f>IF('Midterm OVPAA-F-INS-055A RAW SC'!BR29="","",'Midterm OVPAA-F-INS-055A RAW SC'!BR29/'Midterm OVPAA-F-INS-055A RAW SC'!BR$17*100)</f>
        <v/>
      </c>
      <c r="BS29" s="126" t="str">
        <f>IF('Midterm OVPAA-F-INS-055A RAW SC'!BS29="","",'Midterm OVPAA-F-INS-055A RAW SC'!BS29/'Midterm OVPAA-F-INS-055A RAW SC'!BS$17*100)</f>
        <v/>
      </c>
      <c r="BT29" s="126" t="str">
        <f>IF('Midterm OVPAA-F-INS-055A RAW SC'!BT29="","",'Midterm OVPAA-F-INS-055A RAW SC'!BT29/'Midterm OVPAA-F-INS-055A RAW SC'!BT$17*100)</f>
        <v/>
      </c>
      <c r="BU29" s="127">
        <v>70</v>
      </c>
      <c r="BV29" s="128">
        <f>IF(BU29="","",VLOOKUP(BU29,IF('Midterm OVPAA-F-INS-055A RAW SC'!$V$12=0.5,TRANSMUTATION!$C$4:$D$17,TRANSMUTATION!$G$4:$H$17),2,TRUE))</f>
        <v>2.25</v>
      </c>
      <c r="BW29" s="129">
        <f>IF('Midterm OVPAA-F-INS-055A RAW SC'!BU29="","",'Midterm OVPAA-F-INS-055A RAW SC'!BU29/'Midterm OVPAA-F-INS-055A RAW SC'!BU$17*100)</f>
        <v>72</v>
      </c>
      <c r="BX29" s="130">
        <f>IF('Midterm OVPAA-F-INS-055A RAW SC'!BV29="","",'Midterm OVPAA-F-INS-055A RAW SC'!BV29/'Midterm OVPAA-F-INS-055A RAW SC'!BV$17*100)</f>
        <v>100</v>
      </c>
      <c r="BY29" s="130">
        <f>IF('Midterm OVPAA-F-INS-055A RAW SC'!BW29="","",'Midterm OVPAA-F-INS-055A RAW SC'!BW29/'Midterm OVPAA-F-INS-055A RAW SC'!BW$17*100)</f>
        <v>80</v>
      </c>
      <c r="BZ29" s="130" t="str">
        <f>IF('Midterm OVPAA-F-INS-055A RAW SC'!BX29="","",'Midterm OVPAA-F-INS-055A RAW SC'!BX29/'Midterm OVPAA-F-INS-055A RAW SC'!BX$17*100)</f>
        <v/>
      </c>
      <c r="CA29" s="130" t="str">
        <f>IF('Midterm OVPAA-F-INS-055A RAW SC'!BY29="","",'Midterm OVPAA-F-INS-055A RAW SC'!BY29/'Midterm OVPAA-F-INS-055A RAW SC'!BY$17*100)</f>
        <v/>
      </c>
      <c r="CB29" s="130" t="str">
        <f>IF('Midterm OVPAA-F-INS-055A RAW SC'!BZ29="","",'Midterm OVPAA-F-INS-055A RAW SC'!BZ29/'Midterm OVPAA-F-INS-055A RAW SC'!BZ$17*100)</f>
        <v/>
      </c>
      <c r="CC29" s="130" t="str">
        <f>IF('Midterm OVPAA-F-INS-055A RAW SC'!CA29="","",'Midterm OVPAA-F-INS-055A RAW SC'!CA29/'Midterm OVPAA-F-INS-055A RAW SC'!CA$17*100)</f>
        <v/>
      </c>
      <c r="CD29" s="130" t="str">
        <f>IF('Midterm OVPAA-F-INS-055A RAW SC'!CB29="","",'Midterm OVPAA-F-INS-055A RAW SC'!CB29/'Midterm OVPAA-F-INS-055A RAW SC'!CB$17*100)</f>
        <v/>
      </c>
      <c r="CE29" s="130" t="str">
        <f>IF('Midterm OVPAA-F-INS-055A RAW SC'!CC29="","",'Midterm OVPAA-F-INS-055A RAW SC'!CC29/'Midterm OVPAA-F-INS-055A RAW SC'!CC$17*100)</f>
        <v/>
      </c>
      <c r="CF29" s="130" t="str">
        <f>IF('Midterm OVPAA-F-INS-055A RAW SC'!CD29="","",'Midterm OVPAA-F-INS-055A RAW SC'!CD29/'Midterm OVPAA-F-INS-055A RAW SC'!CD$17*100)</f>
        <v/>
      </c>
      <c r="CG29" s="130" t="str">
        <f>IF('Midterm OVPAA-F-INS-055A RAW SC'!CE29="","",'Midterm OVPAA-F-INS-055A RAW SC'!CE29/'Midterm OVPAA-F-INS-055A RAW SC'!CE$17*100)</f>
        <v/>
      </c>
      <c r="CH29" s="130" t="str">
        <f>IF('Midterm OVPAA-F-INS-055A RAW SC'!CF29="","",'Midterm OVPAA-F-INS-055A RAW SC'!CF29/'Midterm OVPAA-F-INS-055A RAW SC'!CF$17*100)</f>
        <v/>
      </c>
      <c r="CI29" s="130" t="str">
        <f>IF('Midterm OVPAA-F-INS-055A RAW SC'!CG29="","",'Midterm OVPAA-F-INS-055A RAW SC'!CG29/'Midterm OVPAA-F-INS-055A RAW SC'!CG$17*100)</f>
        <v/>
      </c>
      <c r="CJ29" s="130" t="str">
        <f>IF('Midterm OVPAA-F-INS-055A RAW SC'!CH29="","",'Midterm OVPAA-F-INS-055A RAW SC'!CH29/'Midterm OVPAA-F-INS-055A RAW SC'!CH$17*100)</f>
        <v/>
      </c>
      <c r="CK29" s="130" t="str">
        <f>IF('Midterm OVPAA-F-INS-055A RAW SC'!CI29="","",'Midterm OVPAA-F-INS-055A RAW SC'!CI29/'Midterm OVPAA-F-INS-055A RAW SC'!CI$17*100)</f>
        <v/>
      </c>
      <c r="CL29" s="130" t="str">
        <f>IF('Midterm OVPAA-F-INS-055A RAW SC'!CJ29="","",'Midterm OVPAA-F-INS-055A RAW SC'!CJ29/'Midterm OVPAA-F-INS-055A RAW SC'!CJ$17*100)</f>
        <v/>
      </c>
      <c r="CM29" s="130" t="str">
        <f>IF('Midterm OVPAA-F-INS-055A RAW SC'!CK29="","",'Midterm OVPAA-F-INS-055A RAW SC'!CK29/'Midterm OVPAA-F-INS-055A RAW SC'!CK$17*100)</f>
        <v/>
      </c>
      <c r="CN29" s="130" t="str">
        <f>IF('Midterm OVPAA-F-INS-055A RAW SC'!CL29="","",'Midterm OVPAA-F-INS-055A RAW SC'!CL29/'Midterm OVPAA-F-INS-055A RAW SC'!CL$17*100)</f>
        <v/>
      </c>
      <c r="CO29" s="130" t="str">
        <f>IF('Midterm OVPAA-F-INS-055A RAW SC'!CM29="","",'Midterm OVPAA-F-INS-055A RAW SC'!CM29/'Midterm OVPAA-F-INS-055A RAW SC'!CM$17*100)</f>
        <v/>
      </c>
      <c r="CP29" s="130" t="str">
        <f>IF('Midterm OVPAA-F-INS-055A RAW SC'!CN29="","",'Midterm OVPAA-F-INS-055A RAW SC'!CN29/'Midterm OVPAA-F-INS-055A RAW SC'!CN$17*100)</f>
        <v/>
      </c>
      <c r="CQ29" s="131">
        <f t="array" ref="CQ29">IF('Midterm OVPAA-F-INS-055A RAW SC'!G29="","",IF((SUMPRODUCT(--ISBLANK('Midterm OVPAA-F-INS-055A RAW SC'!BU29:CN29))=COLUMNS('Midterm OVPAA-F-INS-055A RAW SC'!BU29:CN29))=TRUE,"",(((COUNTA('Midterm OVPAA-F-INS-055A RAW SC'!$BU$17:$CN$17)+COUNTBLANK('Midterm OVPAA-F-INS-055A RAW SC'!BU29:CN29))-COLUMNS('Midterm OVPAA-F-INS-055A RAW SC'!BU29:CN29))*5+SUM(BW29:CP29))/COUNTA('Midterm OVPAA-F-INS-055A RAW SC'!$BU$17:$CN$17)))</f>
        <v>84</v>
      </c>
      <c r="CR29" s="132">
        <f>IF(CQ29="","",VLOOKUP(CQ29,IF('Midterm OVPAA-F-INS-055A RAW SC'!$V$12=0.5,TRANSMUTATION!$C$4:$D$17,TRANSMUTATION!$G$4:$H$17),2,TRUE))</f>
        <v>1.75</v>
      </c>
      <c r="CS29" s="133">
        <f>IF('Midterm OVPAA-F-INS-055A RAW SC'!CO29="","",'Midterm OVPAA-F-INS-055A RAW SC'!CO29/'Midterm OVPAA-F-INS-055A RAW SC'!CO$17*100)</f>
        <v>72</v>
      </c>
      <c r="CT29" s="133">
        <f>IF('Midterm OVPAA-F-INS-055A RAW SC'!CP29="","",'Midterm OVPAA-F-INS-055A RAW SC'!CP29/'Midterm OVPAA-F-INS-055A RAW SC'!CP$17*100)</f>
        <v>80</v>
      </c>
      <c r="CU29" s="133" t="str">
        <f>IF('Midterm OVPAA-F-INS-055A RAW SC'!CQ29="","",'Midterm OVPAA-F-INS-055A RAW SC'!CQ29/'Midterm OVPAA-F-INS-055A RAW SC'!CQ$17*100)</f>
        <v/>
      </c>
      <c r="CV29" s="133" t="str">
        <f>IF('Midterm OVPAA-F-INS-055A RAW SC'!CR29="","",'Midterm OVPAA-F-INS-055A RAW SC'!CR29/'Midterm OVPAA-F-INS-055A RAW SC'!CR$17*100)</f>
        <v/>
      </c>
      <c r="CW29" s="133" t="str">
        <f>IF('Midterm OVPAA-F-INS-055A RAW SC'!CS29="","",'Midterm OVPAA-F-INS-055A RAW SC'!CS29/'Midterm OVPAA-F-INS-055A RAW SC'!CS$17*100)</f>
        <v/>
      </c>
      <c r="CX29" s="133" t="str">
        <f>IF('Midterm OVPAA-F-INS-055A RAW SC'!CT29="","",'Midterm OVPAA-F-INS-055A RAW SC'!CT29/'Midterm OVPAA-F-INS-055A RAW SC'!CT$17*100)</f>
        <v/>
      </c>
      <c r="CY29" s="133" t="str">
        <f>IF('Midterm OVPAA-F-INS-055A RAW SC'!CU29="","",'Midterm OVPAA-F-INS-055A RAW SC'!CU29/'Midterm OVPAA-F-INS-055A RAW SC'!CU$17*100)</f>
        <v/>
      </c>
      <c r="CZ29" s="133" t="str">
        <f>IF('Midterm OVPAA-F-INS-055A RAW SC'!CV29="","",'Midterm OVPAA-F-INS-055A RAW SC'!CV29/'Midterm OVPAA-F-INS-055A RAW SC'!CV$17*100)</f>
        <v/>
      </c>
      <c r="DA29" s="133" t="str">
        <f>IF('Midterm OVPAA-F-INS-055A RAW SC'!CW29="","",'Midterm OVPAA-F-INS-055A RAW SC'!CW29/'Midterm OVPAA-F-INS-055A RAW SC'!CW$17*100)</f>
        <v/>
      </c>
      <c r="DB29" s="133" t="str">
        <f>IF('Midterm OVPAA-F-INS-055A RAW SC'!CX29="","",'Midterm OVPAA-F-INS-055A RAW SC'!CX29/'Midterm OVPAA-F-INS-055A RAW SC'!CX$17*100)</f>
        <v/>
      </c>
      <c r="DC29" s="134">
        <f t="array" ref="DC29">IF('Midterm OVPAA-F-INS-055A RAW SC'!$G29="","",IF((SUMPRODUCT(--ISBLANK('Midterm OVPAA-F-INS-055A RAW SC'!CO29:CX29))=COLUMNS('Midterm OVPAA-F-INS-055A RAW SC'!CO29:CX29))=TRUE,"",(((COUNTA('Midterm OVPAA-F-INS-055A RAW SC'!$CO$17:$CX$17)+COUNTBLANK('Midterm OVPAA-F-INS-055A RAW SC'!CO29:CX29))-COLUMNS('Midterm OVPAA-F-INS-055A RAW SC'!CO29:CX29))*5+SUM(CS29:DB29))/COUNTA('Midterm OVPAA-F-INS-055A RAW SC'!$CO$17:$CX$17)))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0.67499999999999993</v>
      </c>
      <c r="DF29" s="137">
        <f t="shared" si="2"/>
        <v>0.52500000000000002</v>
      </c>
      <c r="DG29" s="138">
        <f t="shared" si="3"/>
        <v>0.8</v>
      </c>
      <c r="DH29" s="136">
        <f t="shared" si="4"/>
        <v>2</v>
      </c>
      <c r="DI29" s="123" t="str">
        <f t="shared" si="5"/>
        <v>2.00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IF('Midterm OVPAA-F-INS-055A RAW SC'!H30="","",'Midterm OVPAA-F-INS-055A RAW SC'!H30/'Midterm OVPAA-F-INS-055A RAW SC'!H$17*100)</f>
        <v>70</v>
      </c>
      <c r="I30" s="126">
        <f>IF('Midterm OVPAA-F-INS-055A RAW SC'!I30="","",'Midterm OVPAA-F-INS-055A RAW SC'!I30/'Midterm OVPAA-F-INS-055A RAW SC'!I$17*100)</f>
        <v>92</v>
      </c>
      <c r="J30" s="126">
        <f>IF('Midterm OVPAA-F-INS-055A RAW SC'!J30="","",'Midterm OVPAA-F-INS-055A RAW SC'!J30/'Midterm OVPAA-F-INS-055A RAW SC'!J$17*100)</f>
        <v>90</v>
      </c>
      <c r="K30" s="126" t="str">
        <f>IF('Midterm OVPAA-F-INS-055A RAW SC'!K30="","",'Midterm OVPAA-F-INS-055A RAW SC'!K30/'Midterm OVPAA-F-INS-055A RAW SC'!K$17*100)</f>
        <v/>
      </c>
      <c r="L30" s="126" t="str">
        <f>IF('Midterm OVPAA-F-INS-055A RAW SC'!L30="","",'Midterm OVPAA-F-INS-055A RAW SC'!L30/'Midterm OVPAA-F-INS-055A RAW SC'!L$17*100)</f>
        <v/>
      </c>
      <c r="M30" s="126" t="str">
        <f>IF('Midterm OVPAA-F-INS-055A RAW SC'!M30="","",'Midterm OVPAA-F-INS-055A RAW SC'!M30/'Midterm OVPAA-F-INS-055A RAW SC'!M$17*100)</f>
        <v/>
      </c>
      <c r="N30" s="126" t="str">
        <f>IF('Midterm OVPAA-F-INS-055A RAW SC'!N30="","",'Midterm OVPAA-F-INS-055A RAW SC'!N30/'Midterm OVPAA-F-INS-055A RAW SC'!N$17*100)</f>
        <v/>
      </c>
      <c r="O30" s="126" t="str">
        <f>IF('Midterm OVPAA-F-INS-055A RAW SC'!O30="","",'Midterm OVPAA-F-INS-055A RAW SC'!O30/'Midterm OVPAA-F-INS-055A RAW SC'!O$17*100)</f>
        <v/>
      </c>
      <c r="P30" s="126" t="str">
        <f>IF('Midterm OVPAA-F-INS-055A RAW SC'!P30="","",'Midterm OVPAA-F-INS-055A RAW SC'!P30/'Midterm OVPAA-F-INS-055A RAW SC'!P$17*100)</f>
        <v/>
      </c>
      <c r="Q30" s="126" t="str">
        <f>IF('Midterm OVPAA-F-INS-055A RAW SC'!Q30="","",'Midterm OVPAA-F-INS-055A RAW SC'!Q30/'Midterm OVPAA-F-INS-055A RAW SC'!Q$17*100)</f>
        <v/>
      </c>
      <c r="R30" s="126" t="str">
        <f>IF('Midterm OVPAA-F-INS-055A RAW SC'!R30="","",'Midterm OVPAA-F-INS-055A RAW SC'!R30/'Midterm OVPAA-F-INS-055A RAW SC'!R$17*100)</f>
        <v/>
      </c>
      <c r="S30" s="126" t="str">
        <f>IF('Midterm OVPAA-F-INS-055A RAW SC'!S30="","",'Midterm OVPAA-F-INS-055A RAW SC'!S30/'Midterm OVPAA-F-INS-055A RAW SC'!S$17*100)</f>
        <v/>
      </c>
      <c r="T30" s="126" t="str">
        <f>IF('Midterm OVPAA-F-INS-055A RAW SC'!T30="","",'Midterm OVPAA-F-INS-055A RAW SC'!T30/'Midterm OVPAA-F-INS-055A RAW SC'!T$17*100)</f>
        <v/>
      </c>
      <c r="U30" s="126" t="str">
        <f>IF('Midterm OVPAA-F-INS-055A RAW SC'!U30="","",'Midterm OVPAA-F-INS-055A RAW SC'!U30/'Midterm OVPAA-F-INS-055A RAW SC'!U$17*100)</f>
        <v/>
      </c>
      <c r="V30" s="126" t="str">
        <f>IF('Midterm OVPAA-F-INS-055A RAW SC'!V30="","",'Midterm OVPAA-F-INS-055A RAW SC'!V30/'Midterm OVPAA-F-INS-055A RAW SC'!V$17*100)</f>
        <v/>
      </c>
      <c r="W30" s="126" t="str">
        <f>IF('Midterm OVPAA-F-INS-055A RAW SC'!W30="","",'Midterm OVPAA-F-INS-055A RAW SC'!W30/'Midterm OVPAA-F-INS-055A RAW SC'!W$17*100)</f>
        <v/>
      </c>
      <c r="X30" s="126" t="str">
        <f>IF('Midterm OVPAA-F-INS-055A RAW SC'!X30="","",'Midterm OVPAA-F-INS-055A RAW SC'!X30/'Midterm OVPAA-F-INS-055A RAW SC'!X$17*100)</f>
        <v/>
      </c>
      <c r="Y30" s="126" t="str">
        <f>IF('Midterm OVPAA-F-INS-055A RAW SC'!Y30="","",'Midterm OVPAA-F-INS-055A RAW SC'!Y30/'Midterm OVPAA-F-INS-055A RAW SC'!Y$17*100)</f>
        <v/>
      </c>
      <c r="Z30" s="126" t="str">
        <f>IF('Midterm OVPAA-F-INS-055A RAW SC'!Z30="","",'Midterm OVPAA-F-INS-055A RAW SC'!Z30/'Midterm OVPAA-F-INS-055A RAW SC'!Z$17*100)</f>
        <v/>
      </c>
      <c r="AA30" s="126" t="str">
        <f>IF('Midterm OVPAA-F-INS-055A RAW SC'!AA30="","",'Midterm OVPAA-F-INS-055A RAW SC'!AA30/'Midterm OVPAA-F-INS-055A RAW SC'!AA$17*100)</f>
        <v/>
      </c>
      <c r="AB30" s="126" t="str">
        <f>IF('Midterm OVPAA-F-INS-055A RAW SC'!AB30="","",'Midterm OVPAA-F-INS-055A RAW SC'!AB30/'Midterm OVPAA-F-INS-055A RAW SC'!AB$17*100)</f>
        <v/>
      </c>
      <c r="AC30" s="126" t="str">
        <f>IF('Midterm OVPAA-F-INS-055A RAW SC'!AC30="","",'Midterm OVPAA-F-INS-055A RAW SC'!AC30/'Midterm OVPAA-F-INS-055A RAW SC'!AC$17*100)</f>
        <v/>
      </c>
      <c r="AD30" s="126" t="str">
        <f>IF('Midterm OVPAA-F-INS-055A RAW SC'!AD30="","",'Midterm OVPAA-F-INS-055A RAW SC'!AD30/'Midterm OVPAA-F-INS-055A RAW SC'!AD$17*100)</f>
        <v/>
      </c>
      <c r="AE30" s="126" t="str">
        <f>IF('Midterm OVPAA-F-INS-055A RAW SC'!AE30="","",'Midterm OVPAA-F-INS-055A RAW SC'!AE30/'Midterm OVPAA-F-INS-055A RAW SC'!AE$17*100)</f>
        <v/>
      </c>
      <c r="AF30" s="126" t="str">
        <f>IF('Midterm OVPAA-F-INS-055A RAW SC'!AF30="","",'Midterm OVPAA-F-INS-055A RAW SC'!AF30/'Midterm OVPAA-F-INS-055A RAW SC'!AF$17*100)</f>
        <v/>
      </c>
      <c r="AG30" s="126" t="str">
        <f>IF('Midterm OVPAA-F-INS-055A RAW SC'!AG30="","",'Midterm OVPAA-F-INS-055A RAW SC'!AG30/'Midterm OVPAA-F-INS-055A RAW SC'!AG$17*100)</f>
        <v/>
      </c>
      <c r="AH30" s="126" t="str">
        <f>IF('Midterm OVPAA-F-INS-055A RAW SC'!AH30="","",'Midterm OVPAA-F-INS-055A RAW SC'!AH30/'Midterm OVPAA-F-INS-055A RAW SC'!AH$17*100)</f>
        <v/>
      </c>
      <c r="AI30" s="126" t="str">
        <f>IF('Midterm OVPAA-F-INS-055A RAW SC'!AI30="","",'Midterm OVPAA-F-INS-055A RAW SC'!AI30/'Midterm OVPAA-F-INS-055A RAW SC'!AI$17*100)</f>
        <v/>
      </c>
      <c r="AJ30" s="126" t="str">
        <f>IF('Midterm OVPAA-F-INS-055A RAW SC'!AJ30="","",'Midterm OVPAA-F-INS-055A RAW SC'!AJ30/'Midterm OVPAA-F-INS-055A RAW SC'!AJ$17*100)</f>
        <v/>
      </c>
      <c r="AK30" s="126" t="str">
        <f>IF('Midterm OVPAA-F-INS-055A RAW SC'!AK30="","",'Midterm OVPAA-F-INS-055A RAW SC'!AK30/'Midterm OVPAA-F-INS-055A RAW SC'!AK$17*100)</f>
        <v/>
      </c>
      <c r="AL30" s="126" t="str">
        <f>IF('Midterm OVPAA-F-INS-055A RAW SC'!AL30="","",'Midterm OVPAA-F-INS-055A RAW SC'!AL30/'Midterm OVPAA-F-INS-055A RAW SC'!AL$17*100)</f>
        <v/>
      </c>
      <c r="AM30" s="126" t="str">
        <f>IF('Midterm OVPAA-F-INS-055A RAW SC'!AM30="","",'Midterm OVPAA-F-INS-055A RAW SC'!AM30/'Midterm OVPAA-F-INS-055A RAW SC'!AM$17*100)</f>
        <v/>
      </c>
      <c r="AN30" s="126" t="str">
        <f>IF('Midterm OVPAA-F-INS-055A RAW SC'!AN30="","",'Midterm OVPAA-F-INS-055A RAW SC'!AN30/'Midterm OVPAA-F-INS-055A RAW SC'!AN$17*100)</f>
        <v/>
      </c>
      <c r="AO30" s="126" t="str">
        <f>IF('Midterm OVPAA-F-INS-055A RAW SC'!AO30="","",'Midterm OVPAA-F-INS-055A RAW SC'!AO30/'Midterm OVPAA-F-INS-055A RAW SC'!AO$17*100)</f>
        <v/>
      </c>
      <c r="AP30" s="126" t="str">
        <f>IF('Midterm OVPAA-F-INS-055A RAW SC'!AP30="","",'Midterm OVPAA-F-INS-055A RAW SC'!AP30/'Midterm OVPAA-F-INS-055A RAW SC'!AP$17*100)</f>
        <v/>
      </c>
      <c r="AQ30" s="126" t="str">
        <f>IF('Midterm OVPAA-F-INS-055A RAW SC'!AQ30="","",'Midterm OVPAA-F-INS-055A RAW SC'!AQ30/'Midterm OVPAA-F-INS-055A RAW SC'!AQ$17*100)</f>
        <v/>
      </c>
      <c r="AR30" s="126" t="str">
        <f>IF('Midterm OVPAA-F-INS-055A RAW SC'!AR30="","",'Midterm OVPAA-F-INS-055A RAW SC'!AR30/'Midterm OVPAA-F-INS-055A RAW SC'!AR$17*100)</f>
        <v/>
      </c>
      <c r="AS30" s="126" t="str">
        <f>IF('Midterm OVPAA-F-INS-055A RAW SC'!AS30="","",'Midterm OVPAA-F-INS-055A RAW SC'!AS30/'Midterm OVPAA-F-INS-055A RAW SC'!AS$17*100)</f>
        <v/>
      </c>
      <c r="AT30" s="126" t="str">
        <f>IF('Midterm OVPAA-F-INS-055A RAW SC'!AT30="","",'Midterm OVPAA-F-INS-055A RAW SC'!AT30/'Midterm OVPAA-F-INS-055A RAW SC'!AT$17*100)</f>
        <v/>
      </c>
      <c r="AU30" s="126" t="str">
        <f>IF('Midterm OVPAA-F-INS-055A RAW SC'!AU30="","",'Midterm OVPAA-F-INS-055A RAW SC'!AU30/'Midterm OVPAA-F-INS-055A RAW SC'!AU$17*100)</f>
        <v/>
      </c>
      <c r="AV30" s="126" t="str">
        <f>IF('Midterm OVPAA-F-INS-055A RAW SC'!AV30="","",'Midterm OVPAA-F-INS-055A RAW SC'!AV30/'Midterm OVPAA-F-INS-055A RAW SC'!AV$17*100)</f>
        <v/>
      </c>
      <c r="AW30" s="126" t="str">
        <f>IF('Midterm OVPAA-F-INS-055A RAW SC'!AW30="","",'Midterm OVPAA-F-INS-055A RAW SC'!AW30/'Midterm OVPAA-F-INS-055A RAW SC'!AW$17*100)</f>
        <v/>
      </c>
      <c r="AX30" s="126" t="str">
        <f>IF('Midterm OVPAA-F-INS-055A RAW SC'!AX30="","",'Midterm OVPAA-F-INS-055A RAW SC'!AX30/'Midterm OVPAA-F-INS-055A RAW SC'!AX$17*100)</f>
        <v/>
      </c>
      <c r="AY30" s="126" t="str">
        <f>IF('Midterm OVPAA-F-INS-055A RAW SC'!AY30="","",'Midterm OVPAA-F-INS-055A RAW SC'!AY30/'Midterm OVPAA-F-INS-055A RAW SC'!AY$17*100)</f>
        <v/>
      </c>
      <c r="AZ30" s="126" t="str">
        <f>IF('Midterm OVPAA-F-INS-055A RAW SC'!AZ30="","",'Midterm OVPAA-F-INS-055A RAW SC'!AZ30/'Midterm OVPAA-F-INS-055A RAW SC'!AZ$17*100)</f>
        <v/>
      </c>
      <c r="BA30" s="126" t="str">
        <f>IF('Midterm OVPAA-F-INS-055A RAW SC'!BA30="","",'Midterm OVPAA-F-INS-055A RAW SC'!BA30/'Midterm OVPAA-F-INS-055A RAW SC'!BA$17*100)</f>
        <v/>
      </c>
      <c r="BB30" s="126" t="str">
        <f>IF('Midterm OVPAA-F-INS-055A RAW SC'!BB30="","",'Midterm OVPAA-F-INS-055A RAW SC'!BB30/'Midterm OVPAA-F-INS-055A RAW SC'!BB$17*100)</f>
        <v/>
      </c>
      <c r="BC30" s="126" t="str">
        <f>IF('Midterm OVPAA-F-INS-055A RAW SC'!BC30="","",'Midterm OVPAA-F-INS-055A RAW SC'!BC30/'Midterm OVPAA-F-INS-055A RAW SC'!BC$17*100)</f>
        <v/>
      </c>
      <c r="BD30" s="126" t="str">
        <f>IF('Midterm OVPAA-F-INS-055A RAW SC'!BD30="","",'Midterm OVPAA-F-INS-055A RAW SC'!BD30/'Midterm OVPAA-F-INS-055A RAW SC'!BD$17*100)</f>
        <v/>
      </c>
      <c r="BE30" s="126" t="str">
        <f>IF('Midterm OVPAA-F-INS-055A RAW SC'!BE30="","",'Midterm OVPAA-F-INS-055A RAW SC'!BE30/'Midterm OVPAA-F-INS-055A RAW SC'!BE$17*100)</f>
        <v/>
      </c>
      <c r="BF30" s="126" t="str">
        <f>IF('Midterm OVPAA-F-INS-055A RAW SC'!BF30="","",'Midterm OVPAA-F-INS-055A RAW SC'!BF30/'Midterm OVPAA-F-INS-055A RAW SC'!BF$17*100)</f>
        <v/>
      </c>
      <c r="BG30" s="126" t="str">
        <f>IF('Midterm OVPAA-F-INS-055A RAW SC'!BG30="","",'Midterm OVPAA-F-INS-055A RAW SC'!BG30/'Midterm OVPAA-F-INS-055A RAW SC'!BG$17*100)</f>
        <v/>
      </c>
      <c r="BH30" s="126" t="str">
        <f>IF('Midterm OVPAA-F-INS-055A RAW SC'!BH30="","",'Midterm OVPAA-F-INS-055A RAW SC'!BH30/'Midterm OVPAA-F-INS-055A RAW SC'!BH$17*100)</f>
        <v/>
      </c>
      <c r="BI30" s="126" t="str">
        <f>IF('Midterm OVPAA-F-INS-055A RAW SC'!BI30="","",'Midterm OVPAA-F-INS-055A RAW SC'!BI30/'Midterm OVPAA-F-INS-055A RAW SC'!BI$17*100)</f>
        <v/>
      </c>
      <c r="BJ30" s="126" t="str">
        <f>IF('Midterm OVPAA-F-INS-055A RAW SC'!BJ30="","",'Midterm OVPAA-F-INS-055A RAW SC'!BJ30/'Midterm OVPAA-F-INS-055A RAW SC'!BJ$17*100)</f>
        <v/>
      </c>
      <c r="BK30" s="126" t="str">
        <f>IF('Midterm OVPAA-F-INS-055A RAW SC'!BK30="","",'Midterm OVPAA-F-INS-055A RAW SC'!BK30/'Midterm OVPAA-F-INS-055A RAW SC'!BK$17*100)</f>
        <v/>
      </c>
      <c r="BL30" s="126" t="str">
        <f>IF('Midterm OVPAA-F-INS-055A RAW SC'!BL30="","",'Midterm OVPAA-F-INS-055A RAW SC'!BL30/'Midterm OVPAA-F-INS-055A RAW SC'!BL$17*100)</f>
        <v/>
      </c>
      <c r="BM30" s="126" t="str">
        <f>IF('Midterm OVPAA-F-INS-055A RAW SC'!BM30="","",'Midterm OVPAA-F-INS-055A RAW SC'!BM30/'Midterm OVPAA-F-INS-055A RAW SC'!BM$17*100)</f>
        <v/>
      </c>
      <c r="BN30" s="126" t="str">
        <f>IF('Midterm OVPAA-F-INS-055A RAW SC'!BN30="","",'Midterm OVPAA-F-INS-055A RAW SC'!BN30/'Midterm OVPAA-F-INS-055A RAW SC'!BN$17*100)</f>
        <v/>
      </c>
      <c r="BO30" s="126" t="str">
        <f>IF('Midterm OVPAA-F-INS-055A RAW SC'!BO30="","",'Midterm OVPAA-F-INS-055A RAW SC'!BO30/'Midterm OVPAA-F-INS-055A RAW SC'!BO$17*100)</f>
        <v/>
      </c>
      <c r="BP30" s="126" t="str">
        <f>IF('Midterm OVPAA-F-INS-055A RAW SC'!BP30="","",'Midterm OVPAA-F-INS-055A RAW SC'!BP30/'Midterm OVPAA-F-INS-055A RAW SC'!BP$17*100)</f>
        <v/>
      </c>
      <c r="BQ30" s="126" t="str">
        <f>IF('Midterm OVPAA-F-INS-055A RAW SC'!BQ30="","",'Midterm OVPAA-F-INS-055A RAW SC'!BQ30/'Midterm OVPAA-F-INS-055A RAW SC'!BQ$17*100)</f>
        <v/>
      </c>
      <c r="BR30" s="126" t="str">
        <f>IF('Midterm OVPAA-F-INS-055A RAW SC'!BR30="","",'Midterm OVPAA-F-INS-055A RAW SC'!BR30/'Midterm OVPAA-F-INS-055A RAW SC'!BR$17*100)</f>
        <v/>
      </c>
      <c r="BS30" s="126" t="str">
        <f>IF('Midterm OVPAA-F-INS-055A RAW SC'!BS30="","",'Midterm OVPAA-F-INS-055A RAW SC'!BS30/'Midterm OVPAA-F-INS-055A RAW SC'!BS$17*100)</f>
        <v/>
      </c>
      <c r="BT30" s="126" t="str">
        <f>IF('Midterm OVPAA-F-INS-055A RAW SC'!BT30="","",'Midterm OVPAA-F-INS-055A RAW SC'!BT30/'Midterm OVPAA-F-INS-055A RAW SC'!BT$17*100)</f>
        <v/>
      </c>
      <c r="BU30" s="127">
        <f t="array" ref="BU30">IF('Midterm OVPAA-F-INS-055A RAW SC'!$G30="","",IF((SUMPRODUCT(--ISBLANK('Midterm OVPAA-F-INS-055A RAW SC'!H30:BT30))=COLUMNS('Midterm OVPAA-F-INS-055A RAW SC'!H30:BT30))=TRUE,"",(((COUNTA('Midterm OVPAA-F-INS-055A RAW SC'!$H$17:$BT$17)+COUNTBLANK('Midterm OVPAA-F-INS-055A RAW SC'!H30:BT30))-COLUMNS('Midterm OVPAA-F-INS-055A RAW SC'!H30:BT30))*5+SUM(H30:BT30))/COUNTA('Midterm OVPAA-F-INS-055A RAW SC'!$H$17:$BT$17)))</f>
        <v>84</v>
      </c>
      <c r="BV30" s="128">
        <f>IF(BU30="","",VLOOKUP(BU30,IF('Midterm OVPAA-F-INS-055A RAW SC'!$V$12=0.5,TRANSMUTATION!$C$4:$D$17,TRANSMUTATION!$G$4:$H$17),2,TRUE))</f>
        <v>1.75</v>
      </c>
      <c r="BW30" s="129">
        <f>IF('Midterm OVPAA-F-INS-055A RAW SC'!BU30="","",'Midterm OVPAA-F-INS-055A RAW SC'!BU30/'Midterm OVPAA-F-INS-055A RAW SC'!BU$17*100)</f>
        <v>70</v>
      </c>
      <c r="BX30" s="130">
        <f>IF('Midterm OVPAA-F-INS-055A RAW SC'!BV30="","",'Midterm OVPAA-F-INS-055A RAW SC'!BV30/'Midterm OVPAA-F-INS-055A RAW SC'!BV$17*100)</f>
        <v>100</v>
      </c>
      <c r="BY30" s="130">
        <f>IF('Midterm OVPAA-F-INS-055A RAW SC'!BW30="","",'Midterm OVPAA-F-INS-055A RAW SC'!BW30/'Midterm OVPAA-F-INS-055A RAW SC'!BW$17*100)</f>
        <v>100</v>
      </c>
      <c r="BZ30" s="130" t="str">
        <f>IF('Midterm OVPAA-F-INS-055A RAW SC'!BX30="","",'Midterm OVPAA-F-INS-055A RAW SC'!BX30/'Midterm OVPAA-F-INS-055A RAW SC'!BX$17*100)</f>
        <v/>
      </c>
      <c r="CA30" s="130" t="str">
        <f>IF('Midterm OVPAA-F-INS-055A RAW SC'!BY30="","",'Midterm OVPAA-F-INS-055A RAW SC'!BY30/'Midterm OVPAA-F-INS-055A RAW SC'!BY$17*100)</f>
        <v/>
      </c>
      <c r="CB30" s="130" t="str">
        <f>IF('Midterm OVPAA-F-INS-055A RAW SC'!BZ30="","",'Midterm OVPAA-F-INS-055A RAW SC'!BZ30/'Midterm OVPAA-F-INS-055A RAW SC'!BZ$17*100)</f>
        <v/>
      </c>
      <c r="CC30" s="130" t="str">
        <f>IF('Midterm OVPAA-F-INS-055A RAW SC'!CA30="","",'Midterm OVPAA-F-INS-055A RAW SC'!CA30/'Midterm OVPAA-F-INS-055A RAW SC'!CA$17*100)</f>
        <v/>
      </c>
      <c r="CD30" s="130" t="str">
        <f>IF('Midterm OVPAA-F-INS-055A RAW SC'!CB30="","",'Midterm OVPAA-F-INS-055A RAW SC'!CB30/'Midterm OVPAA-F-INS-055A RAW SC'!CB$17*100)</f>
        <v/>
      </c>
      <c r="CE30" s="130" t="str">
        <f>IF('Midterm OVPAA-F-INS-055A RAW SC'!CC30="","",'Midterm OVPAA-F-INS-055A RAW SC'!CC30/'Midterm OVPAA-F-INS-055A RAW SC'!CC$17*100)</f>
        <v/>
      </c>
      <c r="CF30" s="130" t="str">
        <f>IF('Midterm OVPAA-F-INS-055A RAW SC'!CD30="","",'Midterm OVPAA-F-INS-055A RAW SC'!CD30/'Midterm OVPAA-F-INS-055A RAW SC'!CD$17*100)</f>
        <v/>
      </c>
      <c r="CG30" s="130" t="str">
        <f>IF('Midterm OVPAA-F-INS-055A RAW SC'!CE30="","",'Midterm OVPAA-F-INS-055A RAW SC'!CE30/'Midterm OVPAA-F-INS-055A RAW SC'!CE$17*100)</f>
        <v/>
      </c>
      <c r="CH30" s="130" t="str">
        <f>IF('Midterm OVPAA-F-INS-055A RAW SC'!CF30="","",'Midterm OVPAA-F-INS-055A RAW SC'!CF30/'Midterm OVPAA-F-INS-055A RAW SC'!CF$17*100)</f>
        <v/>
      </c>
      <c r="CI30" s="130" t="str">
        <f>IF('Midterm OVPAA-F-INS-055A RAW SC'!CG30="","",'Midterm OVPAA-F-INS-055A RAW SC'!CG30/'Midterm OVPAA-F-INS-055A RAW SC'!CG$17*100)</f>
        <v/>
      </c>
      <c r="CJ30" s="130" t="str">
        <f>IF('Midterm OVPAA-F-INS-055A RAW SC'!CH30="","",'Midterm OVPAA-F-INS-055A RAW SC'!CH30/'Midterm OVPAA-F-INS-055A RAW SC'!CH$17*100)</f>
        <v/>
      </c>
      <c r="CK30" s="130" t="str">
        <f>IF('Midterm OVPAA-F-INS-055A RAW SC'!CI30="","",'Midterm OVPAA-F-INS-055A RAW SC'!CI30/'Midterm OVPAA-F-INS-055A RAW SC'!CI$17*100)</f>
        <v/>
      </c>
      <c r="CL30" s="130" t="str">
        <f>IF('Midterm OVPAA-F-INS-055A RAW SC'!CJ30="","",'Midterm OVPAA-F-INS-055A RAW SC'!CJ30/'Midterm OVPAA-F-INS-055A RAW SC'!CJ$17*100)</f>
        <v/>
      </c>
      <c r="CM30" s="130" t="str">
        <f>IF('Midterm OVPAA-F-INS-055A RAW SC'!CK30="","",'Midterm OVPAA-F-INS-055A RAW SC'!CK30/'Midterm OVPAA-F-INS-055A RAW SC'!CK$17*100)</f>
        <v/>
      </c>
      <c r="CN30" s="130" t="str">
        <f>IF('Midterm OVPAA-F-INS-055A RAW SC'!CL30="","",'Midterm OVPAA-F-INS-055A RAW SC'!CL30/'Midterm OVPAA-F-INS-055A RAW SC'!CL$17*100)</f>
        <v/>
      </c>
      <c r="CO30" s="130" t="str">
        <f>IF('Midterm OVPAA-F-INS-055A RAW SC'!CM30="","",'Midterm OVPAA-F-INS-055A RAW SC'!CM30/'Midterm OVPAA-F-INS-055A RAW SC'!CM$17*100)</f>
        <v/>
      </c>
      <c r="CP30" s="130" t="str">
        <f>IF('Midterm OVPAA-F-INS-055A RAW SC'!CN30="","",'Midterm OVPAA-F-INS-055A RAW SC'!CN30/'Midterm OVPAA-F-INS-055A RAW SC'!CN$17*100)</f>
        <v/>
      </c>
      <c r="CQ30" s="131">
        <f t="array" ref="CQ30">IF('Midterm OVPAA-F-INS-055A RAW SC'!G30="","",IF((SUMPRODUCT(--ISBLANK('Midterm OVPAA-F-INS-055A RAW SC'!BU30:CN30))=COLUMNS('Midterm OVPAA-F-INS-055A RAW SC'!BU30:CN30))=TRUE,"",(((COUNTA('Midterm OVPAA-F-INS-055A RAW SC'!$BU$17:$CN$17)+COUNTBLANK('Midterm OVPAA-F-INS-055A RAW SC'!BU30:CN30))-COLUMNS('Midterm OVPAA-F-INS-055A RAW SC'!BU30:CN30))*5+SUM(BW30:CP30))/COUNTA('Midterm OVPAA-F-INS-055A RAW SC'!$BU$17:$CN$17)))</f>
        <v>90</v>
      </c>
      <c r="CR30" s="132">
        <f>IF(CQ30="","",VLOOKUP(CQ30,IF('Midterm OVPAA-F-INS-055A RAW SC'!$V$12=0.5,TRANSMUTATION!$C$4:$D$17,TRANSMUTATION!$G$4:$H$17),2,TRUE))</f>
        <v>1.5</v>
      </c>
      <c r="CS30" s="133">
        <f>IF('Midterm OVPAA-F-INS-055A RAW SC'!CO30="","",'Midterm OVPAA-F-INS-055A RAW SC'!CO30/'Midterm OVPAA-F-INS-055A RAW SC'!CO$17*100)</f>
        <v>76</v>
      </c>
      <c r="CT30" s="133">
        <f>IF('Midterm OVPAA-F-INS-055A RAW SC'!CP30="","",'Midterm OVPAA-F-INS-055A RAW SC'!CP30/'Midterm OVPAA-F-INS-055A RAW SC'!CP$17*100)</f>
        <v>84</v>
      </c>
      <c r="CU30" s="133" t="str">
        <f>IF('Midterm OVPAA-F-INS-055A RAW SC'!CQ30="","",'Midterm OVPAA-F-INS-055A RAW SC'!CQ30/'Midterm OVPAA-F-INS-055A RAW SC'!CQ$17*100)</f>
        <v/>
      </c>
      <c r="CV30" s="133" t="str">
        <f>IF('Midterm OVPAA-F-INS-055A RAW SC'!CR30="","",'Midterm OVPAA-F-INS-055A RAW SC'!CR30/'Midterm OVPAA-F-INS-055A RAW SC'!CR$17*100)</f>
        <v/>
      </c>
      <c r="CW30" s="133" t="str">
        <f>IF('Midterm OVPAA-F-INS-055A RAW SC'!CS30="","",'Midterm OVPAA-F-INS-055A RAW SC'!CS30/'Midterm OVPAA-F-INS-055A RAW SC'!CS$17*100)</f>
        <v/>
      </c>
      <c r="CX30" s="133" t="str">
        <f>IF('Midterm OVPAA-F-INS-055A RAW SC'!CT30="","",'Midterm OVPAA-F-INS-055A RAW SC'!CT30/'Midterm OVPAA-F-INS-055A RAW SC'!CT$17*100)</f>
        <v/>
      </c>
      <c r="CY30" s="133" t="str">
        <f>IF('Midterm OVPAA-F-INS-055A RAW SC'!CU30="","",'Midterm OVPAA-F-INS-055A RAW SC'!CU30/'Midterm OVPAA-F-INS-055A RAW SC'!CU$17*100)</f>
        <v/>
      </c>
      <c r="CZ30" s="133" t="str">
        <f>IF('Midterm OVPAA-F-INS-055A RAW SC'!CV30="","",'Midterm OVPAA-F-INS-055A RAW SC'!CV30/'Midterm OVPAA-F-INS-055A RAW SC'!CV$17*100)</f>
        <v/>
      </c>
      <c r="DA30" s="133" t="str">
        <f>IF('Midterm OVPAA-F-INS-055A RAW SC'!CW30="","",'Midterm OVPAA-F-INS-055A RAW SC'!CW30/'Midterm OVPAA-F-INS-055A RAW SC'!CW$17*100)</f>
        <v/>
      </c>
      <c r="DB30" s="133" t="str">
        <f>IF('Midterm OVPAA-F-INS-055A RAW SC'!CX30="","",'Midterm OVPAA-F-INS-055A RAW SC'!CX30/'Midterm OVPAA-F-INS-055A RAW SC'!CX$17*100)</f>
        <v/>
      </c>
      <c r="DC30" s="134">
        <f t="array" ref="DC30">IF('Midterm OVPAA-F-INS-055A RAW SC'!$G30="","",IF((SUMPRODUCT(--ISBLANK('Midterm OVPAA-F-INS-055A RAW SC'!CO30:CX30))=COLUMNS('Midterm OVPAA-F-INS-055A RAW SC'!CO30:CX30))=TRUE,"",(((COUNTA('Midterm OVPAA-F-INS-055A RAW SC'!$CO$17:$CX$17)+COUNTBLANK('Midterm OVPAA-F-INS-055A RAW SC'!CO30:CX30))-COLUMNS('Midterm OVPAA-F-INS-055A RAW SC'!CO30:CX30))*5+SUM(CS30:DB30))/COUNTA('Midterm OVPAA-F-INS-055A RAW SC'!$CO$17:$CX$17)))</f>
        <v>80</v>
      </c>
      <c r="DD30" s="135">
        <f>IF(DC30="","",VLOOKUP(DC30,IF('Midterm OVPAA-F-INS-055A RAW SC'!$V$12=0.5,TRANSMUTATION!$C$4:$D$17,TRANSMUTATION!$G$4:$H$17),2,TRUE))</f>
        <v>1.75</v>
      </c>
      <c r="DE30" s="136">
        <f t="shared" si="1"/>
        <v>0.52500000000000002</v>
      </c>
      <c r="DF30" s="137">
        <f t="shared" si="2"/>
        <v>0.44999999999999996</v>
      </c>
      <c r="DG30" s="138">
        <f t="shared" si="3"/>
        <v>0.70000000000000007</v>
      </c>
      <c r="DH30" s="136">
        <f t="shared" si="4"/>
        <v>1.675</v>
      </c>
      <c r="DI30" s="123" t="str">
        <f t="shared" si="5"/>
        <v>1.75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IF('Midterm OVPAA-F-INS-055A RAW SC'!H31="","",'Midterm OVPAA-F-INS-055A RAW SC'!H31/'Midterm OVPAA-F-INS-055A RAW SC'!H$17*100)</f>
        <v>94</v>
      </c>
      <c r="I31" s="126">
        <f>IF('Midterm OVPAA-F-INS-055A RAW SC'!I31="","",'Midterm OVPAA-F-INS-055A RAW SC'!I31/'Midterm OVPAA-F-INS-055A RAW SC'!I$17*100)</f>
        <v>93</v>
      </c>
      <c r="J31" s="126">
        <f>IF('Midterm OVPAA-F-INS-055A RAW SC'!J31="","",'Midterm OVPAA-F-INS-055A RAW SC'!J31/'Midterm OVPAA-F-INS-055A RAW SC'!J$17*100)</f>
        <v>88</v>
      </c>
      <c r="K31" s="126" t="str">
        <f>IF('Midterm OVPAA-F-INS-055A RAW SC'!K31="","",'Midterm OVPAA-F-INS-055A RAW SC'!K31/'Midterm OVPAA-F-INS-055A RAW SC'!K$17*100)</f>
        <v/>
      </c>
      <c r="L31" s="126" t="str">
        <f>IF('Midterm OVPAA-F-INS-055A RAW SC'!L31="","",'Midterm OVPAA-F-INS-055A RAW SC'!L31/'Midterm OVPAA-F-INS-055A RAW SC'!L$17*100)</f>
        <v/>
      </c>
      <c r="M31" s="126" t="str">
        <f>IF('Midterm OVPAA-F-INS-055A RAW SC'!M31="","",'Midterm OVPAA-F-INS-055A RAW SC'!M31/'Midterm OVPAA-F-INS-055A RAW SC'!M$17*100)</f>
        <v/>
      </c>
      <c r="N31" s="126" t="str">
        <f>IF('Midterm OVPAA-F-INS-055A RAW SC'!N31="","",'Midterm OVPAA-F-INS-055A RAW SC'!N31/'Midterm OVPAA-F-INS-055A RAW SC'!N$17*100)</f>
        <v/>
      </c>
      <c r="O31" s="126" t="str">
        <f>IF('Midterm OVPAA-F-INS-055A RAW SC'!O31="","",'Midterm OVPAA-F-INS-055A RAW SC'!O31/'Midterm OVPAA-F-INS-055A RAW SC'!O$17*100)</f>
        <v/>
      </c>
      <c r="P31" s="126" t="str">
        <f>IF('Midterm OVPAA-F-INS-055A RAW SC'!P31="","",'Midterm OVPAA-F-INS-055A RAW SC'!P31/'Midterm OVPAA-F-INS-055A RAW SC'!P$17*100)</f>
        <v/>
      </c>
      <c r="Q31" s="126" t="str">
        <f>IF('Midterm OVPAA-F-INS-055A RAW SC'!Q31="","",'Midterm OVPAA-F-INS-055A RAW SC'!Q31/'Midterm OVPAA-F-INS-055A RAW SC'!Q$17*100)</f>
        <v/>
      </c>
      <c r="R31" s="126" t="str">
        <f>IF('Midterm OVPAA-F-INS-055A RAW SC'!R31="","",'Midterm OVPAA-F-INS-055A RAW SC'!R31/'Midterm OVPAA-F-INS-055A RAW SC'!R$17*100)</f>
        <v/>
      </c>
      <c r="S31" s="126" t="str">
        <f>IF('Midterm OVPAA-F-INS-055A RAW SC'!S31="","",'Midterm OVPAA-F-INS-055A RAW SC'!S31/'Midterm OVPAA-F-INS-055A RAW SC'!S$17*100)</f>
        <v/>
      </c>
      <c r="T31" s="126" t="str">
        <f>IF('Midterm OVPAA-F-INS-055A RAW SC'!T31="","",'Midterm OVPAA-F-INS-055A RAW SC'!T31/'Midterm OVPAA-F-INS-055A RAW SC'!T$17*100)</f>
        <v/>
      </c>
      <c r="U31" s="126" t="str">
        <f>IF('Midterm OVPAA-F-INS-055A RAW SC'!U31="","",'Midterm OVPAA-F-INS-055A RAW SC'!U31/'Midterm OVPAA-F-INS-055A RAW SC'!U$17*100)</f>
        <v/>
      </c>
      <c r="V31" s="126" t="str">
        <f>IF('Midterm OVPAA-F-INS-055A RAW SC'!V31="","",'Midterm OVPAA-F-INS-055A RAW SC'!V31/'Midterm OVPAA-F-INS-055A RAW SC'!V$17*100)</f>
        <v/>
      </c>
      <c r="W31" s="126" t="str">
        <f>IF('Midterm OVPAA-F-INS-055A RAW SC'!W31="","",'Midterm OVPAA-F-INS-055A RAW SC'!W31/'Midterm OVPAA-F-INS-055A RAW SC'!W$17*100)</f>
        <v/>
      </c>
      <c r="X31" s="126" t="str">
        <f>IF('Midterm OVPAA-F-INS-055A RAW SC'!X31="","",'Midterm OVPAA-F-INS-055A RAW SC'!X31/'Midterm OVPAA-F-INS-055A RAW SC'!X$17*100)</f>
        <v/>
      </c>
      <c r="Y31" s="126" t="str">
        <f>IF('Midterm OVPAA-F-INS-055A RAW SC'!Y31="","",'Midterm OVPAA-F-INS-055A RAW SC'!Y31/'Midterm OVPAA-F-INS-055A RAW SC'!Y$17*100)</f>
        <v/>
      </c>
      <c r="Z31" s="126" t="str">
        <f>IF('Midterm OVPAA-F-INS-055A RAW SC'!Z31="","",'Midterm OVPAA-F-INS-055A RAW SC'!Z31/'Midterm OVPAA-F-INS-055A RAW SC'!Z$17*100)</f>
        <v/>
      </c>
      <c r="AA31" s="126" t="str">
        <f>IF('Midterm OVPAA-F-INS-055A RAW SC'!AA31="","",'Midterm OVPAA-F-INS-055A RAW SC'!AA31/'Midterm OVPAA-F-INS-055A RAW SC'!AA$17*100)</f>
        <v/>
      </c>
      <c r="AB31" s="126" t="str">
        <f>IF('Midterm OVPAA-F-INS-055A RAW SC'!AB31="","",'Midterm OVPAA-F-INS-055A RAW SC'!AB31/'Midterm OVPAA-F-INS-055A RAW SC'!AB$17*100)</f>
        <v/>
      </c>
      <c r="AC31" s="126" t="str">
        <f>IF('Midterm OVPAA-F-INS-055A RAW SC'!AC31="","",'Midterm OVPAA-F-INS-055A RAW SC'!AC31/'Midterm OVPAA-F-INS-055A RAW SC'!AC$17*100)</f>
        <v/>
      </c>
      <c r="AD31" s="126" t="str">
        <f>IF('Midterm OVPAA-F-INS-055A RAW SC'!AD31="","",'Midterm OVPAA-F-INS-055A RAW SC'!AD31/'Midterm OVPAA-F-INS-055A RAW SC'!AD$17*100)</f>
        <v/>
      </c>
      <c r="AE31" s="126" t="str">
        <f>IF('Midterm OVPAA-F-INS-055A RAW SC'!AE31="","",'Midterm OVPAA-F-INS-055A RAW SC'!AE31/'Midterm OVPAA-F-INS-055A RAW SC'!AE$17*100)</f>
        <v/>
      </c>
      <c r="AF31" s="126" t="str">
        <f>IF('Midterm OVPAA-F-INS-055A RAW SC'!AF31="","",'Midterm OVPAA-F-INS-055A RAW SC'!AF31/'Midterm OVPAA-F-INS-055A RAW SC'!AF$17*100)</f>
        <v/>
      </c>
      <c r="AG31" s="126" t="str">
        <f>IF('Midterm OVPAA-F-INS-055A RAW SC'!AG31="","",'Midterm OVPAA-F-INS-055A RAW SC'!AG31/'Midterm OVPAA-F-INS-055A RAW SC'!AG$17*100)</f>
        <v/>
      </c>
      <c r="AH31" s="126" t="str">
        <f>IF('Midterm OVPAA-F-INS-055A RAW SC'!AH31="","",'Midterm OVPAA-F-INS-055A RAW SC'!AH31/'Midterm OVPAA-F-INS-055A RAW SC'!AH$17*100)</f>
        <v/>
      </c>
      <c r="AI31" s="126" t="str">
        <f>IF('Midterm OVPAA-F-INS-055A RAW SC'!AI31="","",'Midterm OVPAA-F-INS-055A RAW SC'!AI31/'Midterm OVPAA-F-INS-055A RAW SC'!AI$17*100)</f>
        <v/>
      </c>
      <c r="AJ31" s="126" t="str">
        <f>IF('Midterm OVPAA-F-INS-055A RAW SC'!AJ31="","",'Midterm OVPAA-F-INS-055A RAW SC'!AJ31/'Midterm OVPAA-F-INS-055A RAW SC'!AJ$17*100)</f>
        <v/>
      </c>
      <c r="AK31" s="126" t="str">
        <f>IF('Midterm OVPAA-F-INS-055A RAW SC'!AK31="","",'Midterm OVPAA-F-INS-055A RAW SC'!AK31/'Midterm OVPAA-F-INS-055A RAW SC'!AK$17*100)</f>
        <v/>
      </c>
      <c r="AL31" s="126" t="str">
        <f>IF('Midterm OVPAA-F-INS-055A RAW SC'!AL31="","",'Midterm OVPAA-F-INS-055A RAW SC'!AL31/'Midterm OVPAA-F-INS-055A RAW SC'!AL$17*100)</f>
        <v/>
      </c>
      <c r="AM31" s="126" t="str">
        <f>IF('Midterm OVPAA-F-INS-055A RAW SC'!AM31="","",'Midterm OVPAA-F-INS-055A RAW SC'!AM31/'Midterm OVPAA-F-INS-055A RAW SC'!AM$17*100)</f>
        <v/>
      </c>
      <c r="AN31" s="126" t="str">
        <f>IF('Midterm OVPAA-F-INS-055A RAW SC'!AN31="","",'Midterm OVPAA-F-INS-055A RAW SC'!AN31/'Midterm OVPAA-F-INS-055A RAW SC'!AN$17*100)</f>
        <v/>
      </c>
      <c r="AO31" s="126" t="str">
        <f>IF('Midterm OVPAA-F-INS-055A RAW SC'!AO31="","",'Midterm OVPAA-F-INS-055A RAW SC'!AO31/'Midterm OVPAA-F-INS-055A RAW SC'!AO$17*100)</f>
        <v/>
      </c>
      <c r="AP31" s="126" t="str">
        <f>IF('Midterm OVPAA-F-INS-055A RAW SC'!AP31="","",'Midterm OVPAA-F-INS-055A RAW SC'!AP31/'Midterm OVPAA-F-INS-055A RAW SC'!AP$17*100)</f>
        <v/>
      </c>
      <c r="AQ31" s="126" t="str">
        <f>IF('Midterm OVPAA-F-INS-055A RAW SC'!AQ31="","",'Midterm OVPAA-F-INS-055A RAW SC'!AQ31/'Midterm OVPAA-F-INS-055A RAW SC'!AQ$17*100)</f>
        <v/>
      </c>
      <c r="AR31" s="126" t="str">
        <f>IF('Midterm OVPAA-F-INS-055A RAW SC'!AR31="","",'Midterm OVPAA-F-INS-055A RAW SC'!AR31/'Midterm OVPAA-F-INS-055A RAW SC'!AR$17*100)</f>
        <v/>
      </c>
      <c r="AS31" s="126" t="str">
        <f>IF('Midterm OVPAA-F-INS-055A RAW SC'!AS31="","",'Midterm OVPAA-F-INS-055A RAW SC'!AS31/'Midterm OVPAA-F-INS-055A RAW SC'!AS$17*100)</f>
        <v/>
      </c>
      <c r="AT31" s="126" t="str">
        <f>IF('Midterm OVPAA-F-INS-055A RAW SC'!AT31="","",'Midterm OVPAA-F-INS-055A RAW SC'!AT31/'Midterm OVPAA-F-INS-055A RAW SC'!AT$17*100)</f>
        <v/>
      </c>
      <c r="AU31" s="126" t="str">
        <f>IF('Midterm OVPAA-F-INS-055A RAW SC'!AU31="","",'Midterm OVPAA-F-INS-055A RAW SC'!AU31/'Midterm OVPAA-F-INS-055A RAW SC'!AU$17*100)</f>
        <v/>
      </c>
      <c r="AV31" s="126" t="str">
        <f>IF('Midterm OVPAA-F-INS-055A RAW SC'!AV31="","",'Midterm OVPAA-F-INS-055A RAW SC'!AV31/'Midterm OVPAA-F-INS-055A RAW SC'!AV$17*100)</f>
        <v/>
      </c>
      <c r="AW31" s="126" t="str">
        <f>IF('Midterm OVPAA-F-INS-055A RAW SC'!AW31="","",'Midterm OVPAA-F-INS-055A RAW SC'!AW31/'Midterm OVPAA-F-INS-055A RAW SC'!AW$17*100)</f>
        <v/>
      </c>
      <c r="AX31" s="126" t="str">
        <f>IF('Midterm OVPAA-F-INS-055A RAW SC'!AX31="","",'Midterm OVPAA-F-INS-055A RAW SC'!AX31/'Midterm OVPAA-F-INS-055A RAW SC'!AX$17*100)</f>
        <v/>
      </c>
      <c r="AY31" s="126" t="str">
        <f>IF('Midterm OVPAA-F-INS-055A RAW SC'!AY31="","",'Midterm OVPAA-F-INS-055A RAW SC'!AY31/'Midterm OVPAA-F-INS-055A RAW SC'!AY$17*100)</f>
        <v/>
      </c>
      <c r="AZ31" s="126" t="str">
        <f>IF('Midterm OVPAA-F-INS-055A RAW SC'!AZ31="","",'Midterm OVPAA-F-INS-055A RAW SC'!AZ31/'Midterm OVPAA-F-INS-055A RAW SC'!AZ$17*100)</f>
        <v/>
      </c>
      <c r="BA31" s="126" t="str">
        <f>IF('Midterm OVPAA-F-INS-055A RAW SC'!BA31="","",'Midterm OVPAA-F-INS-055A RAW SC'!BA31/'Midterm OVPAA-F-INS-055A RAW SC'!BA$17*100)</f>
        <v/>
      </c>
      <c r="BB31" s="126" t="str">
        <f>IF('Midterm OVPAA-F-INS-055A RAW SC'!BB31="","",'Midterm OVPAA-F-INS-055A RAW SC'!BB31/'Midterm OVPAA-F-INS-055A RAW SC'!BB$17*100)</f>
        <v/>
      </c>
      <c r="BC31" s="126" t="str">
        <f>IF('Midterm OVPAA-F-INS-055A RAW SC'!BC31="","",'Midterm OVPAA-F-INS-055A RAW SC'!BC31/'Midterm OVPAA-F-INS-055A RAW SC'!BC$17*100)</f>
        <v/>
      </c>
      <c r="BD31" s="126" t="str">
        <f>IF('Midterm OVPAA-F-INS-055A RAW SC'!BD31="","",'Midterm OVPAA-F-INS-055A RAW SC'!BD31/'Midterm OVPAA-F-INS-055A RAW SC'!BD$17*100)</f>
        <v/>
      </c>
      <c r="BE31" s="126" t="str">
        <f>IF('Midterm OVPAA-F-INS-055A RAW SC'!BE31="","",'Midterm OVPAA-F-INS-055A RAW SC'!BE31/'Midterm OVPAA-F-INS-055A RAW SC'!BE$17*100)</f>
        <v/>
      </c>
      <c r="BF31" s="126" t="str">
        <f>IF('Midterm OVPAA-F-INS-055A RAW SC'!BF31="","",'Midterm OVPAA-F-INS-055A RAW SC'!BF31/'Midterm OVPAA-F-INS-055A RAW SC'!BF$17*100)</f>
        <v/>
      </c>
      <c r="BG31" s="126" t="str">
        <f>IF('Midterm OVPAA-F-INS-055A RAW SC'!BG31="","",'Midterm OVPAA-F-INS-055A RAW SC'!BG31/'Midterm OVPAA-F-INS-055A RAW SC'!BG$17*100)</f>
        <v/>
      </c>
      <c r="BH31" s="126" t="str">
        <f>IF('Midterm OVPAA-F-INS-055A RAW SC'!BH31="","",'Midterm OVPAA-F-INS-055A RAW SC'!BH31/'Midterm OVPAA-F-INS-055A RAW SC'!BH$17*100)</f>
        <v/>
      </c>
      <c r="BI31" s="126" t="str">
        <f>IF('Midterm OVPAA-F-INS-055A RAW SC'!BI31="","",'Midterm OVPAA-F-INS-055A RAW SC'!BI31/'Midterm OVPAA-F-INS-055A RAW SC'!BI$17*100)</f>
        <v/>
      </c>
      <c r="BJ31" s="126" t="str">
        <f>IF('Midterm OVPAA-F-INS-055A RAW SC'!BJ31="","",'Midterm OVPAA-F-INS-055A RAW SC'!BJ31/'Midterm OVPAA-F-INS-055A RAW SC'!BJ$17*100)</f>
        <v/>
      </c>
      <c r="BK31" s="126" t="str">
        <f>IF('Midterm OVPAA-F-INS-055A RAW SC'!BK31="","",'Midterm OVPAA-F-INS-055A RAW SC'!BK31/'Midterm OVPAA-F-INS-055A RAW SC'!BK$17*100)</f>
        <v/>
      </c>
      <c r="BL31" s="126" t="str">
        <f>IF('Midterm OVPAA-F-INS-055A RAW SC'!BL31="","",'Midterm OVPAA-F-INS-055A RAW SC'!BL31/'Midterm OVPAA-F-INS-055A RAW SC'!BL$17*100)</f>
        <v/>
      </c>
      <c r="BM31" s="126" t="str">
        <f>IF('Midterm OVPAA-F-INS-055A RAW SC'!BM31="","",'Midterm OVPAA-F-INS-055A RAW SC'!BM31/'Midterm OVPAA-F-INS-055A RAW SC'!BM$17*100)</f>
        <v/>
      </c>
      <c r="BN31" s="126" t="str">
        <f>IF('Midterm OVPAA-F-INS-055A RAW SC'!BN31="","",'Midterm OVPAA-F-INS-055A RAW SC'!BN31/'Midterm OVPAA-F-INS-055A RAW SC'!BN$17*100)</f>
        <v/>
      </c>
      <c r="BO31" s="126" t="str">
        <f>IF('Midterm OVPAA-F-INS-055A RAW SC'!BO31="","",'Midterm OVPAA-F-INS-055A RAW SC'!BO31/'Midterm OVPAA-F-INS-055A RAW SC'!BO$17*100)</f>
        <v/>
      </c>
      <c r="BP31" s="126" t="str">
        <f>IF('Midterm OVPAA-F-INS-055A RAW SC'!BP31="","",'Midterm OVPAA-F-INS-055A RAW SC'!BP31/'Midterm OVPAA-F-INS-055A RAW SC'!BP$17*100)</f>
        <v/>
      </c>
      <c r="BQ31" s="126" t="str">
        <f>IF('Midterm OVPAA-F-INS-055A RAW SC'!BQ31="","",'Midterm OVPAA-F-INS-055A RAW SC'!BQ31/'Midterm OVPAA-F-INS-055A RAW SC'!BQ$17*100)</f>
        <v/>
      </c>
      <c r="BR31" s="126" t="str">
        <f>IF('Midterm OVPAA-F-INS-055A RAW SC'!BR31="","",'Midterm OVPAA-F-INS-055A RAW SC'!BR31/'Midterm OVPAA-F-INS-055A RAW SC'!BR$17*100)</f>
        <v/>
      </c>
      <c r="BS31" s="126" t="str">
        <f>IF('Midterm OVPAA-F-INS-055A RAW SC'!BS31="","",'Midterm OVPAA-F-INS-055A RAW SC'!BS31/'Midterm OVPAA-F-INS-055A RAW SC'!BS$17*100)</f>
        <v/>
      </c>
      <c r="BT31" s="126" t="str">
        <f>IF('Midterm OVPAA-F-INS-055A RAW SC'!BT31="","",'Midterm OVPAA-F-INS-055A RAW SC'!BT31/'Midterm OVPAA-F-INS-055A RAW SC'!BT$17*100)</f>
        <v/>
      </c>
      <c r="BU31" s="127">
        <f t="array" ref="BU31">IF('Midterm OVPAA-F-INS-055A RAW SC'!$G31="","",IF((SUMPRODUCT(--ISBLANK('Midterm OVPAA-F-INS-055A RAW SC'!H31:BT31))=COLUMNS('Midterm OVPAA-F-INS-055A RAW SC'!H31:BT31))=TRUE,"",(((COUNTA('Midterm OVPAA-F-INS-055A RAW SC'!$H$17:$BT$17)+COUNTBLANK('Midterm OVPAA-F-INS-055A RAW SC'!H31:BT31))-COLUMNS('Midterm OVPAA-F-INS-055A RAW SC'!H31:BT31))*5+SUM(H31:BT31))/COUNTA('Midterm OVPAA-F-INS-055A RAW SC'!$H$17:$BT$17)))</f>
        <v>91.666666666666671</v>
      </c>
      <c r="BV31" s="128">
        <f>IF(BU31="","",VLOOKUP(BU31,IF('Midterm OVPAA-F-INS-055A RAW SC'!$V$12=0.5,TRANSMUTATION!$C$4:$D$17,TRANSMUTATION!$G$4:$H$17),2,TRUE))</f>
        <v>1.25</v>
      </c>
      <c r="BW31" s="129">
        <f>IF('Midterm OVPAA-F-INS-055A RAW SC'!BU31="","",'Midterm OVPAA-F-INS-055A RAW SC'!BU31/'Midterm OVPAA-F-INS-055A RAW SC'!BU$17*100)</f>
        <v>94</v>
      </c>
      <c r="BX31" s="130">
        <f>IF('Midterm OVPAA-F-INS-055A RAW SC'!BV31="","",'Midterm OVPAA-F-INS-055A RAW SC'!BV31/'Midterm OVPAA-F-INS-055A RAW SC'!BV$17*100)</f>
        <v>100</v>
      </c>
      <c r="BY31" s="130">
        <f>IF('Midterm OVPAA-F-INS-055A RAW SC'!BW31="","",'Midterm OVPAA-F-INS-055A RAW SC'!BW31/'Midterm OVPAA-F-INS-055A RAW SC'!BW$17*100)</f>
        <v>100</v>
      </c>
      <c r="BZ31" s="130" t="str">
        <f>IF('Midterm OVPAA-F-INS-055A RAW SC'!BX31="","",'Midterm OVPAA-F-INS-055A RAW SC'!BX31/'Midterm OVPAA-F-INS-055A RAW SC'!BX$17*100)</f>
        <v/>
      </c>
      <c r="CA31" s="130" t="str">
        <f>IF('Midterm OVPAA-F-INS-055A RAW SC'!BY31="","",'Midterm OVPAA-F-INS-055A RAW SC'!BY31/'Midterm OVPAA-F-INS-055A RAW SC'!BY$17*100)</f>
        <v/>
      </c>
      <c r="CB31" s="130" t="str">
        <f>IF('Midterm OVPAA-F-INS-055A RAW SC'!BZ31="","",'Midterm OVPAA-F-INS-055A RAW SC'!BZ31/'Midterm OVPAA-F-INS-055A RAW SC'!BZ$17*100)</f>
        <v/>
      </c>
      <c r="CC31" s="130" t="str">
        <f>IF('Midterm OVPAA-F-INS-055A RAW SC'!CA31="","",'Midterm OVPAA-F-INS-055A RAW SC'!CA31/'Midterm OVPAA-F-INS-055A RAW SC'!CA$17*100)</f>
        <v/>
      </c>
      <c r="CD31" s="130" t="str">
        <f>IF('Midterm OVPAA-F-INS-055A RAW SC'!CB31="","",'Midterm OVPAA-F-INS-055A RAW SC'!CB31/'Midterm OVPAA-F-INS-055A RAW SC'!CB$17*100)</f>
        <v/>
      </c>
      <c r="CE31" s="130" t="str">
        <f>IF('Midterm OVPAA-F-INS-055A RAW SC'!CC31="","",'Midterm OVPAA-F-INS-055A RAW SC'!CC31/'Midterm OVPAA-F-INS-055A RAW SC'!CC$17*100)</f>
        <v/>
      </c>
      <c r="CF31" s="130" t="str">
        <f>IF('Midterm OVPAA-F-INS-055A RAW SC'!CD31="","",'Midterm OVPAA-F-INS-055A RAW SC'!CD31/'Midterm OVPAA-F-INS-055A RAW SC'!CD$17*100)</f>
        <v/>
      </c>
      <c r="CG31" s="130" t="str">
        <f>IF('Midterm OVPAA-F-INS-055A RAW SC'!CE31="","",'Midterm OVPAA-F-INS-055A RAW SC'!CE31/'Midterm OVPAA-F-INS-055A RAW SC'!CE$17*100)</f>
        <v/>
      </c>
      <c r="CH31" s="130" t="str">
        <f>IF('Midterm OVPAA-F-INS-055A RAW SC'!CF31="","",'Midterm OVPAA-F-INS-055A RAW SC'!CF31/'Midterm OVPAA-F-INS-055A RAW SC'!CF$17*100)</f>
        <v/>
      </c>
      <c r="CI31" s="130" t="str">
        <f>IF('Midterm OVPAA-F-INS-055A RAW SC'!CG31="","",'Midterm OVPAA-F-INS-055A RAW SC'!CG31/'Midterm OVPAA-F-INS-055A RAW SC'!CG$17*100)</f>
        <v/>
      </c>
      <c r="CJ31" s="130" t="str">
        <f>IF('Midterm OVPAA-F-INS-055A RAW SC'!CH31="","",'Midterm OVPAA-F-INS-055A RAW SC'!CH31/'Midterm OVPAA-F-INS-055A RAW SC'!CH$17*100)</f>
        <v/>
      </c>
      <c r="CK31" s="130" t="str">
        <f>IF('Midterm OVPAA-F-INS-055A RAW SC'!CI31="","",'Midterm OVPAA-F-INS-055A RAW SC'!CI31/'Midterm OVPAA-F-INS-055A RAW SC'!CI$17*100)</f>
        <v/>
      </c>
      <c r="CL31" s="130" t="str">
        <f>IF('Midterm OVPAA-F-INS-055A RAW SC'!CJ31="","",'Midterm OVPAA-F-INS-055A RAW SC'!CJ31/'Midterm OVPAA-F-INS-055A RAW SC'!CJ$17*100)</f>
        <v/>
      </c>
      <c r="CM31" s="130" t="str">
        <f>IF('Midterm OVPAA-F-INS-055A RAW SC'!CK31="","",'Midterm OVPAA-F-INS-055A RAW SC'!CK31/'Midterm OVPAA-F-INS-055A RAW SC'!CK$17*100)</f>
        <v/>
      </c>
      <c r="CN31" s="130" t="str">
        <f>IF('Midterm OVPAA-F-INS-055A RAW SC'!CL31="","",'Midterm OVPAA-F-INS-055A RAW SC'!CL31/'Midterm OVPAA-F-INS-055A RAW SC'!CL$17*100)</f>
        <v/>
      </c>
      <c r="CO31" s="130" t="str">
        <f>IF('Midterm OVPAA-F-INS-055A RAW SC'!CM31="","",'Midterm OVPAA-F-INS-055A RAW SC'!CM31/'Midterm OVPAA-F-INS-055A RAW SC'!CM$17*100)</f>
        <v/>
      </c>
      <c r="CP31" s="130" t="str">
        <f>IF('Midterm OVPAA-F-INS-055A RAW SC'!CN31="","",'Midterm OVPAA-F-INS-055A RAW SC'!CN31/'Midterm OVPAA-F-INS-055A RAW SC'!CN$17*100)</f>
        <v/>
      </c>
      <c r="CQ31" s="131">
        <f t="array" ref="CQ31">IF('Midterm OVPAA-F-INS-055A RAW SC'!G31="","",IF((SUMPRODUCT(--ISBLANK('Midterm OVPAA-F-INS-055A RAW SC'!BU31:CN31))=COLUMNS('Midterm OVPAA-F-INS-055A RAW SC'!BU31:CN31))=TRUE,"",(((COUNTA('Midterm OVPAA-F-INS-055A RAW SC'!$BU$17:$CN$17)+COUNTBLANK('Midterm OVPAA-F-INS-055A RAW SC'!BU31:CN31))-COLUMNS('Midterm OVPAA-F-INS-055A RAW SC'!BU31:CN31))*5+SUM(BW31:CP31))/COUNTA('Midterm OVPAA-F-INS-055A RAW SC'!$BU$17:$CN$17)))</f>
        <v>98</v>
      </c>
      <c r="CR31" s="132">
        <f>IF(CQ31="","",VLOOKUP(CQ31,IF('Midterm OVPAA-F-INS-055A RAW SC'!$V$12=0.5,TRANSMUTATION!$C$4:$D$17,TRANSMUTATION!$G$4:$H$17),2,TRUE))</f>
        <v>1</v>
      </c>
      <c r="CS31" s="133">
        <f>IF('Midterm OVPAA-F-INS-055A RAW SC'!CO31="","",'Midterm OVPAA-F-INS-055A RAW SC'!CO31/'Midterm OVPAA-F-INS-055A RAW SC'!CO$17*100)</f>
        <v>94</v>
      </c>
      <c r="CT31" s="133">
        <f>IF('Midterm OVPAA-F-INS-055A RAW SC'!CP31="","",'Midterm OVPAA-F-INS-055A RAW SC'!CP31/'Midterm OVPAA-F-INS-055A RAW SC'!CP$17*100)</f>
        <v>76</v>
      </c>
      <c r="CU31" s="133" t="str">
        <f>IF('Midterm OVPAA-F-INS-055A RAW SC'!CQ31="","",'Midterm OVPAA-F-INS-055A RAW SC'!CQ31/'Midterm OVPAA-F-INS-055A RAW SC'!CQ$17*100)</f>
        <v/>
      </c>
      <c r="CV31" s="133" t="str">
        <f>IF('Midterm OVPAA-F-INS-055A RAW SC'!CR31="","",'Midterm OVPAA-F-INS-055A RAW SC'!CR31/'Midterm OVPAA-F-INS-055A RAW SC'!CR$17*100)</f>
        <v/>
      </c>
      <c r="CW31" s="133" t="str">
        <f>IF('Midterm OVPAA-F-INS-055A RAW SC'!CS31="","",'Midterm OVPAA-F-INS-055A RAW SC'!CS31/'Midterm OVPAA-F-INS-055A RAW SC'!CS$17*100)</f>
        <v/>
      </c>
      <c r="CX31" s="133" t="str">
        <f>IF('Midterm OVPAA-F-INS-055A RAW SC'!CT31="","",'Midterm OVPAA-F-INS-055A RAW SC'!CT31/'Midterm OVPAA-F-INS-055A RAW SC'!CT$17*100)</f>
        <v/>
      </c>
      <c r="CY31" s="133" t="str">
        <f>IF('Midterm OVPAA-F-INS-055A RAW SC'!CU31="","",'Midterm OVPAA-F-INS-055A RAW SC'!CU31/'Midterm OVPAA-F-INS-055A RAW SC'!CU$17*100)</f>
        <v/>
      </c>
      <c r="CZ31" s="133" t="str">
        <f>IF('Midterm OVPAA-F-INS-055A RAW SC'!CV31="","",'Midterm OVPAA-F-INS-055A RAW SC'!CV31/'Midterm OVPAA-F-INS-055A RAW SC'!CV$17*100)</f>
        <v/>
      </c>
      <c r="DA31" s="133" t="str">
        <f>IF('Midterm OVPAA-F-INS-055A RAW SC'!CW31="","",'Midterm OVPAA-F-INS-055A RAW SC'!CW31/'Midterm OVPAA-F-INS-055A RAW SC'!CW$17*100)</f>
        <v/>
      </c>
      <c r="DB31" s="133" t="str">
        <f>IF('Midterm OVPAA-F-INS-055A RAW SC'!CX31="","",'Midterm OVPAA-F-INS-055A RAW SC'!CX31/'Midterm OVPAA-F-INS-055A RAW SC'!CX$17*100)</f>
        <v/>
      </c>
      <c r="DC31" s="134">
        <f t="array" ref="DC31">IF('Midterm OVPAA-F-INS-055A RAW SC'!$G31="","",IF((SUMPRODUCT(--ISBLANK('Midterm OVPAA-F-INS-055A RAW SC'!CO31:CX31))=COLUMNS('Midterm OVPAA-F-INS-055A RAW SC'!CO31:CX31))=TRUE,"",(((COUNTA('Midterm OVPAA-F-INS-055A RAW SC'!$CO$17:$CX$17)+COUNTBLANK('Midterm OVPAA-F-INS-055A RAW SC'!CO31:CX31))-COLUMNS('Midterm OVPAA-F-INS-055A RAW SC'!CO31:CX31))*5+SUM(CS31:DB31))/COUNTA('Midterm OVPAA-F-INS-055A RAW SC'!$CO$17:$CX$17)))</f>
        <v>85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37">
        <f t="shared" si="2"/>
        <v>0.3</v>
      </c>
      <c r="DG31" s="138">
        <f t="shared" si="3"/>
        <v>0.70000000000000007</v>
      </c>
      <c r="DH31" s="136">
        <f t="shared" si="4"/>
        <v>1.375</v>
      </c>
      <c r="DI31" s="123" t="str">
        <f t="shared" si="5"/>
        <v>1.25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IF('Midterm OVPAA-F-INS-055A RAW SC'!H32="","",'Midterm OVPAA-F-INS-055A RAW SC'!H32/'Midterm OVPAA-F-INS-055A RAW SC'!H$17*100)</f>
        <v>94</v>
      </c>
      <c r="I32" s="126">
        <v>90</v>
      </c>
      <c r="J32" s="126">
        <v>80</v>
      </c>
      <c r="K32" s="126" t="str">
        <f>IF('Midterm OVPAA-F-INS-055A RAW SC'!K32="","",'Midterm OVPAA-F-INS-055A RAW SC'!K32/'Midterm OVPAA-F-INS-055A RAW SC'!K$17*100)</f>
        <v/>
      </c>
      <c r="L32" s="126" t="str">
        <f>IF('Midterm OVPAA-F-INS-055A RAW SC'!L32="","",'Midterm OVPAA-F-INS-055A RAW SC'!L32/'Midterm OVPAA-F-INS-055A RAW SC'!L$17*100)</f>
        <v/>
      </c>
      <c r="M32" s="126" t="str">
        <f>IF('Midterm OVPAA-F-INS-055A RAW SC'!M32="","",'Midterm OVPAA-F-INS-055A RAW SC'!M32/'Midterm OVPAA-F-INS-055A RAW SC'!M$17*100)</f>
        <v/>
      </c>
      <c r="N32" s="126" t="str">
        <f>IF('Midterm OVPAA-F-INS-055A RAW SC'!N32="","",'Midterm OVPAA-F-INS-055A RAW SC'!N32/'Midterm OVPAA-F-INS-055A RAW SC'!N$17*100)</f>
        <v/>
      </c>
      <c r="O32" s="126" t="str">
        <f>IF('Midterm OVPAA-F-INS-055A RAW SC'!O32="","",'Midterm OVPAA-F-INS-055A RAW SC'!O32/'Midterm OVPAA-F-INS-055A RAW SC'!O$17*100)</f>
        <v/>
      </c>
      <c r="P32" s="126" t="str">
        <f>IF('Midterm OVPAA-F-INS-055A RAW SC'!P32="","",'Midterm OVPAA-F-INS-055A RAW SC'!P32/'Midterm OVPAA-F-INS-055A RAW SC'!P$17*100)</f>
        <v/>
      </c>
      <c r="Q32" s="126" t="str">
        <f>IF('Midterm OVPAA-F-INS-055A RAW SC'!Q32="","",'Midterm OVPAA-F-INS-055A RAW SC'!Q32/'Midterm OVPAA-F-INS-055A RAW SC'!Q$17*100)</f>
        <v/>
      </c>
      <c r="R32" s="126" t="str">
        <f>IF('Midterm OVPAA-F-INS-055A RAW SC'!R32="","",'Midterm OVPAA-F-INS-055A RAW SC'!R32/'Midterm OVPAA-F-INS-055A RAW SC'!R$17*100)</f>
        <v/>
      </c>
      <c r="S32" s="126" t="str">
        <f>IF('Midterm OVPAA-F-INS-055A RAW SC'!S32="","",'Midterm OVPAA-F-INS-055A RAW SC'!S32/'Midterm OVPAA-F-INS-055A RAW SC'!S$17*100)</f>
        <v/>
      </c>
      <c r="T32" s="126" t="str">
        <f>IF('Midterm OVPAA-F-INS-055A RAW SC'!T32="","",'Midterm OVPAA-F-INS-055A RAW SC'!T32/'Midterm OVPAA-F-INS-055A RAW SC'!T$17*100)</f>
        <v/>
      </c>
      <c r="U32" s="126" t="str">
        <f>IF('Midterm OVPAA-F-INS-055A RAW SC'!U32="","",'Midterm OVPAA-F-INS-055A RAW SC'!U32/'Midterm OVPAA-F-INS-055A RAW SC'!U$17*100)</f>
        <v/>
      </c>
      <c r="V32" s="126" t="str">
        <f>IF('Midterm OVPAA-F-INS-055A RAW SC'!V32="","",'Midterm OVPAA-F-INS-055A RAW SC'!V32/'Midterm OVPAA-F-INS-055A RAW SC'!V$17*100)</f>
        <v/>
      </c>
      <c r="W32" s="126" t="str">
        <f>IF('Midterm OVPAA-F-INS-055A RAW SC'!W32="","",'Midterm OVPAA-F-INS-055A RAW SC'!W32/'Midterm OVPAA-F-INS-055A RAW SC'!W$17*100)</f>
        <v/>
      </c>
      <c r="X32" s="126" t="str">
        <f>IF('Midterm OVPAA-F-INS-055A RAW SC'!X32="","",'Midterm OVPAA-F-INS-055A RAW SC'!X32/'Midterm OVPAA-F-INS-055A RAW SC'!X$17*100)</f>
        <v/>
      </c>
      <c r="Y32" s="126" t="str">
        <f>IF('Midterm OVPAA-F-INS-055A RAW SC'!Y32="","",'Midterm OVPAA-F-INS-055A RAW SC'!Y32/'Midterm OVPAA-F-INS-055A RAW SC'!Y$17*100)</f>
        <v/>
      </c>
      <c r="Z32" s="126" t="str">
        <f>IF('Midterm OVPAA-F-INS-055A RAW SC'!Z32="","",'Midterm OVPAA-F-INS-055A RAW SC'!Z32/'Midterm OVPAA-F-INS-055A RAW SC'!Z$17*100)</f>
        <v/>
      </c>
      <c r="AA32" s="126" t="str">
        <f>IF('Midterm OVPAA-F-INS-055A RAW SC'!AA32="","",'Midterm OVPAA-F-INS-055A RAW SC'!AA32/'Midterm OVPAA-F-INS-055A RAW SC'!AA$17*100)</f>
        <v/>
      </c>
      <c r="AB32" s="126" t="str">
        <f>IF('Midterm OVPAA-F-INS-055A RAW SC'!AB32="","",'Midterm OVPAA-F-INS-055A RAW SC'!AB32/'Midterm OVPAA-F-INS-055A RAW SC'!AB$17*100)</f>
        <v/>
      </c>
      <c r="AC32" s="126" t="str">
        <f>IF('Midterm OVPAA-F-INS-055A RAW SC'!AC32="","",'Midterm OVPAA-F-INS-055A RAW SC'!AC32/'Midterm OVPAA-F-INS-055A RAW SC'!AC$17*100)</f>
        <v/>
      </c>
      <c r="AD32" s="126" t="str">
        <f>IF('Midterm OVPAA-F-INS-055A RAW SC'!AD32="","",'Midterm OVPAA-F-INS-055A RAW SC'!AD32/'Midterm OVPAA-F-INS-055A RAW SC'!AD$17*100)</f>
        <v/>
      </c>
      <c r="AE32" s="126" t="str">
        <f>IF('Midterm OVPAA-F-INS-055A RAW SC'!AE32="","",'Midterm OVPAA-F-INS-055A RAW SC'!AE32/'Midterm OVPAA-F-INS-055A RAW SC'!AE$17*100)</f>
        <v/>
      </c>
      <c r="AF32" s="126" t="str">
        <f>IF('Midterm OVPAA-F-INS-055A RAW SC'!AF32="","",'Midterm OVPAA-F-INS-055A RAW SC'!AF32/'Midterm OVPAA-F-INS-055A RAW SC'!AF$17*100)</f>
        <v/>
      </c>
      <c r="AG32" s="126" t="str">
        <f>IF('Midterm OVPAA-F-INS-055A RAW SC'!AG32="","",'Midterm OVPAA-F-INS-055A RAW SC'!AG32/'Midterm OVPAA-F-INS-055A RAW SC'!AG$17*100)</f>
        <v/>
      </c>
      <c r="AH32" s="126" t="str">
        <f>IF('Midterm OVPAA-F-INS-055A RAW SC'!AH32="","",'Midterm OVPAA-F-INS-055A RAW SC'!AH32/'Midterm OVPAA-F-INS-055A RAW SC'!AH$17*100)</f>
        <v/>
      </c>
      <c r="AI32" s="126" t="str">
        <f>IF('Midterm OVPAA-F-INS-055A RAW SC'!AI32="","",'Midterm OVPAA-F-INS-055A RAW SC'!AI32/'Midterm OVPAA-F-INS-055A RAW SC'!AI$17*100)</f>
        <v/>
      </c>
      <c r="AJ32" s="126" t="str">
        <f>IF('Midterm OVPAA-F-INS-055A RAW SC'!AJ32="","",'Midterm OVPAA-F-INS-055A RAW SC'!AJ32/'Midterm OVPAA-F-INS-055A RAW SC'!AJ$17*100)</f>
        <v/>
      </c>
      <c r="AK32" s="126" t="str">
        <f>IF('Midterm OVPAA-F-INS-055A RAW SC'!AK32="","",'Midterm OVPAA-F-INS-055A RAW SC'!AK32/'Midterm OVPAA-F-INS-055A RAW SC'!AK$17*100)</f>
        <v/>
      </c>
      <c r="AL32" s="126" t="str">
        <f>IF('Midterm OVPAA-F-INS-055A RAW SC'!AL32="","",'Midterm OVPAA-F-INS-055A RAW SC'!AL32/'Midterm OVPAA-F-INS-055A RAW SC'!AL$17*100)</f>
        <v/>
      </c>
      <c r="AM32" s="126" t="str">
        <f>IF('Midterm OVPAA-F-INS-055A RAW SC'!AM32="","",'Midterm OVPAA-F-INS-055A RAW SC'!AM32/'Midterm OVPAA-F-INS-055A RAW SC'!AM$17*100)</f>
        <v/>
      </c>
      <c r="AN32" s="126" t="str">
        <f>IF('Midterm OVPAA-F-INS-055A RAW SC'!AN32="","",'Midterm OVPAA-F-INS-055A RAW SC'!AN32/'Midterm OVPAA-F-INS-055A RAW SC'!AN$17*100)</f>
        <v/>
      </c>
      <c r="AO32" s="126" t="str">
        <f>IF('Midterm OVPAA-F-INS-055A RAW SC'!AO32="","",'Midterm OVPAA-F-INS-055A RAW SC'!AO32/'Midterm OVPAA-F-INS-055A RAW SC'!AO$17*100)</f>
        <v/>
      </c>
      <c r="AP32" s="126" t="str">
        <f>IF('Midterm OVPAA-F-INS-055A RAW SC'!AP32="","",'Midterm OVPAA-F-INS-055A RAW SC'!AP32/'Midterm OVPAA-F-INS-055A RAW SC'!AP$17*100)</f>
        <v/>
      </c>
      <c r="AQ32" s="126" t="str">
        <f>IF('Midterm OVPAA-F-INS-055A RAW SC'!AQ32="","",'Midterm OVPAA-F-INS-055A RAW SC'!AQ32/'Midterm OVPAA-F-INS-055A RAW SC'!AQ$17*100)</f>
        <v/>
      </c>
      <c r="AR32" s="126" t="str">
        <f>IF('Midterm OVPAA-F-INS-055A RAW SC'!AR32="","",'Midterm OVPAA-F-INS-055A RAW SC'!AR32/'Midterm OVPAA-F-INS-055A RAW SC'!AR$17*100)</f>
        <v/>
      </c>
      <c r="AS32" s="126" t="str">
        <f>IF('Midterm OVPAA-F-INS-055A RAW SC'!AS32="","",'Midterm OVPAA-F-INS-055A RAW SC'!AS32/'Midterm OVPAA-F-INS-055A RAW SC'!AS$17*100)</f>
        <v/>
      </c>
      <c r="AT32" s="126" t="str">
        <f>IF('Midterm OVPAA-F-INS-055A RAW SC'!AT32="","",'Midterm OVPAA-F-INS-055A RAW SC'!AT32/'Midterm OVPAA-F-INS-055A RAW SC'!AT$17*100)</f>
        <v/>
      </c>
      <c r="AU32" s="126" t="str">
        <f>IF('Midterm OVPAA-F-INS-055A RAW SC'!AU32="","",'Midterm OVPAA-F-INS-055A RAW SC'!AU32/'Midterm OVPAA-F-INS-055A RAW SC'!AU$17*100)</f>
        <v/>
      </c>
      <c r="AV32" s="126" t="str">
        <f>IF('Midterm OVPAA-F-INS-055A RAW SC'!AV32="","",'Midterm OVPAA-F-INS-055A RAW SC'!AV32/'Midterm OVPAA-F-INS-055A RAW SC'!AV$17*100)</f>
        <v/>
      </c>
      <c r="AW32" s="126" t="str">
        <f>IF('Midterm OVPAA-F-INS-055A RAW SC'!AW32="","",'Midterm OVPAA-F-INS-055A RAW SC'!AW32/'Midterm OVPAA-F-INS-055A RAW SC'!AW$17*100)</f>
        <v/>
      </c>
      <c r="AX32" s="126" t="str">
        <f>IF('Midterm OVPAA-F-INS-055A RAW SC'!AX32="","",'Midterm OVPAA-F-INS-055A RAW SC'!AX32/'Midterm OVPAA-F-INS-055A RAW SC'!AX$17*100)</f>
        <v/>
      </c>
      <c r="AY32" s="126" t="str">
        <f>IF('Midterm OVPAA-F-INS-055A RAW SC'!AY32="","",'Midterm OVPAA-F-INS-055A RAW SC'!AY32/'Midterm OVPAA-F-INS-055A RAW SC'!AY$17*100)</f>
        <v/>
      </c>
      <c r="AZ32" s="126" t="str">
        <f>IF('Midterm OVPAA-F-INS-055A RAW SC'!AZ32="","",'Midterm OVPAA-F-INS-055A RAW SC'!AZ32/'Midterm OVPAA-F-INS-055A RAW SC'!AZ$17*100)</f>
        <v/>
      </c>
      <c r="BA32" s="126" t="str">
        <f>IF('Midterm OVPAA-F-INS-055A RAW SC'!BA32="","",'Midterm OVPAA-F-INS-055A RAW SC'!BA32/'Midterm OVPAA-F-INS-055A RAW SC'!BA$17*100)</f>
        <v/>
      </c>
      <c r="BB32" s="126" t="str">
        <f>IF('Midterm OVPAA-F-INS-055A RAW SC'!BB32="","",'Midterm OVPAA-F-INS-055A RAW SC'!BB32/'Midterm OVPAA-F-INS-055A RAW SC'!BB$17*100)</f>
        <v/>
      </c>
      <c r="BC32" s="126" t="str">
        <f>IF('Midterm OVPAA-F-INS-055A RAW SC'!BC32="","",'Midterm OVPAA-F-INS-055A RAW SC'!BC32/'Midterm OVPAA-F-INS-055A RAW SC'!BC$17*100)</f>
        <v/>
      </c>
      <c r="BD32" s="126" t="str">
        <f>IF('Midterm OVPAA-F-INS-055A RAW SC'!BD32="","",'Midterm OVPAA-F-INS-055A RAW SC'!BD32/'Midterm OVPAA-F-INS-055A RAW SC'!BD$17*100)</f>
        <v/>
      </c>
      <c r="BE32" s="126" t="str">
        <f>IF('Midterm OVPAA-F-INS-055A RAW SC'!BE32="","",'Midterm OVPAA-F-INS-055A RAW SC'!BE32/'Midterm OVPAA-F-INS-055A RAW SC'!BE$17*100)</f>
        <v/>
      </c>
      <c r="BF32" s="126" t="str">
        <f>IF('Midterm OVPAA-F-INS-055A RAW SC'!BF32="","",'Midterm OVPAA-F-INS-055A RAW SC'!BF32/'Midterm OVPAA-F-INS-055A RAW SC'!BF$17*100)</f>
        <v/>
      </c>
      <c r="BG32" s="126" t="str">
        <f>IF('Midterm OVPAA-F-INS-055A RAW SC'!BG32="","",'Midterm OVPAA-F-INS-055A RAW SC'!BG32/'Midterm OVPAA-F-INS-055A RAW SC'!BG$17*100)</f>
        <v/>
      </c>
      <c r="BH32" s="126" t="str">
        <f>IF('Midterm OVPAA-F-INS-055A RAW SC'!BH32="","",'Midterm OVPAA-F-INS-055A RAW SC'!BH32/'Midterm OVPAA-F-INS-055A RAW SC'!BH$17*100)</f>
        <v/>
      </c>
      <c r="BI32" s="126" t="str">
        <f>IF('Midterm OVPAA-F-INS-055A RAW SC'!BI32="","",'Midterm OVPAA-F-INS-055A RAW SC'!BI32/'Midterm OVPAA-F-INS-055A RAW SC'!BI$17*100)</f>
        <v/>
      </c>
      <c r="BJ32" s="126" t="str">
        <f>IF('Midterm OVPAA-F-INS-055A RAW SC'!BJ32="","",'Midterm OVPAA-F-INS-055A RAW SC'!BJ32/'Midterm OVPAA-F-INS-055A RAW SC'!BJ$17*100)</f>
        <v/>
      </c>
      <c r="BK32" s="126" t="str">
        <f>IF('Midterm OVPAA-F-INS-055A RAW SC'!BK32="","",'Midterm OVPAA-F-INS-055A RAW SC'!BK32/'Midterm OVPAA-F-INS-055A RAW SC'!BK$17*100)</f>
        <v/>
      </c>
      <c r="BL32" s="126" t="str">
        <f>IF('Midterm OVPAA-F-INS-055A RAW SC'!BL32="","",'Midterm OVPAA-F-INS-055A RAW SC'!BL32/'Midterm OVPAA-F-INS-055A RAW SC'!BL$17*100)</f>
        <v/>
      </c>
      <c r="BM32" s="126" t="str">
        <f>IF('Midterm OVPAA-F-INS-055A RAW SC'!BM32="","",'Midterm OVPAA-F-INS-055A RAW SC'!BM32/'Midterm OVPAA-F-INS-055A RAW SC'!BM$17*100)</f>
        <v/>
      </c>
      <c r="BN32" s="126" t="str">
        <f>IF('Midterm OVPAA-F-INS-055A RAW SC'!BN32="","",'Midterm OVPAA-F-INS-055A RAW SC'!BN32/'Midterm OVPAA-F-INS-055A RAW SC'!BN$17*100)</f>
        <v/>
      </c>
      <c r="BO32" s="126" t="str">
        <f>IF('Midterm OVPAA-F-INS-055A RAW SC'!BO32="","",'Midterm OVPAA-F-INS-055A RAW SC'!BO32/'Midterm OVPAA-F-INS-055A RAW SC'!BO$17*100)</f>
        <v/>
      </c>
      <c r="BP32" s="126" t="str">
        <f>IF('Midterm OVPAA-F-INS-055A RAW SC'!BP32="","",'Midterm OVPAA-F-INS-055A RAW SC'!BP32/'Midterm OVPAA-F-INS-055A RAW SC'!BP$17*100)</f>
        <v/>
      </c>
      <c r="BQ32" s="126" t="str">
        <f>IF('Midterm OVPAA-F-INS-055A RAW SC'!BQ32="","",'Midterm OVPAA-F-INS-055A RAW SC'!BQ32/'Midterm OVPAA-F-INS-055A RAW SC'!BQ$17*100)</f>
        <v/>
      </c>
      <c r="BR32" s="126" t="str">
        <f>IF('Midterm OVPAA-F-INS-055A RAW SC'!BR32="","",'Midterm OVPAA-F-INS-055A RAW SC'!BR32/'Midterm OVPAA-F-INS-055A RAW SC'!BR$17*100)</f>
        <v/>
      </c>
      <c r="BS32" s="126" t="str">
        <f>IF('Midterm OVPAA-F-INS-055A RAW SC'!BS32="","",'Midterm OVPAA-F-INS-055A RAW SC'!BS32/'Midterm OVPAA-F-INS-055A RAW SC'!BS$17*100)</f>
        <v/>
      </c>
      <c r="BT32" s="126" t="str">
        <f>IF('Midterm OVPAA-F-INS-055A RAW SC'!BT32="","",'Midterm OVPAA-F-INS-055A RAW SC'!BT32/'Midterm OVPAA-F-INS-055A RAW SC'!BT$17*100)</f>
        <v/>
      </c>
      <c r="BU32" s="127">
        <f t="array" ref="BU32">IF('Midterm OVPAA-F-INS-055A RAW SC'!$G32="","",IF((SUMPRODUCT(--ISBLANK('Midterm OVPAA-F-INS-055A RAW SC'!H32:BT32))=COLUMNS('Midterm OVPAA-F-INS-055A RAW SC'!H32:BT32))=TRUE,"",(((COUNTA('Midterm OVPAA-F-INS-055A RAW SC'!$H$17:$BT$17)+COUNTBLANK('Midterm OVPAA-F-INS-055A RAW SC'!H32:BT32))-COLUMNS('Midterm OVPAA-F-INS-055A RAW SC'!H32:BT32))*5+SUM(H32:BT32))/COUNTA('Midterm OVPAA-F-INS-055A RAW SC'!$H$17:$BT$17)))</f>
        <v>88</v>
      </c>
      <c r="BV32" s="128">
        <f>IF(BU32="","",VLOOKUP(BU32,IF('Midterm OVPAA-F-INS-055A RAW SC'!$V$12=0.5,TRANSMUTATION!$C$4:$D$17,TRANSMUTATION!$G$4:$H$17),2,TRUE))</f>
        <v>1.5</v>
      </c>
      <c r="BW32" s="129">
        <f>IF('Midterm OVPAA-F-INS-055A RAW SC'!BU32="","",'Midterm OVPAA-F-INS-055A RAW SC'!BU32/'Midterm OVPAA-F-INS-055A RAW SC'!BU$17*100)</f>
        <v>94</v>
      </c>
      <c r="BX32" s="130">
        <f>IF('Midterm OVPAA-F-INS-055A RAW SC'!BV32="","",'Midterm OVPAA-F-INS-055A RAW SC'!BV32/'Midterm OVPAA-F-INS-055A RAW SC'!BV$17*100)</f>
        <v>100</v>
      </c>
      <c r="BY32" s="130">
        <f>IF('Midterm OVPAA-F-INS-055A RAW SC'!BW32="","",'Midterm OVPAA-F-INS-055A RAW SC'!BW32/'Midterm OVPAA-F-INS-055A RAW SC'!BW$17*100)</f>
        <v>100</v>
      </c>
      <c r="BZ32" s="130" t="str">
        <f>IF('Midterm OVPAA-F-INS-055A RAW SC'!BX32="","",'Midterm OVPAA-F-INS-055A RAW SC'!BX32/'Midterm OVPAA-F-INS-055A RAW SC'!BX$17*100)</f>
        <v/>
      </c>
      <c r="CA32" s="130" t="str">
        <f>IF('Midterm OVPAA-F-INS-055A RAW SC'!BY32="","",'Midterm OVPAA-F-INS-055A RAW SC'!BY32/'Midterm OVPAA-F-INS-055A RAW SC'!BY$17*100)</f>
        <v/>
      </c>
      <c r="CB32" s="130" t="str">
        <f>IF('Midterm OVPAA-F-INS-055A RAW SC'!BZ32="","",'Midterm OVPAA-F-INS-055A RAW SC'!BZ32/'Midterm OVPAA-F-INS-055A RAW SC'!BZ$17*100)</f>
        <v/>
      </c>
      <c r="CC32" s="130" t="str">
        <f>IF('Midterm OVPAA-F-INS-055A RAW SC'!CA32="","",'Midterm OVPAA-F-INS-055A RAW SC'!CA32/'Midterm OVPAA-F-INS-055A RAW SC'!CA$17*100)</f>
        <v/>
      </c>
      <c r="CD32" s="130" t="str">
        <f>IF('Midterm OVPAA-F-INS-055A RAW SC'!CB32="","",'Midterm OVPAA-F-INS-055A RAW SC'!CB32/'Midterm OVPAA-F-INS-055A RAW SC'!CB$17*100)</f>
        <v/>
      </c>
      <c r="CE32" s="130" t="str">
        <f>IF('Midterm OVPAA-F-INS-055A RAW SC'!CC32="","",'Midterm OVPAA-F-INS-055A RAW SC'!CC32/'Midterm OVPAA-F-INS-055A RAW SC'!CC$17*100)</f>
        <v/>
      </c>
      <c r="CF32" s="130" t="str">
        <f>IF('Midterm OVPAA-F-INS-055A RAW SC'!CD32="","",'Midterm OVPAA-F-INS-055A RAW SC'!CD32/'Midterm OVPAA-F-INS-055A RAW SC'!CD$17*100)</f>
        <v/>
      </c>
      <c r="CG32" s="130" t="str">
        <f>IF('Midterm OVPAA-F-INS-055A RAW SC'!CE32="","",'Midterm OVPAA-F-INS-055A RAW SC'!CE32/'Midterm OVPAA-F-INS-055A RAW SC'!CE$17*100)</f>
        <v/>
      </c>
      <c r="CH32" s="130" t="str">
        <f>IF('Midterm OVPAA-F-INS-055A RAW SC'!CF32="","",'Midterm OVPAA-F-INS-055A RAW SC'!CF32/'Midterm OVPAA-F-INS-055A RAW SC'!CF$17*100)</f>
        <v/>
      </c>
      <c r="CI32" s="130" t="str">
        <f>IF('Midterm OVPAA-F-INS-055A RAW SC'!CG32="","",'Midterm OVPAA-F-INS-055A RAW SC'!CG32/'Midterm OVPAA-F-INS-055A RAW SC'!CG$17*100)</f>
        <v/>
      </c>
      <c r="CJ32" s="130" t="str">
        <f>IF('Midterm OVPAA-F-INS-055A RAW SC'!CH32="","",'Midterm OVPAA-F-INS-055A RAW SC'!CH32/'Midterm OVPAA-F-INS-055A RAW SC'!CH$17*100)</f>
        <v/>
      </c>
      <c r="CK32" s="130" t="str">
        <f>IF('Midterm OVPAA-F-INS-055A RAW SC'!CI32="","",'Midterm OVPAA-F-INS-055A RAW SC'!CI32/'Midterm OVPAA-F-INS-055A RAW SC'!CI$17*100)</f>
        <v/>
      </c>
      <c r="CL32" s="130" t="str">
        <f>IF('Midterm OVPAA-F-INS-055A RAW SC'!CJ32="","",'Midterm OVPAA-F-INS-055A RAW SC'!CJ32/'Midterm OVPAA-F-INS-055A RAW SC'!CJ$17*100)</f>
        <v/>
      </c>
      <c r="CM32" s="130" t="str">
        <f>IF('Midterm OVPAA-F-INS-055A RAW SC'!CK32="","",'Midterm OVPAA-F-INS-055A RAW SC'!CK32/'Midterm OVPAA-F-INS-055A RAW SC'!CK$17*100)</f>
        <v/>
      </c>
      <c r="CN32" s="130" t="str">
        <f>IF('Midterm OVPAA-F-INS-055A RAW SC'!CL32="","",'Midterm OVPAA-F-INS-055A RAW SC'!CL32/'Midterm OVPAA-F-INS-055A RAW SC'!CL$17*100)</f>
        <v/>
      </c>
      <c r="CO32" s="130" t="str">
        <f>IF('Midterm OVPAA-F-INS-055A RAW SC'!CM32="","",'Midterm OVPAA-F-INS-055A RAW SC'!CM32/'Midterm OVPAA-F-INS-055A RAW SC'!CM$17*100)</f>
        <v/>
      </c>
      <c r="CP32" s="130" t="str">
        <f>IF('Midterm OVPAA-F-INS-055A RAW SC'!CN32="","",'Midterm OVPAA-F-INS-055A RAW SC'!CN32/'Midterm OVPAA-F-INS-055A RAW SC'!CN$17*100)</f>
        <v/>
      </c>
      <c r="CQ32" s="131">
        <f t="array" ref="CQ32">IF('Midterm OVPAA-F-INS-055A RAW SC'!G32="","",IF((SUMPRODUCT(--ISBLANK('Midterm OVPAA-F-INS-055A RAW SC'!BU32:CN32))=COLUMNS('Midterm OVPAA-F-INS-055A RAW SC'!BU32:CN32))=TRUE,"",(((COUNTA('Midterm OVPAA-F-INS-055A RAW SC'!$BU$17:$CN$17)+COUNTBLANK('Midterm OVPAA-F-INS-055A RAW SC'!BU32:CN32))-COLUMNS('Midterm OVPAA-F-INS-055A RAW SC'!BU32:CN32))*5+SUM(BW32:CP32))/COUNTA('Midterm OVPAA-F-INS-055A RAW SC'!$BU$17:$CN$17)))</f>
        <v>98</v>
      </c>
      <c r="CR32" s="132">
        <f>IF(CQ32="","",VLOOKUP(CQ32,IF('Midterm OVPAA-F-INS-055A RAW SC'!$V$12=0.5,TRANSMUTATION!$C$4:$D$17,TRANSMUTATION!$G$4:$H$17),2,TRUE))</f>
        <v>1</v>
      </c>
      <c r="CS32" s="133">
        <f>IF('Midterm OVPAA-F-INS-055A RAW SC'!CO32="","",'Midterm OVPAA-F-INS-055A RAW SC'!CO32/'Midterm OVPAA-F-INS-055A RAW SC'!CO$17*100)</f>
        <v>94</v>
      </c>
      <c r="CT32" s="133">
        <f>IF('Midterm OVPAA-F-INS-055A RAW SC'!CP32="","",'Midterm OVPAA-F-INS-055A RAW SC'!CP32/'Midterm OVPAA-F-INS-055A RAW SC'!CP$17*100)</f>
        <v>78</v>
      </c>
      <c r="CU32" s="133" t="str">
        <f>IF('Midterm OVPAA-F-INS-055A RAW SC'!CQ32="","",'Midterm OVPAA-F-INS-055A RAW SC'!CQ32/'Midterm OVPAA-F-INS-055A RAW SC'!CQ$17*100)</f>
        <v/>
      </c>
      <c r="CV32" s="133" t="str">
        <f>IF('Midterm OVPAA-F-INS-055A RAW SC'!CR32="","",'Midterm OVPAA-F-INS-055A RAW SC'!CR32/'Midterm OVPAA-F-INS-055A RAW SC'!CR$17*100)</f>
        <v/>
      </c>
      <c r="CW32" s="133" t="str">
        <f>IF('Midterm OVPAA-F-INS-055A RAW SC'!CS32="","",'Midterm OVPAA-F-INS-055A RAW SC'!CS32/'Midterm OVPAA-F-INS-055A RAW SC'!CS$17*100)</f>
        <v/>
      </c>
      <c r="CX32" s="133" t="str">
        <f>IF('Midterm OVPAA-F-INS-055A RAW SC'!CT32="","",'Midterm OVPAA-F-INS-055A RAW SC'!CT32/'Midterm OVPAA-F-INS-055A RAW SC'!CT$17*100)</f>
        <v/>
      </c>
      <c r="CY32" s="133" t="str">
        <f>IF('Midterm OVPAA-F-INS-055A RAW SC'!CU32="","",'Midterm OVPAA-F-INS-055A RAW SC'!CU32/'Midterm OVPAA-F-INS-055A RAW SC'!CU$17*100)</f>
        <v/>
      </c>
      <c r="CZ32" s="133" t="str">
        <f>IF('Midterm OVPAA-F-INS-055A RAW SC'!CV32="","",'Midterm OVPAA-F-INS-055A RAW SC'!CV32/'Midterm OVPAA-F-INS-055A RAW SC'!CV$17*100)</f>
        <v/>
      </c>
      <c r="DA32" s="133" t="str">
        <f>IF('Midterm OVPAA-F-INS-055A RAW SC'!CW32="","",'Midterm OVPAA-F-INS-055A RAW SC'!CW32/'Midterm OVPAA-F-INS-055A RAW SC'!CW$17*100)</f>
        <v/>
      </c>
      <c r="DB32" s="133" t="str">
        <f>IF('Midterm OVPAA-F-INS-055A RAW SC'!CX32="","",'Midterm OVPAA-F-INS-055A RAW SC'!CX32/'Midterm OVPAA-F-INS-055A RAW SC'!CX$17*100)</f>
        <v/>
      </c>
      <c r="DC32" s="134">
        <f t="array" ref="DC32">IF('Midterm OVPAA-F-INS-055A RAW SC'!$G32="","",IF((SUMPRODUCT(--ISBLANK('Midterm OVPAA-F-INS-055A RAW SC'!CO32:CX32))=COLUMNS('Midterm OVPAA-F-INS-055A RAW SC'!CO32:CX32))=TRUE,"",(((COUNTA('Midterm OVPAA-F-INS-055A RAW SC'!$CO$17:$CX$17)+COUNTBLANK('Midterm OVPAA-F-INS-055A RAW SC'!CO32:CX32))-COLUMNS('Midterm OVPAA-F-INS-055A RAW SC'!CO32:CX32))*5+SUM(CS32:DB32))/COUNTA('Midterm OVPAA-F-INS-055A RAW SC'!$CO$17:$CX$17)))</f>
        <v>86</v>
      </c>
      <c r="DD32" s="135">
        <f>IF(DC32="","",VLOOKUP(DC32,IF('Midterm OVPAA-F-INS-055A RAW SC'!$V$12=0.5,TRANSMUTATION!$C$4:$D$17,TRANSMUTATION!$G$4:$H$17),2,TRUE))</f>
        <v>1.5</v>
      </c>
      <c r="DE32" s="136">
        <f t="shared" si="1"/>
        <v>0.44999999999999996</v>
      </c>
      <c r="DF32" s="137">
        <f t="shared" si="2"/>
        <v>0.3</v>
      </c>
      <c r="DG32" s="138">
        <f t="shared" si="3"/>
        <v>0.60000000000000009</v>
      </c>
      <c r="DH32" s="136">
        <f t="shared" si="4"/>
        <v>1.35</v>
      </c>
      <c r="DI32" s="123" t="str">
        <f t="shared" si="5"/>
        <v>1.25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IF('Midterm OVPAA-F-INS-055A RAW SC'!H33="","",'Midterm OVPAA-F-INS-055A RAW SC'!H33/'Midterm OVPAA-F-INS-055A RAW SC'!H$17*100)</f>
        <v>72</v>
      </c>
      <c r="I33" s="126">
        <v>90</v>
      </c>
      <c r="J33" s="126">
        <v>80</v>
      </c>
      <c r="K33" s="126" t="str">
        <f>IF('Midterm OVPAA-F-INS-055A RAW SC'!K33="","",'Midterm OVPAA-F-INS-055A RAW SC'!K33/'Midterm OVPAA-F-INS-055A RAW SC'!K$17*100)</f>
        <v/>
      </c>
      <c r="L33" s="126" t="str">
        <f>IF('Midterm OVPAA-F-INS-055A RAW SC'!L33="","",'Midterm OVPAA-F-INS-055A RAW SC'!L33/'Midterm OVPAA-F-INS-055A RAW SC'!L$17*100)</f>
        <v/>
      </c>
      <c r="M33" s="126" t="str">
        <f>IF('Midterm OVPAA-F-INS-055A RAW SC'!M33="","",'Midterm OVPAA-F-INS-055A RAW SC'!M33/'Midterm OVPAA-F-INS-055A RAW SC'!M$17*100)</f>
        <v/>
      </c>
      <c r="N33" s="126" t="str">
        <f>IF('Midterm OVPAA-F-INS-055A RAW SC'!N33="","",'Midterm OVPAA-F-INS-055A RAW SC'!N33/'Midterm OVPAA-F-INS-055A RAW SC'!N$17*100)</f>
        <v/>
      </c>
      <c r="O33" s="126" t="str">
        <f>IF('Midterm OVPAA-F-INS-055A RAW SC'!O33="","",'Midterm OVPAA-F-INS-055A RAW SC'!O33/'Midterm OVPAA-F-INS-055A RAW SC'!O$17*100)</f>
        <v/>
      </c>
      <c r="P33" s="126" t="str">
        <f>IF('Midterm OVPAA-F-INS-055A RAW SC'!P33="","",'Midterm OVPAA-F-INS-055A RAW SC'!P33/'Midterm OVPAA-F-INS-055A RAW SC'!P$17*100)</f>
        <v/>
      </c>
      <c r="Q33" s="126" t="str">
        <f>IF('Midterm OVPAA-F-INS-055A RAW SC'!Q33="","",'Midterm OVPAA-F-INS-055A RAW SC'!Q33/'Midterm OVPAA-F-INS-055A RAW SC'!Q$17*100)</f>
        <v/>
      </c>
      <c r="R33" s="126" t="str">
        <f>IF('Midterm OVPAA-F-INS-055A RAW SC'!R33="","",'Midterm OVPAA-F-INS-055A RAW SC'!R33/'Midterm OVPAA-F-INS-055A RAW SC'!R$17*100)</f>
        <v/>
      </c>
      <c r="S33" s="126" t="str">
        <f>IF('Midterm OVPAA-F-INS-055A RAW SC'!S33="","",'Midterm OVPAA-F-INS-055A RAW SC'!S33/'Midterm OVPAA-F-INS-055A RAW SC'!S$17*100)</f>
        <v/>
      </c>
      <c r="T33" s="126" t="str">
        <f>IF('Midterm OVPAA-F-INS-055A RAW SC'!T33="","",'Midterm OVPAA-F-INS-055A RAW SC'!T33/'Midterm OVPAA-F-INS-055A RAW SC'!T$17*100)</f>
        <v/>
      </c>
      <c r="U33" s="126" t="str">
        <f>IF('Midterm OVPAA-F-INS-055A RAW SC'!U33="","",'Midterm OVPAA-F-INS-055A RAW SC'!U33/'Midterm OVPAA-F-INS-055A RAW SC'!U$17*100)</f>
        <v/>
      </c>
      <c r="V33" s="126" t="str">
        <f>IF('Midterm OVPAA-F-INS-055A RAW SC'!V33="","",'Midterm OVPAA-F-INS-055A RAW SC'!V33/'Midterm OVPAA-F-INS-055A RAW SC'!V$17*100)</f>
        <v/>
      </c>
      <c r="W33" s="126" t="str">
        <f>IF('Midterm OVPAA-F-INS-055A RAW SC'!W33="","",'Midterm OVPAA-F-INS-055A RAW SC'!W33/'Midterm OVPAA-F-INS-055A RAW SC'!W$17*100)</f>
        <v/>
      </c>
      <c r="X33" s="126" t="str">
        <f>IF('Midterm OVPAA-F-INS-055A RAW SC'!X33="","",'Midterm OVPAA-F-INS-055A RAW SC'!X33/'Midterm OVPAA-F-INS-055A RAW SC'!X$17*100)</f>
        <v/>
      </c>
      <c r="Y33" s="126" t="str">
        <f>IF('Midterm OVPAA-F-INS-055A RAW SC'!Y33="","",'Midterm OVPAA-F-INS-055A RAW SC'!Y33/'Midterm OVPAA-F-INS-055A RAW SC'!Y$17*100)</f>
        <v/>
      </c>
      <c r="Z33" s="126" t="str">
        <f>IF('Midterm OVPAA-F-INS-055A RAW SC'!Z33="","",'Midterm OVPAA-F-INS-055A RAW SC'!Z33/'Midterm OVPAA-F-INS-055A RAW SC'!Z$17*100)</f>
        <v/>
      </c>
      <c r="AA33" s="126" t="str">
        <f>IF('Midterm OVPAA-F-INS-055A RAW SC'!AA33="","",'Midterm OVPAA-F-INS-055A RAW SC'!AA33/'Midterm OVPAA-F-INS-055A RAW SC'!AA$17*100)</f>
        <v/>
      </c>
      <c r="AB33" s="126" t="str">
        <f>IF('Midterm OVPAA-F-INS-055A RAW SC'!AB33="","",'Midterm OVPAA-F-INS-055A RAW SC'!AB33/'Midterm OVPAA-F-INS-055A RAW SC'!AB$17*100)</f>
        <v/>
      </c>
      <c r="AC33" s="126" t="str">
        <f>IF('Midterm OVPAA-F-INS-055A RAW SC'!AC33="","",'Midterm OVPAA-F-INS-055A RAW SC'!AC33/'Midterm OVPAA-F-INS-055A RAW SC'!AC$17*100)</f>
        <v/>
      </c>
      <c r="AD33" s="126" t="str">
        <f>IF('Midterm OVPAA-F-INS-055A RAW SC'!AD33="","",'Midterm OVPAA-F-INS-055A RAW SC'!AD33/'Midterm OVPAA-F-INS-055A RAW SC'!AD$17*100)</f>
        <v/>
      </c>
      <c r="AE33" s="126" t="str">
        <f>IF('Midterm OVPAA-F-INS-055A RAW SC'!AE33="","",'Midterm OVPAA-F-INS-055A RAW SC'!AE33/'Midterm OVPAA-F-INS-055A RAW SC'!AE$17*100)</f>
        <v/>
      </c>
      <c r="AF33" s="126" t="str">
        <f>IF('Midterm OVPAA-F-INS-055A RAW SC'!AF33="","",'Midterm OVPAA-F-INS-055A RAW SC'!AF33/'Midterm OVPAA-F-INS-055A RAW SC'!AF$17*100)</f>
        <v/>
      </c>
      <c r="AG33" s="126" t="str">
        <f>IF('Midterm OVPAA-F-INS-055A RAW SC'!AG33="","",'Midterm OVPAA-F-INS-055A RAW SC'!AG33/'Midterm OVPAA-F-INS-055A RAW SC'!AG$17*100)</f>
        <v/>
      </c>
      <c r="AH33" s="126" t="str">
        <f>IF('Midterm OVPAA-F-INS-055A RAW SC'!AH33="","",'Midterm OVPAA-F-INS-055A RAW SC'!AH33/'Midterm OVPAA-F-INS-055A RAW SC'!AH$17*100)</f>
        <v/>
      </c>
      <c r="AI33" s="126" t="str">
        <f>IF('Midterm OVPAA-F-INS-055A RAW SC'!AI33="","",'Midterm OVPAA-F-INS-055A RAW SC'!AI33/'Midterm OVPAA-F-INS-055A RAW SC'!AI$17*100)</f>
        <v/>
      </c>
      <c r="AJ33" s="126" t="str">
        <f>IF('Midterm OVPAA-F-INS-055A RAW SC'!AJ33="","",'Midterm OVPAA-F-INS-055A RAW SC'!AJ33/'Midterm OVPAA-F-INS-055A RAW SC'!AJ$17*100)</f>
        <v/>
      </c>
      <c r="AK33" s="126" t="str">
        <f>IF('Midterm OVPAA-F-INS-055A RAW SC'!AK33="","",'Midterm OVPAA-F-INS-055A RAW SC'!AK33/'Midterm OVPAA-F-INS-055A RAW SC'!AK$17*100)</f>
        <v/>
      </c>
      <c r="AL33" s="126" t="str">
        <f>IF('Midterm OVPAA-F-INS-055A RAW SC'!AL33="","",'Midterm OVPAA-F-INS-055A RAW SC'!AL33/'Midterm OVPAA-F-INS-055A RAW SC'!AL$17*100)</f>
        <v/>
      </c>
      <c r="AM33" s="126" t="str">
        <f>IF('Midterm OVPAA-F-INS-055A RAW SC'!AM33="","",'Midterm OVPAA-F-INS-055A RAW SC'!AM33/'Midterm OVPAA-F-INS-055A RAW SC'!AM$17*100)</f>
        <v/>
      </c>
      <c r="AN33" s="126" t="str">
        <f>IF('Midterm OVPAA-F-INS-055A RAW SC'!AN33="","",'Midterm OVPAA-F-INS-055A RAW SC'!AN33/'Midterm OVPAA-F-INS-055A RAW SC'!AN$17*100)</f>
        <v/>
      </c>
      <c r="AO33" s="126" t="str">
        <f>IF('Midterm OVPAA-F-INS-055A RAW SC'!AO33="","",'Midterm OVPAA-F-INS-055A RAW SC'!AO33/'Midterm OVPAA-F-INS-055A RAW SC'!AO$17*100)</f>
        <v/>
      </c>
      <c r="AP33" s="126" t="str">
        <f>IF('Midterm OVPAA-F-INS-055A RAW SC'!AP33="","",'Midterm OVPAA-F-INS-055A RAW SC'!AP33/'Midterm OVPAA-F-INS-055A RAW SC'!AP$17*100)</f>
        <v/>
      </c>
      <c r="AQ33" s="126" t="str">
        <f>IF('Midterm OVPAA-F-INS-055A RAW SC'!AQ33="","",'Midterm OVPAA-F-INS-055A RAW SC'!AQ33/'Midterm OVPAA-F-INS-055A RAW SC'!AQ$17*100)</f>
        <v/>
      </c>
      <c r="AR33" s="126" t="str">
        <f>IF('Midterm OVPAA-F-INS-055A RAW SC'!AR33="","",'Midterm OVPAA-F-INS-055A RAW SC'!AR33/'Midterm OVPAA-F-INS-055A RAW SC'!AR$17*100)</f>
        <v/>
      </c>
      <c r="AS33" s="126" t="str">
        <f>IF('Midterm OVPAA-F-INS-055A RAW SC'!AS33="","",'Midterm OVPAA-F-INS-055A RAW SC'!AS33/'Midterm OVPAA-F-INS-055A RAW SC'!AS$17*100)</f>
        <v/>
      </c>
      <c r="AT33" s="126" t="str">
        <f>IF('Midterm OVPAA-F-INS-055A RAW SC'!AT33="","",'Midterm OVPAA-F-INS-055A RAW SC'!AT33/'Midterm OVPAA-F-INS-055A RAW SC'!AT$17*100)</f>
        <v/>
      </c>
      <c r="AU33" s="126" t="str">
        <f>IF('Midterm OVPAA-F-INS-055A RAW SC'!AU33="","",'Midterm OVPAA-F-INS-055A RAW SC'!AU33/'Midterm OVPAA-F-INS-055A RAW SC'!AU$17*100)</f>
        <v/>
      </c>
      <c r="AV33" s="126" t="str">
        <f>IF('Midterm OVPAA-F-INS-055A RAW SC'!AV33="","",'Midterm OVPAA-F-INS-055A RAW SC'!AV33/'Midterm OVPAA-F-INS-055A RAW SC'!AV$17*100)</f>
        <v/>
      </c>
      <c r="AW33" s="126" t="str">
        <f>IF('Midterm OVPAA-F-INS-055A RAW SC'!AW33="","",'Midterm OVPAA-F-INS-055A RAW SC'!AW33/'Midterm OVPAA-F-INS-055A RAW SC'!AW$17*100)</f>
        <v/>
      </c>
      <c r="AX33" s="126" t="str">
        <f>IF('Midterm OVPAA-F-INS-055A RAW SC'!AX33="","",'Midterm OVPAA-F-INS-055A RAW SC'!AX33/'Midterm OVPAA-F-INS-055A RAW SC'!AX$17*100)</f>
        <v/>
      </c>
      <c r="AY33" s="126" t="str">
        <f>IF('Midterm OVPAA-F-INS-055A RAW SC'!AY33="","",'Midterm OVPAA-F-INS-055A RAW SC'!AY33/'Midterm OVPAA-F-INS-055A RAW SC'!AY$17*100)</f>
        <v/>
      </c>
      <c r="AZ33" s="126" t="str">
        <f>IF('Midterm OVPAA-F-INS-055A RAW SC'!AZ33="","",'Midterm OVPAA-F-INS-055A RAW SC'!AZ33/'Midterm OVPAA-F-INS-055A RAW SC'!AZ$17*100)</f>
        <v/>
      </c>
      <c r="BA33" s="126" t="str">
        <f>IF('Midterm OVPAA-F-INS-055A RAW SC'!BA33="","",'Midterm OVPAA-F-INS-055A RAW SC'!BA33/'Midterm OVPAA-F-INS-055A RAW SC'!BA$17*100)</f>
        <v/>
      </c>
      <c r="BB33" s="126" t="str">
        <f>IF('Midterm OVPAA-F-INS-055A RAW SC'!BB33="","",'Midterm OVPAA-F-INS-055A RAW SC'!BB33/'Midterm OVPAA-F-INS-055A RAW SC'!BB$17*100)</f>
        <v/>
      </c>
      <c r="BC33" s="126" t="str">
        <f>IF('Midterm OVPAA-F-INS-055A RAW SC'!BC33="","",'Midterm OVPAA-F-INS-055A RAW SC'!BC33/'Midterm OVPAA-F-INS-055A RAW SC'!BC$17*100)</f>
        <v/>
      </c>
      <c r="BD33" s="126" t="str">
        <f>IF('Midterm OVPAA-F-INS-055A RAW SC'!BD33="","",'Midterm OVPAA-F-INS-055A RAW SC'!BD33/'Midterm OVPAA-F-INS-055A RAW SC'!BD$17*100)</f>
        <v/>
      </c>
      <c r="BE33" s="126" t="str">
        <f>IF('Midterm OVPAA-F-INS-055A RAW SC'!BE33="","",'Midterm OVPAA-F-INS-055A RAW SC'!BE33/'Midterm OVPAA-F-INS-055A RAW SC'!BE$17*100)</f>
        <v/>
      </c>
      <c r="BF33" s="126" t="str">
        <f>IF('Midterm OVPAA-F-INS-055A RAW SC'!BF33="","",'Midterm OVPAA-F-INS-055A RAW SC'!BF33/'Midterm OVPAA-F-INS-055A RAW SC'!BF$17*100)</f>
        <v/>
      </c>
      <c r="BG33" s="126" t="str">
        <f>IF('Midterm OVPAA-F-INS-055A RAW SC'!BG33="","",'Midterm OVPAA-F-INS-055A RAW SC'!BG33/'Midterm OVPAA-F-INS-055A RAW SC'!BG$17*100)</f>
        <v/>
      </c>
      <c r="BH33" s="126" t="str">
        <f>IF('Midterm OVPAA-F-INS-055A RAW SC'!BH33="","",'Midterm OVPAA-F-INS-055A RAW SC'!BH33/'Midterm OVPAA-F-INS-055A RAW SC'!BH$17*100)</f>
        <v/>
      </c>
      <c r="BI33" s="126" t="str">
        <f>IF('Midterm OVPAA-F-INS-055A RAW SC'!BI33="","",'Midterm OVPAA-F-INS-055A RAW SC'!BI33/'Midterm OVPAA-F-INS-055A RAW SC'!BI$17*100)</f>
        <v/>
      </c>
      <c r="BJ33" s="126" t="str">
        <f>IF('Midterm OVPAA-F-INS-055A RAW SC'!BJ33="","",'Midterm OVPAA-F-INS-055A RAW SC'!BJ33/'Midterm OVPAA-F-INS-055A RAW SC'!BJ$17*100)</f>
        <v/>
      </c>
      <c r="BK33" s="126" t="str">
        <f>IF('Midterm OVPAA-F-INS-055A RAW SC'!BK33="","",'Midterm OVPAA-F-INS-055A RAW SC'!BK33/'Midterm OVPAA-F-INS-055A RAW SC'!BK$17*100)</f>
        <v/>
      </c>
      <c r="BL33" s="126" t="str">
        <f>IF('Midterm OVPAA-F-INS-055A RAW SC'!BL33="","",'Midterm OVPAA-F-INS-055A RAW SC'!BL33/'Midterm OVPAA-F-INS-055A RAW SC'!BL$17*100)</f>
        <v/>
      </c>
      <c r="BM33" s="126" t="str">
        <f>IF('Midterm OVPAA-F-INS-055A RAW SC'!BM33="","",'Midterm OVPAA-F-INS-055A RAW SC'!BM33/'Midterm OVPAA-F-INS-055A RAW SC'!BM$17*100)</f>
        <v/>
      </c>
      <c r="BN33" s="126" t="str">
        <f>IF('Midterm OVPAA-F-INS-055A RAW SC'!BN33="","",'Midterm OVPAA-F-INS-055A RAW SC'!BN33/'Midterm OVPAA-F-INS-055A RAW SC'!BN$17*100)</f>
        <v/>
      </c>
      <c r="BO33" s="126" t="str">
        <f>IF('Midterm OVPAA-F-INS-055A RAW SC'!BO33="","",'Midterm OVPAA-F-INS-055A RAW SC'!BO33/'Midterm OVPAA-F-INS-055A RAW SC'!BO$17*100)</f>
        <v/>
      </c>
      <c r="BP33" s="126" t="str">
        <f>IF('Midterm OVPAA-F-INS-055A RAW SC'!BP33="","",'Midterm OVPAA-F-INS-055A RAW SC'!BP33/'Midterm OVPAA-F-INS-055A RAW SC'!BP$17*100)</f>
        <v/>
      </c>
      <c r="BQ33" s="126" t="str">
        <f>IF('Midterm OVPAA-F-INS-055A RAW SC'!BQ33="","",'Midterm OVPAA-F-INS-055A RAW SC'!BQ33/'Midterm OVPAA-F-INS-055A RAW SC'!BQ$17*100)</f>
        <v/>
      </c>
      <c r="BR33" s="126" t="str">
        <f>IF('Midterm OVPAA-F-INS-055A RAW SC'!BR33="","",'Midterm OVPAA-F-INS-055A RAW SC'!BR33/'Midterm OVPAA-F-INS-055A RAW SC'!BR$17*100)</f>
        <v/>
      </c>
      <c r="BS33" s="126" t="str">
        <f>IF('Midterm OVPAA-F-INS-055A RAW SC'!BS33="","",'Midterm OVPAA-F-INS-055A RAW SC'!BS33/'Midterm OVPAA-F-INS-055A RAW SC'!BS$17*100)</f>
        <v/>
      </c>
      <c r="BT33" s="126" t="str">
        <f>IF('Midterm OVPAA-F-INS-055A RAW SC'!BT33="","",'Midterm OVPAA-F-INS-055A RAW SC'!BT33/'Midterm OVPAA-F-INS-055A RAW SC'!BT$17*100)</f>
        <v/>
      </c>
      <c r="BU33" s="127">
        <f t="array" ref="BU33">IF('Midterm OVPAA-F-INS-055A RAW SC'!$G33="","",IF((SUMPRODUCT(--ISBLANK('Midterm OVPAA-F-INS-055A RAW SC'!H33:BT33))=COLUMNS('Midterm OVPAA-F-INS-055A RAW SC'!H33:BT33))=TRUE,"",(((COUNTA('Midterm OVPAA-F-INS-055A RAW SC'!$H$17:$BT$17)+COUNTBLANK('Midterm OVPAA-F-INS-055A RAW SC'!H33:BT33))-COLUMNS('Midterm OVPAA-F-INS-055A RAW SC'!H33:BT33))*5+SUM(H33:BT33))/COUNTA('Midterm OVPAA-F-INS-055A RAW SC'!$H$17:$BT$17)))</f>
        <v>80.666666666666671</v>
      </c>
      <c r="BV33" s="128">
        <f>IF(BU33="","",VLOOKUP(BU33,IF('Midterm OVPAA-F-INS-055A RAW SC'!$V$12=0.5,TRANSMUTATION!$C$4:$D$17,TRANSMUTATION!$G$4:$H$17),2,TRUE))</f>
        <v>1.75</v>
      </c>
      <c r="BW33" s="129">
        <f>IF('Midterm OVPAA-F-INS-055A RAW SC'!BU33="","",'Midterm OVPAA-F-INS-055A RAW SC'!BU33/'Midterm OVPAA-F-INS-055A RAW SC'!BU$17*100)</f>
        <v>72</v>
      </c>
      <c r="BX33" s="130">
        <f>IF('Midterm OVPAA-F-INS-055A RAW SC'!BV33="","",'Midterm OVPAA-F-INS-055A RAW SC'!BV33/'Midterm OVPAA-F-INS-055A RAW SC'!BV$17*100)</f>
        <v>100</v>
      </c>
      <c r="BY33" s="130">
        <f>IF('Midterm OVPAA-F-INS-055A RAW SC'!BW33="","",'Midterm OVPAA-F-INS-055A RAW SC'!BW33/'Midterm OVPAA-F-INS-055A RAW SC'!BW$17*100)</f>
        <v>75</v>
      </c>
      <c r="BZ33" s="130" t="str">
        <f>IF('Midterm OVPAA-F-INS-055A RAW SC'!BX33="","",'Midterm OVPAA-F-INS-055A RAW SC'!BX33/'Midterm OVPAA-F-INS-055A RAW SC'!BX$17*100)</f>
        <v/>
      </c>
      <c r="CA33" s="130" t="str">
        <f>IF('Midterm OVPAA-F-INS-055A RAW SC'!BY33="","",'Midterm OVPAA-F-INS-055A RAW SC'!BY33/'Midterm OVPAA-F-INS-055A RAW SC'!BY$17*100)</f>
        <v/>
      </c>
      <c r="CB33" s="130" t="str">
        <f>IF('Midterm OVPAA-F-INS-055A RAW SC'!BZ33="","",'Midterm OVPAA-F-INS-055A RAW SC'!BZ33/'Midterm OVPAA-F-INS-055A RAW SC'!BZ$17*100)</f>
        <v/>
      </c>
      <c r="CC33" s="130" t="str">
        <f>IF('Midterm OVPAA-F-INS-055A RAW SC'!CA33="","",'Midterm OVPAA-F-INS-055A RAW SC'!CA33/'Midterm OVPAA-F-INS-055A RAW SC'!CA$17*100)</f>
        <v/>
      </c>
      <c r="CD33" s="130" t="str">
        <f>IF('Midterm OVPAA-F-INS-055A RAW SC'!CB33="","",'Midterm OVPAA-F-INS-055A RAW SC'!CB33/'Midterm OVPAA-F-INS-055A RAW SC'!CB$17*100)</f>
        <v/>
      </c>
      <c r="CE33" s="130" t="str">
        <f>IF('Midterm OVPAA-F-INS-055A RAW SC'!CC33="","",'Midterm OVPAA-F-INS-055A RAW SC'!CC33/'Midterm OVPAA-F-INS-055A RAW SC'!CC$17*100)</f>
        <v/>
      </c>
      <c r="CF33" s="130" t="str">
        <f>IF('Midterm OVPAA-F-INS-055A RAW SC'!CD33="","",'Midterm OVPAA-F-INS-055A RAW SC'!CD33/'Midterm OVPAA-F-INS-055A RAW SC'!CD$17*100)</f>
        <v/>
      </c>
      <c r="CG33" s="130" t="str">
        <f>IF('Midterm OVPAA-F-INS-055A RAW SC'!CE33="","",'Midterm OVPAA-F-INS-055A RAW SC'!CE33/'Midterm OVPAA-F-INS-055A RAW SC'!CE$17*100)</f>
        <v/>
      </c>
      <c r="CH33" s="130" t="str">
        <f>IF('Midterm OVPAA-F-INS-055A RAW SC'!CF33="","",'Midterm OVPAA-F-INS-055A RAW SC'!CF33/'Midterm OVPAA-F-INS-055A RAW SC'!CF$17*100)</f>
        <v/>
      </c>
      <c r="CI33" s="130" t="str">
        <f>IF('Midterm OVPAA-F-INS-055A RAW SC'!CG33="","",'Midterm OVPAA-F-INS-055A RAW SC'!CG33/'Midterm OVPAA-F-INS-055A RAW SC'!CG$17*100)</f>
        <v/>
      </c>
      <c r="CJ33" s="130" t="str">
        <f>IF('Midterm OVPAA-F-INS-055A RAW SC'!CH33="","",'Midterm OVPAA-F-INS-055A RAW SC'!CH33/'Midterm OVPAA-F-INS-055A RAW SC'!CH$17*100)</f>
        <v/>
      </c>
      <c r="CK33" s="130" t="str">
        <f>IF('Midterm OVPAA-F-INS-055A RAW SC'!CI33="","",'Midterm OVPAA-F-INS-055A RAW SC'!CI33/'Midterm OVPAA-F-INS-055A RAW SC'!CI$17*100)</f>
        <v/>
      </c>
      <c r="CL33" s="130" t="str">
        <f>IF('Midterm OVPAA-F-INS-055A RAW SC'!CJ33="","",'Midterm OVPAA-F-INS-055A RAW SC'!CJ33/'Midterm OVPAA-F-INS-055A RAW SC'!CJ$17*100)</f>
        <v/>
      </c>
      <c r="CM33" s="130" t="str">
        <f>IF('Midterm OVPAA-F-INS-055A RAW SC'!CK33="","",'Midterm OVPAA-F-INS-055A RAW SC'!CK33/'Midterm OVPAA-F-INS-055A RAW SC'!CK$17*100)</f>
        <v/>
      </c>
      <c r="CN33" s="130" t="str">
        <f>IF('Midterm OVPAA-F-INS-055A RAW SC'!CL33="","",'Midterm OVPAA-F-INS-055A RAW SC'!CL33/'Midterm OVPAA-F-INS-055A RAW SC'!CL$17*100)</f>
        <v/>
      </c>
      <c r="CO33" s="130" t="str">
        <f>IF('Midterm OVPAA-F-INS-055A RAW SC'!CM33="","",'Midterm OVPAA-F-INS-055A RAW SC'!CM33/'Midterm OVPAA-F-INS-055A RAW SC'!CM$17*100)</f>
        <v/>
      </c>
      <c r="CP33" s="130" t="str">
        <f>IF('Midterm OVPAA-F-INS-055A RAW SC'!CN33="","",'Midterm OVPAA-F-INS-055A RAW SC'!CN33/'Midterm OVPAA-F-INS-055A RAW SC'!CN$17*100)</f>
        <v/>
      </c>
      <c r="CQ33" s="131">
        <f t="array" ref="CQ33">IF('Midterm OVPAA-F-INS-055A RAW SC'!G33="","",IF((SUMPRODUCT(--ISBLANK('Midterm OVPAA-F-INS-055A RAW SC'!BU33:CN33))=COLUMNS('Midterm OVPAA-F-INS-055A RAW SC'!BU33:CN33))=TRUE,"",(((COUNTA('Midterm OVPAA-F-INS-055A RAW SC'!$BU$17:$CN$17)+COUNTBLANK('Midterm OVPAA-F-INS-055A RAW SC'!BU33:CN33))-COLUMNS('Midterm OVPAA-F-INS-055A RAW SC'!BU33:CN33))*5+SUM(BW33:CP33))/COUNTA('Midterm OVPAA-F-INS-055A RAW SC'!$BU$17:$CN$17)))</f>
        <v>82.333333333333329</v>
      </c>
      <c r="CR33" s="132">
        <f>IF(CQ33="","",VLOOKUP(CQ33,IF('Midterm OVPAA-F-INS-055A RAW SC'!$V$12=0.5,TRANSMUTATION!$C$4:$D$17,TRANSMUTATION!$G$4:$H$17),2,TRUE))</f>
        <v>1.75</v>
      </c>
      <c r="CS33" s="133">
        <f>IF('Midterm OVPAA-F-INS-055A RAW SC'!CO33="","",'Midterm OVPAA-F-INS-055A RAW SC'!CO33/'Midterm OVPAA-F-INS-055A RAW SC'!CO$17*100)</f>
        <v>72</v>
      </c>
      <c r="CT33" s="133">
        <f>IF('Midterm OVPAA-F-INS-055A RAW SC'!CP33="","",'Midterm OVPAA-F-INS-055A RAW SC'!CP33/'Midterm OVPAA-F-INS-055A RAW SC'!CP$17*100)</f>
        <v>82</v>
      </c>
      <c r="CU33" s="133" t="str">
        <f>IF('Midterm OVPAA-F-INS-055A RAW SC'!CQ33="","",'Midterm OVPAA-F-INS-055A RAW SC'!CQ33/'Midterm OVPAA-F-INS-055A RAW SC'!CQ$17*100)</f>
        <v/>
      </c>
      <c r="CV33" s="133" t="str">
        <f>IF('Midterm OVPAA-F-INS-055A RAW SC'!CR33="","",'Midterm OVPAA-F-INS-055A RAW SC'!CR33/'Midterm OVPAA-F-INS-055A RAW SC'!CR$17*100)</f>
        <v/>
      </c>
      <c r="CW33" s="133" t="str">
        <f>IF('Midterm OVPAA-F-INS-055A RAW SC'!CS33="","",'Midterm OVPAA-F-INS-055A RAW SC'!CS33/'Midterm OVPAA-F-INS-055A RAW SC'!CS$17*100)</f>
        <v/>
      </c>
      <c r="CX33" s="133" t="str">
        <f>IF('Midterm OVPAA-F-INS-055A RAW SC'!CT33="","",'Midterm OVPAA-F-INS-055A RAW SC'!CT33/'Midterm OVPAA-F-INS-055A RAW SC'!CT$17*100)</f>
        <v/>
      </c>
      <c r="CY33" s="133" t="str">
        <f>IF('Midterm OVPAA-F-INS-055A RAW SC'!CU33="","",'Midterm OVPAA-F-INS-055A RAW SC'!CU33/'Midterm OVPAA-F-INS-055A RAW SC'!CU$17*100)</f>
        <v/>
      </c>
      <c r="CZ33" s="133" t="str">
        <f>IF('Midterm OVPAA-F-INS-055A RAW SC'!CV33="","",'Midterm OVPAA-F-INS-055A RAW SC'!CV33/'Midterm OVPAA-F-INS-055A RAW SC'!CV$17*100)</f>
        <v/>
      </c>
      <c r="DA33" s="133" t="str">
        <f>IF('Midterm OVPAA-F-INS-055A RAW SC'!CW33="","",'Midterm OVPAA-F-INS-055A RAW SC'!CW33/'Midterm OVPAA-F-INS-055A RAW SC'!CW$17*100)</f>
        <v/>
      </c>
      <c r="DB33" s="133" t="str">
        <f>IF('Midterm OVPAA-F-INS-055A RAW SC'!CX33="","",'Midterm OVPAA-F-INS-055A RAW SC'!CX33/'Midterm OVPAA-F-INS-055A RAW SC'!CX$17*100)</f>
        <v/>
      </c>
      <c r="DC33" s="134">
        <f t="array" ref="DC33">IF('Midterm OVPAA-F-INS-055A RAW SC'!$G33="","",IF((SUMPRODUCT(--ISBLANK('Midterm OVPAA-F-INS-055A RAW SC'!CO33:CX33))=COLUMNS('Midterm OVPAA-F-INS-055A RAW SC'!CO33:CX33))=TRUE,"",(((COUNTA('Midterm OVPAA-F-INS-055A RAW SC'!$CO$17:$CX$17)+COUNTBLANK('Midterm OVPAA-F-INS-055A RAW SC'!CO33:CX33))-COLUMNS('Midterm OVPAA-F-INS-055A RAW SC'!CO33:CX33))*5+SUM(CS33:DB33))/COUNTA('Midterm OVPAA-F-INS-055A RAW SC'!$CO$17:$CX$17)))</f>
        <v>77</v>
      </c>
      <c r="DD33" s="135">
        <f>IF(DC33="","",VLOOKUP(DC33,IF('Midterm OVPAA-F-INS-055A RAW SC'!$V$12=0.5,TRANSMUTATION!$C$4:$D$17,TRANSMUTATION!$G$4:$H$17),2,TRUE))</f>
        <v>2</v>
      </c>
      <c r="DE33" s="136">
        <f t="shared" si="1"/>
        <v>0.52500000000000002</v>
      </c>
      <c r="DF33" s="137">
        <f t="shared" si="2"/>
        <v>0.52500000000000002</v>
      </c>
      <c r="DG33" s="138">
        <f t="shared" si="3"/>
        <v>0.8</v>
      </c>
      <c r="DH33" s="136">
        <f t="shared" si="4"/>
        <v>1.85</v>
      </c>
      <c r="DI33" s="123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IF('Midterm OVPAA-F-INS-055A RAW SC'!H34="","",'Midterm OVPAA-F-INS-055A RAW SC'!H34/'Midterm OVPAA-F-INS-055A RAW SC'!H$17*100)</f>
        <v>72</v>
      </c>
      <c r="I34" s="126">
        <f>IF('Midterm OVPAA-F-INS-055A RAW SC'!I34="","",'Midterm OVPAA-F-INS-055A RAW SC'!I34/'Midterm OVPAA-F-INS-055A RAW SC'!I$17*100)</f>
        <v>60</v>
      </c>
      <c r="J34" s="126">
        <v>70</v>
      </c>
      <c r="K34" s="126" t="str">
        <f>IF('Midterm OVPAA-F-INS-055A RAW SC'!K34="","",'Midterm OVPAA-F-INS-055A RAW SC'!K34/'Midterm OVPAA-F-INS-055A RAW SC'!K$17*100)</f>
        <v/>
      </c>
      <c r="L34" s="126" t="str">
        <f>IF('Midterm OVPAA-F-INS-055A RAW SC'!L34="","",'Midterm OVPAA-F-INS-055A RAW SC'!L34/'Midterm OVPAA-F-INS-055A RAW SC'!L$17*100)</f>
        <v/>
      </c>
      <c r="M34" s="126" t="str">
        <f>IF('Midterm OVPAA-F-INS-055A RAW SC'!M34="","",'Midterm OVPAA-F-INS-055A RAW SC'!M34/'Midterm OVPAA-F-INS-055A RAW SC'!M$17*100)</f>
        <v/>
      </c>
      <c r="N34" s="126" t="str">
        <f>IF('Midterm OVPAA-F-INS-055A RAW SC'!N34="","",'Midterm OVPAA-F-INS-055A RAW SC'!N34/'Midterm OVPAA-F-INS-055A RAW SC'!N$17*100)</f>
        <v/>
      </c>
      <c r="O34" s="126" t="str">
        <f>IF('Midterm OVPAA-F-INS-055A RAW SC'!O34="","",'Midterm OVPAA-F-INS-055A RAW SC'!O34/'Midterm OVPAA-F-INS-055A RAW SC'!O$17*100)</f>
        <v/>
      </c>
      <c r="P34" s="126" t="str">
        <f>IF('Midterm OVPAA-F-INS-055A RAW SC'!P34="","",'Midterm OVPAA-F-INS-055A RAW SC'!P34/'Midterm OVPAA-F-INS-055A RAW SC'!P$17*100)</f>
        <v/>
      </c>
      <c r="Q34" s="126" t="str">
        <f>IF('Midterm OVPAA-F-INS-055A RAW SC'!Q34="","",'Midterm OVPAA-F-INS-055A RAW SC'!Q34/'Midterm OVPAA-F-INS-055A RAW SC'!Q$17*100)</f>
        <v/>
      </c>
      <c r="R34" s="126" t="str">
        <f>IF('Midterm OVPAA-F-INS-055A RAW SC'!R34="","",'Midterm OVPAA-F-INS-055A RAW SC'!R34/'Midterm OVPAA-F-INS-055A RAW SC'!R$17*100)</f>
        <v/>
      </c>
      <c r="S34" s="126" t="str">
        <f>IF('Midterm OVPAA-F-INS-055A RAW SC'!S34="","",'Midterm OVPAA-F-INS-055A RAW SC'!S34/'Midterm OVPAA-F-INS-055A RAW SC'!S$17*100)</f>
        <v/>
      </c>
      <c r="T34" s="126" t="str">
        <f>IF('Midterm OVPAA-F-INS-055A RAW SC'!T34="","",'Midterm OVPAA-F-INS-055A RAW SC'!T34/'Midterm OVPAA-F-INS-055A RAW SC'!T$17*100)</f>
        <v/>
      </c>
      <c r="U34" s="126" t="str">
        <f>IF('Midterm OVPAA-F-INS-055A RAW SC'!U34="","",'Midterm OVPAA-F-INS-055A RAW SC'!U34/'Midterm OVPAA-F-INS-055A RAW SC'!U$17*100)</f>
        <v/>
      </c>
      <c r="V34" s="126" t="str">
        <f>IF('Midterm OVPAA-F-INS-055A RAW SC'!V34="","",'Midterm OVPAA-F-INS-055A RAW SC'!V34/'Midterm OVPAA-F-INS-055A RAW SC'!V$17*100)</f>
        <v/>
      </c>
      <c r="W34" s="126" t="str">
        <f>IF('Midterm OVPAA-F-INS-055A RAW SC'!W34="","",'Midterm OVPAA-F-INS-055A RAW SC'!W34/'Midterm OVPAA-F-INS-055A RAW SC'!W$17*100)</f>
        <v/>
      </c>
      <c r="X34" s="126" t="str">
        <f>IF('Midterm OVPAA-F-INS-055A RAW SC'!X34="","",'Midterm OVPAA-F-INS-055A RAW SC'!X34/'Midterm OVPAA-F-INS-055A RAW SC'!X$17*100)</f>
        <v/>
      </c>
      <c r="Y34" s="126" t="str">
        <f>IF('Midterm OVPAA-F-INS-055A RAW SC'!Y34="","",'Midterm OVPAA-F-INS-055A RAW SC'!Y34/'Midterm OVPAA-F-INS-055A RAW SC'!Y$17*100)</f>
        <v/>
      </c>
      <c r="Z34" s="126" t="str">
        <f>IF('Midterm OVPAA-F-INS-055A RAW SC'!Z34="","",'Midterm OVPAA-F-INS-055A RAW SC'!Z34/'Midterm OVPAA-F-INS-055A RAW SC'!Z$17*100)</f>
        <v/>
      </c>
      <c r="AA34" s="126" t="str">
        <f>IF('Midterm OVPAA-F-INS-055A RAW SC'!AA34="","",'Midterm OVPAA-F-INS-055A RAW SC'!AA34/'Midterm OVPAA-F-INS-055A RAW SC'!AA$17*100)</f>
        <v/>
      </c>
      <c r="AB34" s="126" t="str">
        <f>IF('Midterm OVPAA-F-INS-055A RAW SC'!AB34="","",'Midterm OVPAA-F-INS-055A RAW SC'!AB34/'Midterm OVPAA-F-INS-055A RAW SC'!AB$17*100)</f>
        <v/>
      </c>
      <c r="AC34" s="126" t="str">
        <f>IF('Midterm OVPAA-F-INS-055A RAW SC'!AC34="","",'Midterm OVPAA-F-INS-055A RAW SC'!AC34/'Midterm OVPAA-F-INS-055A RAW SC'!AC$17*100)</f>
        <v/>
      </c>
      <c r="AD34" s="126" t="str">
        <f>IF('Midterm OVPAA-F-INS-055A RAW SC'!AD34="","",'Midterm OVPAA-F-INS-055A RAW SC'!AD34/'Midterm OVPAA-F-INS-055A RAW SC'!AD$17*100)</f>
        <v/>
      </c>
      <c r="AE34" s="126" t="str">
        <f>IF('Midterm OVPAA-F-INS-055A RAW SC'!AE34="","",'Midterm OVPAA-F-INS-055A RAW SC'!AE34/'Midterm OVPAA-F-INS-055A RAW SC'!AE$17*100)</f>
        <v/>
      </c>
      <c r="AF34" s="126" t="str">
        <f>IF('Midterm OVPAA-F-INS-055A RAW SC'!AF34="","",'Midterm OVPAA-F-INS-055A RAW SC'!AF34/'Midterm OVPAA-F-INS-055A RAW SC'!AF$17*100)</f>
        <v/>
      </c>
      <c r="AG34" s="126" t="str">
        <f>IF('Midterm OVPAA-F-INS-055A RAW SC'!AG34="","",'Midterm OVPAA-F-INS-055A RAW SC'!AG34/'Midterm OVPAA-F-INS-055A RAW SC'!AG$17*100)</f>
        <v/>
      </c>
      <c r="AH34" s="126" t="str">
        <f>IF('Midterm OVPAA-F-INS-055A RAW SC'!AH34="","",'Midterm OVPAA-F-INS-055A RAW SC'!AH34/'Midterm OVPAA-F-INS-055A RAW SC'!AH$17*100)</f>
        <v/>
      </c>
      <c r="AI34" s="126" t="str">
        <f>IF('Midterm OVPAA-F-INS-055A RAW SC'!AI34="","",'Midterm OVPAA-F-INS-055A RAW SC'!AI34/'Midterm OVPAA-F-INS-055A RAW SC'!AI$17*100)</f>
        <v/>
      </c>
      <c r="AJ34" s="126" t="str">
        <f>IF('Midterm OVPAA-F-INS-055A RAW SC'!AJ34="","",'Midterm OVPAA-F-INS-055A RAW SC'!AJ34/'Midterm OVPAA-F-INS-055A RAW SC'!AJ$17*100)</f>
        <v/>
      </c>
      <c r="AK34" s="126" t="str">
        <f>IF('Midterm OVPAA-F-INS-055A RAW SC'!AK34="","",'Midterm OVPAA-F-INS-055A RAW SC'!AK34/'Midterm OVPAA-F-INS-055A RAW SC'!AK$17*100)</f>
        <v/>
      </c>
      <c r="AL34" s="126" t="str">
        <f>IF('Midterm OVPAA-F-INS-055A RAW SC'!AL34="","",'Midterm OVPAA-F-INS-055A RAW SC'!AL34/'Midterm OVPAA-F-INS-055A RAW SC'!AL$17*100)</f>
        <v/>
      </c>
      <c r="AM34" s="126" t="str">
        <f>IF('Midterm OVPAA-F-INS-055A RAW SC'!AM34="","",'Midterm OVPAA-F-INS-055A RAW SC'!AM34/'Midterm OVPAA-F-INS-055A RAW SC'!AM$17*100)</f>
        <v/>
      </c>
      <c r="AN34" s="126" t="str">
        <f>IF('Midterm OVPAA-F-INS-055A RAW SC'!AN34="","",'Midterm OVPAA-F-INS-055A RAW SC'!AN34/'Midterm OVPAA-F-INS-055A RAW SC'!AN$17*100)</f>
        <v/>
      </c>
      <c r="AO34" s="126" t="str">
        <f>IF('Midterm OVPAA-F-INS-055A RAW SC'!AO34="","",'Midterm OVPAA-F-INS-055A RAW SC'!AO34/'Midterm OVPAA-F-INS-055A RAW SC'!AO$17*100)</f>
        <v/>
      </c>
      <c r="AP34" s="126" t="str">
        <f>IF('Midterm OVPAA-F-INS-055A RAW SC'!AP34="","",'Midterm OVPAA-F-INS-055A RAW SC'!AP34/'Midterm OVPAA-F-INS-055A RAW SC'!AP$17*100)</f>
        <v/>
      </c>
      <c r="AQ34" s="126" t="str">
        <f>IF('Midterm OVPAA-F-INS-055A RAW SC'!AQ34="","",'Midterm OVPAA-F-INS-055A RAW SC'!AQ34/'Midterm OVPAA-F-INS-055A RAW SC'!AQ$17*100)</f>
        <v/>
      </c>
      <c r="AR34" s="126" t="str">
        <f>IF('Midterm OVPAA-F-INS-055A RAW SC'!AR34="","",'Midterm OVPAA-F-INS-055A RAW SC'!AR34/'Midterm OVPAA-F-INS-055A RAW SC'!AR$17*100)</f>
        <v/>
      </c>
      <c r="AS34" s="126" t="str">
        <f>IF('Midterm OVPAA-F-INS-055A RAW SC'!AS34="","",'Midterm OVPAA-F-INS-055A RAW SC'!AS34/'Midterm OVPAA-F-INS-055A RAW SC'!AS$17*100)</f>
        <v/>
      </c>
      <c r="AT34" s="126" t="str">
        <f>IF('Midterm OVPAA-F-INS-055A RAW SC'!AT34="","",'Midterm OVPAA-F-INS-055A RAW SC'!AT34/'Midterm OVPAA-F-INS-055A RAW SC'!AT$17*100)</f>
        <v/>
      </c>
      <c r="AU34" s="126" t="str">
        <f>IF('Midterm OVPAA-F-INS-055A RAW SC'!AU34="","",'Midterm OVPAA-F-INS-055A RAW SC'!AU34/'Midterm OVPAA-F-INS-055A RAW SC'!AU$17*100)</f>
        <v/>
      </c>
      <c r="AV34" s="126" t="str">
        <f>IF('Midterm OVPAA-F-INS-055A RAW SC'!AV34="","",'Midterm OVPAA-F-INS-055A RAW SC'!AV34/'Midterm OVPAA-F-INS-055A RAW SC'!AV$17*100)</f>
        <v/>
      </c>
      <c r="AW34" s="126" t="str">
        <f>IF('Midterm OVPAA-F-INS-055A RAW SC'!AW34="","",'Midterm OVPAA-F-INS-055A RAW SC'!AW34/'Midterm OVPAA-F-INS-055A RAW SC'!AW$17*100)</f>
        <v/>
      </c>
      <c r="AX34" s="126" t="str">
        <f>IF('Midterm OVPAA-F-INS-055A RAW SC'!AX34="","",'Midterm OVPAA-F-INS-055A RAW SC'!AX34/'Midterm OVPAA-F-INS-055A RAW SC'!AX$17*100)</f>
        <v/>
      </c>
      <c r="AY34" s="126" t="str">
        <f>IF('Midterm OVPAA-F-INS-055A RAW SC'!AY34="","",'Midterm OVPAA-F-INS-055A RAW SC'!AY34/'Midterm OVPAA-F-INS-055A RAW SC'!AY$17*100)</f>
        <v/>
      </c>
      <c r="AZ34" s="126" t="str">
        <f>IF('Midterm OVPAA-F-INS-055A RAW SC'!AZ34="","",'Midterm OVPAA-F-INS-055A RAW SC'!AZ34/'Midterm OVPAA-F-INS-055A RAW SC'!AZ$17*100)</f>
        <v/>
      </c>
      <c r="BA34" s="126" t="str">
        <f>IF('Midterm OVPAA-F-INS-055A RAW SC'!BA34="","",'Midterm OVPAA-F-INS-055A RAW SC'!BA34/'Midterm OVPAA-F-INS-055A RAW SC'!BA$17*100)</f>
        <v/>
      </c>
      <c r="BB34" s="126" t="str">
        <f>IF('Midterm OVPAA-F-INS-055A RAW SC'!BB34="","",'Midterm OVPAA-F-INS-055A RAW SC'!BB34/'Midterm OVPAA-F-INS-055A RAW SC'!BB$17*100)</f>
        <v/>
      </c>
      <c r="BC34" s="126" t="str">
        <f>IF('Midterm OVPAA-F-INS-055A RAW SC'!BC34="","",'Midterm OVPAA-F-INS-055A RAW SC'!BC34/'Midterm OVPAA-F-INS-055A RAW SC'!BC$17*100)</f>
        <v/>
      </c>
      <c r="BD34" s="126" t="str">
        <f>IF('Midterm OVPAA-F-INS-055A RAW SC'!BD34="","",'Midterm OVPAA-F-INS-055A RAW SC'!BD34/'Midterm OVPAA-F-INS-055A RAW SC'!BD$17*100)</f>
        <v/>
      </c>
      <c r="BE34" s="126" t="str">
        <f>IF('Midterm OVPAA-F-INS-055A RAW SC'!BE34="","",'Midterm OVPAA-F-INS-055A RAW SC'!BE34/'Midterm OVPAA-F-INS-055A RAW SC'!BE$17*100)</f>
        <v/>
      </c>
      <c r="BF34" s="126" t="str">
        <f>IF('Midterm OVPAA-F-INS-055A RAW SC'!BF34="","",'Midterm OVPAA-F-INS-055A RAW SC'!BF34/'Midterm OVPAA-F-INS-055A RAW SC'!BF$17*100)</f>
        <v/>
      </c>
      <c r="BG34" s="126" t="str">
        <f>IF('Midterm OVPAA-F-INS-055A RAW SC'!BG34="","",'Midterm OVPAA-F-INS-055A RAW SC'!BG34/'Midterm OVPAA-F-INS-055A RAW SC'!BG$17*100)</f>
        <v/>
      </c>
      <c r="BH34" s="126" t="str">
        <f>IF('Midterm OVPAA-F-INS-055A RAW SC'!BH34="","",'Midterm OVPAA-F-INS-055A RAW SC'!BH34/'Midterm OVPAA-F-INS-055A RAW SC'!BH$17*100)</f>
        <v/>
      </c>
      <c r="BI34" s="126" t="str">
        <f>IF('Midterm OVPAA-F-INS-055A RAW SC'!BI34="","",'Midterm OVPAA-F-INS-055A RAW SC'!BI34/'Midterm OVPAA-F-INS-055A RAW SC'!BI$17*100)</f>
        <v/>
      </c>
      <c r="BJ34" s="126" t="str">
        <f>IF('Midterm OVPAA-F-INS-055A RAW SC'!BJ34="","",'Midterm OVPAA-F-INS-055A RAW SC'!BJ34/'Midterm OVPAA-F-INS-055A RAW SC'!BJ$17*100)</f>
        <v/>
      </c>
      <c r="BK34" s="126" t="str">
        <f>IF('Midterm OVPAA-F-INS-055A RAW SC'!BK34="","",'Midterm OVPAA-F-INS-055A RAW SC'!BK34/'Midterm OVPAA-F-INS-055A RAW SC'!BK$17*100)</f>
        <v/>
      </c>
      <c r="BL34" s="126" t="str">
        <f>IF('Midterm OVPAA-F-INS-055A RAW SC'!BL34="","",'Midterm OVPAA-F-INS-055A RAW SC'!BL34/'Midterm OVPAA-F-INS-055A RAW SC'!BL$17*100)</f>
        <v/>
      </c>
      <c r="BM34" s="126" t="str">
        <f>IF('Midterm OVPAA-F-INS-055A RAW SC'!BM34="","",'Midterm OVPAA-F-INS-055A RAW SC'!BM34/'Midterm OVPAA-F-INS-055A RAW SC'!BM$17*100)</f>
        <v/>
      </c>
      <c r="BN34" s="126" t="str">
        <f>IF('Midterm OVPAA-F-INS-055A RAW SC'!BN34="","",'Midterm OVPAA-F-INS-055A RAW SC'!BN34/'Midterm OVPAA-F-INS-055A RAW SC'!BN$17*100)</f>
        <v/>
      </c>
      <c r="BO34" s="126" t="str">
        <f>IF('Midterm OVPAA-F-INS-055A RAW SC'!BO34="","",'Midterm OVPAA-F-INS-055A RAW SC'!BO34/'Midterm OVPAA-F-INS-055A RAW SC'!BO$17*100)</f>
        <v/>
      </c>
      <c r="BP34" s="126" t="str">
        <f>IF('Midterm OVPAA-F-INS-055A RAW SC'!BP34="","",'Midterm OVPAA-F-INS-055A RAW SC'!BP34/'Midterm OVPAA-F-INS-055A RAW SC'!BP$17*100)</f>
        <v/>
      </c>
      <c r="BQ34" s="126" t="str">
        <f>IF('Midterm OVPAA-F-INS-055A RAW SC'!BQ34="","",'Midterm OVPAA-F-INS-055A RAW SC'!BQ34/'Midterm OVPAA-F-INS-055A RAW SC'!BQ$17*100)</f>
        <v/>
      </c>
      <c r="BR34" s="126" t="str">
        <f>IF('Midterm OVPAA-F-INS-055A RAW SC'!BR34="","",'Midterm OVPAA-F-INS-055A RAW SC'!BR34/'Midterm OVPAA-F-INS-055A RAW SC'!BR$17*100)</f>
        <v/>
      </c>
      <c r="BS34" s="126" t="str">
        <f>IF('Midterm OVPAA-F-INS-055A RAW SC'!BS34="","",'Midterm OVPAA-F-INS-055A RAW SC'!BS34/'Midterm OVPAA-F-INS-055A RAW SC'!BS$17*100)</f>
        <v/>
      </c>
      <c r="BT34" s="126" t="str">
        <f>IF('Midterm OVPAA-F-INS-055A RAW SC'!BT34="","",'Midterm OVPAA-F-INS-055A RAW SC'!BT34/'Midterm OVPAA-F-INS-055A RAW SC'!BT$17*100)</f>
        <v/>
      </c>
      <c r="BU34" s="127">
        <f t="array" ref="BU34">IF('Midterm OVPAA-F-INS-055A RAW SC'!$G34="","",IF((SUMPRODUCT(--ISBLANK('Midterm OVPAA-F-INS-055A RAW SC'!H34:BT34))=COLUMNS('Midterm OVPAA-F-INS-055A RAW SC'!H34:BT34))=TRUE,"",(((COUNTA('Midterm OVPAA-F-INS-055A RAW SC'!$H$17:$BT$17)+COUNTBLANK('Midterm OVPAA-F-INS-055A RAW SC'!H34:BT34))-COLUMNS('Midterm OVPAA-F-INS-055A RAW SC'!H34:BT34))*5+SUM(H34:BT34))/COUNTA('Midterm OVPAA-F-INS-055A RAW SC'!$H$17:$BT$17)))</f>
        <v>67.333333333333329</v>
      </c>
      <c r="BV34" s="128">
        <f>IF(BU34="","",VLOOKUP(BU34,IF('Midterm OVPAA-F-INS-055A RAW SC'!$V$12=0.5,TRANSMUTATION!$C$4:$D$17,TRANSMUTATION!$G$4:$H$17),2,TRUE))</f>
        <v>2.5</v>
      </c>
      <c r="BW34" s="129">
        <f>IF('Midterm OVPAA-F-INS-055A RAW SC'!BU34="","",'Midterm OVPAA-F-INS-055A RAW SC'!BU34/'Midterm OVPAA-F-INS-055A RAW SC'!BU$17*100)</f>
        <v>72</v>
      </c>
      <c r="BX34" s="130">
        <f>IF('Midterm OVPAA-F-INS-055A RAW SC'!BV34="","",'Midterm OVPAA-F-INS-055A RAW SC'!BV34/'Midterm OVPAA-F-INS-055A RAW SC'!BV$17*100)</f>
        <v>100</v>
      </c>
      <c r="BY34" s="130">
        <f>IF('Midterm OVPAA-F-INS-055A RAW SC'!BW34="","",'Midterm OVPAA-F-INS-055A RAW SC'!BW34/'Midterm OVPAA-F-INS-055A RAW SC'!BW$17*100)</f>
        <v>75</v>
      </c>
      <c r="BZ34" s="130" t="str">
        <f>IF('Midterm OVPAA-F-INS-055A RAW SC'!BX34="","",'Midterm OVPAA-F-INS-055A RAW SC'!BX34/'Midterm OVPAA-F-INS-055A RAW SC'!BX$17*100)</f>
        <v/>
      </c>
      <c r="CA34" s="130" t="str">
        <f>IF('Midterm OVPAA-F-INS-055A RAW SC'!BY34="","",'Midterm OVPAA-F-INS-055A RAW SC'!BY34/'Midterm OVPAA-F-INS-055A RAW SC'!BY$17*100)</f>
        <v/>
      </c>
      <c r="CB34" s="130" t="str">
        <f>IF('Midterm OVPAA-F-INS-055A RAW SC'!BZ34="","",'Midterm OVPAA-F-INS-055A RAW SC'!BZ34/'Midterm OVPAA-F-INS-055A RAW SC'!BZ$17*100)</f>
        <v/>
      </c>
      <c r="CC34" s="130" t="str">
        <f>IF('Midterm OVPAA-F-INS-055A RAW SC'!CA34="","",'Midterm OVPAA-F-INS-055A RAW SC'!CA34/'Midterm OVPAA-F-INS-055A RAW SC'!CA$17*100)</f>
        <v/>
      </c>
      <c r="CD34" s="130" t="str">
        <f>IF('Midterm OVPAA-F-INS-055A RAW SC'!CB34="","",'Midterm OVPAA-F-INS-055A RAW SC'!CB34/'Midterm OVPAA-F-INS-055A RAW SC'!CB$17*100)</f>
        <v/>
      </c>
      <c r="CE34" s="130" t="str">
        <f>IF('Midterm OVPAA-F-INS-055A RAW SC'!CC34="","",'Midterm OVPAA-F-INS-055A RAW SC'!CC34/'Midterm OVPAA-F-INS-055A RAW SC'!CC$17*100)</f>
        <v/>
      </c>
      <c r="CF34" s="130" t="str">
        <f>IF('Midterm OVPAA-F-INS-055A RAW SC'!CD34="","",'Midterm OVPAA-F-INS-055A RAW SC'!CD34/'Midterm OVPAA-F-INS-055A RAW SC'!CD$17*100)</f>
        <v/>
      </c>
      <c r="CG34" s="130" t="str">
        <f>IF('Midterm OVPAA-F-INS-055A RAW SC'!CE34="","",'Midterm OVPAA-F-INS-055A RAW SC'!CE34/'Midterm OVPAA-F-INS-055A RAW SC'!CE$17*100)</f>
        <v/>
      </c>
      <c r="CH34" s="130" t="str">
        <f>IF('Midterm OVPAA-F-INS-055A RAW SC'!CF34="","",'Midterm OVPAA-F-INS-055A RAW SC'!CF34/'Midterm OVPAA-F-INS-055A RAW SC'!CF$17*100)</f>
        <v/>
      </c>
      <c r="CI34" s="130" t="str">
        <f>IF('Midterm OVPAA-F-INS-055A RAW SC'!CG34="","",'Midterm OVPAA-F-INS-055A RAW SC'!CG34/'Midterm OVPAA-F-INS-055A RAW SC'!CG$17*100)</f>
        <v/>
      </c>
      <c r="CJ34" s="130" t="str">
        <f>IF('Midterm OVPAA-F-INS-055A RAW SC'!CH34="","",'Midterm OVPAA-F-INS-055A RAW SC'!CH34/'Midterm OVPAA-F-INS-055A RAW SC'!CH$17*100)</f>
        <v/>
      </c>
      <c r="CK34" s="130" t="str">
        <f>IF('Midterm OVPAA-F-INS-055A RAW SC'!CI34="","",'Midterm OVPAA-F-INS-055A RAW SC'!CI34/'Midterm OVPAA-F-INS-055A RAW SC'!CI$17*100)</f>
        <v/>
      </c>
      <c r="CL34" s="130" t="str">
        <f>IF('Midterm OVPAA-F-INS-055A RAW SC'!CJ34="","",'Midterm OVPAA-F-INS-055A RAW SC'!CJ34/'Midterm OVPAA-F-INS-055A RAW SC'!CJ$17*100)</f>
        <v/>
      </c>
      <c r="CM34" s="130" t="str">
        <f>IF('Midterm OVPAA-F-INS-055A RAW SC'!CK34="","",'Midterm OVPAA-F-INS-055A RAW SC'!CK34/'Midterm OVPAA-F-INS-055A RAW SC'!CK$17*100)</f>
        <v/>
      </c>
      <c r="CN34" s="130" t="str">
        <f>IF('Midterm OVPAA-F-INS-055A RAW SC'!CL34="","",'Midterm OVPAA-F-INS-055A RAW SC'!CL34/'Midterm OVPAA-F-INS-055A RAW SC'!CL$17*100)</f>
        <v/>
      </c>
      <c r="CO34" s="130" t="str">
        <f>IF('Midterm OVPAA-F-INS-055A RAW SC'!CM34="","",'Midterm OVPAA-F-INS-055A RAW SC'!CM34/'Midterm OVPAA-F-INS-055A RAW SC'!CM$17*100)</f>
        <v/>
      </c>
      <c r="CP34" s="130" t="str">
        <f>IF('Midterm OVPAA-F-INS-055A RAW SC'!CN34="","",'Midterm OVPAA-F-INS-055A RAW SC'!CN34/'Midterm OVPAA-F-INS-055A RAW SC'!CN$17*100)</f>
        <v/>
      </c>
      <c r="CQ34" s="131">
        <f t="array" ref="CQ34">IF('Midterm OVPAA-F-INS-055A RAW SC'!G34="","",IF((SUMPRODUCT(--ISBLANK('Midterm OVPAA-F-INS-055A RAW SC'!BU34:CN34))=COLUMNS('Midterm OVPAA-F-INS-055A RAW SC'!BU34:CN34))=TRUE,"",(((COUNTA('Midterm OVPAA-F-INS-055A RAW SC'!$BU$17:$CN$17)+COUNTBLANK('Midterm OVPAA-F-INS-055A RAW SC'!BU34:CN34))-COLUMNS('Midterm OVPAA-F-INS-055A RAW SC'!BU34:CN34))*5+SUM(BW34:CP34))/COUNTA('Midterm OVPAA-F-INS-055A RAW SC'!$BU$17:$CN$17)))</f>
        <v>82.333333333333329</v>
      </c>
      <c r="CR34" s="132">
        <f>IF(CQ34="","",VLOOKUP(CQ34,IF('Midterm OVPAA-F-INS-055A RAW SC'!$V$12=0.5,TRANSMUTATION!$C$4:$D$17,TRANSMUTATION!$G$4:$H$17),2,TRUE))</f>
        <v>1.75</v>
      </c>
      <c r="CS34" s="133">
        <f>IF('Midterm OVPAA-F-INS-055A RAW SC'!CO34="","",'Midterm OVPAA-F-INS-055A RAW SC'!CO34/'Midterm OVPAA-F-INS-055A RAW SC'!CO$17*100)</f>
        <v>72</v>
      </c>
      <c r="CT34" s="133">
        <f>IF('Midterm OVPAA-F-INS-055A RAW SC'!CP34="","",'Midterm OVPAA-F-INS-055A RAW SC'!CP34/'Midterm OVPAA-F-INS-055A RAW SC'!CP$17*100)</f>
        <v>68</v>
      </c>
      <c r="CU34" s="133" t="str">
        <f>IF('Midterm OVPAA-F-INS-055A RAW SC'!CQ34="","",'Midterm OVPAA-F-INS-055A RAW SC'!CQ34/'Midterm OVPAA-F-INS-055A RAW SC'!CQ$17*100)</f>
        <v/>
      </c>
      <c r="CV34" s="133" t="str">
        <f>IF('Midterm OVPAA-F-INS-055A RAW SC'!CR34="","",'Midterm OVPAA-F-INS-055A RAW SC'!CR34/'Midterm OVPAA-F-INS-055A RAW SC'!CR$17*100)</f>
        <v/>
      </c>
      <c r="CW34" s="133" t="str">
        <f>IF('Midterm OVPAA-F-INS-055A RAW SC'!CS34="","",'Midterm OVPAA-F-INS-055A RAW SC'!CS34/'Midterm OVPAA-F-INS-055A RAW SC'!CS$17*100)</f>
        <v/>
      </c>
      <c r="CX34" s="133" t="str">
        <f>IF('Midterm OVPAA-F-INS-055A RAW SC'!CT34="","",'Midterm OVPAA-F-INS-055A RAW SC'!CT34/'Midterm OVPAA-F-INS-055A RAW SC'!CT$17*100)</f>
        <v/>
      </c>
      <c r="CY34" s="133" t="str">
        <f>IF('Midterm OVPAA-F-INS-055A RAW SC'!CU34="","",'Midterm OVPAA-F-INS-055A RAW SC'!CU34/'Midterm OVPAA-F-INS-055A RAW SC'!CU$17*100)</f>
        <v/>
      </c>
      <c r="CZ34" s="133" t="str">
        <f>IF('Midterm OVPAA-F-INS-055A RAW SC'!CV34="","",'Midterm OVPAA-F-INS-055A RAW SC'!CV34/'Midterm OVPAA-F-INS-055A RAW SC'!CV$17*100)</f>
        <v/>
      </c>
      <c r="DA34" s="133" t="str">
        <f>IF('Midterm OVPAA-F-INS-055A RAW SC'!CW34="","",'Midterm OVPAA-F-INS-055A RAW SC'!CW34/'Midterm OVPAA-F-INS-055A RAW SC'!CW$17*100)</f>
        <v/>
      </c>
      <c r="DB34" s="133" t="str">
        <f>IF('Midterm OVPAA-F-INS-055A RAW SC'!CX34="","",'Midterm OVPAA-F-INS-055A RAW SC'!CX34/'Midterm OVPAA-F-INS-055A RAW SC'!CX$17*100)</f>
        <v/>
      </c>
      <c r="DC34" s="134">
        <f t="array" ref="DC34">IF('Midterm OVPAA-F-INS-055A RAW SC'!$G34="","",IF((SUMPRODUCT(--ISBLANK('Midterm OVPAA-F-INS-055A RAW SC'!CO34:CX34))=COLUMNS('Midterm OVPAA-F-INS-055A RAW SC'!CO34:CX34))=TRUE,"",(((COUNTA('Midterm OVPAA-F-INS-055A RAW SC'!$CO$17:$CX$17)+COUNTBLANK('Midterm OVPAA-F-INS-055A RAW SC'!CO34:CX34))-COLUMNS('Midterm OVPAA-F-INS-055A RAW SC'!CO34:CX34))*5+SUM(CS34:DB34))/COUNTA('Midterm OVPAA-F-INS-055A RAW SC'!$CO$17:$CX$17)))</f>
        <v>70</v>
      </c>
      <c r="DD34" s="135">
        <f>IF(DC34="","",VLOOKUP(DC34,IF('Midterm OVPAA-F-INS-055A RAW SC'!$V$12=0.5,TRANSMUTATION!$C$4:$D$17,TRANSMUTATION!$G$4:$H$17),2,TRUE))</f>
        <v>2.25</v>
      </c>
      <c r="DE34" s="136">
        <f t="shared" si="1"/>
        <v>0.75</v>
      </c>
      <c r="DF34" s="137">
        <f t="shared" si="2"/>
        <v>0.52500000000000002</v>
      </c>
      <c r="DG34" s="138">
        <f t="shared" si="3"/>
        <v>0.9</v>
      </c>
      <c r="DH34" s="136">
        <f t="shared" si="4"/>
        <v>2.1749999999999998</v>
      </c>
      <c r="DI34" s="123" t="str">
        <f t="shared" si="5"/>
        <v>2.25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IF('Midterm OVPAA-F-INS-055A RAW SC'!H35="","",'Midterm OVPAA-F-INS-055A RAW SC'!H35/'Midterm OVPAA-F-INS-055A RAW SC'!H$17*100)</f>
        <v>80</v>
      </c>
      <c r="I35" s="126">
        <f>IF('Midterm OVPAA-F-INS-055A RAW SC'!I35="","",'Midterm OVPAA-F-INS-055A RAW SC'!I35/'Midterm OVPAA-F-INS-055A RAW SC'!I$17*100)</f>
        <v>94</v>
      </c>
      <c r="J35" s="126">
        <f>IF('Midterm OVPAA-F-INS-055A RAW SC'!J35="","",'Midterm OVPAA-F-INS-055A RAW SC'!J35/'Midterm OVPAA-F-INS-055A RAW SC'!J$17*100)</f>
        <v>84</v>
      </c>
      <c r="K35" s="126" t="str">
        <f>IF('Midterm OVPAA-F-INS-055A RAW SC'!K35="","",'Midterm OVPAA-F-INS-055A RAW SC'!K35/'Midterm OVPAA-F-INS-055A RAW SC'!K$17*100)</f>
        <v/>
      </c>
      <c r="L35" s="126" t="str">
        <f>IF('Midterm OVPAA-F-INS-055A RAW SC'!L35="","",'Midterm OVPAA-F-INS-055A RAW SC'!L35/'Midterm OVPAA-F-INS-055A RAW SC'!L$17*100)</f>
        <v/>
      </c>
      <c r="M35" s="126" t="str">
        <f>IF('Midterm OVPAA-F-INS-055A RAW SC'!M35="","",'Midterm OVPAA-F-INS-055A RAW SC'!M35/'Midterm OVPAA-F-INS-055A RAW SC'!M$17*100)</f>
        <v/>
      </c>
      <c r="N35" s="126" t="str">
        <f>IF('Midterm OVPAA-F-INS-055A RAW SC'!N35="","",'Midterm OVPAA-F-INS-055A RAW SC'!N35/'Midterm OVPAA-F-INS-055A RAW SC'!N$17*100)</f>
        <v/>
      </c>
      <c r="O35" s="126" t="str">
        <f>IF('Midterm OVPAA-F-INS-055A RAW SC'!O35="","",'Midterm OVPAA-F-INS-055A RAW SC'!O35/'Midterm OVPAA-F-INS-055A RAW SC'!O$17*100)</f>
        <v/>
      </c>
      <c r="P35" s="126" t="str">
        <f>IF('Midterm OVPAA-F-INS-055A RAW SC'!P35="","",'Midterm OVPAA-F-INS-055A RAW SC'!P35/'Midterm OVPAA-F-INS-055A RAW SC'!P$17*100)</f>
        <v/>
      </c>
      <c r="Q35" s="126" t="str">
        <f>IF('Midterm OVPAA-F-INS-055A RAW SC'!Q35="","",'Midterm OVPAA-F-INS-055A RAW SC'!Q35/'Midterm OVPAA-F-INS-055A RAW SC'!Q$17*100)</f>
        <v/>
      </c>
      <c r="R35" s="126" t="str">
        <f>IF('Midterm OVPAA-F-INS-055A RAW SC'!R35="","",'Midterm OVPAA-F-INS-055A RAW SC'!R35/'Midterm OVPAA-F-INS-055A RAW SC'!R$17*100)</f>
        <v/>
      </c>
      <c r="S35" s="126" t="str">
        <f>IF('Midterm OVPAA-F-INS-055A RAW SC'!S35="","",'Midterm OVPAA-F-INS-055A RAW SC'!S35/'Midterm OVPAA-F-INS-055A RAW SC'!S$17*100)</f>
        <v/>
      </c>
      <c r="T35" s="126" t="str">
        <f>IF('Midterm OVPAA-F-INS-055A RAW SC'!T35="","",'Midterm OVPAA-F-INS-055A RAW SC'!T35/'Midterm OVPAA-F-INS-055A RAW SC'!T$17*100)</f>
        <v/>
      </c>
      <c r="U35" s="126" t="str">
        <f>IF('Midterm OVPAA-F-INS-055A RAW SC'!U35="","",'Midterm OVPAA-F-INS-055A RAW SC'!U35/'Midterm OVPAA-F-INS-055A RAW SC'!U$17*100)</f>
        <v/>
      </c>
      <c r="V35" s="126" t="str">
        <f>IF('Midterm OVPAA-F-INS-055A RAW SC'!V35="","",'Midterm OVPAA-F-INS-055A RAW SC'!V35/'Midterm OVPAA-F-INS-055A RAW SC'!V$17*100)</f>
        <v/>
      </c>
      <c r="W35" s="126" t="str">
        <f>IF('Midterm OVPAA-F-INS-055A RAW SC'!W35="","",'Midterm OVPAA-F-INS-055A RAW SC'!W35/'Midterm OVPAA-F-INS-055A RAW SC'!W$17*100)</f>
        <v/>
      </c>
      <c r="X35" s="126" t="str">
        <f>IF('Midterm OVPAA-F-INS-055A RAW SC'!X35="","",'Midterm OVPAA-F-INS-055A RAW SC'!X35/'Midterm OVPAA-F-INS-055A RAW SC'!X$17*100)</f>
        <v/>
      </c>
      <c r="Y35" s="126" t="str">
        <f>IF('Midterm OVPAA-F-INS-055A RAW SC'!Y35="","",'Midterm OVPAA-F-INS-055A RAW SC'!Y35/'Midterm OVPAA-F-INS-055A RAW SC'!Y$17*100)</f>
        <v/>
      </c>
      <c r="Z35" s="126" t="str">
        <f>IF('Midterm OVPAA-F-INS-055A RAW SC'!Z35="","",'Midterm OVPAA-F-INS-055A RAW SC'!Z35/'Midterm OVPAA-F-INS-055A RAW SC'!Z$17*100)</f>
        <v/>
      </c>
      <c r="AA35" s="126" t="str">
        <f>IF('Midterm OVPAA-F-INS-055A RAW SC'!AA35="","",'Midterm OVPAA-F-INS-055A RAW SC'!AA35/'Midterm OVPAA-F-INS-055A RAW SC'!AA$17*100)</f>
        <v/>
      </c>
      <c r="AB35" s="126" t="str">
        <f>IF('Midterm OVPAA-F-INS-055A RAW SC'!AB35="","",'Midterm OVPAA-F-INS-055A RAW SC'!AB35/'Midterm OVPAA-F-INS-055A RAW SC'!AB$17*100)</f>
        <v/>
      </c>
      <c r="AC35" s="126" t="str">
        <f>IF('Midterm OVPAA-F-INS-055A RAW SC'!AC35="","",'Midterm OVPAA-F-INS-055A RAW SC'!AC35/'Midterm OVPAA-F-INS-055A RAW SC'!AC$17*100)</f>
        <v/>
      </c>
      <c r="AD35" s="126" t="str">
        <f>IF('Midterm OVPAA-F-INS-055A RAW SC'!AD35="","",'Midterm OVPAA-F-INS-055A RAW SC'!AD35/'Midterm OVPAA-F-INS-055A RAW SC'!AD$17*100)</f>
        <v/>
      </c>
      <c r="AE35" s="126" t="str">
        <f>IF('Midterm OVPAA-F-INS-055A RAW SC'!AE35="","",'Midterm OVPAA-F-INS-055A RAW SC'!AE35/'Midterm OVPAA-F-INS-055A RAW SC'!AE$17*100)</f>
        <v/>
      </c>
      <c r="AF35" s="126" t="str">
        <f>IF('Midterm OVPAA-F-INS-055A RAW SC'!AF35="","",'Midterm OVPAA-F-INS-055A RAW SC'!AF35/'Midterm OVPAA-F-INS-055A RAW SC'!AF$17*100)</f>
        <v/>
      </c>
      <c r="AG35" s="126" t="str">
        <f>IF('Midterm OVPAA-F-INS-055A RAW SC'!AG35="","",'Midterm OVPAA-F-INS-055A RAW SC'!AG35/'Midterm OVPAA-F-INS-055A RAW SC'!AG$17*100)</f>
        <v/>
      </c>
      <c r="AH35" s="126" t="str">
        <f>IF('Midterm OVPAA-F-INS-055A RAW SC'!AH35="","",'Midterm OVPAA-F-INS-055A RAW SC'!AH35/'Midterm OVPAA-F-INS-055A RAW SC'!AH$17*100)</f>
        <v/>
      </c>
      <c r="AI35" s="126" t="str">
        <f>IF('Midterm OVPAA-F-INS-055A RAW SC'!AI35="","",'Midterm OVPAA-F-INS-055A RAW SC'!AI35/'Midterm OVPAA-F-INS-055A RAW SC'!AI$17*100)</f>
        <v/>
      </c>
      <c r="AJ35" s="126" t="str">
        <f>IF('Midterm OVPAA-F-INS-055A RAW SC'!AJ35="","",'Midterm OVPAA-F-INS-055A RAW SC'!AJ35/'Midterm OVPAA-F-INS-055A RAW SC'!AJ$17*100)</f>
        <v/>
      </c>
      <c r="AK35" s="126" t="str">
        <f>IF('Midterm OVPAA-F-INS-055A RAW SC'!AK35="","",'Midterm OVPAA-F-INS-055A RAW SC'!AK35/'Midterm OVPAA-F-INS-055A RAW SC'!AK$17*100)</f>
        <v/>
      </c>
      <c r="AL35" s="126" t="str">
        <f>IF('Midterm OVPAA-F-INS-055A RAW SC'!AL35="","",'Midterm OVPAA-F-INS-055A RAW SC'!AL35/'Midterm OVPAA-F-INS-055A RAW SC'!AL$17*100)</f>
        <v/>
      </c>
      <c r="AM35" s="126" t="str">
        <f>IF('Midterm OVPAA-F-INS-055A RAW SC'!AM35="","",'Midterm OVPAA-F-INS-055A RAW SC'!AM35/'Midterm OVPAA-F-INS-055A RAW SC'!AM$17*100)</f>
        <v/>
      </c>
      <c r="AN35" s="126" t="str">
        <f>IF('Midterm OVPAA-F-INS-055A RAW SC'!AN35="","",'Midterm OVPAA-F-INS-055A RAW SC'!AN35/'Midterm OVPAA-F-INS-055A RAW SC'!AN$17*100)</f>
        <v/>
      </c>
      <c r="AO35" s="126" t="str">
        <f>IF('Midterm OVPAA-F-INS-055A RAW SC'!AO35="","",'Midterm OVPAA-F-INS-055A RAW SC'!AO35/'Midterm OVPAA-F-INS-055A RAW SC'!AO$17*100)</f>
        <v/>
      </c>
      <c r="AP35" s="126" t="str">
        <f>IF('Midterm OVPAA-F-INS-055A RAW SC'!AP35="","",'Midterm OVPAA-F-INS-055A RAW SC'!AP35/'Midterm OVPAA-F-INS-055A RAW SC'!AP$17*100)</f>
        <v/>
      </c>
      <c r="AQ35" s="126" t="str">
        <f>IF('Midterm OVPAA-F-INS-055A RAW SC'!AQ35="","",'Midterm OVPAA-F-INS-055A RAW SC'!AQ35/'Midterm OVPAA-F-INS-055A RAW SC'!AQ$17*100)</f>
        <v/>
      </c>
      <c r="AR35" s="126" t="str">
        <f>IF('Midterm OVPAA-F-INS-055A RAW SC'!AR35="","",'Midterm OVPAA-F-INS-055A RAW SC'!AR35/'Midterm OVPAA-F-INS-055A RAW SC'!AR$17*100)</f>
        <v/>
      </c>
      <c r="AS35" s="126" t="str">
        <f>IF('Midterm OVPAA-F-INS-055A RAW SC'!AS35="","",'Midterm OVPAA-F-INS-055A RAW SC'!AS35/'Midterm OVPAA-F-INS-055A RAW SC'!AS$17*100)</f>
        <v/>
      </c>
      <c r="AT35" s="126" t="str">
        <f>IF('Midterm OVPAA-F-INS-055A RAW SC'!AT35="","",'Midterm OVPAA-F-INS-055A RAW SC'!AT35/'Midterm OVPAA-F-INS-055A RAW SC'!AT$17*100)</f>
        <v/>
      </c>
      <c r="AU35" s="126" t="str">
        <f>IF('Midterm OVPAA-F-INS-055A RAW SC'!AU35="","",'Midterm OVPAA-F-INS-055A RAW SC'!AU35/'Midterm OVPAA-F-INS-055A RAW SC'!AU$17*100)</f>
        <v/>
      </c>
      <c r="AV35" s="126" t="str">
        <f>IF('Midterm OVPAA-F-INS-055A RAW SC'!AV35="","",'Midterm OVPAA-F-INS-055A RAW SC'!AV35/'Midterm OVPAA-F-INS-055A RAW SC'!AV$17*100)</f>
        <v/>
      </c>
      <c r="AW35" s="126" t="str">
        <f>IF('Midterm OVPAA-F-INS-055A RAW SC'!AW35="","",'Midterm OVPAA-F-INS-055A RAW SC'!AW35/'Midterm OVPAA-F-INS-055A RAW SC'!AW$17*100)</f>
        <v/>
      </c>
      <c r="AX35" s="126" t="str">
        <f>IF('Midterm OVPAA-F-INS-055A RAW SC'!AX35="","",'Midterm OVPAA-F-INS-055A RAW SC'!AX35/'Midterm OVPAA-F-INS-055A RAW SC'!AX$17*100)</f>
        <v/>
      </c>
      <c r="AY35" s="126" t="str">
        <f>IF('Midterm OVPAA-F-INS-055A RAW SC'!AY35="","",'Midterm OVPAA-F-INS-055A RAW SC'!AY35/'Midterm OVPAA-F-INS-055A RAW SC'!AY$17*100)</f>
        <v/>
      </c>
      <c r="AZ35" s="126" t="str">
        <f>IF('Midterm OVPAA-F-INS-055A RAW SC'!AZ35="","",'Midterm OVPAA-F-INS-055A RAW SC'!AZ35/'Midterm OVPAA-F-INS-055A RAW SC'!AZ$17*100)</f>
        <v/>
      </c>
      <c r="BA35" s="126" t="str">
        <f>IF('Midterm OVPAA-F-INS-055A RAW SC'!BA35="","",'Midterm OVPAA-F-INS-055A RAW SC'!BA35/'Midterm OVPAA-F-INS-055A RAW SC'!BA$17*100)</f>
        <v/>
      </c>
      <c r="BB35" s="126" t="str">
        <f>IF('Midterm OVPAA-F-INS-055A RAW SC'!BB35="","",'Midterm OVPAA-F-INS-055A RAW SC'!BB35/'Midterm OVPAA-F-INS-055A RAW SC'!BB$17*100)</f>
        <v/>
      </c>
      <c r="BC35" s="126" t="str">
        <f>IF('Midterm OVPAA-F-INS-055A RAW SC'!BC35="","",'Midterm OVPAA-F-INS-055A RAW SC'!BC35/'Midterm OVPAA-F-INS-055A RAW SC'!BC$17*100)</f>
        <v/>
      </c>
      <c r="BD35" s="126" t="str">
        <f>IF('Midterm OVPAA-F-INS-055A RAW SC'!BD35="","",'Midterm OVPAA-F-INS-055A RAW SC'!BD35/'Midterm OVPAA-F-INS-055A RAW SC'!BD$17*100)</f>
        <v/>
      </c>
      <c r="BE35" s="126" t="str">
        <f>IF('Midterm OVPAA-F-INS-055A RAW SC'!BE35="","",'Midterm OVPAA-F-INS-055A RAW SC'!BE35/'Midterm OVPAA-F-INS-055A RAW SC'!BE$17*100)</f>
        <v/>
      </c>
      <c r="BF35" s="126" t="str">
        <f>IF('Midterm OVPAA-F-INS-055A RAW SC'!BF35="","",'Midterm OVPAA-F-INS-055A RAW SC'!BF35/'Midterm OVPAA-F-INS-055A RAW SC'!BF$17*100)</f>
        <v/>
      </c>
      <c r="BG35" s="126" t="str">
        <f>IF('Midterm OVPAA-F-INS-055A RAW SC'!BG35="","",'Midterm OVPAA-F-INS-055A RAW SC'!BG35/'Midterm OVPAA-F-INS-055A RAW SC'!BG$17*100)</f>
        <v/>
      </c>
      <c r="BH35" s="126" t="str">
        <f>IF('Midterm OVPAA-F-INS-055A RAW SC'!BH35="","",'Midterm OVPAA-F-INS-055A RAW SC'!BH35/'Midterm OVPAA-F-INS-055A RAW SC'!BH$17*100)</f>
        <v/>
      </c>
      <c r="BI35" s="126" t="str">
        <f>IF('Midterm OVPAA-F-INS-055A RAW SC'!BI35="","",'Midterm OVPAA-F-INS-055A RAW SC'!BI35/'Midterm OVPAA-F-INS-055A RAW SC'!BI$17*100)</f>
        <v/>
      </c>
      <c r="BJ35" s="126" t="str">
        <f>IF('Midterm OVPAA-F-INS-055A RAW SC'!BJ35="","",'Midterm OVPAA-F-INS-055A RAW SC'!BJ35/'Midterm OVPAA-F-INS-055A RAW SC'!BJ$17*100)</f>
        <v/>
      </c>
      <c r="BK35" s="126" t="str">
        <f>IF('Midterm OVPAA-F-INS-055A RAW SC'!BK35="","",'Midterm OVPAA-F-INS-055A RAW SC'!BK35/'Midterm OVPAA-F-INS-055A RAW SC'!BK$17*100)</f>
        <v/>
      </c>
      <c r="BL35" s="126" t="str">
        <f>IF('Midterm OVPAA-F-INS-055A RAW SC'!BL35="","",'Midterm OVPAA-F-INS-055A RAW SC'!BL35/'Midterm OVPAA-F-INS-055A RAW SC'!BL$17*100)</f>
        <v/>
      </c>
      <c r="BM35" s="126" t="str">
        <f>IF('Midterm OVPAA-F-INS-055A RAW SC'!BM35="","",'Midterm OVPAA-F-INS-055A RAW SC'!BM35/'Midterm OVPAA-F-INS-055A RAW SC'!BM$17*100)</f>
        <v/>
      </c>
      <c r="BN35" s="126" t="str">
        <f>IF('Midterm OVPAA-F-INS-055A RAW SC'!BN35="","",'Midterm OVPAA-F-INS-055A RAW SC'!BN35/'Midterm OVPAA-F-INS-055A RAW SC'!BN$17*100)</f>
        <v/>
      </c>
      <c r="BO35" s="126" t="str">
        <f>IF('Midterm OVPAA-F-INS-055A RAW SC'!BO35="","",'Midterm OVPAA-F-INS-055A RAW SC'!BO35/'Midterm OVPAA-F-INS-055A RAW SC'!BO$17*100)</f>
        <v/>
      </c>
      <c r="BP35" s="126" t="str">
        <f>IF('Midterm OVPAA-F-INS-055A RAW SC'!BP35="","",'Midterm OVPAA-F-INS-055A RAW SC'!BP35/'Midterm OVPAA-F-INS-055A RAW SC'!BP$17*100)</f>
        <v/>
      </c>
      <c r="BQ35" s="126" t="str">
        <f>IF('Midterm OVPAA-F-INS-055A RAW SC'!BQ35="","",'Midterm OVPAA-F-INS-055A RAW SC'!BQ35/'Midterm OVPAA-F-INS-055A RAW SC'!BQ$17*100)</f>
        <v/>
      </c>
      <c r="BR35" s="126" t="str">
        <f>IF('Midterm OVPAA-F-INS-055A RAW SC'!BR35="","",'Midterm OVPAA-F-INS-055A RAW SC'!BR35/'Midterm OVPAA-F-INS-055A RAW SC'!BR$17*100)</f>
        <v/>
      </c>
      <c r="BS35" s="126" t="str">
        <f>IF('Midterm OVPAA-F-INS-055A RAW SC'!BS35="","",'Midterm OVPAA-F-INS-055A RAW SC'!BS35/'Midterm OVPAA-F-INS-055A RAW SC'!BS$17*100)</f>
        <v/>
      </c>
      <c r="BT35" s="126" t="str">
        <f>IF('Midterm OVPAA-F-INS-055A RAW SC'!BT35="","",'Midterm OVPAA-F-INS-055A RAW SC'!BT35/'Midterm OVPAA-F-INS-055A RAW SC'!BT$17*100)</f>
        <v/>
      </c>
      <c r="BU35" s="127">
        <f t="array" ref="BU35">IF('Midterm OVPAA-F-INS-055A RAW SC'!$G35="","",IF((SUMPRODUCT(--ISBLANK('Midterm OVPAA-F-INS-055A RAW SC'!H35:BT35))=COLUMNS('Midterm OVPAA-F-INS-055A RAW SC'!H35:BT35))=TRUE,"",(((COUNTA('Midterm OVPAA-F-INS-055A RAW SC'!$H$17:$BT$17)+COUNTBLANK('Midterm OVPAA-F-INS-055A RAW SC'!H35:BT35))-COLUMNS('Midterm OVPAA-F-INS-055A RAW SC'!H35:BT35))*5+SUM(H35:BT35))/COUNTA('Midterm OVPAA-F-INS-055A RAW SC'!$H$17:$BT$17)))</f>
        <v>86</v>
      </c>
      <c r="BV35" s="128">
        <f>IF(BU35="","",VLOOKUP(BU35,IF('Midterm OVPAA-F-INS-055A RAW SC'!$V$12=0.5,TRANSMUTATION!$C$4:$D$17,TRANSMUTATION!$G$4:$H$17),2,TRUE))</f>
        <v>1.5</v>
      </c>
      <c r="BW35" s="129">
        <f>IF('Midterm OVPAA-F-INS-055A RAW SC'!BU35="","",'Midterm OVPAA-F-INS-055A RAW SC'!BU35/'Midterm OVPAA-F-INS-055A RAW SC'!BU$17*100)</f>
        <v>80</v>
      </c>
      <c r="BX35" s="130">
        <f>IF('Midterm OVPAA-F-INS-055A RAW SC'!BV35="","",'Midterm OVPAA-F-INS-055A RAW SC'!BV35/'Midterm OVPAA-F-INS-055A RAW SC'!BV$17*100)</f>
        <v>100</v>
      </c>
      <c r="BY35" s="130">
        <f>IF('Midterm OVPAA-F-INS-055A RAW SC'!BW35="","",'Midterm OVPAA-F-INS-055A RAW SC'!BW35/'Midterm OVPAA-F-INS-055A RAW SC'!BW$17*100)</f>
        <v>100</v>
      </c>
      <c r="BZ35" s="130" t="str">
        <f>IF('Midterm OVPAA-F-INS-055A RAW SC'!BX35="","",'Midterm OVPAA-F-INS-055A RAW SC'!BX35/'Midterm OVPAA-F-INS-055A RAW SC'!BX$17*100)</f>
        <v/>
      </c>
      <c r="CA35" s="130" t="str">
        <f>IF('Midterm OVPAA-F-INS-055A RAW SC'!BY35="","",'Midterm OVPAA-F-INS-055A RAW SC'!BY35/'Midterm OVPAA-F-INS-055A RAW SC'!BY$17*100)</f>
        <v/>
      </c>
      <c r="CB35" s="130" t="str">
        <f>IF('Midterm OVPAA-F-INS-055A RAW SC'!BZ35="","",'Midterm OVPAA-F-INS-055A RAW SC'!BZ35/'Midterm OVPAA-F-INS-055A RAW SC'!BZ$17*100)</f>
        <v/>
      </c>
      <c r="CC35" s="130" t="str">
        <f>IF('Midterm OVPAA-F-INS-055A RAW SC'!CA35="","",'Midterm OVPAA-F-INS-055A RAW SC'!CA35/'Midterm OVPAA-F-INS-055A RAW SC'!CA$17*100)</f>
        <v/>
      </c>
      <c r="CD35" s="130" t="str">
        <f>IF('Midterm OVPAA-F-INS-055A RAW SC'!CB35="","",'Midterm OVPAA-F-INS-055A RAW SC'!CB35/'Midterm OVPAA-F-INS-055A RAW SC'!CB$17*100)</f>
        <v/>
      </c>
      <c r="CE35" s="130" t="str">
        <f>IF('Midterm OVPAA-F-INS-055A RAW SC'!CC35="","",'Midterm OVPAA-F-INS-055A RAW SC'!CC35/'Midterm OVPAA-F-INS-055A RAW SC'!CC$17*100)</f>
        <v/>
      </c>
      <c r="CF35" s="130" t="str">
        <f>IF('Midterm OVPAA-F-INS-055A RAW SC'!CD35="","",'Midterm OVPAA-F-INS-055A RAW SC'!CD35/'Midterm OVPAA-F-INS-055A RAW SC'!CD$17*100)</f>
        <v/>
      </c>
      <c r="CG35" s="130" t="str">
        <f>IF('Midterm OVPAA-F-INS-055A RAW SC'!CE35="","",'Midterm OVPAA-F-INS-055A RAW SC'!CE35/'Midterm OVPAA-F-INS-055A RAW SC'!CE$17*100)</f>
        <v/>
      </c>
      <c r="CH35" s="130" t="str">
        <f>IF('Midterm OVPAA-F-INS-055A RAW SC'!CF35="","",'Midterm OVPAA-F-INS-055A RAW SC'!CF35/'Midterm OVPAA-F-INS-055A RAW SC'!CF$17*100)</f>
        <v/>
      </c>
      <c r="CI35" s="130" t="str">
        <f>IF('Midterm OVPAA-F-INS-055A RAW SC'!CG35="","",'Midterm OVPAA-F-INS-055A RAW SC'!CG35/'Midterm OVPAA-F-INS-055A RAW SC'!CG$17*100)</f>
        <v/>
      </c>
      <c r="CJ35" s="130" t="str">
        <f>IF('Midterm OVPAA-F-INS-055A RAW SC'!CH35="","",'Midterm OVPAA-F-INS-055A RAW SC'!CH35/'Midterm OVPAA-F-INS-055A RAW SC'!CH$17*100)</f>
        <v/>
      </c>
      <c r="CK35" s="130" t="str">
        <f>IF('Midterm OVPAA-F-INS-055A RAW SC'!CI35="","",'Midterm OVPAA-F-INS-055A RAW SC'!CI35/'Midterm OVPAA-F-INS-055A RAW SC'!CI$17*100)</f>
        <v/>
      </c>
      <c r="CL35" s="130" t="str">
        <f>IF('Midterm OVPAA-F-INS-055A RAW SC'!CJ35="","",'Midterm OVPAA-F-INS-055A RAW SC'!CJ35/'Midterm OVPAA-F-INS-055A RAW SC'!CJ$17*100)</f>
        <v/>
      </c>
      <c r="CM35" s="130" t="str">
        <f>IF('Midterm OVPAA-F-INS-055A RAW SC'!CK35="","",'Midterm OVPAA-F-INS-055A RAW SC'!CK35/'Midterm OVPAA-F-INS-055A RAW SC'!CK$17*100)</f>
        <v/>
      </c>
      <c r="CN35" s="130" t="str">
        <f>IF('Midterm OVPAA-F-INS-055A RAW SC'!CL35="","",'Midterm OVPAA-F-INS-055A RAW SC'!CL35/'Midterm OVPAA-F-INS-055A RAW SC'!CL$17*100)</f>
        <v/>
      </c>
      <c r="CO35" s="130" t="str">
        <f>IF('Midterm OVPAA-F-INS-055A RAW SC'!CM35="","",'Midterm OVPAA-F-INS-055A RAW SC'!CM35/'Midterm OVPAA-F-INS-055A RAW SC'!CM$17*100)</f>
        <v/>
      </c>
      <c r="CP35" s="130" t="str">
        <f>IF('Midterm OVPAA-F-INS-055A RAW SC'!CN35="","",'Midterm OVPAA-F-INS-055A RAW SC'!CN35/'Midterm OVPAA-F-INS-055A RAW SC'!CN$17*100)</f>
        <v/>
      </c>
      <c r="CQ35" s="131">
        <f t="array" ref="CQ35">IF('Midterm OVPAA-F-INS-055A RAW SC'!G35="","",IF((SUMPRODUCT(--ISBLANK('Midterm OVPAA-F-INS-055A RAW SC'!BU35:CN35))=COLUMNS('Midterm OVPAA-F-INS-055A RAW SC'!BU35:CN35))=TRUE,"",(((COUNTA('Midterm OVPAA-F-INS-055A RAW SC'!$BU$17:$CN$17)+COUNTBLANK('Midterm OVPAA-F-INS-055A RAW SC'!BU35:CN35))-COLUMNS('Midterm OVPAA-F-INS-055A RAW SC'!BU35:CN35))*5+SUM(BW35:CP35))/COUNTA('Midterm OVPAA-F-INS-055A RAW SC'!$BU$17:$CN$17)))</f>
        <v>93.333333333333329</v>
      </c>
      <c r="CR35" s="132">
        <f>IF(CQ35="","",VLOOKUP(CQ35,IF('Midterm OVPAA-F-INS-055A RAW SC'!$V$12=0.5,TRANSMUTATION!$C$4:$D$17,TRANSMUTATION!$G$4:$H$17),2,TRUE))</f>
        <v>1.25</v>
      </c>
      <c r="CS35" s="133">
        <f>IF('Midterm OVPAA-F-INS-055A RAW SC'!CO35="","",'Midterm OVPAA-F-INS-055A RAW SC'!CO35/'Midterm OVPAA-F-INS-055A RAW SC'!CO$17*100)</f>
        <v>92</v>
      </c>
      <c r="CT35" s="133">
        <f>IF('Midterm OVPAA-F-INS-055A RAW SC'!CP35="","",'Midterm OVPAA-F-INS-055A RAW SC'!CP35/'Midterm OVPAA-F-INS-055A RAW SC'!CP$17*100)</f>
        <v>94</v>
      </c>
      <c r="CU35" s="133" t="str">
        <f>IF('Midterm OVPAA-F-INS-055A RAW SC'!CQ35="","",'Midterm OVPAA-F-INS-055A RAW SC'!CQ35/'Midterm OVPAA-F-INS-055A RAW SC'!CQ$17*100)</f>
        <v/>
      </c>
      <c r="CV35" s="133" t="str">
        <f>IF('Midterm OVPAA-F-INS-055A RAW SC'!CR35="","",'Midterm OVPAA-F-INS-055A RAW SC'!CR35/'Midterm OVPAA-F-INS-055A RAW SC'!CR$17*100)</f>
        <v/>
      </c>
      <c r="CW35" s="133" t="str">
        <f>IF('Midterm OVPAA-F-INS-055A RAW SC'!CS35="","",'Midterm OVPAA-F-INS-055A RAW SC'!CS35/'Midterm OVPAA-F-INS-055A RAW SC'!CS$17*100)</f>
        <v/>
      </c>
      <c r="CX35" s="133" t="str">
        <f>IF('Midterm OVPAA-F-INS-055A RAW SC'!CT35="","",'Midterm OVPAA-F-INS-055A RAW SC'!CT35/'Midterm OVPAA-F-INS-055A RAW SC'!CT$17*100)</f>
        <v/>
      </c>
      <c r="CY35" s="133" t="str">
        <f>IF('Midterm OVPAA-F-INS-055A RAW SC'!CU35="","",'Midterm OVPAA-F-INS-055A RAW SC'!CU35/'Midterm OVPAA-F-INS-055A RAW SC'!CU$17*100)</f>
        <v/>
      </c>
      <c r="CZ35" s="133" t="str">
        <f>IF('Midterm OVPAA-F-INS-055A RAW SC'!CV35="","",'Midterm OVPAA-F-INS-055A RAW SC'!CV35/'Midterm OVPAA-F-INS-055A RAW SC'!CV$17*100)</f>
        <v/>
      </c>
      <c r="DA35" s="133" t="str">
        <f>IF('Midterm OVPAA-F-INS-055A RAW SC'!CW35="","",'Midterm OVPAA-F-INS-055A RAW SC'!CW35/'Midterm OVPAA-F-INS-055A RAW SC'!CW$17*100)</f>
        <v/>
      </c>
      <c r="DB35" s="133" t="str">
        <f>IF('Midterm OVPAA-F-INS-055A RAW SC'!CX35="","",'Midterm OVPAA-F-INS-055A RAW SC'!CX35/'Midterm OVPAA-F-INS-055A RAW SC'!CX$17*100)</f>
        <v/>
      </c>
      <c r="DC35" s="134">
        <f t="array" ref="DC35">IF('Midterm OVPAA-F-INS-055A RAW SC'!$G35="","",IF((SUMPRODUCT(--ISBLANK('Midterm OVPAA-F-INS-055A RAW SC'!CO35:CX35))=COLUMNS('Midterm OVPAA-F-INS-055A RAW SC'!CO35:CX35))=TRUE,"",(((COUNTA('Midterm OVPAA-F-INS-055A RAW SC'!$CO$17:$CX$17)+COUNTBLANK('Midterm OVPAA-F-INS-055A RAW SC'!CO35:CX35))-COLUMNS('Midterm OVPAA-F-INS-055A RAW SC'!CO35:CX35))*5+SUM(CS35:DB35))/COUNTA('Midterm OVPAA-F-INS-055A RAW SC'!$CO$17:$CX$17)))</f>
        <v>93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0.44999999999999996</v>
      </c>
      <c r="DF35" s="137">
        <f t="shared" si="2"/>
        <v>0.375</v>
      </c>
      <c r="DG35" s="138">
        <f t="shared" si="3"/>
        <v>0.5</v>
      </c>
      <c r="DH35" s="136">
        <f t="shared" si="4"/>
        <v>1.325</v>
      </c>
      <c r="DI35" s="123" t="str">
        <f t="shared" si="5"/>
        <v>1.25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IF('Midterm OVPAA-F-INS-055A RAW SC'!H36="","",'Midterm OVPAA-F-INS-055A RAW SC'!H36/'Midterm OVPAA-F-INS-055A RAW SC'!H$17*100)</f>
        <v>72</v>
      </c>
      <c r="I36" s="126">
        <f>IF('Midterm OVPAA-F-INS-055A RAW SC'!I36="","",'Midterm OVPAA-F-INS-055A RAW SC'!I36/'Midterm OVPAA-F-INS-055A RAW SC'!I$17*100)</f>
        <v>90</v>
      </c>
      <c r="J36" s="126">
        <f>IF('Midterm OVPAA-F-INS-055A RAW SC'!J36="","",'Midterm OVPAA-F-INS-055A RAW SC'!J36/'Midterm OVPAA-F-INS-055A RAW SC'!J$17*100)</f>
        <v>100</v>
      </c>
      <c r="K36" s="126" t="str">
        <f>IF('Midterm OVPAA-F-INS-055A RAW SC'!K36="","",'Midterm OVPAA-F-INS-055A RAW SC'!K36/'Midterm OVPAA-F-INS-055A RAW SC'!K$17*100)</f>
        <v/>
      </c>
      <c r="L36" s="126" t="str">
        <f>IF('Midterm OVPAA-F-INS-055A RAW SC'!L36="","",'Midterm OVPAA-F-INS-055A RAW SC'!L36/'Midterm OVPAA-F-INS-055A RAW SC'!L$17*100)</f>
        <v/>
      </c>
      <c r="M36" s="126" t="str">
        <f>IF('Midterm OVPAA-F-INS-055A RAW SC'!M36="","",'Midterm OVPAA-F-INS-055A RAW SC'!M36/'Midterm OVPAA-F-INS-055A RAW SC'!M$17*100)</f>
        <v/>
      </c>
      <c r="N36" s="126" t="str">
        <f>IF('Midterm OVPAA-F-INS-055A RAW SC'!N36="","",'Midterm OVPAA-F-INS-055A RAW SC'!N36/'Midterm OVPAA-F-INS-055A RAW SC'!N$17*100)</f>
        <v/>
      </c>
      <c r="O36" s="126" t="str">
        <f>IF('Midterm OVPAA-F-INS-055A RAW SC'!O36="","",'Midterm OVPAA-F-INS-055A RAW SC'!O36/'Midterm OVPAA-F-INS-055A RAW SC'!O$17*100)</f>
        <v/>
      </c>
      <c r="P36" s="126" t="str">
        <f>IF('Midterm OVPAA-F-INS-055A RAW SC'!P36="","",'Midterm OVPAA-F-INS-055A RAW SC'!P36/'Midterm OVPAA-F-INS-055A RAW SC'!P$17*100)</f>
        <v/>
      </c>
      <c r="Q36" s="126" t="str">
        <f>IF('Midterm OVPAA-F-INS-055A RAW SC'!Q36="","",'Midterm OVPAA-F-INS-055A RAW SC'!Q36/'Midterm OVPAA-F-INS-055A RAW SC'!Q$17*100)</f>
        <v/>
      </c>
      <c r="R36" s="126" t="str">
        <f>IF('Midterm OVPAA-F-INS-055A RAW SC'!R36="","",'Midterm OVPAA-F-INS-055A RAW SC'!R36/'Midterm OVPAA-F-INS-055A RAW SC'!R$17*100)</f>
        <v/>
      </c>
      <c r="S36" s="126" t="str">
        <f>IF('Midterm OVPAA-F-INS-055A RAW SC'!S36="","",'Midterm OVPAA-F-INS-055A RAW SC'!S36/'Midterm OVPAA-F-INS-055A RAW SC'!S$17*100)</f>
        <v/>
      </c>
      <c r="T36" s="126" t="str">
        <f>IF('Midterm OVPAA-F-INS-055A RAW SC'!T36="","",'Midterm OVPAA-F-INS-055A RAW SC'!T36/'Midterm OVPAA-F-INS-055A RAW SC'!T$17*100)</f>
        <v/>
      </c>
      <c r="U36" s="126" t="str">
        <f>IF('Midterm OVPAA-F-INS-055A RAW SC'!U36="","",'Midterm OVPAA-F-INS-055A RAW SC'!U36/'Midterm OVPAA-F-INS-055A RAW SC'!U$17*100)</f>
        <v/>
      </c>
      <c r="V36" s="126" t="str">
        <f>IF('Midterm OVPAA-F-INS-055A RAW SC'!V36="","",'Midterm OVPAA-F-INS-055A RAW SC'!V36/'Midterm OVPAA-F-INS-055A RAW SC'!V$17*100)</f>
        <v/>
      </c>
      <c r="W36" s="126" t="str">
        <f>IF('Midterm OVPAA-F-INS-055A RAW SC'!W36="","",'Midterm OVPAA-F-INS-055A RAW SC'!W36/'Midterm OVPAA-F-INS-055A RAW SC'!W$17*100)</f>
        <v/>
      </c>
      <c r="X36" s="126" t="str">
        <f>IF('Midterm OVPAA-F-INS-055A RAW SC'!X36="","",'Midterm OVPAA-F-INS-055A RAW SC'!X36/'Midterm OVPAA-F-INS-055A RAW SC'!X$17*100)</f>
        <v/>
      </c>
      <c r="Y36" s="126" t="str">
        <f>IF('Midterm OVPAA-F-INS-055A RAW SC'!Y36="","",'Midterm OVPAA-F-INS-055A RAW SC'!Y36/'Midterm OVPAA-F-INS-055A RAW SC'!Y$17*100)</f>
        <v/>
      </c>
      <c r="Z36" s="126" t="str">
        <f>IF('Midterm OVPAA-F-INS-055A RAW SC'!Z36="","",'Midterm OVPAA-F-INS-055A RAW SC'!Z36/'Midterm OVPAA-F-INS-055A RAW SC'!Z$17*100)</f>
        <v/>
      </c>
      <c r="AA36" s="126" t="str">
        <f>IF('Midterm OVPAA-F-INS-055A RAW SC'!AA36="","",'Midterm OVPAA-F-INS-055A RAW SC'!AA36/'Midterm OVPAA-F-INS-055A RAW SC'!AA$17*100)</f>
        <v/>
      </c>
      <c r="AB36" s="126" t="str">
        <f>IF('Midterm OVPAA-F-INS-055A RAW SC'!AB36="","",'Midterm OVPAA-F-INS-055A RAW SC'!AB36/'Midterm OVPAA-F-INS-055A RAW SC'!AB$17*100)</f>
        <v/>
      </c>
      <c r="AC36" s="126" t="str">
        <f>IF('Midterm OVPAA-F-INS-055A RAW SC'!AC36="","",'Midterm OVPAA-F-INS-055A RAW SC'!AC36/'Midterm OVPAA-F-INS-055A RAW SC'!AC$17*100)</f>
        <v/>
      </c>
      <c r="AD36" s="126" t="str">
        <f>IF('Midterm OVPAA-F-INS-055A RAW SC'!AD36="","",'Midterm OVPAA-F-INS-055A RAW SC'!AD36/'Midterm OVPAA-F-INS-055A RAW SC'!AD$17*100)</f>
        <v/>
      </c>
      <c r="AE36" s="126" t="str">
        <f>IF('Midterm OVPAA-F-INS-055A RAW SC'!AE36="","",'Midterm OVPAA-F-INS-055A RAW SC'!AE36/'Midterm OVPAA-F-INS-055A RAW SC'!AE$17*100)</f>
        <v/>
      </c>
      <c r="AF36" s="126" t="str">
        <f>IF('Midterm OVPAA-F-INS-055A RAW SC'!AF36="","",'Midterm OVPAA-F-INS-055A RAW SC'!AF36/'Midterm OVPAA-F-INS-055A RAW SC'!AF$17*100)</f>
        <v/>
      </c>
      <c r="AG36" s="126" t="str">
        <f>IF('Midterm OVPAA-F-INS-055A RAW SC'!AG36="","",'Midterm OVPAA-F-INS-055A RAW SC'!AG36/'Midterm OVPAA-F-INS-055A RAW SC'!AG$17*100)</f>
        <v/>
      </c>
      <c r="AH36" s="126" t="str">
        <f>IF('Midterm OVPAA-F-INS-055A RAW SC'!AH36="","",'Midterm OVPAA-F-INS-055A RAW SC'!AH36/'Midterm OVPAA-F-INS-055A RAW SC'!AH$17*100)</f>
        <v/>
      </c>
      <c r="AI36" s="126" t="str">
        <f>IF('Midterm OVPAA-F-INS-055A RAW SC'!AI36="","",'Midterm OVPAA-F-INS-055A RAW SC'!AI36/'Midterm OVPAA-F-INS-055A RAW SC'!AI$17*100)</f>
        <v/>
      </c>
      <c r="AJ36" s="126" t="str">
        <f>IF('Midterm OVPAA-F-INS-055A RAW SC'!AJ36="","",'Midterm OVPAA-F-INS-055A RAW SC'!AJ36/'Midterm OVPAA-F-INS-055A RAW SC'!AJ$17*100)</f>
        <v/>
      </c>
      <c r="AK36" s="126" t="str">
        <f>IF('Midterm OVPAA-F-INS-055A RAW SC'!AK36="","",'Midterm OVPAA-F-INS-055A RAW SC'!AK36/'Midterm OVPAA-F-INS-055A RAW SC'!AK$17*100)</f>
        <v/>
      </c>
      <c r="AL36" s="126" t="str">
        <f>IF('Midterm OVPAA-F-INS-055A RAW SC'!AL36="","",'Midterm OVPAA-F-INS-055A RAW SC'!AL36/'Midterm OVPAA-F-INS-055A RAW SC'!AL$17*100)</f>
        <v/>
      </c>
      <c r="AM36" s="126" t="str">
        <f>IF('Midterm OVPAA-F-INS-055A RAW SC'!AM36="","",'Midterm OVPAA-F-INS-055A RAW SC'!AM36/'Midterm OVPAA-F-INS-055A RAW SC'!AM$17*100)</f>
        <v/>
      </c>
      <c r="AN36" s="126" t="str">
        <f>IF('Midterm OVPAA-F-INS-055A RAW SC'!AN36="","",'Midterm OVPAA-F-INS-055A RAW SC'!AN36/'Midterm OVPAA-F-INS-055A RAW SC'!AN$17*100)</f>
        <v/>
      </c>
      <c r="AO36" s="126" t="str">
        <f>IF('Midterm OVPAA-F-INS-055A RAW SC'!AO36="","",'Midterm OVPAA-F-INS-055A RAW SC'!AO36/'Midterm OVPAA-F-INS-055A RAW SC'!AO$17*100)</f>
        <v/>
      </c>
      <c r="AP36" s="126" t="str">
        <f>IF('Midterm OVPAA-F-INS-055A RAW SC'!AP36="","",'Midterm OVPAA-F-INS-055A RAW SC'!AP36/'Midterm OVPAA-F-INS-055A RAW SC'!AP$17*100)</f>
        <v/>
      </c>
      <c r="AQ36" s="126" t="str">
        <f>IF('Midterm OVPAA-F-INS-055A RAW SC'!AQ36="","",'Midterm OVPAA-F-INS-055A RAW SC'!AQ36/'Midterm OVPAA-F-INS-055A RAW SC'!AQ$17*100)</f>
        <v/>
      </c>
      <c r="AR36" s="126" t="str">
        <f>IF('Midterm OVPAA-F-INS-055A RAW SC'!AR36="","",'Midterm OVPAA-F-INS-055A RAW SC'!AR36/'Midterm OVPAA-F-INS-055A RAW SC'!AR$17*100)</f>
        <v/>
      </c>
      <c r="AS36" s="126" t="str">
        <f>IF('Midterm OVPAA-F-INS-055A RAW SC'!AS36="","",'Midterm OVPAA-F-INS-055A RAW SC'!AS36/'Midterm OVPAA-F-INS-055A RAW SC'!AS$17*100)</f>
        <v/>
      </c>
      <c r="AT36" s="126" t="str">
        <f>IF('Midterm OVPAA-F-INS-055A RAW SC'!AT36="","",'Midterm OVPAA-F-INS-055A RAW SC'!AT36/'Midterm OVPAA-F-INS-055A RAW SC'!AT$17*100)</f>
        <v/>
      </c>
      <c r="AU36" s="126" t="str">
        <f>IF('Midterm OVPAA-F-INS-055A RAW SC'!AU36="","",'Midterm OVPAA-F-INS-055A RAW SC'!AU36/'Midterm OVPAA-F-INS-055A RAW SC'!AU$17*100)</f>
        <v/>
      </c>
      <c r="AV36" s="126" t="str">
        <f>IF('Midterm OVPAA-F-INS-055A RAW SC'!AV36="","",'Midterm OVPAA-F-INS-055A RAW SC'!AV36/'Midterm OVPAA-F-INS-055A RAW SC'!AV$17*100)</f>
        <v/>
      </c>
      <c r="AW36" s="126" t="str">
        <f>IF('Midterm OVPAA-F-INS-055A RAW SC'!AW36="","",'Midterm OVPAA-F-INS-055A RAW SC'!AW36/'Midterm OVPAA-F-INS-055A RAW SC'!AW$17*100)</f>
        <v/>
      </c>
      <c r="AX36" s="126" t="str">
        <f>IF('Midterm OVPAA-F-INS-055A RAW SC'!AX36="","",'Midterm OVPAA-F-INS-055A RAW SC'!AX36/'Midterm OVPAA-F-INS-055A RAW SC'!AX$17*100)</f>
        <v/>
      </c>
      <c r="AY36" s="126" t="str">
        <f>IF('Midterm OVPAA-F-INS-055A RAW SC'!AY36="","",'Midterm OVPAA-F-INS-055A RAW SC'!AY36/'Midterm OVPAA-F-INS-055A RAW SC'!AY$17*100)</f>
        <v/>
      </c>
      <c r="AZ36" s="126" t="str">
        <f>IF('Midterm OVPAA-F-INS-055A RAW SC'!AZ36="","",'Midterm OVPAA-F-INS-055A RAW SC'!AZ36/'Midterm OVPAA-F-INS-055A RAW SC'!AZ$17*100)</f>
        <v/>
      </c>
      <c r="BA36" s="126" t="str">
        <f>IF('Midterm OVPAA-F-INS-055A RAW SC'!BA36="","",'Midterm OVPAA-F-INS-055A RAW SC'!BA36/'Midterm OVPAA-F-INS-055A RAW SC'!BA$17*100)</f>
        <v/>
      </c>
      <c r="BB36" s="126" t="str">
        <f>IF('Midterm OVPAA-F-INS-055A RAW SC'!BB36="","",'Midterm OVPAA-F-INS-055A RAW SC'!BB36/'Midterm OVPAA-F-INS-055A RAW SC'!BB$17*100)</f>
        <v/>
      </c>
      <c r="BC36" s="126" t="str">
        <f>IF('Midterm OVPAA-F-INS-055A RAW SC'!BC36="","",'Midterm OVPAA-F-INS-055A RAW SC'!BC36/'Midterm OVPAA-F-INS-055A RAW SC'!BC$17*100)</f>
        <v/>
      </c>
      <c r="BD36" s="126" t="str">
        <f>IF('Midterm OVPAA-F-INS-055A RAW SC'!BD36="","",'Midterm OVPAA-F-INS-055A RAW SC'!BD36/'Midterm OVPAA-F-INS-055A RAW SC'!BD$17*100)</f>
        <v/>
      </c>
      <c r="BE36" s="126" t="str">
        <f>IF('Midterm OVPAA-F-INS-055A RAW SC'!BE36="","",'Midterm OVPAA-F-INS-055A RAW SC'!BE36/'Midterm OVPAA-F-INS-055A RAW SC'!BE$17*100)</f>
        <v/>
      </c>
      <c r="BF36" s="126" t="str">
        <f>IF('Midterm OVPAA-F-INS-055A RAW SC'!BF36="","",'Midterm OVPAA-F-INS-055A RAW SC'!BF36/'Midterm OVPAA-F-INS-055A RAW SC'!BF$17*100)</f>
        <v/>
      </c>
      <c r="BG36" s="126" t="str">
        <f>IF('Midterm OVPAA-F-INS-055A RAW SC'!BG36="","",'Midterm OVPAA-F-INS-055A RAW SC'!BG36/'Midterm OVPAA-F-INS-055A RAW SC'!BG$17*100)</f>
        <v/>
      </c>
      <c r="BH36" s="126" t="str">
        <f>IF('Midterm OVPAA-F-INS-055A RAW SC'!BH36="","",'Midterm OVPAA-F-INS-055A RAW SC'!BH36/'Midterm OVPAA-F-INS-055A RAW SC'!BH$17*100)</f>
        <v/>
      </c>
      <c r="BI36" s="126" t="str">
        <f>IF('Midterm OVPAA-F-INS-055A RAW SC'!BI36="","",'Midterm OVPAA-F-INS-055A RAW SC'!BI36/'Midterm OVPAA-F-INS-055A RAW SC'!BI$17*100)</f>
        <v/>
      </c>
      <c r="BJ36" s="126" t="str">
        <f>IF('Midterm OVPAA-F-INS-055A RAW SC'!BJ36="","",'Midterm OVPAA-F-INS-055A RAW SC'!BJ36/'Midterm OVPAA-F-INS-055A RAW SC'!BJ$17*100)</f>
        <v/>
      </c>
      <c r="BK36" s="126" t="str">
        <f>IF('Midterm OVPAA-F-INS-055A RAW SC'!BK36="","",'Midterm OVPAA-F-INS-055A RAW SC'!BK36/'Midterm OVPAA-F-INS-055A RAW SC'!BK$17*100)</f>
        <v/>
      </c>
      <c r="BL36" s="126" t="str">
        <f>IF('Midterm OVPAA-F-INS-055A RAW SC'!BL36="","",'Midterm OVPAA-F-INS-055A RAW SC'!BL36/'Midterm OVPAA-F-INS-055A RAW SC'!BL$17*100)</f>
        <v/>
      </c>
      <c r="BM36" s="126" t="str">
        <f>IF('Midterm OVPAA-F-INS-055A RAW SC'!BM36="","",'Midterm OVPAA-F-INS-055A RAW SC'!BM36/'Midterm OVPAA-F-INS-055A RAW SC'!BM$17*100)</f>
        <v/>
      </c>
      <c r="BN36" s="126" t="str">
        <f>IF('Midterm OVPAA-F-INS-055A RAW SC'!BN36="","",'Midterm OVPAA-F-INS-055A RAW SC'!BN36/'Midterm OVPAA-F-INS-055A RAW SC'!BN$17*100)</f>
        <v/>
      </c>
      <c r="BO36" s="126" t="str">
        <f>IF('Midterm OVPAA-F-INS-055A RAW SC'!BO36="","",'Midterm OVPAA-F-INS-055A RAW SC'!BO36/'Midterm OVPAA-F-INS-055A RAW SC'!BO$17*100)</f>
        <v/>
      </c>
      <c r="BP36" s="126" t="str">
        <f>IF('Midterm OVPAA-F-INS-055A RAW SC'!BP36="","",'Midterm OVPAA-F-INS-055A RAW SC'!BP36/'Midterm OVPAA-F-INS-055A RAW SC'!BP$17*100)</f>
        <v/>
      </c>
      <c r="BQ36" s="126" t="str">
        <f>IF('Midterm OVPAA-F-INS-055A RAW SC'!BQ36="","",'Midterm OVPAA-F-INS-055A RAW SC'!BQ36/'Midterm OVPAA-F-INS-055A RAW SC'!BQ$17*100)</f>
        <v/>
      </c>
      <c r="BR36" s="126" t="str">
        <f>IF('Midterm OVPAA-F-INS-055A RAW SC'!BR36="","",'Midterm OVPAA-F-INS-055A RAW SC'!BR36/'Midterm OVPAA-F-INS-055A RAW SC'!BR$17*100)</f>
        <v/>
      </c>
      <c r="BS36" s="126" t="str">
        <f>IF('Midterm OVPAA-F-INS-055A RAW SC'!BS36="","",'Midterm OVPAA-F-INS-055A RAW SC'!BS36/'Midterm OVPAA-F-INS-055A RAW SC'!BS$17*100)</f>
        <v/>
      </c>
      <c r="BT36" s="126" t="str">
        <f>IF('Midterm OVPAA-F-INS-055A RAW SC'!BT36="","",'Midterm OVPAA-F-INS-055A RAW SC'!BT36/'Midterm OVPAA-F-INS-055A RAW SC'!BT$17*100)</f>
        <v/>
      </c>
      <c r="BU36" s="127">
        <f t="array" ref="BU36">IF('Midterm OVPAA-F-INS-055A RAW SC'!$G36="","",IF((SUMPRODUCT(--ISBLANK('Midterm OVPAA-F-INS-055A RAW SC'!H36:BT36))=COLUMNS('Midterm OVPAA-F-INS-055A RAW SC'!H36:BT36))=TRUE,"",(((COUNTA('Midterm OVPAA-F-INS-055A RAW SC'!$H$17:$BT$17)+COUNTBLANK('Midterm OVPAA-F-INS-055A RAW SC'!H36:BT36))-COLUMNS('Midterm OVPAA-F-INS-055A RAW SC'!H36:BT36))*5+SUM(H36:BT36))/COUNTA('Midterm OVPAA-F-INS-055A RAW SC'!$H$17:$BT$17)))</f>
        <v>87.333333333333329</v>
      </c>
      <c r="BV36" s="128">
        <f>IF(BU36="","",VLOOKUP(BU36,IF('Midterm OVPAA-F-INS-055A RAW SC'!$V$12=0.5,TRANSMUTATION!$C$4:$D$17,TRANSMUTATION!$G$4:$H$17),2,TRUE))</f>
        <v>1.5</v>
      </c>
      <c r="BW36" s="129">
        <f>IF('Midterm OVPAA-F-INS-055A RAW SC'!BU36="","",'Midterm OVPAA-F-INS-055A RAW SC'!BU36/'Midterm OVPAA-F-INS-055A RAW SC'!BU$17*100)</f>
        <v>72</v>
      </c>
      <c r="BX36" s="130">
        <f>IF('Midterm OVPAA-F-INS-055A RAW SC'!BV36="","",'Midterm OVPAA-F-INS-055A RAW SC'!BV36/'Midterm OVPAA-F-INS-055A RAW SC'!BV$17*100)</f>
        <v>100</v>
      </c>
      <c r="BY36" s="130">
        <f>IF('Midterm OVPAA-F-INS-055A RAW SC'!BW36="","",'Midterm OVPAA-F-INS-055A RAW SC'!BW36/'Midterm OVPAA-F-INS-055A RAW SC'!BW$17*100)</f>
        <v>80</v>
      </c>
      <c r="BZ36" s="130" t="str">
        <f>IF('Midterm OVPAA-F-INS-055A RAW SC'!BX36="","",'Midterm OVPAA-F-INS-055A RAW SC'!BX36/'Midterm OVPAA-F-INS-055A RAW SC'!BX$17*100)</f>
        <v/>
      </c>
      <c r="CA36" s="130" t="str">
        <f>IF('Midterm OVPAA-F-INS-055A RAW SC'!BY36="","",'Midterm OVPAA-F-INS-055A RAW SC'!BY36/'Midterm OVPAA-F-INS-055A RAW SC'!BY$17*100)</f>
        <v/>
      </c>
      <c r="CB36" s="130" t="str">
        <f>IF('Midterm OVPAA-F-INS-055A RAW SC'!BZ36="","",'Midterm OVPAA-F-INS-055A RAW SC'!BZ36/'Midterm OVPAA-F-INS-055A RAW SC'!BZ$17*100)</f>
        <v/>
      </c>
      <c r="CC36" s="130" t="str">
        <f>IF('Midterm OVPAA-F-INS-055A RAW SC'!CA36="","",'Midterm OVPAA-F-INS-055A RAW SC'!CA36/'Midterm OVPAA-F-INS-055A RAW SC'!CA$17*100)</f>
        <v/>
      </c>
      <c r="CD36" s="130" t="str">
        <f>IF('Midterm OVPAA-F-INS-055A RAW SC'!CB36="","",'Midterm OVPAA-F-INS-055A RAW SC'!CB36/'Midterm OVPAA-F-INS-055A RAW SC'!CB$17*100)</f>
        <v/>
      </c>
      <c r="CE36" s="130" t="str">
        <f>IF('Midterm OVPAA-F-INS-055A RAW SC'!CC36="","",'Midterm OVPAA-F-INS-055A RAW SC'!CC36/'Midterm OVPAA-F-INS-055A RAW SC'!CC$17*100)</f>
        <v/>
      </c>
      <c r="CF36" s="130" t="str">
        <f>IF('Midterm OVPAA-F-INS-055A RAW SC'!CD36="","",'Midterm OVPAA-F-INS-055A RAW SC'!CD36/'Midterm OVPAA-F-INS-055A RAW SC'!CD$17*100)</f>
        <v/>
      </c>
      <c r="CG36" s="130" t="str">
        <f>IF('Midterm OVPAA-F-INS-055A RAW SC'!CE36="","",'Midterm OVPAA-F-INS-055A RAW SC'!CE36/'Midterm OVPAA-F-INS-055A RAW SC'!CE$17*100)</f>
        <v/>
      </c>
      <c r="CH36" s="130" t="str">
        <f>IF('Midterm OVPAA-F-INS-055A RAW SC'!CF36="","",'Midterm OVPAA-F-INS-055A RAW SC'!CF36/'Midterm OVPAA-F-INS-055A RAW SC'!CF$17*100)</f>
        <v/>
      </c>
      <c r="CI36" s="130" t="str">
        <f>IF('Midterm OVPAA-F-INS-055A RAW SC'!CG36="","",'Midterm OVPAA-F-INS-055A RAW SC'!CG36/'Midterm OVPAA-F-INS-055A RAW SC'!CG$17*100)</f>
        <v/>
      </c>
      <c r="CJ36" s="130" t="str">
        <f>IF('Midterm OVPAA-F-INS-055A RAW SC'!CH36="","",'Midterm OVPAA-F-INS-055A RAW SC'!CH36/'Midterm OVPAA-F-INS-055A RAW SC'!CH$17*100)</f>
        <v/>
      </c>
      <c r="CK36" s="130" t="str">
        <f>IF('Midterm OVPAA-F-INS-055A RAW SC'!CI36="","",'Midterm OVPAA-F-INS-055A RAW SC'!CI36/'Midterm OVPAA-F-INS-055A RAW SC'!CI$17*100)</f>
        <v/>
      </c>
      <c r="CL36" s="130" t="str">
        <f>IF('Midterm OVPAA-F-INS-055A RAW SC'!CJ36="","",'Midterm OVPAA-F-INS-055A RAW SC'!CJ36/'Midterm OVPAA-F-INS-055A RAW SC'!CJ$17*100)</f>
        <v/>
      </c>
      <c r="CM36" s="130" t="str">
        <f>IF('Midterm OVPAA-F-INS-055A RAW SC'!CK36="","",'Midterm OVPAA-F-INS-055A RAW SC'!CK36/'Midterm OVPAA-F-INS-055A RAW SC'!CK$17*100)</f>
        <v/>
      </c>
      <c r="CN36" s="130" t="str">
        <f>IF('Midterm OVPAA-F-INS-055A RAW SC'!CL36="","",'Midterm OVPAA-F-INS-055A RAW SC'!CL36/'Midterm OVPAA-F-INS-055A RAW SC'!CL$17*100)</f>
        <v/>
      </c>
      <c r="CO36" s="130" t="str">
        <f>IF('Midterm OVPAA-F-INS-055A RAW SC'!CM36="","",'Midterm OVPAA-F-INS-055A RAW SC'!CM36/'Midterm OVPAA-F-INS-055A RAW SC'!CM$17*100)</f>
        <v/>
      </c>
      <c r="CP36" s="130" t="str">
        <f>IF('Midterm OVPAA-F-INS-055A RAW SC'!CN36="","",'Midterm OVPAA-F-INS-055A RAW SC'!CN36/'Midterm OVPAA-F-INS-055A RAW SC'!CN$17*100)</f>
        <v/>
      </c>
      <c r="CQ36" s="131">
        <f t="array" ref="CQ36">IF('Midterm OVPAA-F-INS-055A RAW SC'!G36="","",IF((SUMPRODUCT(--ISBLANK('Midterm OVPAA-F-INS-055A RAW SC'!BU36:CN36))=COLUMNS('Midterm OVPAA-F-INS-055A RAW SC'!BU36:CN36))=TRUE,"",(((COUNTA('Midterm OVPAA-F-INS-055A RAW SC'!$BU$17:$CN$17)+COUNTBLANK('Midterm OVPAA-F-INS-055A RAW SC'!BU36:CN36))-COLUMNS('Midterm OVPAA-F-INS-055A RAW SC'!BU36:CN36))*5+SUM(BW36:CP36))/COUNTA('Midterm OVPAA-F-INS-055A RAW SC'!$BU$17:$CN$17)))</f>
        <v>84</v>
      </c>
      <c r="CR36" s="132">
        <f>IF(CQ36="","",VLOOKUP(CQ36,IF('Midterm OVPAA-F-INS-055A RAW SC'!$V$12=0.5,TRANSMUTATION!$C$4:$D$17,TRANSMUTATION!$G$4:$H$17),2,TRUE))</f>
        <v>1.75</v>
      </c>
      <c r="CS36" s="133">
        <f>IF('Midterm OVPAA-F-INS-055A RAW SC'!CO36="","",'Midterm OVPAA-F-INS-055A RAW SC'!CO36/'Midterm OVPAA-F-INS-055A RAW SC'!CO$17*100)</f>
        <v>72</v>
      </c>
      <c r="CT36" s="133">
        <f>IF('Midterm OVPAA-F-INS-055A RAW SC'!CP36="","",'Midterm OVPAA-F-INS-055A RAW SC'!CP36/'Midterm OVPAA-F-INS-055A RAW SC'!CP$17*100)</f>
        <v>68</v>
      </c>
      <c r="CU36" s="133" t="str">
        <f>IF('Midterm OVPAA-F-INS-055A RAW SC'!CQ36="","",'Midterm OVPAA-F-INS-055A RAW SC'!CQ36/'Midterm OVPAA-F-INS-055A RAW SC'!CQ$17*100)</f>
        <v/>
      </c>
      <c r="CV36" s="133" t="str">
        <f>IF('Midterm OVPAA-F-INS-055A RAW SC'!CR36="","",'Midterm OVPAA-F-INS-055A RAW SC'!CR36/'Midterm OVPAA-F-INS-055A RAW SC'!CR$17*100)</f>
        <v/>
      </c>
      <c r="CW36" s="133" t="str">
        <f>IF('Midterm OVPAA-F-INS-055A RAW SC'!CS36="","",'Midterm OVPAA-F-INS-055A RAW SC'!CS36/'Midterm OVPAA-F-INS-055A RAW SC'!CS$17*100)</f>
        <v/>
      </c>
      <c r="CX36" s="133" t="str">
        <f>IF('Midterm OVPAA-F-INS-055A RAW SC'!CT36="","",'Midterm OVPAA-F-INS-055A RAW SC'!CT36/'Midterm OVPAA-F-INS-055A RAW SC'!CT$17*100)</f>
        <v/>
      </c>
      <c r="CY36" s="133" t="str">
        <f>IF('Midterm OVPAA-F-INS-055A RAW SC'!CU36="","",'Midterm OVPAA-F-INS-055A RAW SC'!CU36/'Midterm OVPAA-F-INS-055A RAW SC'!CU$17*100)</f>
        <v/>
      </c>
      <c r="CZ36" s="133" t="str">
        <f>IF('Midterm OVPAA-F-INS-055A RAW SC'!CV36="","",'Midterm OVPAA-F-INS-055A RAW SC'!CV36/'Midterm OVPAA-F-INS-055A RAW SC'!CV$17*100)</f>
        <v/>
      </c>
      <c r="DA36" s="133" t="str">
        <f>IF('Midterm OVPAA-F-INS-055A RAW SC'!CW36="","",'Midterm OVPAA-F-INS-055A RAW SC'!CW36/'Midterm OVPAA-F-INS-055A RAW SC'!CW$17*100)</f>
        <v/>
      </c>
      <c r="DB36" s="133" t="str">
        <f>IF('Midterm OVPAA-F-INS-055A RAW SC'!CX36="","",'Midterm OVPAA-F-INS-055A RAW SC'!CX36/'Midterm OVPAA-F-INS-055A RAW SC'!CX$17*100)</f>
        <v/>
      </c>
      <c r="DC36" s="134">
        <f t="array" ref="DC36">IF('Midterm OVPAA-F-INS-055A RAW SC'!$G36="","",IF((SUMPRODUCT(--ISBLANK('Midterm OVPAA-F-INS-055A RAW SC'!CO36:CX36))=COLUMNS('Midterm OVPAA-F-INS-055A RAW SC'!CO36:CX36))=TRUE,"",(((COUNTA('Midterm OVPAA-F-INS-055A RAW SC'!$CO$17:$CX$17)+COUNTBLANK('Midterm OVPAA-F-INS-055A RAW SC'!CO36:CX36))-COLUMNS('Midterm OVPAA-F-INS-055A RAW SC'!CO36:CX36))*5+SUM(CS36:DB36))/COUNTA('Midterm OVPAA-F-INS-055A RAW SC'!$CO$17:$CX$17)))</f>
        <v>70</v>
      </c>
      <c r="DD36" s="135">
        <f>IF(DC36="","",VLOOKUP(DC36,IF('Midterm OVPAA-F-INS-055A RAW SC'!$V$12=0.5,TRANSMUTATION!$C$4:$D$17,TRANSMUTATION!$G$4:$H$17),2,TRUE))</f>
        <v>2.25</v>
      </c>
      <c r="DE36" s="136">
        <f t="shared" si="1"/>
        <v>0.44999999999999996</v>
      </c>
      <c r="DF36" s="137">
        <f t="shared" si="2"/>
        <v>0.52500000000000002</v>
      </c>
      <c r="DG36" s="138">
        <f t="shared" si="3"/>
        <v>0.9</v>
      </c>
      <c r="DH36" s="136">
        <f t="shared" si="4"/>
        <v>1.875</v>
      </c>
      <c r="DI36" s="123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IF('Midterm OVPAA-F-INS-055A RAW SC'!H37="","",'Midterm OVPAA-F-INS-055A RAW SC'!H37/'Midterm OVPAA-F-INS-055A RAW SC'!H$17*100)</f>
        <v>70</v>
      </c>
      <c r="I37" s="126">
        <f>IF('Midterm OVPAA-F-INS-055A RAW SC'!I37="","",'Midterm OVPAA-F-INS-055A RAW SC'!I37/'Midterm OVPAA-F-INS-055A RAW SC'!I$17*100)</f>
        <v>92</v>
      </c>
      <c r="J37" s="126">
        <f>IF('Midterm OVPAA-F-INS-055A RAW SC'!J37="","",'Midterm OVPAA-F-INS-055A RAW SC'!J37/'Midterm OVPAA-F-INS-055A RAW SC'!J$17*100)</f>
        <v>86</v>
      </c>
      <c r="K37" s="126" t="str">
        <f>IF('Midterm OVPAA-F-INS-055A RAW SC'!K37="","",'Midterm OVPAA-F-INS-055A RAW SC'!K37/'Midterm OVPAA-F-INS-055A RAW SC'!K$17*100)</f>
        <v/>
      </c>
      <c r="L37" s="126" t="str">
        <f>IF('Midterm OVPAA-F-INS-055A RAW SC'!L37="","",'Midterm OVPAA-F-INS-055A RAW SC'!L37/'Midterm OVPAA-F-INS-055A RAW SC'!L$17*100)</f>
        <v/>
      </c>
      <c r="M37" s="126" t="str">
        <f>IF('Midterm OVPAA-F-INS-055A RAW SC'!M37="","",'Midterm OVPAA-F-INS-055A RAW SC'!M37/'Midterm OVPAA-F-INS-055A RAW SC'!M$17*100)</f>
        <v/>
      </c>
      <c r="N37" s="126" t="str">
        <f>IF('Midterm OVPAA-F-INS-055A RAW SC'!N37="","",'Midterm OVPAA-F-INS-055A RAW SC'!N37/'Midterm OVPAA-F-INS-055A RAW SC'!N$17*100)</f>
        <v/>
      </c>
      <c r="O37" s="126" t="str">
        <f>IF('Midterm OVPAA-F-INS-055A RAW SC'!O37="","",'Midterm OVPAA-F-INS-055A RAW SC'!O37/'Midterm OVPAA-F-INS-055A RAW SC'!O$17*100)</f>
        <v/>
      </c>
      <c r="P37" s="126" t="str">
        <f>IF('Midterm OVPAA-F-INS-055A RAW SC'!P37="","",'Midterm OVPAA-F-INS-055A RAW SC'!P37/'Midterm OVPAA-F-INS-055A RAW SC'!P$17*100)</f>
        <v/>
      </c>
      <c r="Q37" s="126" t="str">
        <f>IF('Midterm OVPAA-F-INS-055A RAW SC'!Q37="","",'Midterm OVPAA-F-INS-055A RAW SC'!Q37/'Midterm OVPAA-F-INS-055A RAW SC'!Q$17*100)</f>
        <v/>
      </c>
      <c r="R37" s="126" t="str">
        <f>IF('Midterm OVPAA-F-INS-055A RAW SC'!R37="","",'Midterm OVPAA-F-INS-055A RAW SC'!R37/'Midterm OVPAA-F-INS-055A RAW SC'!R$17*100)</f>
        <v/>
      </c>
      <c r="S37" s="126" t="str">
        <f>IF('Midterm OVPAA-F-INS-055A RAW SC'!S37="","",'Midterm OVPAA-F-INS-055A RAW SC'!S37/'Midterm OVPAA-F-INS-055A RAW SC'!S$17*100)</f>
        <v/>
      </c>
      <c r="T37" s="126" t="str">
        <f>IF('Midterm OVPAA-F-INS-055A RAW SC'!T37="","",'Midterm OVPAA-F-INS-055A RAW SC'!T37/'Midterm OVPAA-F-INS-055A RAW SC'!T$17*100)</f>
        <v/>
      </c>
      <c r="U37" s="126" t="str">
        <f>IF('Midterm OVPAA-F-INS-055A RAW SC'!U37="","",'Midterm OVPAA-F-INS-055A RAW SC'!U37/'Midterm OVPAA-F-INS-055A RAW SC'!U$17*100)</f>
        <v/>
      </c>
      <c r="V37" s="126" t="str">
        <f>IF('Midterm OVPAA-F-INS-055A RAW SC'!V37="","",'Midterm OVPAA-F-INS-055A RAW SC'!V37/'Midterm OVPAA-F-INS-055A RAW SC'!V$17*100)</f>
        <v/>
      </c>
      <c r="W37" s="126" t="str">
        <f>IF('Midterm OVPAA-F-INS-055A RAW SC'!W37="","",'Midterm OVPAA-F-INS-055A RAW SC'!W37/'Midterm OVPAA-F-INS-055A RAW SC'!W$17*100)</f>
        <v/>
      </c>
      <c r="X37" s="126" t="str">
        <f>IF('Midterm OVPAA-F-INS-055A RAW SC'!X37="","",'Midterm OVPAA-F-INS-055A RAW SC'!X37/'Midterm OVPAA-F-INS-055A RAW SC'!X$17*100)</f>
        <v/>
      </c>
      <c r="Y37" s="126" t="str">
        <f>IF('Midterm OVPAA-F-INS-055A RAW SC'!Y37="","",'Midterm OVPAA-F-INS-055A RAW SC'!Y37/'Midterm OVPAA-F-INS-055A RAW SC'!Y$17*100)</f>
        <v/>
      </c>
      <c r="Z37" s="126" t="str">
        <f>IF('Midterm OVPAA-F-INS-055A RAW SC'!Z37="","",'Midterm OVPAA-F-INS-055A RAW SC'!Z37/'Midterm OVPAA-F-INS-055A RAW SC'!Z$17*100)</f>
        <v/>
      </c>
      <c r="AA37" s="126" t="str">
        <f>IF('Midterm OVPAA-F-INS-055A RAW SC'!AA37="","",'Midterm OVPAA-F-INS-055A RAW SC'!AA37/'Midterm OVPAA-F-INS-055A RAW SC'!AA$17*100)</f>
        <v/>
      </c>
      <c r="AB37" s="126" t="str">
        <f>IF('Midterm OVPAA-F-INS-055A RAW SC'!AB37="","",'Midterm OVPAA-F-INS-055A RAW SC'!AB37/'Midterm OVPAA-F-INS-055A RAW SC'!AB$17*100)</f>
        <v/>
      </c>
      <c r="AC37" s="126" t="str">
        <f>IF('Midterm OVPAA-F-INS-055A RAW SC'!AC37="","",'Midterm OVPAA-F-INS-055A RAW SC'!AC37/'Midterm OVPAA-F-INS-055A RAW SC'!AC$17*100)</f>
        <v/>
      </c>
      <c r="AD37" s="126" t="str">
        <f>IF('Midterm OVPAA-F-INS-055A RAW SC'!AD37="","",'Midterm OVPAA-F-INS-055A RAW SC'!AD37/'Midterm OVPAA-F-INS-055A RAW SC'!AD$17*100)</f>
        <v/>
      </c>
      <c r="AE37" s="126" t="str">
        <f>IF('Midterm OVPAA-F-INS-055A RAW SC'!AE37="","",'Midterm OVPAA-F-INS-055A RAW SC'!AE37/'Midterm OVPAA-F-INS-055A RAW SC'!AE$17*100)</f>
        <v/>
      </c>
      <c r="AF37" s="126" t="str">
        <f>IF('Midterm OVPAA-F-INS-055A RAW SC'!AF37="","",'Midterm OVPAA-F-INS-055A RAW SC'!AF37/'Midterm OVPAA-F-INS-055A RAW SC'!AF$17*100)</f>
        <v/>
      </c>
      <c r="AG37" s="126" t="str">
        <f>IF('Midterm OVPAA-F-INS-055A RAW SC'!AG37="","",'Midterm OVPAA-F-INS-055A RAW SC'!AG37/'Midterm OVPAA-F-INS-055A RAW SC'!AG$17*100)</f>
        <v/>
      </c>
      <c r="AH37" s="126" t="str">
        <f>IF('Midterm OVPAA-F-INS-055A RAW SC'!AH37="","",'Midterm OVPAA-F-INS-055A RAW SC'!AH37/'Midterm OVPAA-F-INS-055A RAW SC'!AH$17*100)</f>
        <v/>
      </c>
      <c r="AI37" s="126" t="str">
        <f>IF('Midterm OVPAA-F-INS-055A RAW SC'!AI37="","",'Midterm OVPAA-F-INS-055A RAW SC'!AI37/'Midterm OVPAA-F-INS-055A RAW SC'!AI$17*100)</f>
        <v/>
      </c>
      <c r="AJ37" s="126" t="str">
        <f>IF('Midterm OVPAA-F-INS-055A RAW SC'!AJ37="","",'Midterm OVPAA-F-INS-055A RAW SC'!AJ37/'Midterm OVPAA-F-INS-055A RAW SC'!AJ$17*100)</f>
        <v/>
      </c>
      <c r="AK37" s="126" t="str">
        <f>IF('Midterm OVPAA-F-INS-055A RAW SC'!AK37="","",'Midterm OVPAA-F-INS-055A RAW SC'!AK37/'Midterm OVPAA-F-INS-055A RAW SC'!AK$17*100)</f>
        <v/>
      </c>
      <c r="AL37" s="126" t="str">
        <f>IF('Midterm OVPAA-F-INS-055A RAW SC'!AL37="","",'Midterm OVPAA-F-INS-055A RAW SC'!AL37/'Midterm OVPAA-F-INS-055A RAW SC'!AL$17*100)</f>
        <v/>
      </c>
      <c r="AM37" s="126" t="str">
        <f>IF('Midterm OVPAA-F-INS-055A RAW SC'!AM37="","",'Midterm OVPAA-F-INS-055A RAW SC'!AM37/'Midterm OVPAA-F-INS-055A RAW SC'!AM$17*100)</f>
        <v/>
      </c>
      <c r="AN37" s="126" t="str">
        <f>IF('Midterm OVPAA-F-INS-055A RAW SC'!AN37="","",'Midterm OVPAA-F-INS-055A RAW SC'!AN37/'Midterm OVPAA-F-INS-055A RAW SC'!AN$17*100)</f>
        <v/>
      </c>
      <c r="AO37" s="126" t="str">
        <f>IF('Midterm OVPAA-F-INS-055A RAW SC'!AO37="","",'Midterm OVPAA-F-INS-055A RAW SC'!AO37/'Midterm OVPAA-F-INS-055A RAW SC'!AO$17*100)</f>
        <v/>
      </c>
      <c r="AP37" s="126" t="str">
        <f>IF('Midterm OVPAA-F-INS-055A RAW SC'!AP37="","",'Midterm OVPAA-F-INS-055A RAW SC'!AP37/'Midterm OVPAA-F-INS-055A RAW SC'!AP$17*100)</f>
        <v/>
      </c>
      <c r="AQ37" s="126" t="str">
        <f>IF('Midterm OVPAA-F-INS-055A RAW SC'!AQ37="","",'Midterm OVPAA-F-INS-055A RAW SC'!AQ37/'Midterm OVPAA-F-INS-055A RAW SC'!AQ$17*100)</f>
        <v/>
      </c>
      <c r="AR37" s="126" t="str">
        <f>IF('Midterm OVPAA-F-INS-055A RAW SC'!AR37="","",'Midterm OVPAA-F-INS-055A RAW SC'!AR37/'Midterm OVPAA-F-INS-055A RAW SC'!AR$17*100)</f>
        <v/>
      </c>
      <c r="AS37" s="126" t="str">
        <f>IF('Midterm OVPAA-F-INS-055A RAW SC'!AS37="","",'Midterm OVPAA-F-INS-055A RAW SC'!AS37/'Midterm OVPAA-F-INS-055A RAW SC'!AS$17*100)</f>
        <v/>
      </c>
      <c r="AT37" s="126" t="str">
        <f>IF('Midterm OVPAA-F-INS-055A RAW SC'!AT37="","",'Midterm OVPAA-F-INS-055A RAW SC'!AT37/'Midterm OVPAA-F-INS-055A RAW SC'!AT$17*100)</f>
        <v/>
      </c>
      <c r="AU37" s="126" t="str">
        <f>IF('Midterm OVPAA-F-INS-055A RAW SC'!AU37="","",'Midterm OVPAA-F-INS-055A RAW SC'!AU37/'Midterm OVPAA-F-INS-055A RAW SC'!AU$17*100)</f>
        <v/>
      </c>
      <c r="AV37" s="126" t="str">
        <f>IF('Midterm OVPAA-F-INS-055A RAW SC'!AV37="","",'Midterm OVPAA-F-INS-055A RAW SC'!AV37/'Midterm OVPAA-F-INS-055A RAW SC'!AV$17*100)</f>
        <v/>
      </c>
      <c r="AW37" s="126" t="str">
        <f>IF('Midterm OVPAA-F-INS-055A RAW SC'!AW37="","",'Midterm OVPAA-F-INS-055A RAW SC'!AW37/'Midterm OVPAA-F-INS-055A RAW SC'!AW$17*100)</f>
        <v/>
      </c>
      <c r="AX37" s="126" t="str">
        <f>IF('Midterm OVPAA-F-INS-055A RAW SC'!AX37="","",'Midterm OVPAA-F-INS-055A RAW SC'!AX37/'Midterm OVPAA-F-INS-055A RAW SC'!AX$17*100)</f>
        <v/>
      </c>
      <c r="AY37" s="126" t="str">
        <f>IF('Midterm OVPAA-F-INS-055A RAW SC'!AY37="","",'Midterm OVPAA-F-INS-055A RAW SC'!AY37/'Midterm OVPAA-F-INS-055A RAW SC'!AY$17*100)</f>
        <v/>
      </c>
      <c r="AZ37" s="126" t="str">
        <f>IF('Midterm OVPAA-F-INS-055A RAW SC'!AZ37="","",'Midterm OVPAA-F-INS-055A RAW SC'!AZ37/'Midterm OVPAA-F-INS-055A RAW SC'!AZ$17*100)</f>
        <v/>
      </c>
      <c r="BA37" s="126" t="str">
        <f>IF('Midterm OVPAA-F-INS-055A RAW SC'!BA37="","",'Midterm OVPAA-F-INS-055A RAW SC'!BA37/'Midterm OVPAA-F-INS-055A RAW SC'!BA$17*100)</f>
        <v/>
      </c>
      <c r="BB37" s="126" t="str">
        <f>IF('Midterm OVPAA-F-INS-055A RAW SC'!BB37="","",'Midterm OVPAA-F-INS-055A RAW SC'!BB37/'Midterm OVPAA-F-INS-055A RAW SC'!BB$17*100)</f>
        <v/>
      </c>
      <c r="BC37" s="126" t="str">
        <f>IF('Midterm OVPAA-F-INS-055A RAW SC'!BC37="","",'Midterm OVPAA-F-INS-055A RAW SC'!BC37/'Midterm OVPAA-F-INS-055A RAW SC'!BC$17*100)</f>
        <v/>
      </c>
      <c r="BD37" s="126" t="str">
        <f>IF('Midterm OVPAA-F-INS-055A RAW SC'!BD37="","",'Midterm OVPAA-F-INS-055A RAW SC'!BD37/'Midterm OVPAA-F-INS-055A RAW SC'!BD$17*100)</f>
        <v/>
      </c>
      <c r="BE37" s="126" t="str">
        <f>IF('Midterm OVPAA-F-INS-055A RAW SC'!BE37="","",'Midterm OVPAA-F-INS-055A RAW SC'!BE37/'Midterm OVPAA-F-INS-055A RAW SC'!BE$17*100)</f>
        <v/>
      </c>
      <c r="BF37" s="126" t="str">
        <f>IF('Midterm OVPAA-F-INS-055A RAW SC'!BF37="","",'Midterm OVPAA-F-INS-055A RAW SC'!BF37/'Midterm OVPAA-F-INS-055A RAW SC'!BF$17*100)</f>
        <v/>
      </c>
      <c r="BG37" s="126" t="str">
        <f>IF('Midterm OVPAA-F-INS-055A RAW SC'!BG37="","",'Midterm OVPAA-F-INS-055A RAW SC'!BG37/'Midterm OVPAA-F-INS-055A RAW SC'!BG$17*100)</f>
        <v/>
      </c>
      <c r="BH37" s="126" t="str">
        <f>IF('Midterm OVPAA-F-INS-055A RAW SC'!BH37="","",'Midterm OVPAA-F-INS-055A RAW SC'!BH37/'Midterm OVPAA-F-INS-055A RAW SC'!BH$17*100)</f>
        <v/>
      </c>
      <c r="BI37" s="126" t="str">
        <f>IF('Midterm OVPAA-F-INS-055A RAW SC'!BI37="","",'Midterm OVPAA-F-INS-055A RAW SC'!BI37/'Midterm OVPAA-F-INS-055A RAW SC'!BI$17*100)</f>
        <v/>
      </c>
      <c r="BJ37" s="126" t="str">
        <f>IF('Midterm OVPAA-F-INS-055A RAW SC'!BJ37="","",'Midterm OVPAA-F-INS-055A RAW SC'!BJ37/'Midterm OVPAA-F-INS-055A RAW SC'!BJ$17*100)</f>
        <v/>
      </c>
      <c r="BK37" s="126" t="str">
        <f>IF('Midterm OVPAA-F-INS-055A RAW SC'!BK37="","",'Midterm OVPAA-F-INS-055A RAW SC'!BK37/'Midterm OVPAA-F-INS-055A RAW SC'!BK$17*100)</f>
        <v/>
      </c>
      <c r="BL37" s="126" t="str">
        <f>IF('Midterm OVPAA-F-INS-055A RAW SC'!BL37="","",'Midterm OVPAA-F-INS-055A RAW SC'!BL37/'Midterm OVPAA-F-INS-055A RAW SC'!BL$17*100)</f>
        <v/>
      </c>
      <c r="BM37" s="126" t="str">
        <f>IF('Midterm OVPAA-F-INS-055A RAW SC'!BM37="","",'Midterm OVPAA-F-INS-055A RAW SC'!BM37/'Midterm OVPAA-F-INS-055A RAW SC'!BM$17*100)</f>
        <v/>
      </c>
      <c r="BN37" s="126" t="str">
        <f>IF('Midterm OVPAA-F-INS-055A RAW SC'!BN37="","",'Midterm OVPAA-F-INS-055A RAW SC'!BN37/'Midterm OVPAA-F-INS-055A RAW SC'!BN$17*100)</f>
        <v/>
      </c>
      <c r="BO37" s="126" t="str">
        <f>IF('Midterm OVPAA-F-INS-055A RAW SC'!BO37="","",'Midterm OVPAA-F-INS-055A RAW SC'!BO37/'Midterm OVPAA-F-INS-055A RAW SC'!BO$17*100)</f>
        <v/>
      </c>
      <c r="BP37" s="126" t="str">
        <f>IF('Midterm OVPAA-F-INS-055A RAW SC'!BP37="","",'Midterm OVPAA-F-INS-055A RAW SC'!BP37/'Midterm OVPAA-F-INS-055A RAW SC'!BP$17*100)</f>
        <v/>
      </c>
      <c r="BQ37" s="126" t="str">
        <f>IF('Midterm OVPAA-F-INS-055A RAW SC'!BQ37="","",'Midterm OVPAA-F-INS-055A RAW SC'!BQ37/'Midterm OVPAA-F-INS-055A RAW SC'!BQ$17*100)</f>
        <v/>
      </c>
      <c r="BR37" s="126" t="str">
        <f>IF('Midterm OVPAA-F-INS-055A RAW SC'!BR37="","",'Midterm OVPAA-F-INS-055A RAW SC'!BR37/'Midterm OVPAA-F-INS-055A RAW SC'!BR$17*100)</f>
        <v/>
      </c>
      <c r="BS37" s="126" t="str">
        <f>IF('Midterm OVPAA-F-INS-055A RAW SC'!BS37="","",'Midterm OVPAA-F-INS-055A RAW SC'!BS37/'Midterm OVPAA-F-INS-055A RAW SC'!BS$17*100)</f>
        <v/>
      </c>
      <c r="BT37" s="126" t="str">
        <f>IF('Midterm OVPAA-F-INS-055A RAW SC'!BT37="","",'Midterm OVPAA-F-INS-055A RAW SC'!BT37/'Midterm OVPAA-F-INS-055A RAW SC'!BT$17*100)</f>
        <v/>
      </c>
      <c r="BU37" s="127">
        <f t="array" ref="BU37">IF('Midterm OVPAA-F-INS-055A RAW SC'!$G37="","",IF((SUMPRODUCT(--ISBLANK('Midterm OVPAA-F-INS-055A RAW SC'!H37:BT37))=COLUMNS('Midterm OVPAA-F-INS-055A RAW SC'!H37:BT37))=TRUE,"",(((COUNTA('Midterm OVPAA-F-INS-055A RAW SC'!$H$17:$BT$17)+COUNTBLANK('Midterm OVPAA-F-INS-055A RAW SC'!H37:BT37))-COLUMNS('Midterm OVPAA-F-INS-055A RAW SC'!H37:BT37))*5+SUM(H37:BT37))/COUNTA('Midterm OVPAA-F-INS-055A RAW SC'!$H$17:$BT$17)))</f>
        <v>82.666666666666671</v>
      </c>
      <c r="BV37" s="128">
        <f>IF(BU37="","",VLOOKUP(BU37,IF('Midterm OVPAA-F-INS-055A RAW SC'!$V$12=0.5,TRANSMUTATION!$C$4:$D$17,TRANSMUTATION!$G$4:$H$17),2,TRUE))</f>
        <v>1.75</v>
      </c>
      <c r="BW37" s="129">
        <f>IF('Midterm OVPAA-F-INS-055A RAW SC'!BU37="","",'Midterm OVPAA-F-INS-055A RAW SC'!BU37/'Midterm OVPAA-F-INS-055A RAW SC'!BU$17*100)</f>
        <v>70</v>
      </c>
      <c r="BX37" s="130">
        <f>IF('Midterm OVPAA-F-INS-055A RAW SC'!BV37="","",'Midterm OVPAA-F-INS-055A RAW SC'!BV37/'Midterm OVPAA-F-INS-055A RAW SC'!BV$17*100)</f>
        <v>100</v>
      </c>
      <c r="BY37" s="130">
        <f>IF('Midterm OVPAA-F-INS-055A RAW SC'!BW37="","",'Midterm OVPAA-F-INS-055A RAW SC'!BW37/'Midterm OVPAA-F-INS-055A RAW SC'!BW$17*100)</f>
        <v>100</v>
      </c>
      <c r="BZ37" s="130" t="str">
        <f>IF('Midterm OVPAA-F-INS-055A RAW SC'!BX37="","",'Midterm OVPAA-F-INS-055A RAW SC'!BX37/'Midterm OVPAA-F-INS-055A RAW SC'!BX$17*100)</f>
        <v/>
      </c>
      <c r="CA37" s="130" t="str">
        <f>IF('Midterm OVPAA-F-INS-055A RAW SC'!BY37="","",'Midterm OVPAA-F-INS-055A RAW SC'!BY37/'Midterm OVPAA-F-INS-055A RAW SC'!BY$17*100)</f>
        <v/>
      </c>
      <c r="CB37" s="130" t="str">
        <f>IF('Midterm OVPAA-F-INS-055A RAW SC'!BZ37="","",'Midterm OVPAA-F-INS-055A RAW SC'!BZ37/'Midterm OVPAA-F-INS-055A RAW SC'!BZ$17*100)</f>
        <v/>
      </c>
      <c r="CC37" s="130" t="str">
        <f>IF('Midterm OVPAA-F-INS-055A RAW SC'!CA37="","",'Midterm OVPAA-F-INS-055A RAW SC'!CA37/'Midterm OVPAA-F-INS-055A RAW SC'!CA$17*100)</f>
        <v/>
      </c>
      <c r="CD37" s="130" t="str">
        <f>IF('Midterm OVPAA-F-INS-055A RAW SC'!CB37="","",'Midterm OVPAA-F-INS-055A RAW SC'!CB37/'Midterm OVPAA-F-INS-055A RAW SC'!CB$17*100)</f>
        <v/>
      </c>
      <c r="CE37" s="130" t="str">
        <f>IF('Midterm OVPAA-F-INS-055A RAW SC'!CC37="","",'Midterm OVPAA-F-INS-055A RAW SC'!CC37/'Midterm OVPAA-F-INS-055A RAW SC'!CC$17*100)</f>
        <v/>
      </c>
      <c r="CF37" s="130" t="str">
        <f>IF('Midterm OVPAA-F-INS-055A RAW SC'!CD37="","",'Midterm OVPAA-F-INS-055A RAW SC'!CD37/'Midterm OVPAA-F-INS-055A RAW SC'!CD$17*100)</f>
        <v/>
      </c>
      <c r="CG37" s="130" t="str">
        <f>IF('Midterm OVPAA-F-INS-055A RAW SC'!CE37="","",'Midterm OVPAA-F-INS-055A RAW SC'!CE37/'Midterm OVPAA-F-INS-055A RAW SC'!CE$17*100)</f>
        <v/>
      </c>
      <c r="CH37" s="130" t="str">
        <f>IF('Midterm OVPAA-F-INS-055A RAW SC'!CF37="","",'Midterm OVPAA-F-INS-055A RAW SC'!CF37/'Midterm OVPAA-F-INS-055A RAW SC'!CF$17*100)</f>
        <v/>
      </c>
      <c r="CI37" s="130" t="str">
        <f>IF('Midterm OVPAA-F-INS-055A RAW SC'!CG37="","",'Midterm OVPAA-F-INS-055A RAW SC'!CG37/'Midterm OVPAA-F-INS-055A RAW SC'!CG$17*100)</f>
        <v/>
      </c>
      <c r="CJ37" s="130" t="str">
        <f>IF('Midterm OVPAA-F-INS-055A RAW SC'!CH37="","",'Midterm OVPAA-F-INS-055A RAW SC'!CH37/'Midterm OVPAA-F-INS-055A RAW SC'!CH$17*100)</f>
        <v/>
      </c>
      <c r="CK37" s="130" t="str">
        <f>IF('Midterm OVPAA-F-INS-055A RAW SC'!CI37="","",'Midterm OVPAA-F-INS-055A RAW SC'!CI37/'Midterm OVPAA-F-INS-055A RAW SC'!CI$17*100)</f>
        <v/>
      </c>
      <c r="CL37" s="130" t="str">
        <f>IF('Midterm OVPAA-F-INS-055A RAW SC'!CJ37="","",'Midterm OVPAA-F-INS-055A RAW SC'!CJ37/'Midterm OVPAA-F-INS-055A RAW SC'!CJ$17*100)</f>
        <v/>
      </c>
      <c r="CM37" s="130" t="str">
        <f>IF('Midterm OVPAA-F-INS-055A RAW SC'!CK37="","",'Midterm OVPAA-F-INS-055A RAW SC'!CK37/'Midterm OVPAA-F-INS-055A RAW SC'!CK$17*100)</f>
        <v/>
      </c>
      <c r="CN37" s="130" t="str">
        <f>IF('Midterm OVPAA-F-INS-055A RAW SC'!CL37="","",'Midterm OVPAA-F-INS-055A RAW SC'!CL37/'Midterm OVPAA-F-INS-055A RAW SC'!CL$17*100)</f>
        <v/>
      </c>
      <c r="CO37" s="130" t="str">
        <f>IF('Midterm OVPAA-F-INS-055A RAW SC'!CM37="","",'Midterm OVPAA-F-INS-055A RAW SC'!CM37/'Midterm OVPAA-F-INS-055A RAW SC'!CM$17*100)</f>
        <v/>
      </c>
      <c r="CP37" s="130" t="str">
        <f>IF('Midterm OVPAA-F-INS-055A RAW SC'!CN37="","",'Midterm OVPAA-F-INS-055A RAW SC'!CN37/'Midterm OVPAA-F-INS-055A RAW SC'!CN$17*100)</f>
        <v/>
      </c>
      <c r="CQ37" s="131">
        <f t="array" ref="CQ37">IF('Midterm OVPAA-F-INS-055A RAW SC'!G37="","",IF((SUMPRODUCT(--ISBLANK('Midterm OVPAA-F-INS-055A RAW SC'!BU37:CN37))=COLUMNS('Midterm OVPAA-F-INS-055A RAW SC'!BU37:CN37))=TRUE,"",(((COUNTA('Midterm OVPAA-F-INS-055A RAW SC'!$BU$17:$CN$17)+COUNTBLANK('Midterm OVPAA-F-INS-055A RAW SC'!BU37:CN37))-COLUMNS('Midterm OVPAA-F-INS-055A RAW SC'!BU37:CN37))*5+SUM(BW37:CP37))/COUNTA('Midterm OVPAA-F-INS-055A RAW SC'!$BU$17:$CN$17)))</f>
        <v>90</v>
      </c>
      <c r="CR37" s="132">
        <f>IF(CQ37="","",VLOOKUP(CQ37,IF('Midterm OVPAA-F-INS-055A RAW SC'!$V$12=0.5,TRANSMUTATION!$C$4:$D$17,TRANSMUTATION!$G$4:$H$17),2,TRUE))</f>
        <v>1.5</v>
      </c>
      <c r="CS37" s="133">
        <f>IF('Midterm OVPAA-F-INS-055A RAW SC'!CO37="","",'Midterm OVPAA-F-INS-055A RAW SC'!CO37/'Midterm OVPAA-F-INS-055A RAW SC'!CO$17*100)</f>
        <v>76</v>
      </c>
      <c r="CT37" s="133">
        <f>IF('Midterm OVPAA-F-INS-055A RAW SC'!CP37="","",'Midterm OVPAA-F-INS-055A RAW SC'!CP37/'Midterm OVPAA-F-INS-055A RAW SC'!CP$17*100)</f>
        <v>90</v>
      </c>
      <c r="CU37" s="133" t="str">
        <f>IF('Midterm OVPAA-F-INS-055A RAW SC'!CQ37="","",'Midterm OVPAA-F-INS-055A RAW SC'!CQ37/'Midterm OVPAA-F-INS-055A RAW SC'!CQ$17*100)</f>
        <v/>
      </c>
      <c r="CV37" s="133" t="str">
        <f>IF('Midterm OVPAA-F-INS-055A RAW SC'!CR37="","",'Midterm OVPAA-F-INS-055A RAW SC'!CR37/'Midterm OVPAA-F-INS-055A RAW SC'!CR$17*100)</f>
        <v/>
      </c>
      <c r="CW37" s="133" t="str">
        <f>IF('Midterm OVPAA-F-INS-055A RAW SC'!CS37="","",'Midterm OVPAA-F-INS-055A RAW SC'!CS37/'Midterm OVPAA-F-INS-055A RAW SC'!CS$17*100)</f>
        <v/>
      </c>
      <c r="CX37" s="133" t="str">
        <f>IF('Midterm OVPAA-F-INS-055A RAW SC'!CT37="","",'Midterm OVPAA-F-INS-055A RAW SC'!CT37/'Midterm OVPAA-F-INS-055A RAW SC'!CT$17*100)</f>
        <v/>
      </c>
      <c r="CY37" s="133" t="str">
        <f>IF('Midterm OVPAA-F-INS-055A RAW SC'!CU37="","",'Midterm OVPAA-F-INS-055A RAW SC'!CU37/'Midterm OVPAA-F-INS-055A RAW SC'!CU$17*100)</f>
        <v/>
      </c>
      <c r="CZ37" s="133" t="str">
        <f>IF('Midterm OVPAA-F-INS-055A RAW SC'!CV37="","",'Midterm OVPAA-F-INS-055A RAW SC'!CV37/'Midterm OVPAA-F-INS-055A RAW SC'!CV$17*100)</f>
        <v/>
      </c>
      <c r="DA37" s="133" t="str">
        <f>IF('Midterm OVPAA-F-INS-055A RAW SC'!CW37="","",'Midterm OVPAA-F-INS-055A RAW SC'!CW37/'Midterm OVPAA-F-INS-055A RAW SC'!CW$17*100)</f>
        <v/>
      </c>
      <c r="DB37" s="133" t="str">
        <f>IF('Midterm OVPAA-F-INS-055A RAW SC'!CX37="","",'Midterm OVPAA-F-INS-055A RAW SC'!CX37/'Midterm OVPAA-F-INS-055A RAW SC'!CX$17*100)</f>
        <v/>
      </c>
      <c r="DC37" s="134">
        <f t="array" ref="DC37">IF('Midterm OVPAA-F-INS-055A RAW SC'!$G37="","",IF((SUMPRODUCT(--ISBLANK('Midterm OVPAA-F-INS-055A RAW SC'!CO37:CX37))=COLUMNS('Midterm OVPAA-F-INS-055A RAW SC'!CO37:CX37))=TRUE,"",(((COUNTA('Midterm OVPAA-F-INS-055A RAW SC'!$CO$17:$CX$17)+COUNTBLANK('Midterm OVPAA-F-INS-055A RAW SC'!CO37:CX37))-COLUMNS('Midterm OVPAA-F-INS-055A RAW SC'!CO37:CX37))*5+SUM(CS37:DB37))/COUNTA('Midterm OVPAA-F-INS-055A RAW SC'!$CO$17:$CX$17)))</f>
        <v>83</v>
      </c>
      <c r="DD37" s="135">
        <f>IF(DC37="","",VLOOKUP(DC37,IF('Midterm OVPAA-F-INS-055A RAW SC'!$V$12=0.5,TRANSMUTATION!$C$4:$D$17,TRANSMUTATION!$G$4:$H$17),2,TRUE))</f>
        <v>1.75</v>
      </c>
      <c r="DE37" s="136">
        <f t="shared" si="1"/>
        <v>0.52500000000000002</v>
      </c>
      <c r="DF37" s="137">
        <f t="shared" si="2"/>
        <v>0.44999999999999996</v>
      </c>
      <c r="DG37" s="138">
        <f t="shared" si="3"/>
        <v>0.70000000000000007</v>
      </c>
      <c r="DH37" s="136">
        <f t="shared" si="4"/>
        <v>1.675</v>
      </c>
      <c r="DI37" s="123" t="str">
        <f t="shared" si="5"/>
        <v>1.75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IF('Midterm OVPAA-F-INS-055A RAW SC'!H38="","",'Midterm OVPAA-F-INS-055A RAW SC'!H38/'Midterm OVPAA-F-INS-055A RAW SC'!H$17*100)</f>
        <v>94</v>
      </c>
      <c r="I38" s="126">
        <f>IF('Midterm OVPAA-F-INS-055A RAW SC'!I38="","",'Midterm OVPAA-F-INS-055A RAW SC'!I38/'Midterm OVPAA-F-INS-055A RAW SC'!I$17*100)</f>
        <v>93</v>
      </c>
      <c r="J38" s="126">
        <f>IF('Midterm OVPAA-F-INS-055A RAW SC'!J38="","",'Midterm OVPAA-F-INS-055A RAW SC'!J38/'Midterm OVPAA-F-INS-055A RAW SC'!J$17*100)</f>
        <v>88</v>
      </c>
      <c r="K38" s="126" t="str">
        <f>IF('Midterm OVPAA-F-INS-055A RAW SC'!K38="","",'Midterm OVPAA-F-INS-055A RAW SC'!K38/'Midterm OVPAA-F-INS-055A RAW SC'!K$17*100)</f>
        <v/>
      </c>
      <c r="L38" s="126" t="str">
        <f>IF('Midterm OVPAA-F-INS-055A RAW SC'!L38="","",'Midterm OVPAA-F-INS-055A RAW SC'!L38/'Midterm OVPAA-F-INS-055A RAW SC'!L$17*100)</f>
        <v/>
      </c>
      <c r="M38" s="126" t="str">
        <f>IF('Midterm OVPAA-F-INS-055A RAW SC'!M38="","",'Midterm OVPAA-F-INS-055A RAW SC'!M38/'Midterm OVPAA-F-INS-055A RAW SC'!M$17*100)</f>
        <v/>
      </c>
      <c r="N38" s="126" t="str">
        <f>IF('Midterm OVPAA-F-INS-055A RAW SC'!N38="","",'Midterm OVPAA-F-INS-055A RAW SC'!N38/'Midterm OVPAA-F-INS-055A RAW SC'!N$17*100)</f>
        <v/>
      </c>
      <c r="O38" s="126" t="str">
        <f>IF('Midterm OVPAA-F-INS-055A RAW SC'!O38="","",'Midterm OVPAA-F-INS-055A RAW SC'!O38/'Midterm OVPAA-F-INS-055A RAW SC'!O$17*100)</f>
        <v/>
      </c>
      <c r="P38" s="126" t="str">
        <f>IF('Midterm OVPAA-F-INS-055A RAW SC'!P38="","",'Midterm OVPAA-F-INS-055A RAW SC'!P38/'Midterm OVPAA-F-INS-055A RAW SC'!P$17*100)</f>
        <v/>
      </c>
      <c r="Q38" s="126" t="str">
        <f>IF('Midterm OVPAA-F-INS-055A RAW SC'!Q38="","",'Midterm OVPAA-F-INS-055A RAW SC'!Q38/'Midterm OVPAA-F-INS-055A RAW SC'!Q$17*100)</f>
        <v/>
      </c>
      <c r="R38" s="126" t="str">
        <f>IF('Midterm OVPAA-F-INS-055A RAW SC'!R38="","",'Midterm OVPAA-F-INS-055A RAW SC'!R38/'Midterm OVPAA-F-INS-055A RAW SC'!R$17*100)</f>
        <v/>
      </c>
      <c r="S38" s="126" t="str">
        <f>IF('Midterm OVPAA-F-INS-055A RAW SC'!S38="","",'Midterm OVPAA-F-INS-055A RAW SC'!S38/'Midterm OVPAA-F-INS-055A RAW SC'!S$17*100)</f>
        <v/>
      </c>
      <c r="T38" s="126" t="str">
        <f>IF('Midterm OVPAA-F-INS-055A RAW SC'!T38="","",'Midterm OVPAA-F-INS-055A RAW SC'!T38/'Midterm OVPAA-F-INS-055A RAW SC'!T$17*100)</f>
        <v/>
      </c>
      <c r="U38" s="126" t="str">
        <f>IF('Midterm OVPAA-F-INS-055A RAW SC'!U38="","",'Midterm OVPAA-F-INS-055A RAW SC'!U38/'Midterm OVPAA-F-INS-055A RAW SC'!U$17*100)</f>
        <v/>
      </c>
      <c r="V38" s="126" t="str">
        <f>IF('Midterm OVPAA-F-INS-055A RAW SC'!V38="","",'Midterm OVPAA-F-INS-055A RAW SC'!V38/'Midterm OVPAA-F-INS-055A RAW SC'!V$17*100)</f>
        <v/>
      </c>
      <c r="W38" s="126" t="str">
        <f>IF('Midterm OVPAA-F-INS-055A RAW SC'!W38="","",'Midterm OVPAA-F-INS-055A RAW SC'!W38/'Midterm OVPAA-F-INS-055A RAW SC'!W$17*100)</f>
        <v/>
      </c>
      <c r="X38" s="126" t="str">
        <f>IF('Midterm OVPAA-F-INS-055A RAW SC'!X38="","",'Midterm OVPAA-F-INS-055A RAW SC'!X38/'Midterm OVPAA-F-INS-055A RAW SC'!X$17*100)</f>
        <v/>
      </c>
      <c r="Y38" s="126" t="str">
        <f>IF('Midterm OVPAA-F-INS-055A RAW SC'!Y38="","",'Midterm OVPAA-F-INS-055A RAW SC'!Y38/'Midterm OVPAA-F-INS-055A RAW SC'!Y$17*100)</f>
        <v/>
      </c>
      <c r="Z38" s="126" t="str">
        <f>IF('Midterm OVPAA-F-INS-055A RAW SC'!Z38="","",'Midterm OVPAA-F-INS-055A RAW SC'!Z38/'Midterm OVPAA-F-INS-055A RAW SC'!Z$17*100)</f>
        <v/>
      </c>
      <c r="AA38" s="126" t="str">
        <f>IF('Midterm OVPAA-F-INS-055A RAW SC'!AA38="","",'Midterm OVPAA-F-INS-055A RAW SC'!AA38/'Midterm OVPAA-F-INS-055A RAW SC'!AA$17*100)</f>
        <v/>
      </c>
      <c r="AB38" s="126" t="str">
        <f>IF('Midterm OVPAA-F-INS-055A RAW SC'!AB38="","",'Midterm OVPAA-F-INS-055A RAW SC'!AB38/'Midterm OVPAA-F-INS-055A RAW SC'!AB$17*100)</f>
        <v/>
      </c>
      <c r="AC38" s="126" t="str">
        <f>IF('Midterm OVPAA-F-INS-055A RAW SC'!AC38="","",'Midterm OVPAA-F-INS-055A RAW SC'!AC38/'Midterm OVPAA-F-INS-055A RAW SC'!AC$17*100)</f>
        <v/>
      </c>
      <c r="AD38" s="126" t="str">
        <f>IF('Midterm OVPAA-F-INS-055A RAW SC'!AD38="","",'Midterm OVPAA-F-INS-055A RAW SC'!AD38/'Midterm OVPAA-F-INS-055A RAW SC'!AD$17*100)</f>
        <v/>
      </c>
      <c r="AE38" s="126" t="str">
        <f>IF('Midterm OVPAA-F-INS-055A RAW SC'!AE38="","",'Midterm OVPAA-F-INS-055A RAW SC'!AE38/'Midterm OVPAA-F-INS-055A RAW SC'!AE$17*100)</f>
        <v/>
      </c>
      <c r="AF38" s="126" t="str">
        <f>IF('Midterm OVPAA-F-INS-055A RAW SC'!AF38="","",'Midterm OVPAA-F-INS-055A RAW SC'!AF38/'Midterm OVPAA-F-INS-055A RAW SC'!AF$17*100)</f>
        <v/>
      </c>
      <c r="AG38" s="126" t="str">
        <f>IF('Midterm OVPAA-F-INS-055A RAW SC'!AG38="","",'Midterm OVPAA-F-INS-055A RAW SC'!AG38/'Midterm OVPAA-F-INS-055A RAW SC'!AG$17*100)</f>
        <v/>
      </c>
      <c r="AH38" s="126" t="str">
        <f>IF('Midterm OVPAA-F-INS-055A RAW SC'!AH38="","",'Midterm OVPAA-F-INS-055A RAW SC'!AH38/'Midterm OVPAA-F-INS-055A RAW SC'!AH$17*100)</f>
        <v/>
      </c>
      <c r="AI38" s="126" t="str">
        <f>IF('Midterm OVPAA-F-INS-055A RAW SC'!AI38="","",'Midterm OVPAA-F-INS-055A RAW SC'!AI38/'Midterm OVPAA-F-INS-055A RAW SC'!AI$17*100)</f>
        <v/>
      </c>
      <c r="AJ38" s="126" t="str">
        <f>IF('Midterm OVPAA-F-INS-055A RAW SC'!AJ38="","",'Midterm OVPAA-F-INS-055A RAW SC'!AJ38/'Midterm OVPAA-F-INS-055A RAW SC'!AJ$17*100)</f>
        <v/>
      </c>
      <c r="AK38" s="126" t="str">
        <f>IF('Midterm OVPAA-F-INS-055A RAW SC'!AK38="","",'Midterm OVPAA-F-INS-055A RAW SC'!AK38/'Midterm OVPAA-F-INS-055A RAW SC'!AK$17*100)</f>
        <v/>
      </c>
      <c r="AL38" s="126" t="str">
        <f>IF('Midterm OVPAA-F-INS-055A RAW SC'!AL38="","",'Midterm OVPAA-F-INS-055A RAW SC'!AL38/'Midterm OVPAA-F-INS-055A RAW SC'!AL$17*100)</f>
        <v/>
      </c>
      <c r="AM38" s="126" t="str">
        <f>IF('Midterm OVPAA-F-INS-055A RAW SC'!AM38="","",'Midterm OVPAA-F-INS-055A RAW SC'!AM38/'Midterm OVPAA-F-INS-055A RAW SC'!AM$17*100)</f>
        <v/>
      </c>
      <c r="AN38" s="126" t="str">
        <f>IF('Midterm OVPAA-F-INS-055A RAW SC'!AN38="","",'Midterm OVPAA-F-INS-055A RAW SC'!AN38/'Midterm OVPAA-F-INS-055A RAW SC'!AN$17*100)</f>
        <v/>
      </c>
      <c r="AO38" s="126" t="str">
        <f>IF('Midterm OVPAA-F-INS-055A RAW SC'!AO38="","",'Midterm OVPAA-F-INS-055A RAW SC'!AO38/'Midterm OVPAA-F-INS-055A RAW SC'!AO$17*100)</f>
        <v/>
      </c>
      <c r="AP38" s="126" t="str">
        <f>IF('Midterm OVPAA-F-INS-055A RAW SC'!AP38="","",'Midterm OVPAA-F-INS-055A RAW SC'!AP38/'Midterm OVPAA-F-INS-055A RAW SC'!AP$17*100)</f>
        <v/>
      </c>
      <c r="AQ38" s="126" t="str">
        <f>IF('Midterm OVPAA-F-INS-055A RAW SC'!AQ38="","",'Midterm OVPAA-F-INS-055A RAW SC'!AQ38/'Midterm OVPAA-F-INS-055A RAW SC'!AQ$17*100)</f>
        <v/>
      </c>
      <c r="AR38" s="126" t="str">
        <f>IF('Midterm OVPAA-F-INS-055A RAW SC'!AR38="","",'Midterm OVPAA-F-INS-055A RAW SC'!AR38/'Midterm OVPAA-F-INS-055A RAW SC'!AR$17*100)</f>
        <v/>
      </c>
      <c r="AS38" s="126" t="str">
        <f>IF('Midterm OVPAA-F-INS-055A RAW SC'!AS38="","",'Midterm OVPAA-F-INS-055A RAW SC'!AS38/'Midterm OVPAA-F-INS-055A RAW SC'!AS$17*100)</f>
        <v/>
      </c>
      <c r="AT38" s="126" t="str">
        <f>IF('Midterm OVPAA-F-INS-055A RAW SC'!AT38="","",'Midterm OVPAA-F-INS-055A RAW SC'!AT38/'Midterm OVPAA-F-INS-055A RAW SC'!AT$17*100)</f>
        <v/>
      </c>
      <c r="AU38" s="126" t="str">
        <f>IF('Midterm OVPAA-F-INS-055A RAW SC'!AU38="","",'Midterm OVPAA-F-INS-055A RAW SC'!AU38/'Midterm OVPAA-F-INS-055A RAW SC'!AU$17*100)</f>
        <v/>
      </c>
      <c r="AV38" s="126" t="str">
        <f>IF('Midterm OVPAA-F-INS-055A RAW SC'!AV38="","",'Midterm OVPAA-F-INS-055A RAW SC'!AV38/'Midterm OVPAA-F-INS-055A RAW SC'!AV$17*100)</f>
        <v/>
      </c>
      <c r="AW38" s="126" t="str">
        <f>IF('Midterm OVPAA-F-INS-055A RAW SC'!AW38="","",'Midterm OVPAA-F-INS-055A RAW SC'!AW38/'Midterm OVPAA-F-INS-055A RAW SC'!AW$17*100)</f>
        <v/>
      </c>
      <c r="AX38" s="126" t="str">
        <f>IF('Midterm OVPAA-F-INS-055A RAW SC'!AX38="","",'Midterm OVPAA-F-INS-055A RAW SC'!AX38/'Midterm OVPAA-F-INS-055A RAW SC'!AX$17*100)</f>
        <v/>
      </c>
      <c r="AY38" s="126" t="str">
        <f>IF('Midterm OVPAA-F-INS-055A RAW SC'!AY38="","",'Midterm OVPAA-F-INS-055A RAW SC'!AY38/'Midterm OVPAA-F-INS-055A RAW SC'!AY$17*100)</f>
        <v/>
      </c>
      <c r="AZ38" s="126" t="str">
        <f>IF('Midterm OVPAA-F-INS-055A RAW SC'!AZ38="","",'Midterm OVPAA-F-INS-055A RAW SC'!AZ38/'Midterm OVPAA-F-INS-055A RAW SC'!AZ$17*100)</f>
        <v/>
      </c>
      <c r="BA38" s="126" t="str">
        <f>IF('Midterm OVPAA-F-INS-055A RAW SC'!BA38="","",'Midterm OVPAA-F-INS-055A RAW SC'!BA38/'Midterm OVPAA-F-INS-055A RAW SC'!BA$17*100)</f>
        <v/>
      </c>
      <c r="BB38" s="126" t="str">
        <f>IF('Midterm OVPAA-F-INS-055A RAW SC'!BB38="","",'Midterm OVPAA-F-INS-055A RAW SC'!BB38/'Midterm OVPAA-F-INS-055A RAW SC'!BB$17*100)</f>
        <v/>
      </c>
      <c r="BC38" s="126" t="str">
        <f>IF('Midterm OVPAA-F-INS-055A RAW SC'!BC38="","",'Midterm OVPAA-F-INS-055A RAW SC'!BC38/'Midterm OVPAA-F-INS-055A RAW SC'!BC$17*100)</f>
        <v/>
      </c>
      <c r="BD38" s="126" t="str">
        <f>IF('Midterm OVPAA-F-INS-055A RAW SC'!BD38="","",'Midterm OVPAA-F-INS-055A RAW SC'!BD38/'Midterm OVPAA-F-INS-055A RAW SC'!BD$17*100)</f>
        <v/>
      </c>
      <c r="BE38" s="126" t="str">
        <f>IF('Midterm OVPAA-F-INS-055A RAW SC'!BE38="","",'Midterm OVPAA-F-INS-055A RAW SC'!BE38/'Midterm OVPAA-F-INS-055A RAW SC'!BE$17*100)</f>
        <v/>
      </c>
      <c r="BF38" s="126" t="str">
        <f>IF('Midterm OVPAA-F-INS-055A RAW SC'!BF38="","",'Midterm OVPAA-F-INS-055A RAW SC'!BF38/'Midterm OVPAA-F-INS-055A RAW SC'!BF$17*100)</f>
        <v/>
      </c>
      <c r="BG38" s="126" t="str">
        <f>IF('Midterm OVPAA-F-INS-055A RAW SC'!BG38="","",'Midterm OVPAA-F-INS-055A RAW SC'!BG38/'Midterm OVPAA-F-INS-055A RAW SC'!BG$17*100)</f>
        <v/>
      </c>
      <c r="BH38" s="126" t="str">
        <f>IF('Midterm OVPAA-F-INS-055A RAW SC'!BH38="","",'Midterm OVPAA-F-INS-055A RAW SC'!BH38/'Midterm OVPAA-F-INS-055A RAW SC'!BH$17*100)</f>
        <v/>
      </c>
      <c r="BI38" s="126" t="str">
        <f>IF('Midterm OVPAA-F-INS-055A RAW SC'!BI38="","",'Midterm OVPAA-F-INS-055A RAW SC'!BI38/'Midterm OVPAA-F-INS-055A RAW SC'!BI$17*100)</f>
        <v/>
      </c>
      <c r="BJ38" s="126" t="str">
        <f>IF('Midterm OVPAA-F-INS-055A RAW SC'!BJ38="","",'Midterm OVPAA-F-INS-055A RAW SC'!BJ38/'Midterm OVPAA-F-INS-055A RAW SC'!BJ$17*100)</f>
        <v/>
      </c>
      <c r="BK38" s="126" t="str">
        <f>IF('Midterm OVPAA-F-INS-055A RAW SC'!BK38="","",'Midterm OVPAA-F-INS-055A RAW SC'!BK38/'Midterm OVPAA-F-INS-055A RAW SC'!BK$17*100)</f>
        <v/>
      </c>
      <c r="BL38" s="126" t="str">
        <f>IF('Midterm OVPAA-F-INS-055A RAW SC'!BL38="","",'Midterm OVPAA-F-INS-055A RAW SC'!BL38/'Midterm OVPAA-F-INS-055A RAW SC'!BL$17*100)</f>
        <v/>
      </c>
      <c r="BM38" s="126" t="str">
        <f>IF('Midterm OVPAA-F-INS-055A RAW SC'!BM38="","",'Midterm OVPAA-F-INS-055A RAW SC'!BM38/'Midterm OVPAA-F-INS-055A RAW SC'!BM$17*100)</f>
        <v/>
      </c>
      <c r="BN38" s="126" t="str">
        <f>IF('Midterm OVPAA-F-INS-055A RAW SC'!BN38="","",'Midterm OVPAA-F-INS-055A RAW SC'!BN38/'Midterm OVPAA-F-INS-055A RAW SC'!BN$17*100)</f>
        <v/>
      </c>
      <c r="BO38" s="126" t="str">
        <f>IF('Midterm OVPAA-F-INS-055A RAW SC'!BO38="","",'Midterm OVPAA-F-INS-055A RAW SC'!BO38/'Midterm OVPAA-F-INS-055A RAW SC'!BO$17*100)</f>
        <v/>
      </c>
      <c r="BP38" s="126" t="str">
        <f>IF('Midterm OVPAA-F-INS-055A RAW SC'!BP38="","",'Midterm OVPAA-F-INS-055A RAW SC'!BP38/'Midterm OVPAA-F-INS-055A RAW SC'!BP$17*100)</f>
        <v/>
      </c>
      <c r="BQ38" s="126" t="str">
        <f>IF('Midterm OVPAA-F-INS-055A RAW SC'!BQ38="","",'Midterm OVPAA-F-INS-055A RAW SC'!BQ38/'Midterm OVPAA-F-INS-055A RAW SC'!BQ$17*100)</f>
        <v/>
      </c>
      <c r="BR38" s="126" t="str">
        <f>IF('Midterm OVPAA-F-INS-055A RAW SC'!BR38="","",'Midterm OVPAA-F-INS-055A RAW SC'!BR38/'Midterm OVPAA-F-INS-055A RAW SC'!BR$17*100)</f>
        <v/>
      </c>
      <c r="BS38" s="126" t="str">
        <f>IF('Midterm OVPAA-F-INS-055A RAW SC'!BS38="","",'Midterm OVPAA-F-INS-055A RAW SC'!BS38/'Midterm OVPAA-F-INS-055A RAW SC'!BS$17*100)</f>
        <v/>
      </c>
      <c r="BT38" s="126" t="str">
        <f>IF('Midterm OVPAA-F-INS-055A RAW SC'!BT38="","",'Midterm OVPAA-F-INS-055A RAW SC'!BT38/'Midterm OVPAA-F-INS-055A RAW SC'!BT$17*100)</f>
        <v/>
      </c>
      <c r="BU38" s="127">
        <f t="array" ref="BU38">IF('Midterm OVPAA-F-INS-055A RAW SC'!$G38="","",IF((SUMPRODUCT(--ISBLANK('Midterm OVPAA-F-INS-055A RAW SC'!H38:BT38))=COLUMNS('Midterm OVPAA-F-INS-055A RAW SC'!H38:BT38))=TRUE,"",(((COUNTA('Midterm OVPAA-F-INS-055A RAW SC'!$H$17:$BT$17)+COUNTBLANK('Midterm OVPAA-F-INS-055A RAW SC'!H38:BT38))-COLUMNS('Midterm OVPAA-F-INS-055A RAW SC'!H38:BT38))*5+SUM(H38:BT38))/COUNTA('Midterm OVPAA-F-INS-055A RAW SC'!$H$17:$BT$17)))</f>
        <v>91.666666666666671</v>
      </c>
      <c r="BV38" s="128">
        <f>IF(BU38="","",VLOOKUP(BU38,IF('Midterm OVPAA-F-INS-055A RAW SC'!$V$12=0.5,TRANSMUTATION!$C$4:$D$17,TRANSMUTATION!$G$4:$H$17),2,TRUE))</f>
        <v>1.25</v>
      </c>
      <c r="BW38" s="129">
        <f>IF('Midterm OVPAA-F-INS-055A RAW SC'!BU38="","",'Midterm OVPAA-F-INS-055A RAW SC'!BU38/'Midterm OVPAA-F-INS-055A RAW SC'!BU$17*100)</f>
        <v>94</v>
      </c>
      <c r="BX38" s="130">
        <f>IF('Midterm OVPAA-F-INS-055A RAW SC'!BV38="","",'Midterm OVPAA-F-INS-055A RAW SC'!BV38/'Midterm OVPAA-F-INS-055A RAW SC'!BV$17*100)</f>
        <v>100</v>
      </c>
      <c r="BY38" s="130">
        <f>IF('Midterm OVPAA-F-INS-055A RAW SC'!BW38="","",'Midterm OVPAA-F-INS-055A RAW SC'!BW38/'Midterm OVPAA-F-INS-055A RAW SC'!BW$17*100)</f>
        <v>100</v>
      </c>
      <c r="BZ38" s="130" t="str">
        <f>IF('Midterm OVPAA-F-INS-055A RAW SC'!BX38="","",'Midterm OVPAA-F-INS-055A RAW SC'!BX38/'Midterm OVPAA-F-INS-055A RAW SC'!BX$17*100)</f>
        <v/>
      </c>
      <c r="CA38" s="130" t="str">
        <f>IF('Midterm OVPAA-F-INS-055A RAW SC'!BY38="","",'Midterm OVPAA-F-INS-055A RAW SC'!BY38/'Midterm OVPAA-F-INS-055A RAW SC'!BY$17*100)</f>
        <v/>
      </c>
      <c r="CB38" s="130" t="str">
        <f>IF('Midterm OVPAA-F-INS-055A RAW SC'!BZ38="","",'Midterm OVPAA-F-INS-055A RAW SC'!BZ38/'Midterm OVPAA-F-INS-055A RAW SC'!BZ$17*100)</f>
        <v/>
      </c>
      <c r="CC38" s="130" t="str">
        <f>IF('Midterm OVPAA-F-INS-055A RAW SC'!CA38="","",'Midterm OVPAA-F-INS-055A RAW SC'!CA38/'Midterm OVPAA-F-INS-055A RAW SC'!CA$17*100)</f>
        <v/>
      </c>
      <c r="CD38" s="130" t="str">
        <f>IF('Midterm OVPAA-F-INS-055A RAW SC'!CB38="","",'Midterm OVPAA-F-INS-055A RAW SC'!CB38/'Midterm OVPAA-F-INS-055A RAW SC'!CB$17*100)</f>
        <v/>
      </c>
      <c r="CE38" s="130" t="str">
        <f>IF('Midterm OVPAA-F-INS-055A RAW SC'!CC38="","",'Midterm OVPAA-F-INS-055A RAW SC'!CC38/'Midterm OVPAA-F-INS-055A RAW SC'!CC$17*100)</f>
        <v/>
      </c>
      <c r="CF38" s="130" t="str">
        <f>IF('Midterm OVPAA-F-INS-055A RAW SC'!CD38="","",'Midterm OVPAA-F-INS-055A RAW SC'!CD38/'Midterm OVPAA-F-INS-055A RAW SC'!CD$17*100)</f>
        <v/>
      </c>
      <c r="CG38" s="130" t="str">
        <f>IF('Midterm OVPAA-F-INS-055A RAW SC'!CE38="","",'Midterm OVPAA-F-INS-055A RAW SC'!CE38/'Midterm OVPAA-F-INS-055A RAW SC'!CE$17*100)</f>
        <v/>
      </c>
      <c r="CH38" s="130" t="str">
        <f>IF('Midterm OVPAA-F-INS-055A RAW SC'!CF38="","",'Midterm OVPAA-F-INS-055A RAW SC'!CF38/'Midterm OVPAA-F-INS-055A RAW SC'!CF$17*100)</f>
        <v/>
      </c>
      <c r="CI38" s="130" t="str">
        <f>IF('Midterm OVPAA-F-INS-055A RAW SC'!CG38="","",'Midterm OVPAA-F-INS-055A RAW SC'!CG38/'Midterm OVPAA-F-INS-055A RAW SC'!CG$17*100)</f>
        <v/>
      </c>
      <c r="CJ38" s="130" t="str">
        <f>IF('Midterm OVPAA-F-INS-055A RAW SC'!CH38="","",'Midterm OVPAA-F-INS-055A RAW SC'!CH38/'Midterm OVPAA-F-INS-055A RAW SC'!CH$17*100)</f>
        <v/>
      </c>
      <c r="CK38" s="130" t="str">
        <f>IF('Midterm OVPAA-F-INS-055A RAW SC'!CI38="","",'Midterm OVPAA-F-INS-055A RAW SC'!CI38/'Midterm OVPAA-F-INS-055A RAW SC'!CI$17*100)</f>
        <v/>
      </c>
      <c r="CL38" s="130" t="str">
        <f>IF('Midterm OVPAA-F-INS-055A RAW SC'!CJ38="","",'Midterm OVPAA-F-INS-055A RAW SC'!CJ38/'Midterm OVPAA-F-INS-055A RAW SC'!CJ$17*100)</f>
        <v/>
      </c>
      <c r="CM38" s="130" t="str">
        <f>IF('Midterm OVPAA-F-INS-055A RAW SC'!CK38="","",'Midterm OVPAA-F-INS-055A RAW SC'!CK38/'Midterm OVPAA-F-INS-055A RAW SC'!CK$17*100)</f>
        <v/>
      </c>
      <c r="CN38" s="130" t="str">
        <f>IF('Midterm OVPAA-F-INS-055A RAW SC'!CL38="","",'Midterm OVPAA-F-INS-055A RAW SC'!CL38/'Midterm OVPAA-F-INS-055A RAW SC'!CL$17*100)</f>
        <v/>
      </c>
      <c r="CO38" s="130" t="str">
        <f>IF('Midterm OVPAA-F-INS-055A RAW SC'!CM38="","",'Midterm OVPAA-F-INS-055A RAW SC'!CM38/'Midterm OVPAA-F-INS-055A RAW SC'!CM$17*100)</f>
        <v/>
      </c>
      <c r="CP38" s="130" t="str">
        <f>IF('Midterm OVPAA-F-INS-055A RAW SC'!CN38="","",'Midterm OVPAA-F-INS-055A RAW SC'!CN38/'Midterm OVPAA-F-INS-055A RAW SC'!CN$17*100)</f>
        <v/>
      </c>
      <c r="CQ38" s="131">
        <f t="array" ref="CQ38">IF('Midterm OVPAA-F-INS-055A RAW SC'!G38="","",IF((SUMPRODUCT(--ISBLANK('Midterm OVPAA-F-INS-055A RAW SC'!BU38:CN38))=COLUMNS('Midterm OVPAA-F-INS-055A RAW SC'!BU38:CN38))=TRUE,"",(((COUNTA('Midterm OVPAA-F-INS-055A RAW SC'!$BU$17:$CN$17)+COUNTBLANK('Midterm OVPAA-F-INS-055A RAW SC'!BU38:CN38))-COLUMNS('Midterm OVPAA-F-INS-055A RAW SC'!BU38:CN38))*5+SUM(BW38:CP38))/COUNTA('Midterm OVPAA-F-INS-055A RAW SC'!$BU$17:$CN$17)))</f>
        <v>98</v>
      </c>
      <c r="CR38" s="132">
        <f>IF(CQ38="","",VLOOKUP(CQ38,IF('Midterm OVPAA-F-INS-055A RAW SC'!$V$12=0.5,TRANSMUTATION!$C$4:$D$17,TRANSMUTATION!$G$4:$H$17),2,TRUE))</f>
        <v>1</v>
      </c>
      <c r="CS38" s="133">
        <f>IF('Midterm OVPAA-F-INS-055A RAW SC'!CO38="","",'Midterm OVPAA-F-INS-055A RAW SC'!CO38/'Midterm OVPAA-F-INS-055A RAW SC'!CO$17*100)</f>
        <v>94</v>
      </c>
      <c r="CT38" s="133">
        <f>IF('Midterm OVPAA-F-INS-055A RAW SC'!CP38="","",'Midterm OVPAA-F-INS-055A RAW SC'!CP38/'Midterm OVPAA-F-INS-055A RAW SC'!CP$17*100)</f>
        <v>84</v>
      </c>
      <c r="CU38" s="133" t="str">
        <f>IF('Midterm OVPAA-F-INS-055A RAW SC'!CQ38="","",'Midterm OVPAA-F-INS-055A RAW SC'!CQ38/'Midterm OVPAA-F-INS-055A RAW SC'!CQ$17*100)</f>
        <v/>
      </c>
      <c r="CV38" s="133" t="str">
        <f>IF('Midterm OVPAA-F-INS-055A RAW SC'!CR38="","",'Midterm OVPAA-F-INS-055A RAW SC'!CR38/'Midterm OVPAA-F-INS-055A RAW SC'!CR$17*100)</f>
        <v/>
      </c>
      <c r="CW38" s="133" t="str">
        <f>IF('Midterm OVPAA-F-INS-055A RAW SC'!CS38="","",'Midterm OVPAA-F-INS-055A RAW SC'!CS38/'Midterm OVPAA-F-INS-055A RAW SC'!CS$17*100)</f>
        <v/>
      </c>
      <c r="CX38" s="133" t="str">
        <f>IF('Midterm OVPAA-F-INS-055A RAW SC'!CT38="","",'Midterm OVPAA-F-INS-055A RAW SC'!CT38/'Midterm OVPAA-F-INS-055A RAW SC'!CT$17*100)</f>
        <v/>
      </c>
      <c r="CY38" s="133" t="str">
        <f>IF('Midterm OVPAA-F-INS-055A RAW SC'!CU38="","",'Midterm OVPAA-F-INS-055A RAW SC'!CU38/'Midterm OVPAA-F-INS-055A RAW SC'!CU$17*100)</f>
        <v/>
      </c>
      <c r="CZ38" s="133" t="str">
        <f>IF('Midterm OVPAA-F-INS-055A RAW SC'!CV38="","",'Midterm OVPAA-F-INS-055A RAW SC'!CV38/'Midterm OVPAA-F-INS-055A RAW SC'!CV$17*100)</f>
        <v/>
      </c>
      <c r="DA38" s="133" t="str">
        <f>IF('Midterm OVPAA-F-INS-055A RAW SC'!CW38="","",'Midterm OVPAA-F-INS-055A RAW SC'!CW38/'Midterm OVPAA-F-INS-055A RAW SC'!CW$17*100)</f>
        <v/>
      </c>
      <c r="DB38" s="133" t="str">
        <f>IF('Midterm OVPAA-F-INS-055A RAW SC'!CX38="","",'Midterm OVPAA-F-INS-055A RAW SC'!CX38/'Midterm OVPAA-F-INS-055A RAW SC'!CX$17*100)</f>
        <v/>
      </c>
      <c r="DC38" s="134">
        <f t="array" ref="DC38">IF('Midterm OVPAA-F-INS-055A RAW SC'!$G38="","",IF((SUMPRODUCT(--ISBLANK('Midterm OVPAA-F-INS-055A RAW SC'!CO38:CX38))=COLUMNS('Midterm OVPAA-F-INS-055A RAW SC'!CO38:CX38))=TRUE,"",(((COUNTA('Midterm OVPAA-F-INS-055A RAW SC'!$CO$17:$CX$17)+COUNTBLANK('Midterm OVPAA-F-INS-055A RAW SC'!CO38:CX38))-COLUMNS('Midterm OVPAA-F-INS-055A RAW SC'!CO38:CX38))*5+SUM(CS38:DB38))/COUNTA('Midterm OVPAA-F-INS-055A RAW SC'!$CO$17:$CX$17)))</f>
        <v>89</v>
      </c>
      <c r="DD38" s="135">
        <f>IF(DC38="","",VLOOKUP(DC38,IF('Midterm OVPAA-F-INS-055A RAW SC'!$V$12=0.5,TRANSMUTATION!$C$4:$D$17,TRANSMUTATION!$G$4:$H$17),2,TRUE))</f>
        <v>1.5</v>
      </c>
      <c r="DE38" s="136">
        <f t="shared" si="1"/>
        <v>0.375</v>
      </c>
      <c r="DF38" s="137">
        <f t="shared" si="2"/>
        <v>0.3</v>
      </c>
      <c r="DG38" s="138">
        <f t="shared" si="3"/>
        <v>0.60000000000000009</v>
      </c>
      <c r="DH38" s="136">
        <f t="shared" si="4"/>
        <v>1.2750000000000001</v>
      </c>
      <c r="DI38" s="123" t="str">
        <f t="shared" si="5"/>
        <v>1.25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IF('Midterm OVPAA-F-INS-055A RAW SC'!H39="","",'Midterm OVPAA-F-INS-055A RAW SC'!H39/'Midterm OVPAA-F-INS-055A RAW SC'!H$17*100)</f>
        <v>94</v>
      </c>
      <c r="I39" s="126">
        <f>IF('Midterm OVPAA-F-INS-055A RAW SC'!I39="","",'Midterm OVPAA-F-INS-055A RAW SC'!I39/'Midterm OVPAA-F-INS-055A RAW SC'!I$17*100)</f>
        <v>93</v>
      </c>
      <c r="J39" s="126">
        <f>IF('Midterm OVPAA-F-INS-055A RAW SC'!J39="","",'Midterm OVPAA-F-INS-055A RAW SC'!J39/'Midterm OVPAA-F-INS-055A RAW SC'!J$17*100)</f>
        <v>88</v>
      </c>
      <c r="K39" s="126" t="str">
        <f>IF('Midterm OVPAA-F-INS-055A RAW SC'!K39="","",'Midterm OVPAA-F-INS-055A RAW SC'!K39/'Midterm OVPAA-F-INS-055A RAW SC'!K$17*100)</f>
        <v/>
      </c>
      <c r="L39" s="126" t="str">
        <f>IF('Midterm OVPAA-F-INS-055A RAW SC'!L39="","",'Midterm OVPAA-F-INS-055A RAW SC'!L39/'Midterm OVPAA-F-INS-055A RAW SC'!L$17*100)</f>
        <v/>
      </c>
      <c r="M39" s="126" t="str">
        <f>IF('Midterm OVPAA-F-INS-055A RAW SC'!M39="","",'Midterm OVPAA-F-INS-055A RAW SC'!M39/'Midterm OVPAA-F-INS-055A RAW SC'!M$17*100)</f>
        <v/>
      </c>
      <c r="N39" s="126" t="str">
        <f>IF('Midterm OVPAA-F-INS-055A RAW SC'!N39="","",'Midterm OVPAA-F-INS-055A RAW SC'!N39/'Midterm OVPAA-F-INS-055A RAW SC'!N$17*100)</f>
        <v/>
      </c>
      <c r="O39" s="126" t="str">
        <f>IF('Midterm OVPAA-F-INS-055A RAW SC'!O39="","",'Midterm OVPAA-F-INS-055A RAW SC'!O39/'Midterm OVPAA-F-INS-055A RAW SC'!O$17*100)</f>
        <v/>
      </c>
      <c r="P39" s="126" t="str">
        <f>IF('Midterm OVPAA-F-INS-055A RAW SC'!P39="","",'Midterm OVPAA-F-INS-055A RAW SC'!P39/'Midterm OVPAA-F-INS-055A RAW SC'!P$17*100)</f>
        <v/>
      </c>
      <c r="Q39" s="126" t="str">
        <f>IF('Midterm OVPAA-F-INS-055A RAW SC'!Q39="","",'Midterm OVPAA-F-INS-055A RAW SC'!Q39/'Midterm OVPAA-F-INS-055A RAW SC'!Q$17*100)</f>
        <v/>
      </c>
      <c r="R39" s="126" t="str">
        <f>IF('Midterm OVPAA-F-INS-055A RAW SC'!R39="","",'Midterm OVPAA-F-INS-055A RAW SC'!R39/'Midterm OVPAA-F-INS-055A RAW SC'!R$17*100)</f>
        <v/>
      </c>
      <c r="S39" s="126" t="str">
        <f>IF('Midterm OVPAA-F-INS-055A RAW SC'!S39="","",'Midterm OVPAA-F-INS-055A RAW SC'!S39/'Midterm OVPAA-F-INS-055A RAW SC'!S$17*100)</f>
        <v/>
      </c>
      <c r="T39" s="126" t="str">
        <f>IF('Midterm OVPAA-F-INS-055A RAW SC'!T39="","",'Midterm OVPAA-F-INS-055A RAW SC'!T39/'Midterm OVPAA-F-INS-055A RAW SC'!T$17*100)</f>
        <v/>
      </c>
      <c r="U39" s="126" t="str">
        <f>IF('Midterm OVPAA-F-INS-055A RAW SC'!U39="","",'Midterm OVPAA-F-INS-055A RAW SC'!U39/'Midterm OVPAA-F-INS-055A RAW SC'!U$17*100)</f>
        <v/>
      </c>
      <c r="V39" s="126" t="str">
        <f>IF('Midterm OVPAA-F-INS-055A RAW SC'!V39="","",'Midterm OVPAA-F-INS-055A RAW SC'!V39/'Midterm OVPAA-F-INS-055A RAW SC'!V$17*100)</f>
        <v/>
      </c>
      <c r="W39" s="126" t="str">
        <f>IF('Midterm OVPAA-F-INS-055A RAW SC'!W39="","",'Midterm OVPAA-F-INS-055A RAW SC'!W39/'Midterm OVPAA-F-INS-055A RAW SC'!W$17*100)</f>
        <v/>
      </c>
      <c r="X39" s="126" t="str">
        <f>IF('Midterm OVPAA-F-INS-055A RAW SC'!X39="","",'Midterm OVPAA-F-INS-055A RAW SC'!X39/'Midterm OVPAA-F-INS-055A RAW SC'!X$17*100)</f>
        <v/>
      </c>
      <c r="Y39" s="126" t="str">
        <f>IF('Midterm OVPAA-F-INS-055A RAW SC'!Y39="","",'Midterm OVPAA-F-INS-055A RAW SC'!Y39/'Midterm OVPAA-F-INS-055A RAW SC'!Y$17*100)</f>
        <v/>
      </c>
      <c r="Z39" s="126" t="str">
        <f>IF('Midterm OVPAA-F-INS-055A RAW SC'!Z39="","",'Midterm OVPAA-F-INS-055A RAW SC'!Z39/'Midterm OVPAA-F-INS-055A RAW SC'!Z$17*100)</f>
        <v/>
      </c>
      <c r="AA39" s="126" t="str">
        <f>IF('Midterm OVPAA-F-INS-055A RAW SC'!AA39="","",'Midterm OVPAA-F-INS-055A RAW SC'!AA39/'Midterm OVPAA-F-INS-055A RAW SC'!AA$17*100)</f>
        <v/>
      </c>
      <c r="AB39" s="126" t="str">
        <f>IF('Midterm OVPAA-F-INS-055A RAW SC'!AB39="","",'Midterm OVPAA-F-INS-055A RAW SC'!AB39/'Midterm OVPAA-F-INS-055A RAW SC'!AB$17*100)</f>
        <v/>
      </c>
      <c r="AC39" s="126" t="str">
        <f>IF('Midterm OVPAA-F-INS-055A RAW SC'!AC39="","",'Midterm OVPAA-F-INS-055A RAW SC'!AC39/'Midterm OVPAA-F-INS-055A RAW SC'!AC$17*100)</f>
        <v/>
      </c>
      <c r="AD39" s="126" t="str">
        <f>IF('Midterm OVPAA-F-INS-055A RAW SC'!AD39="","",'Midterm OVPAA-F-INS-055A RAW SC'!AD39/'Midterm OVPAA-F-INS-055A RAW SC'!AD$17*100)</f>
        <v/>
      </c>
      <c r="AE39" s="126" t="str">
        <f>IF('Midterm OVPAA-F-INS-055A RAW SC'!AE39="","",'Midterm OVPAA-F-INS-055A RAW SC'!AE39/'Midterm OVPAA-F-INS-055A RAW SC'!AE$17*100)</f>
        <v/>
      </c>
      <c r="AF39" s="126" t="str">
        <f>IF('Midterm OVPAA-F-INS-055A RAW SC'!AF39="","",'Midterm OVPAA-F-INS-055A RAW SC'!AF39/'Midterm OVPAA-F-INS-055A RAW SC'!AF$17*100)</f>
        <v/>
      </c>
      <c r="AG39" s="126" t="str">
        <f>IF('Midterm OVPAA-F-INS-055A RAW SC'!AG39="","",'Midterm OVPAA-F-INS-055A RAW SC'!AG39/'Midterm OVPAA-F-INS-055A RAW SC'!AG$17*100)</f>
        <v/>
      </c>
      <c r="AH39" s="126" t="str">
        <f>IF('Midterm OVPAA-F-INS-055A RAW SC'!AH39="","",'Midterm OVPAA-F-INS-055A RAW SC'!AH39/'Midterm OVPAA-F-INS-055A RAW SC'!AH$17*100)</f>
        <v/>
      </c>
      <c r="AI39" s="126" t="str">
        <f>IF('Midterm OVPAA-F-INS-055A RAW SC'!AI39="","",'Midterm OVPAA-F-INS-055A RAW SC'!AI39/'Midterm OVPAA-F-INS-055A RAW SC'!AI$17*100)</f>
        <v/>
      </c>
      <c r="AJ39" s="126" t="str">
        <f>IF('Midterm OVPAA-F-INS-055A RAW SC'!AJ39="","",'Midterm OVPAA-F-INS-055A RAW SC'!AJ39/'Midterm OVPAA-F-INS-055A RAW SC'!AJ$17*100)</f>
        <v/>
      </c>
      <c r="AK39" s="126" t="str">
        <f>IF('Midterm OVPAA-F-INS-055A RAW SC'!AK39="","",'Midterm OVPAA-F-INS-055A RAW SC'!AK39/'Midterm OVPAA-F-INS-055A RAW SC'!AK$17*100)</f>
        <v/>
      </c>
      <c r="AL39" s="126" t="str">
        <f>IF('Midterm OVPAA-F-INS-055A RAW SC'!AL39="","",'Midterm OVPAA-F-INS-055A RAW SC'!AL39/'Midterm OVPAA-F-INS-055A RAW SC'!AL$17*100)</f>
        <v/>
      </c>
      <c r="AM39" s="126" t="str">
        <f>IF('Midterm OVPAA-F-INS-055A RAW SC'!AM39="","",'Midterm OVPAA-F-INS-055A RAW SC'!AM39/'Midterm OVPAA-F-INS-055A RAW SC'!AM$17*100)</f>
        <v/>
      </c>
      <c r="AN39" s="126" t="str">
        <f>IF('Midterm OVPAA-F-INS-055A RAW SC'!AN39="","",'Midterm OVPAA-F-INS-055A RAW SC'!AN39/'Midterm OVPAA-F-INS-055A RAW SC'!AN$17*100)</f>
        <v/>
      </c>
      <c r="AO39" s="126" t="str">
        <f>IF('Midterm OVPAA-F-INS-055A RAW SC'!AO39="","",'Midterm OVPAA-F-INS-055A RAW SC'!AO39/'Midterm OVPAA-F-INS-055A RAW SC'!AO$17*100)</f>
        <v/>
      </c>
      <c r="AP39" s="126" t="str">
        <f>IF('Midterm OVPAA-F-INS-055A RAW SC'!AP39="","",'Midterm OVPAA-F-INS-055A RAW SC'!AP39/'Midterm OVPAA-F-INS-055A RAW SC'!AP$17*100)</f>
        <v/>
      </c>
      <c r="AQ39" s="126" t="str">
        <f>IF('Midterm OVPAA-F-INS-055A RAW SC'!AQ39="","",'Midterm OVPAA-F-INS-055A RAW SC'!AQ39/'Midterm OVPAA-F-INS-055A RAW SC'!AQ$17*100)</f>
        <v/>
      </c>
      <c r="AR39" s="126" t="str">
        <f>IF('Midterm OVPAA-F-INS-055A RAW SC'!AR39="","",'Midterm OVPAA-F-INS-055A RAW SC'!AR39/'Midterm OVPAA-F-INS-055A RAW SC'!AR$17*100)</f>
        <v/>
      </c>
      <c r="AS39" s="126" t="str">
        <f>IF('Midterm OVPAA-F-INS-055A RAW SC'!AS39="","",'Midterm OVPAA-F-INS-055A RAW SC'!AS39/'Midterm OVPAA-F-INS-055A RAW SC'!AS$17*100)</f>
        <v/>
      </c>
      <c r="AT39" s="126" t="str">
        <f>IF('Midterm OVPAA-F-INS-055A RAW SC'!AT39="","",'Midterm OVPAA-F-INS-055A RAW SC'!AT39/'Midterm OVPAA-F-INS-055A RAW SC'!AT$17*100)</f>
        <v/>
      </c>
      <c r="AU39" s="126" t="str">
        <f>IF('Midterm OVPAA-F-INS-055A RAW SC'!AU39="","",'Midterm OVPAA-F-INS-055A RAW SC'!AU39/'Midterm OVPAA-F-INS-055A RAW SC'!AU$17*100)</f>
        <v/>
      </c>
      <c r="AV39" s="126" t="str">
        <f>IF('Midterm OVPAA-F-INS-055A RAW SC'!AV39="","",'Midterm OVPAA-F-INS-055A RAW SC'!AV39/'Midterm OVPAA-F-INS-055A RAW SC'!AV$17*100)</f>
        <v/>
      </c>
      <c r="AW39" s="126" t="str">
        <f>IF('Midterm OVPAA-F-INS-055A RAW SC'!AW39="","",'Midterm OVPAA-F-INS-055A RAW SC'!AW39/'Midterm OVPAA-F-INS-055A RAW SC'!AW$17*100)</f>
        <v/>
      </c>
      <c r="AX39" s="126" t="str">
        <f>IF('Midterm OVPAA-F-INS-055A RAW SC'!AX39="","",'Midterm OVPAA-F-INS-055A RAW SC'!AX39/'Midterm OVPAA-F-INS-055A RAW SC'!AX$17*100)</f>
        <v/>
      </c>
      <c r="AY39" s="126" t="str">
        <f>IF('Midterm OVPAA-F-INS-055A RAW SC'!AY39="","",'Midterm OVPAA-F-INS-055A RAW SC'!AY39/'Midterm OVPAA-F-INS-055A RAW SC'!AY$17*100)</f>
        <v/>
      </c>
      <c r="AZ39" s="126" t="str">
        <f>IF('Midterm OVPAA-F-INS-055A RAW SC'!AZ39="","",'Midterm OVPAA-F-INS-055A RAW SC'!AZ39/'Midterm OVPAA-F-INS-055A RAW SC'!AZ$17*100)</f>
        <v/>
      </c>
      <c r="BA39" s="126" t="str">
        <f>IF('Midterm OVPAA-F-INS-055A RAW SC'!BA39="","",'Midterm OVPAA-F-INS-055A RAW SC'!BA39/'Midterm OVPAA-F-INS-055A RAW SC'!BA$17*100)</f>
        <v/>
      </c>
      <c r="BB39" s="126" t="str">
        <f>IF('Midterm OVPAA-F-INS-055A RAW SC'!BB39="","",'Midterm OVPAA-F-INS-055A RAW SC'!BB39/'Midterm OVPAA-F-INS-055A RAW SC'!BB$17*100)</f>
        <v/>
      </c>
      <c r="BC39" s="126" t="str">
        <f>IF('Midterm OVPAA-F-INS-055A RAW SC'!BC39="","",'Midterm OVPAA-F-INS-055A RAW SC'!BC39/'Midterm OVPAA-F-INS-055A RAW SC'!BC$17*100)</f>
        <v/>
      </c>
      <c r="BD39" s="126" t="str">
        <f>IF('Midterm OVPAA-F-INS-055A RAW SC'!BD39="","",'Midterm OVPAA-F-INS-055A RAW SC'!BD39/'Midterm OVPAA-F-INS-055A RAW SC'!BD$17*100)</f>
        <v/>
      </c>
      <c r="BE39" s="126" t="str">
        <f>IF('Midterm OVPAA-F-INS-055A RAW SC'!BE39="","",'Midterm OVPAA-F-INS-055A RAW SC'!BE39/'Midterm OVPAA-F-INS-055A RAW SC'!BE$17*100)</f>
        <v/>
      </c>
      <c r="BF39" s="126" t="str">
        <f>IF('Midterm OVPAA-F-INS-055A RAW SC'!BF39="","",'Midterm OVPAA-F-INS-055A RAW SC'!BF39/'Midterm OVPAA-F-INS-055A RAW SC'!BF$17*100)</f>
        <v/>
      </c>
      <c r="BG39" s="126" t="str">
        <f>IF('Midterm OVPAA-F-INS-055A RAW SC'!BG39="","",'Midterm OVPAA-F-INS-055A RAW SC'!BG39/'Midterm OVPAA-F-INS-055A RAW SC'!BG$17*100)</f>
        <v/>
      </c>
      <c r="BH39" s="126" t="str">
        <f>IF('Midterm OVPAA-F-INS-055A RAW SC'!BH39="","",'Midterm OVPAA-F-INS-055A RAW SC'!BH39/'Midterm OVPAA-F-INS-055A RAW SC'!BH$17*100)</f>
        <v/>
      </c>
      <c r="BI39" s="126" t="str">
        <f>IF('Midterm OVPAA-F-INS-055A RAW SC'!BI39="","",'Midterm OVPAA-F-INS-055A RAW SC'!BI39/'Midterm OVPAA-F-INS-055A RAW SC'!BI$17*100)</f>
        <v/>
      </c>
      <c r="BJ39" s="126" t="str">
        <f>IF('Midterm OVPAA-F-INS-055A RAW SC'!BJ39="","",'Midterm OVPAA-F-INS-055A RAW SC'!BJ39/'Midterm OVPAA-F-INS-055A RAW SC'!BJ$17*100)</f>
        <v/>
      </c>
      <c r="BK39" s="126" t="str">
        <f>IF('Midterm OVPAA-F-INS-055A RAW SC'!BK39="","",'Midterm OVPAA-F-INS-055A RAW SC'!BK39/'Midterm OVPAA-F-INS-055A RAW SC'!BK$17*100)</f>
        <v/>
      </c>
      <c r="BL39" s="126" t="str">
        <f>IF('Midterm OVPAA-F-INS-055A RAW SC'!BL39="","",'Midterm OVPAA-F-INS-055A RAW SC'!BL39/'Midterm OVPAA-F-INS-055A RAW SC'!BL$17*100)</f>
        <v/>
      </c>
      <c r="BM39" s="126" t="str">
        <f>IF('Midterm OVPAA-F-INS-055A RAW SC'!BM39="","",'Midterm OVPAA-F-INS-055A RAW SC'!BM39/'Midterm OVPAA-F-INS-055A RAW SC'!BM$17*100)</f>
        <v/>
      </c>
      <c r="BN39" s="126" t="str">
        <f>IF('Midterm OVPAA-F-INS-055A RAW SC'!BN39="","",'Midterm OVPAA-F-INS-055A RAW SC'!BN39/'Midterm OVPAA-F-INS-055A RAW SC'!BN$17*100)</f>
        <v/>
      </c>
      <c r="BO39" s="126" t="str">
        <f>IF('Midterm OVPAA-F-INS-055A RAW SC'!BO39="","",'Midterm OVPAA-F-INS-055A RAW SC'!BO39/'Midterm OVPAA-F-INS-055A RAW SC'!BO$17*100)</f>
        <v/>
      </c>
      <c r="BP39" s="126" t="str">
        <f>IF('Midterm OVPAA-F-INS-055A RAW SC'!BP39="","",'Midterm OVPAA-F-INS-055A RAW SC'!BP39/'Midterm OVPAA-F-INS-055A RAW SC'!BP$17*100)</f>
        <v/>
      </c>
      <c r="BQ39" s="126" t="str">
        <f>IF('Midterm OVPAA-F-INS-055A RAW SC'!BQ39="","",'Midterm OVPAA-F-INS-055A RAW SC'!BQ39/'Midterm OVPAA-F-INS-055A RAW SC'!BQ$17*100)</f>
        <v/>
      </c>
      <c r="BR39" s="126" t="str">
        <f>IF('Midterm OVPAA-F-INS-055A RAW SC'!BR39="","",'Midterm OVPAA-F-INS-055A RAW SC'!BR39/'Midterm OVPAA-F-INS-055A RAW SC'!BR$17*100)</f>
        <v/>
      </c>
      <c r="BS39" s="126" t="str">
        <f>IF('Midterm OVPAA-F-INS-055A RAW SC'!BS39="","",'Midterm OVPAA-F-INS-055A RAW SC'!BS39/'Midterm OVPAA-F-INS-055A RAW SC'!BS$17*100)</f>
        <v/>
      </c>
      <c r="BT39" s="126" t="str">
        <f>IF('Midterm OVPAA-F-INS-055A RAW SC'!BT39="","",'Midterm OVPAA-F-INS-055A RAW SC'!BT39/'Midterm OVPAA-F-INS-055A RAW SC'!BT$17*100)</f>
        <v/>
      </c>
      <c r="BU39" s="127">
        <f t="array" ref="BU39">IF('Midterm OVPAA-F-INS-055A RAW SC'!$G39="","",IF((SUMPRODUCT(--ISBLANK('Midterm OVPAA-F-INS-055A RAW SC'!H39:BT39))=COLUMNS('Midterm OVPAA-F-INS-055A RAW SC'!H39:BT39))=TRUE,"",(((COUNTA('Midterm OVPAA-F-INS-055A RAW SC'!$H$17:$BT$17)+COUNTBLANK('Midterm OVPAA-F-INS-055A RAW SC'!H39:BT39))-COLUMNS('Midterm OVPAA-F-INS-055A RAW SC'!H39:BT39))*5+SUM(H39:BT39))/COUNTA('Midterm OVPAA-F-INS-055A RAW SC'!$H$17:$BT$17)))</f>
        <v>91.666666666666671</v>
      </c>
      <c r="BV39" s="128">
        <f>IF(BU39="","",VLOOKUP(BU39,IF('Midterm OVPAA-F-INS-055A RAW SC'!$V$12=0.5,TRANSMUTATION!$C$4:$D$17,TRANSMUTATION!$G$4:$H$17),2,TRUE))</f>
        <v>1.25</v>
      </c>
      <c r="BW39" s="129">
        <f>IF('Midterm OVPAA-F-INS-055A RAW SC'!BU39="","",'Midterm OVPAA-F-INS-055A RAW SC'!BU39/'Midterm OVPAA-F-INS-055A RAW SC'!BU$17*100)</f>
        <v>94</v>
      </c>
      <c r="BX39" s="130">
        <f>IF('Midterm OVPAA-F-INS-055A RAW SC'!BV39="","",'Midterm OVPAA-F-INS-055A RAW SC'!BV39/'Midterm OVPAA-F-INS-055A RAW SC'!BV$17*100)</f>
        <v>100</v>
      </c>
      <c r="BY39" s="130">
        <f>IF('Midterm OVPAA-F-INS-055A RAW SC'!BW39="","",'Midterm OVPAA-F-INS-055A RAW SC'!BW39/'Midterm OVPAA-F-INS-055A RAW SC'!BW$17*100)</f>
        <v>100</v>
      </c>
      <c r="BZ39" s="130" t="str">
        <f>IF('Midterm OVPAA-F-INS-055A RAW SC'!BX39="","",'Midterm OVPAA-F-INS-055A RAW SC'!BX39/'Midterm OVPAA-F-INS-055A RAW SC'!BX$17*100)</f>
        <v/>
      </c>
      <c r="CA39" s="130" t="str">
        <f>IF('Midterm OVPAA-F-INS-055A RAW SC'!BY39="","",'Midterm OVPAA-F-INS-055A RAW SC'!BY39/'Midterm OVPAA-F-INS-055A RAW SC'!BY$17*100)</f>
        <v/>
      </c>
      <c r="CB39" s="130" t="str">
        <f>IF('Midterm OVPAA-F-INS-055A RAW SC'!BZ39="","",'Midterm OVPAA-F-INS-055A RAW SC'!BZ39/'Midterm OVPAA-F-INS-055A RAW SC'!BZ$17*100)</f>
        <v/>
      </c>
      <c r="CC39" s="130" t="str">
        <f>IF('Midterm OVPAA-F-INS-055A RAW SC'!CA39="","",'Midterm OVPAA-F-INS-055A RAW SC'!CA39/'Midterm OVPAA-F-INS-055A RAW SC'!CA$17*100)</f>
        <v/>
      </c>
      <c r="CD39" s="130" t="str">
        <f>IF('Midterm OVPAA-F-INS-055A RAW SC'!CB39="","",'Midterm OVPAA-F-INS-055A RAW SC'!CB39/'Midterm OVPAA-F-INS-055A RAW SC'!CB$17*100)</f>
        <v/>
      </c>
      <c r="CE39" s="130" t="str">
        <f>IF('Midterm OVPAA-F-INS-055A RAW SC'!CC39="","",'Midterm OVPAA-F-INS-055A RAW SC'!CC39/'Midterm OVPAA-F-INS-055A RAW SC'!CC$17*100)</f>
        <v/>
      </c>
      <c r="CF39" s="130" t="str">
        <f>IF('Midterm OVPAA-F-INS-055A RAW SC'!CD39="","",'Midterm OVPAA-F-INS-055A RAW SC'!CD39/'Midterm OVPAA-F-INS-055A RAW SC'!CD$17*100)</f>
        <v/>
      </c>
      <c r="CG39" s="130" t="str">
        <f>IF('Midterm OVPAA-F-INS-055A RAW SC'!CE39="","",'Midterm OVPAA-F-INS-055A RAW SC'!CE39/'Midterm OVPAA-F-INS-055A RAW SC'!CE$17*100)</f>
        <v/>
      </c>
      <c r="CH39" s="130" t="str">
        <f>IF('Midterm OVPAA-F-INS-055A RAW SC'!CF39="","",'Midterm OVPAA-F-INS-055A RAW SC'!CF39/'Midterm OVPAA-F-INS-055A RAW SC'!CF$17*100)</f>
        <v/>
      </c>
      <c r="CI39" s="130" t="str">
        <f>IF('Midterm OVPAA-F-INS-055A RAW SC'!CG39="","",'Midterm OVPAA-F-INS-055A RAW SC'!CG39/'Midterm OVPAA-F-INS-055A RAW SC'!CG$17*100)</f>
        <v/>
      </c>
      <c r="CJ39" s="130" t="str">
        <f>IF('Midterm OVPAA-F-INS-055A RAW SC'!CH39="","",'Midterm OVPAA-F-INS-055A RAW SC'!CH39/'Midterm OVPAA-F-INS-055A RAW SC'!CH$17*100)</f>
        <v/>
      </c>
      <c r="CK39" s="130" t="str">
        <f>IF('Midterm OVPAA-F-INS-055A RAW SC'!CI39="","",'Midterm OVPAA-F-INS-055A RAW SC'!CI39/'Midterm OVPAA-F-INS-055A RAW SC'!CI$17*100)</f>
        <v/>
      </c>
      <c r="CL39" s="130" t="str">
        <f>IF('Midterm OVPAA-F-INS-055A RAW SC'!CJ39="","",'Midterm OVPAA-F-INS-055A RAW SC'!CJ39/'Midterm OVPAA-F-INS-055A RAW SC'!CJ$17*100)</f>
        <v/>
      </c>
      <c r="CM39" s="130" t="str">
        <f>IF('Midterm OVPAA-F-INS-055A RAW SC'!CK39="","",'Midterm OVPAA-F-INS-055A RAW SC'!CK39/'Midterm OVPAA-F-INS-055A RAW SC'!CK$17*100)</f>
        <v/>
      </c>
      <c r="CN39" s="130" t="str">
        <f>IF('Midterm OVPAA-F-INS-055A RAW SC'!CL39="","",'Midterm OVPAA-F-INS-055A RAW SC'!CL39/'Midterm OVPAA-F-INS-055A RAW SC'!CL$17*100)</f>
        <v/>
      </c>
      <c r="CO39" s="130" t="str">
        <f>IF('Midterm OVPAA-F-INS-055A RAW SC'!CM39="","",'Midterm OVPAA-F-INS-055A RAW SC'!CM39/'Midterm OVPAA-F-INS-055A RAW SC'!CM$17*100)</f>
        <v/>
      </c>
      <c r="CP39" s="130" t="str">
        <f>IF('Midterm OVPAA-F-INS-055A RAW SC'!CN39="","",'Midterm OVPAA-F-INS-055A RAW SC'!CN39/'Midterm OVPAA-F-INS-055A RAW SC'!CN$17*100)</f>
        <v/>
      </c>
      <c r="CQ39" s="131">
        <f t="array" ref="CQ39">IF('Midterm OVPAA-F-INS-055A RAW SC'!G39="","",IF((SUMPRODUCT(--ISBLANK('Midterm OVPAA-F-INS-055A RAW SC'!BU39:CN39))=COLUMNS('Midterm OVPAA-F-INS-055A RAW SC'!BU39:CN39))=TRUE,"",(((COUNTA('Midterm OVPAA-F-INS-055A RAW SC'!$BU$17:$CN$17)+COUNTBLANK('Midterm OVPAA-F-INS-055A RAW SC'!BU39:CN39))-COLUMNS('Midterm OVPAA-F-INS-055A RAW SC'!BU39:CN39))*5+SUM(BW39:CP39))/COUNTA('Midterm OVPAA-F-INS-055A RAW SC'!$BU$17:$CN$17)))</f>
        <v>98</v>
      </c>
      <c r="CR39" s="132">
        <f>IF(CQ39="","",VLOOKUP(CQ39,IF('Midterm OVPAA-F-INS-055A RAW SC'!$V$12=0.5,TRANSMUTATION!$C$4:$D$17,TRANSMUTATION!$G$4:$H$17),2,TRUE))</f>
        <v>1</v>
      </c>
      <c r="CS39" s="133">
        <f>IF('Midterm OVPAA-F-INS-055A RAW SC'!CO39="","",'Midterm OVPAA-F-INS-055A RAW SC'!CO39/'Midterm OVPAA-F-INS-055A RAW SC'!CO$17*100)</f>
        <v>94</v>
      </c>
      <c r="CT39" s="133">
        <f>IF('Midterm OVPAA-F-INS-055A RAW SC'!CP39="","",'Midterm OVPAA-F-INS-055A RAW SC'!CP39/'Midterm OVPAA-F-INS-055A RAW SC'!CP$17*100)</f>
        <v>88</v>
      </c>
      <c r="CU39" s="133" t="str">
        <f>IF('Midterm OVPAA-F-INS-055A RAW SC'!CQ39="","",'Midterm OVPAA-F-INS-055A RAW SC'!CQ39/'Midterm OVPAA-F-INS-055A RAW SC'!CQ$17*100)</f>
        <v/>
      </c>
      <c r="CV39" s="133" t="str">
        <f>IF('Midterm OVPAA-F-INS-055A RAW SC'!CR39="","",'Midterm OVPAA-F-INS-055A RAW SC'!CR39/'Midterm OVPAA-F-INS-055A RAW SC'!CR$17*100)</f>
        <v/>
      </c>
      <c r="CW39" s="133" t="str">
        <f>IF('Midterm OVPAA-F-INS-055A RAW SC'!CS39="","",'Midterm OVPAA-F-INS-055A RAW SC'!CS39/'Midterm OVPAA-F-INS-055A RAW SC'!CS$17*100)</f>
        <v/>
      </c>
      <c r="CX39" s="133" t="str">
        <f>IF('Midterm OVPAA-F-INS-055A RAW SC'!CT39="","",'Midterm OVPAA-F-INS-055A RAW SC'!CT39/'Midterm OVPAA-F-INS-055A RAW SC'!CT$17*100)</f>
        <v/>
      </c>
      <c r="CY39" s="133" t="str">
        <f>IF('Midterm OVPAA-F-INS-055A RAW SC'!CU39="","",'Midterm OVPAA-F-INS-055A RAW SC'!CU39/'Midterm OVPAA-F-INS-055A RAW SC'!CU$17*100)</f>
        <v/>
      </c>
      <c r="CZ39" s="133" t="str">
        <f>IF('Midterm OVPAA-F-INS-055A RAW SC'!CV39="","",'Midterm OVPAA-F-INS-055A RAW SC'!CV39/'Midterm OVPAA-F-INS-055A RAW SC'!CV$17*100)</f>
        <v/>
      </c>
      <c r="DA39" s="133" t="str">
        <f>IF('Midterm OVPAA-F-INS-055A RAW SC'!CW39="","",'Midterm OVPAA-F-INS-055A RAW SC'!CW39/'Midterm OVPAA-F-INS-055A RAW SC'!CW$17*100)</f>
        <v/>
      </c>
      <c r="DB39" s="133" t="str">
        <f>IF('Midterm OVPAA-F-INS-055A RAW SC'!CX39="","",'Midterm OVPAA-F-INS-055A RAW SC'!CX39/'Midterm OVPAA-F-INS-055A RAW SC'!CX$17*100)</f>
        <v/>
      </c>
      <c r="DC39" s="134">
        <f t="array" ref="DC39">IF('Midterm OVPAA-F-INS-055A RAW SC'!$G39="","",IF((SUMPRODUCT(--ISBLANK('Midterm OVPAA-F-INS-055A RAW SC'!CO39:CX39))=COLUMNS('Midterm OVPAA-F-INS-055A RAW SC'!CO39:CX39))=TRUE,"",(((COUNTA('Midterm OVPAA-F-INS-055A RAW SC'!$CO$17:$CX$17)+COUNTBLANK('Midterm OVPAA-F-INS-055A RAW SC'!CO39:CX39))-COLUMNS('Midterm OVPAA-F-INS-055A RAW SC'!CO39:CX39))*5+SUM(CS39:DB39))/COUNTA('Midterm OVPAA-F-INS-055A RAW SC'!$CO$17:$CX$17)))</f>
        <v>91</v>
      </c>
      <c r="DD39" s="135">
        <f>IF(DC39="","",VLOOKUP(DC39,IF('Midterm OVPAA-F-INS-055A RAW SC'!$V$12=0.5,TRANSMUTATION!$C$4:$D$17,TRANSMUTATION!$G$4:$H$17),2,TRUE))</f>
        <v>1.25</v>
      </c>
      <c r="DE39" s="136">
        <f t="shared" si="1"/>
        <v>0.375</v>
      </c>
      <c r="DF39" s="137">
        <f t="shared" si="2"/>
        <v>0.3</v>
      </c>
      <c r="DG39" s="138">
        <f t="shared" si="3"/>
        <v>0.5</v>
      </c>
      <c r="DH39" s="136">
        <f t="shared" si="4"/>
        <v>1.175</v>
      </c>
      <c r="DI39" s="123" t="str">
        <f t="shared" si="5"/>
        <v>1.25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IF('Midterm OVPAA-F-INS-055A RAW SC'!H40="","",'Midterm OVPAA-F-INS-055A RAW SC'!H40/'Midterm OVPAA-F-INS-055A RAW SC'!H$17*100)</f>
        <v>70</v>
      </c>
      <c r="I40" s="126">
        <f>IF('Midterm OVPAA-F-INS-055A RAW SC'!I40="","",'Midterm OVPAA-F-INS-055A RAW SC'!I40/'Midterm OVPAA-F-INS-055A RAW SC'!I$17*100)</f>
        <v>92</v>
      </c>
      <c r="J40" s="126">
        <f>IF('Midterm OVPAA-F-INS-055A RAW SC'!J40="","",'Midterm OVPAA-F-INS-055A RAW SC'!J40/'Midterm OVPAA-F-INS-055A RAW SC'!J$17*100)</f>
        <v>100</v>
      </c>
      <c r="K40" s="126" t="str">
        <f>IF('Midterm OVPAA-F-INS-055A RAW SC'!K40="","",'Midterm OVPAA-F-INS-055A RAW SC'!K40/'Midterm OVPAA-F-INS-055A RAW SC'!K$17*100)</f>
        <v/>
      </c>
      <c r="L40" s="126" t="str">
        <f>IF('Midterm OVPAA-F-INS-055A RAW SC'!L40="","",'Midterm OVPAA-F-INS-055A RAW SC'!L40/'Midterm OVPAA-F-INS-055A RAW SC'!L$17*100)</f>
        <v/>
      </c>
      <c r="M40" s="126" t="str">
        <f>IF('Midterm OVPAA-F-INS-055A RAW SC'!M40="","",'Midterm OVPAA-F-INS-055A RAW SC'!M40/'Midterm OVPAA-F-INS-055A RAW SC'!M$17*100)</f>
        <v/>
      </c>
      <c r="N40" s="126" t="str">
        <f>IF('Midterm OVPAA-F-INS-055A RAW SC'!N40="","",'Midterm OVPAA-F-INS-055A RAW SC'!N40/'Midterm OVPAA-F-INS-055A RAW SC'!N$17*100)</f>
        <v/>
      </c>
      <c r="O40" s="126" t="str">
        <f>IF('Midterm OVPAA-F-INS-055A RAW SC'!O40="","",'Midterm OVPAA-F-INS-055A RAW SC'!O40/'Midterm OVPAA-F-INS-055A RAW SC'!O$17*100)</f>
        <v/>
      </c>
      <c r="P40" s="126" t="str">
        <f>IF('Midterm OVPAA-F-INS-055A RAW SC'!P40="","",'Midterm OVPAA-F-INS-055A RAW SC'!P40/'Midterm OVPAA-F-INS-055A RAW SC'!P$17*100)</f>
        <v/>
      </c>
      <c r="Q40" s="126" t="str">
        <f>IF('Midterm OVPAA-F-INS-055A RAW SC'!Q40="","",'Midterm OVPAA-F-INS-055A RAW SC'!Q40/'Midterm OVPAA-F-INS-055A RAW SC'!Q$17*100)</f>
        <v/>
      </c>
      <c r="R40" s="126" t="str">
        <f>IF('Midterm OVPAA-F-INS-055A RAW SC'!R40="","",'Midterm OVPAA-F-INS-055A RAW SC'!R40/'Midterm OVPAA-F-INS-055A RAW SC'!R$17*100)</f>
        <v/>
      </c>
      <c r="S40" s="126" t="str">
        <f>IF('Midterm OVPAA-F-INS-055A RAW SC'!S40="","",'Midterm OVPAA-F-INS-055A RAW SC'!S40/'Midterm OVPAA-F-INS-055A RAW SC'!S$17*100)</f>
        <v/>
      </c>
      <c r="T40" s="126" t="str">
        <f>IF('Midterm OVPAA-F-INS-055A RAW SC'!T40="","",'Midterm OVPAA-F-INS-055A RAW SC'!T40/'Midterm OVPAA-F-INS-055A RAW SC'!T$17*100)</f>
        <v/>
      </c>
      <c r="U40" s="126" t="str">
        <f>IF('Midterm OVPAA-F-INS-055A RAW SC'!U40="","",'Midterm OVPAA-F-INS-055A RAW SC'!U40/'Midterm OVPAA-F-INS-055A RAW SC'!U$17*100)</f>
        <v/>
      </c>
      <c r="V40" s="126" t="str">
        <f>IF('Midterm OVPAA-F-INS-055A RAW SC'!V40="","",'Midterm OVPAA-F-INS-055A RAW SC'!V40/'Midterm OVPAA-F-INS-055A RAW SC'!V$17*100)</f>
        <v/>
      </c>
      <c r="W40" s="126" t="str">
        <f>IF('Midterm OVPAA-F-INS-055A RAW SC'!W40="","",'Midterm OVPAA-F-INS-055A RAW SC'!W40/'Midterm OVPAA-F-INS-055A RAW SC'!W$17*100)</f>
        <v/>
      </c>
      <c r="X40" s="126" t="str">
        <f>IF('Midterm OVPAA-F-INS-055A RAW SC'!X40="","",'Midterm OVPAA-F-INS-055A RAW SC'!X40/'Midterm OVPAA-F-INS-055A RAW SC'!X$17*100)</f>
        <v/>
      </c>
      <c r="Y40" s="126" t="str">
        <f>IF('Midterm OVPAA-F-INS-055A RAW SC'!Y40="","",'Midterm OVPAA-F-INS-055A RAW SC'!Y40/'Midterm OVPAA-F-INS-055A RAW SC'!Y$17*100)</f>
        <v/>
      </c>
      <c r="Z40" s="126" t="str">
        <f>IF('Midterm OVPAA-F-INS-055A RAW SC'!Z40="","",'Midterm OVPAA-F-INS-055A RAW SC'!Z40/'Midterm OVPAA-F-INS-055A RAW SC'!Z$17*100)</f>
        <v/>
      </c>
      <c r="AA40" s="126" t="str">
        <f>IF('Midterm OVPAA-F-INS-055A RAW SC'!AA40="","",'Midterm OVPAA-F-INS-055A RAW SC'!AA40/'Midterm OVPAA-F-INS-055A RAW SC'!AA$17*100)</f>
        <v/>
      </c>
      <c r="AB40" s="126" t="str">
        <f>IF('Midterm OVPAA-F-INS-055A RAW SC'!AB40="","",'Midterm OVPAA-F-INS-055A RAW SC'!AB40/'Midterm OVPAA-F-INS-055A RAW SC'!AB$17*100)</f>
        <v/>
      </c>
      <c r="AC40" s="126" t="str">
        <f>IF('Midterm OVPAA-F-INS-055A RAW SC'!AC40="","",'Midterm OVPAA-F-INS-055A RAW SC'!AC40/'Midterm OVPAA-F-INS-055A RAW SC'!AC$17*100)</f>
        <v/>
      </c>
      <c r="AD40" s="126" t="str">
        <f>IF('Midterm OVPAA-F-INS-055A RAW SC'!AD40="","",'Midterm OVPAA-F-INS-055A RAW SC'!AD40/'Midterm OVPAA-F-INS-055A RAW SC'!AD$17*100)</f>
        <v/>
      </c>
      <c r="AE40" s="126" t="str">
        <f>IF('Midterm OVPAA-F-INS-055A RAW SC'!AE40="","",'Midterm OVPAA-F-INS-055A RAW SC'!AE40/'Midterm OVPAA-F-INS-055A RAW SC'!AE$17*100)</f>
        <v/>
      </c>
      <c r="AF40" s="126" t="str">
        <f>IF('Midterm OVPAA-F-INS-055A RAW SC'!AF40="","",'Midterm OVPAA-F-INS-055A RAW SC'!AF40/'Midterm OVPAA-F-INS-055A RAW SC'!AF$17*100)</f>
        <v/>
      </c>
      <c r="AG40" s="126" t="str">
        <f>IF('Midterm OVPAA-F-INS-055A RAW SC'!AG40="","",'Midterm OVPAA-F-INS-055A RAW SC'!AG40/'Midterm OVPAA-F-INS-055A RAW SC'!AG$17*100)</f>
        <v/>
      </c>
      <c r="AH40" s="126" t="str">
        <f>IF('Midterm OVPAA-F-INS-055A RAW SC'!AH40="","",'Midterm OVPAA-F-INS-055A RAW SC'!AH40/'Midterm OVPAA-F-INS-055A RAW SC'!AH$17*100)</f>
        <v/>
      </c>
      <c r="AI40" s="126" t="str">
        <f>IF('Midterm OVPAA-F-INS-055A RAW SC'!AI40="","",'Midterm OVPAA-F-INS-055A RAW SC'!AI40/'Midterm OVPAA-F-INS-055A RAW SC'!AI$17*100)</f>
        <v/>
      </c>
      <c r="AJ40" s="126" t="str">
        <f>IF('Midterm OVPAA-F-INS-055A RAW SC'!AJ40="","",'Midterm OVPAA-F-INS-055A RAW SC'!AJ40/'Midterm OVPAA-F-INS-055A RAW SC'!AJ$17*100)</f>
        <v/>
      </c>
      <c r="AK40" s="126" t="str">
        <f>IF('Midterm OVPAA-F-INS-055A RAW SC'!AK40="","",'Midterm OVPAA-F-INS-055A RAW SC'!AK40/'Midterm OVPAA-F-INS-055A RAW SC'!AK$17*100)</f>
        <v/>
      </c>
      <c r="AL40" s="126" t="str">
        <f>IF('Midterm OVPAA-F-INS-055A RAW SC'!AL40="","",'Midterm OVPAA-F-INS-055A RAW SC'!AL40/'Midterm OVPAA-F-INS-055A RAW SC'!AL$17*100)</f>
        <v/>
      </c>
      <c r="AM40" s="126" t="str">
        <f>IF('Midterm OVPAA-F-INS-055A RAW SC'!AM40="","",'Midterm OVPAA-F-INS-055A RAW SC'!AM40/'Midterm OVPAA-F-INS-055A RAW SC'!AM$17*100)</f>
        <v/>
      </c>
      <c r="AN40" s="126" t="str">
        <f>IF('Midterm OVPAA-F-INS-055A RAW SC'!AN40="","",'Midterm OVPAA-F-INS-055A RAW SC'!AN40/'Midterm OVPAA-F-INS-055A RAW SC'!AN$17*100)</f>
        <v/>
      </c>
      <c r="AO40" s="126" t="str">
        <f>IF('Midterm OVPAA-F-INS-055A RAW SC'!AO40="","",'Midterm OVPAA-F-INS-055A RAW SC'!AO40/'Midterm OVPAA-F-INS-055A RAW SC'!AO$17*100)</f>
        <v/>
      </c>
      <c r="AP40" s="126" t="str">
        <f>IF('Midterm OVPAA-F-INS-055A RAW SC'!AP40="","",'Midterm OVPAA-F-INS-055A RAW SC'!AP40/'Midterm OVPAA-F-INS-055A RAW SC'!AP$17*100)</f>
        <v/>
      </c>
      <c r="AQ40" s="126" t="str">
        <f>IF('Midterm OVPAA-F-INS-055A RAW SC'!AQ40="","",'Midterm OVPAA-F-INS-055A RAW SC'!AQ40/'Midterm OVPAA-F-INS-055A RAW SC'!AQ$17*100)</f>
        <v/>
      </c>
      <c r="AR40" s="126" t="str">
        <f>IF('Midterm OVPAA-F-INS-055A RAW SC'!AR40="","",'Midterm OVPAA-F-INS-055A RAW SC'!AR40/'Midterm OVPAA-F-INS-055A RAW SC'!AR$17*100)</f>
        <v/>
      </c>
      <c r="AS40" s="126" t="str">
        <f>IF('Midterm OVPAA-F-INS-055A RAW SC'!AS40="","",'Midterm OVPAA-F-INS-055A RAW SC'!AS40/'Midterm OVPAA-F-INS-055A RAW SC'!AS$17*100)</f>
        <v/>
      </c>
      <c r="AT40" s="126" t="str">
        <f>IF('Midterm OVPAA-F-INS-055A RAW SC'!AT40="","",'Midterm OVPAA-F-INS-055A RAW SC'!AT40/'Midterm OVPAA-F-INS-055A RAW SC'!AT$17*100)</f>
        <v/>
      </c>
      <c r="AU40" s="126" t="str">
        <f>IF('Midterm OVPAA-F-INS-055A RAW SC'!AU40="","",'Midterm OVPAA-F-INS-055A RAW SC'!AU40/'Midterm OVPAA-F-INS-055A RAW SC'!AU$17*100)</f>
        <v/>
      </c>
      <c r="AV40" s="126" t="str">
        <f>IF('Midterm OVPAA-F-INS-055A RAW SC'!AV40="","",'Midterm OVPAA-F-INS-055A RAW SC'!AV40/'Midterm OVPAA-F-INS-055A RAW SC'!AV$17*100)</f>
        <v/>
      </c>
      <c r="AW40" s="126" t="str">
        <f>IF('Midterm OVPAA-F-INS-055A RAW SC'!AW40="","",'Midterm OVPAA-F-INS-055A RAW SC'!AW40/'Midterm OVPAA-F-INS-055A RAW SC'!AW$17*100)</f>
        <v/>
      </c>
      <c r="AX40" s="126" t="str">
        <f>IF('Midterm OVPAA-F-INS-055A RAW SC'!AX40="","",'Midterm OVPAA-F-INS-055A RAW SC'!AX40/'Midterm OVPAA-F-INS-055A RAW SC'!AX$17*100)</f>
        <v/>
      </c>
      <c r="AY40" s="126" t="str">
        <f>IF('Midterm OVPAA-F-INS-055A RAW SC'!AY40="","",'Midterm OVPAA-F-INS-055A RAW SC'!AY40/'Midterm OVPAA-F-INS-055A RAW SC'!AY$17*100)</f>
        <v/>
      </c>
      <c r="AZ40" s="126" t="str">
        <f>IF('Midterm OVPAA-F-INS-055A RAW SC'!AZ40="","",'Midterm OVPAA-F-INS-055A RAW SC'!AZ40/'Midterm OVPAA-F-INS-055A RAW SC'!AZ$17*100)</f>
        <v/>
      </c>
      <c r="BA40" s="126" t="str">
        <f>IF('Midterm OVPAA-F-INS-055A RAW SC'!BA40="","",'Midterm OVPAA-F-INS-055A RAW SC'!BA40/'Midterm OVPAA-F-INS-055A RAW SC'!BA$17*100)</f>
        <v/>
      </c>
      <c r="BB40" s="126" t="str">
        <f>IF('Midterm OVPAA-F-INS-055A RAW SC'!BB40="","",'Midterm OVPAA-F-INS-055A RAW SC'!BB40/'Midterm OVPAA-F-INS-055A RAW SC'!BB$17*100)</f>
        <v/>
      </c>
      <c r="BC40" s="126" t="str">
        <f>IF('Midterm OVPAA-F-INS-055A RAW SC'!BC40="","",'Midterm OVPAA-F-INS-055A RAW SC'!BC40/'Midterm OVPAA-F-INS-055A RAW SC'!BC$17*100)</f>
        <v/>
      </c>
      <c r="BD40" s="126" t="str">
        <f>IF('Midterm OVPAA-F-INS-055A RAW SC'!BD40="","",'Midterm OVPAA-F-INS-055A RAW SC'!BD40/'Midterm OVPAA-F-INS-055A RAW SC'!BD$17*100)</f>
        <v/>
      </c>
      <c r="BE40" s="126" t="str">
        <f>IF('Midterm OVPAA-F-INS-055A RAW SC'!BE40="","",'Midterm OVPAA-F-INS-055A RAW SC'!BE40/'Midterm OVPAA-F-INS-055A RAW SC'!BE$17*100)</f>
        <v/>
      </c>
      <c r="BF40" s="126" t="str">
        <f>IF('Midterm OVPAA-F-INS-055A RAW SC'!BF40="","",'Midterm OVPAA-F-INS-055A RAW SC'!BF40/'Midterm OVPAA-F-INS-055A RAW SC'!BF$17*100)</f>
        <v/>
      </c>
      <c r="BG40" s="126" t="str">
        <f>IF('Midterm OVPAA-F-INS-055A RAW SC'!BG40="","",'Midterm OVPAA-F-INS-055A RAW SC'!BG40/'Midterm OVPAA-F-INS-055A RAW SC'!BG$17*100)</f>
        <v/>
      </c>
      <c r="BH40" s="126" t="str">
        <f>IF('Midterm OVPAA-F-INS-055A RAW SC'!BH40="","",'Midterm OVPAA-F-INS-055A RAW SC'!BH40/'Midterm OVPAA-F-INS-055A RAW SC'!BH$17*100)</f>
        <v/>
      </c>
      <c r="BI40" s="126" t="str">
        <f>IF('Midterm OVPAA-F-INS-055A RAW SC'!BI40="","",'Midterm OVPAA-F-INS-055A RAW SC'!BI40/'Midterm OVPAA-F-INS-055A RAW SC'!BI$17*100)</f>
        <v/>
      </c>
      <c r="BJ40" s="126" t="str">
        <f>IF('Midterm OVPAA-F-INS-055A RAW SC'!BJ40="","",'Midterm OVPAA-F-INS-055A RAW SC'!BJ40/'Midterm OVPAA-F-INS-055A RAW SC'!BJ$17*100)</f>
        <v/>
      </c>
      <c r="BK40" s="126" t="str">
        <f>IF('Midterm OVPAA-F-INS-055A RAW SC'!BK40="","",'Midterm OVPAA-F-INS-055A RAW SC'!BK40/'Midterm OVPAA-F-INS-055A RAW SC'!BK$17*100)</f>
        <v/>
      </c>
      <c r="BL40" s="126" t="str">
        <f>IF('Midterm OVPAA-F-INS-055A RAW SC'!BL40="","",'Midterm OVPAA-F-INS-055A RAW SC'!BL40/'Midterm OVPAA-F-INS-055A RAW SC'!BL$17*100)</f>
        <v/>
      </c>
      <c r="BM40" s="126" t="str">
        <f>IF('Midterm OVPAA-F-INS-055A RAW SC'!BM40="","",'Midterm OVPAA-F-INS-055A RAW SC'!BM40/'Midterm OVPAA-F-INS-055A RAW SC'!BM$17*100)</f>
        <v/>
      </c>
      <c r="BN40" s="126" t="str">
        <f>IF('Midterm OVPAA-F-INS-055A RAW SC'!BN40="","",'Midterm OVPAA-F-INS-055A RAW SC'!BN40/'Midterm OVPAA-F-INS-055A RAW SC'!BN$17*100)</f>
        <v/>
      </c>
      <c r="BO40" s="126" t="str">
        <f>IF('Midterm OVPAA-F-INS-055A RAW SC'!BO40="","",'Midterm OVPAA-F-INS-055A RAW SC'!BO40/'Midterm OVPAA-F-INS-055A RAW SC'!BO$17*100)</f>
        <v/>
      </c>
      <c r="BP40" s="126" t="str">
        <f>IF('Midterm OVPAA-F-INS-055A RAW SC'!BP40="","",'Midterm OVPAA-F-INS-055A RAW SC'!BP40/'Midterm OVPAA-F-INS-055A RAW SC'!BP$17*100)</f>
        <v/>
      </c>
      <c r="BQ40" s="126" t="str">
        <f>IF('Midterm OVPAA-F-INS-055A RAW SC'!BQ40="","",'Midterm OVPAA-F-INS-055A RAW SC'!BQ40/'Midterm OVPAA-F-INS-055A RAW SC'!BQ$17*100)</f>
        <v/>
      </c>
      <c r="BR40" s="126" t="str">
        <f>IF('Midterm OVPAA-F-INS-055A RAW SC'!BR40="","",'Midterm OVPAA-F-INS-055A RAW SC'!BR40/'Midterm OVPAA-F-INS-055A RAW SC'!BR$17*100)</f>
        <v/>
      </c>
      <c r="BS40" s="126" t="str">
        <f>IF('Midterm OVPAA-F-INS-055A RAW SC'!BS40="","",'Midterm OVPAA-F-INS-055A RAW SC'!BS40/'Midterm OVPAA-F-INS-055A RAW SC'!BS$17*100)</f>
        <v/>
      </c>
      <c r="BT40" s="126" t="str">
        <f>IF('Midterm OVPAA-F-INS-055A RAW SC'!BT40="","",'Midterm OVPAA-F-INS-055A RAW SC'!BT40/'Midterm OVPAA-F-INS-055A RAW SC'!BT$17*100)</f>
        <v/>
      </c>
      <c r="BU40" s="127">
        <f t="array" ref="BU40">IF('Midterm OVPAA-F-INS-055A RAW SC'!$G40="","",IF((SUMPRODUCT(--ISBLANK('Midterm OVPAA-F-INS-055A RAW SC'!H40:BT40))=COLUMNS('Midterm OVPAA-F-INS-055A RAW SC'!H40:BT40))=TRUE,"",(((COUNTA('Midterm OVPAA-F-INS-055A RAW SC'!$H$17:$BT$17)+COUNTBLANK('Midterm OVPAA-F-INS-055A RAW SC'!H40:BT40))-COLUMNS('Midterm OVPAA-F-INS-055A RAW SC'!H40:BT40))*5+SUM(H40:BT40))/COUNTA('Midterm OVPAA-F-INS-055A RAW SC'!$H$17:$BT$17)))</f>
        <v>87.333333333333329</v>
      </c>
      <c r="BV40" s="128">
        <f>IF(BU40="","",VLOOKUP(BU40,IF('Midterm OVPAA-F-INS-055A RAW SC'!$V$12=0.5,TRANSMUTATION!$C$4:$D$17,TRANSMUTATION!$G$4:$H$17),2,TRUE))</f>
        <v>1.5</v>
      </c>
      <c r="BW40" s="129">
        <f>IF('Midterm OVPAA-F-INS-055A RAW SC'!BU40="","",'Midterm OVPAA-F-INS-055A RAW SC'!BU40/'Midterm OVPAA-F-INS-055A RAW SC'!BU$17*100)</f>
        <v>80</v>
      </c>
      <c r="BX40" s="130">
        <f>IF('Midterm OVPAA-F-INS-055A RAW SC'!BV40="","",'Midterm OVPAA-F-INS-055A RAW SC'!BV40/'Midterm OVPAA-F-INS-055A RAW SC'!BV$17*100)</f>
        <v>100</v>
      </c>
      <c r="BY40" s="130">
        <f>IF('Midterm OVPAA-F-INS-055A RAW SC'!BW40="","",'Midterm OVPAA-F-INS-055A RAW SC'!BW40/'Midterm OVPAA-F-INS-055A RAW SC'!BW$17*100)</f>
        <v>100</v>
      </c>
      <c r="BZ40" s="130" t="str">
        <f>IF('Midterm OVPAA-F-INS-055A RAW SC'!BX40="","",'Midterm OVPAA-F-INS-055A RAW SC'!BX40/'Midterm OVPAA-F-INS-055A RAW SC'!BX$17*100)</f>
        <v/>
      </c>
      <c r="CA40" s="130" t="str">
        <f>IF('Midterm OVPAA-F-INS-055A RAW SC'!BY40="","",'Midterm OVPAA-F-INS-055A RAW SC'!BY40/'Midterm OVPAA-F-INS-055A RAW SC'!BY$17*100)</f>
        <v/>
      </c>
      <c r="CB40" s="130" t="str">
        <f>IF('Midterm OVPAA-F-INS-055A RAW SC'!BZ40="","",'Midterm OVPAA-F-INS-055A RAW SC'!BZ40/'Midterm OVPAA-F-INS-055A RAW SC'!BZ$17*100)</f>
        <v/>
      </c>
      <c r="CC40" s="130" t="str">
        <f>IF('Midterm OVPAA-F-INS-055A RAW SC'!CA40="","",'Midterm OVPAA-F-INS-055A RAW SC'!CA40/'Midterm OVPAA-F-INS-055A RAW SC'!CA$17*100)</f>
        <v/>
      </c>
      <c r="CD40" s="130" t="str">
        <f>IF('Midterm OVPAA-F-INS-055A RAW SC'!CB40="","",'Midterm OVPAA-F-INS-055A RAW SC'!CB40/'Midterm OVPAA-F-INS-055A RAW SC'!CB$17*100)</f>
        <v/>
      </c>
      <c r="CE40" s="130" t="str">
        <f>IF('Midterm OVPAA-F-INS-055A RAW SC'!CC40="","",'Midterm OVPAA-F-INS-055A RAW SC'!CC40/'Midterm OVPAA-F-INS-055A RAW SC'!CC$17*100)</f>
        <v/>
      </c>
      <c r="CF40" s="130" t="str">
        <f>IF('Midterm OVPAA-F-INS-055A RAW SC'!CD40="","",'Midterm OVPAA-F-INS-055A RAW SC'!CD40/'Midterm OVPAA-F-INS-055A RAW SC'!CD$17*100)</f>
        <v/>
      </c>
      <c r="CG40" s="130" t="str">
        <f>IF('Midterm OVPAA-F-INS-055A RAW SC'!CE40="","",'Midterm OVPAA-F-INS-055A RAW SC'!CE40/'Midterm OVPAA-F-INS-055A RAW SC'!CE$17*100)</f>
        <v/>
      </c>
      <c r="CH40" s="130" t="str">
        <f>IF('Midterm OVPAA-F-INS-055A RAW SC'!CF40="","",'Midterm OVPAA-F-INS-055A RAW SC'!CF40/'Midterm OVPAA-F-INS-055A RAW SC'!CF$17*100)</f>
        <v/>
      </c>
      <c r="CI40" s="130" t="str">
        <f>IF('Midterm OVPAA-F-INS-055A RAW SC'!CG40="","",'Midterm OVPAA-F-INS-055A RAW SC'!CG40/'Midterm OVPAA-F-INS-055A RAW SC'!CG$17*100)</f>
        <v/>
      </c>
      <c r="CJ40" s="130" t="str">
        <f>IF('Midterm OVPAA-F-INS-055A RAW SC'!CH40="","",'Midterm OVPAA-F-INS-055A RAW SC'!CH40/'Midterm OVPAA-F-INS-055A RAW SC'!CH$17*100)</f>
        <v/>
      </c>
      <c r="CK40" s="130" t="str">
        <f>IF('Midterm OVPAA-F-INS-055A RAW SC'!CI40="","",'Midterm OVPAA-F-INS-055A RAW SC'!CI40/'Midterm OVPAA-F-INS-055A RAW SC'!CI$17*100)</f>
        <v/>
      </c>
      <c r="CL40" s="130" t="str">
        <f>IF('Midterm OVPAA-F-INS-055A RAW SC'!CJ40="","",'Midterm OVPAA-F-INS-055A RAW SC'!CJ40/'Midterm OVPAA-F-INS-055A RAW SC'!CJ$17*100)</f>
        <v/>
      </c>
      <c r="CM40" s="130" t="str">
        <f>IF('Midterm OVPAA-F-INS-055A RAW SC'!CK40="","",'Midterm OVPAA-F-INS-055A RAW SC'!CK40/'Midterm OVPAA-F-INS-055A RAW SC'!CK$17*100)</f>
        <v/>
      </c>
      <c r="CN40" s="130" t="str">
        <f>IF('Midterm OVPAA-F-INS-055A RAW SC'!CL40="","",'Midterm OVPAA-F-INS-055A RAW SC'!CL40/'Midterm OVPAA-F-INS-055A RAW SC'!CL$17*100)</f>
        <v/>
      </c>
      <c r="CO40" s="130" t="str">
        <f>IF('Midterm OVPAA-F-INS-055A RAW SC'!CM40="","",'Midterm OVPAA-F-INS-055A RAW SC'!CM40/'Midterm OVPAA-F-INS-055A RAW SC'!CM$17*100)</f>
        <v/>
      </c>
      <c r="CP40" s="130" t="str">
        <f>IF('Midterm OVPAA-F-INS-055A RAW SC'!CN40="","",'Midterm OVPAA-F-INS-055A RAW SC'!CN40/'Midterm OVPAA-F-INS-055A RAW SC'!CN$17*100)</f>
        <v/>
      </c>
      <c r="CQ40" s="131">
        <f t="array" ref="CQ40">IF('Midterm OVPAA-F-INS-055A RAW SC'!G40="","",IF((SUMPRODUCT(--ISBLANK('Midterm OVPAA-F-INS-055A RAW SC'!BU40:CN40))=COLUMNS('Midterm OVPAA-F-INS-055A RAW SC'!BU40:CN40))=TRUE,"",(((COUNTA('Midterm OVPAA-F-INS-055A RAW SC'!$BU$17:$CN$17)+COUNTBLANK('Midterm OVPAA-F-INS-055A RAW SC'!BU40:CN40))-COLUMNS('Midterm OVPAA-F-INS-055A RAW SC'!BU40:CN40))*5+SUM(BW40:CP40))/COUNTA('Midterm OVPAA-F-INS-055A RAW SC'!$BU$17:$CN$17)))</f>
        <v>93.333333333333329</v>
      </c>
      <c r="CR40" s="132">
        <f>IF(CQ40="","",VLOOKUP(CQ40,IF('Midterm OVPAA-F-INS-055A RAW SC'!$V$12=0.5,TRANSMUTATION!$C$4:$D$17,TRANSMUTATION!$G$4:$H$17),2,TRUE))</f>
        <v>1.25</v>
      </c>
      <c r="CS40" s="133">
        <f>IF('Midterm OVPAA-F-INS-055A RAW SC'!CO40="","",'Midterm OVPAA-F-INS-055A RAW SC'!CO40/'Midterm OVPAA-F-INS-055A RAW SC'!CO$17*100)</f>
        <v>76</v>
      </c>
      <c r="CT40" s="133">
        <f>IF('Midterm OVPAA-F-INS-055A RAW SC'!CP40="","",'Midterm OVPAA-F-INS-055A RAW SC'!CP40/'Midterm OVPAA-F-INS-055A RAW SC'!CP$17*100)</f>
        <v>80</v>
      </c>
      <c r="CU40" s="133" t="str">
        <f>IF('Midterm OVPAA-F-INS-055A RAW SC'!CQ40="","",'Midterm OVPAA-F-INS-055A RAW SC'!CQ40/'Midterm OVPAA-F-INS-055A RAW SC'!CQ$17*100)</f>
        <v/>
      </c>
      <c r="CV40" s="133" t="str">
        <f>IF('Midterm OVPAA-F-INS-055A RAW SC'!CR40="","",'Midterm OVPAA-F-INS-055A RAW SC'!CR40/'Midterm OVPAA-F-INS-055A RAW SC'!CR$17*100)</f>
        <v/>
      </c>
      <c r="CW40" s="133" t="str">
        <f>IF('Midterm OVPAA-F-INS-055A RAW SC'!CS40="","",'Midterm OVPAA-F-INS-055A RAW SC'!CS40/'Midterm OVPAA-F-INS-055A RAW SC'!CS$17*100)</f>
        <v/>
      </c>
      <c r="CX40" s="133" t="str">
        <f>IF('Midterm OVPAA-F-INS-055A RAW SC'!CT40="","",'Midterm OVPAA-F-INS-055A RAW SC'!CT40/'Midterm OVPAA-F-INS-055A RAW SC'!CT$17*100)</f>
        <v/>
      </c>
      <c r="CY40" s="133" t="str">
        <f>IF('Midterm OVPAA-F-INS-055A RAW SC'!CU40="","",'Midterm OVPAA-F-INS-055A RAW SC'!CU40/'Midterm OVPAA-F-INS-055A RAW SC'!CU$17*100)</f>
        <v/>
      </c>
      <c r="CZ40" s="133" t="str">
        <f>IF('Midterm OVPAA-F-INS-055A RAW SC'!CV40="","",'Midterm OVPAA-F-INS-055A RAW SC'!CV40/'Midterm OVPAA-F-INS-055A RAW SC'!CV$17*100)</f>
        <v/>
      </c>
      <c r="DA40" s="133" t="str">
        <f>IF('Midterm OVPAA-F-INS-055A RAW SC'!CW40="","",'Midterm OVPAA-F-INS-055A RAW SC'!CW40/'Midterm OVPAA-F-INS-055A RAW SC'!CW$17*100)</f>
        <v/>
      </c>
      <c r="DB40" s="133" t="str">
        <f>IF('Midterm OVPAA-F-INS-055A RAW SC'!CX40="","",'Midterm OVPAA-F-INS-055A RAW SC'!CX40/'Midterm OVPAA-F-INS-055A RAW SC'!CX$17*100)</f>
        <v/>
      </c>
      <c r="DC40" s="134">
        <f t="array" ref="DC40">IF('Midterm OVPAA-F-INS-055A RAW SC'!$G40="","",IF((SUMPRODUCT(--ISBLANK('Midterm OVPAA-F-INS-055A RAW SC'!CO40:CX40))=COLUMNS('Midterm OVPAA-F-INS-055A RAW SC'!CO40:CX40))=TRUE,"",(((COUNTA('Midterm OVPAA-F-INS-055A RAW SC'!$CO$17:$CX$17)+COUNTBLANK('Midterm OVPAA-F-INS-055A RAW SC'!CO40:CX40))-COLUMNS('Midterm OVPAA-F-INS-055A RAW SC'!CO40:CX40))*5+SUM(CS40:DB40))/COUNTA('Midterm OVPAA-F-INS-055A RAW SC'!$CO$17:$CX$17)))</f>
        <v>78</v>
      </c>
      <c r="DD40" s="135">
        <f>IF(DC40="","",VLOOKUP(DC40,IF('Midterm OVPAA-F-INS-055A RAW SC'!$V$12=0.5,TRANSMUTATION!$C$4:$D$17,TRANSMUTATION!$G$4:$H$17),2,TRUE))</f>
        <v>2</v>
      </c>
      <c r="DE40" s="136">
        <f t="shared" si="1"/>
        <v>0.44999999999999996</v>
      </c>
      <c r="DF40" s="137">
        <f t="shared" si="2"/>
        <v>0.375</v>
      </c>
      <c r="DG40" s="138">
        <f t="shared" si="3"/>
        <v>0.8</v>
      </c>
      <c r="DH40" s="136">
        <f t="shared" si="4"/>
        <v>1.625</v>
      </c>
      <c r="DI40" s="123" t="str">
        <f t="shared" si="5"/>
        <v>1.50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IF('Midterm OVPAA-F-INS-055A RAW SC'!H41="","",'Midterm OVPAA-F-INS-055A RAW SC'!H41/'Midterm OVPAA-F-INS-055A RAW SC'!H$17*100)</f>
        <v/>
      </c>
      <c r="I41" s="126" t="str">
        <f>IF('Midterm OVPAA-F-INS-055A RAW SC'!I41="","",'Midterm OVPAA-F-INS-055A RAW SC'!I41/'Midterm OVPAA-F-INS-055A RAW SC'!I$17*100)</f>
        <v/>
      </c>
      <c r="J41" s="126" t="str">
        <f>IF('Midterm OVPAA-F-INS-055A RAW SC'!J41="","",'Midterm OVPAA-F-INS-055A RAW SC'!J41/'Midterm OVPAA-F-INS-055A RAW SC'!J$17*100)</f>
        <v/>
      </c>
      <c r="K41" s="126" t="str">
        <f>IF('Midterm OVPAA-F-INS-055A RAW SC'!K41="","",'Midterm OVPAA-F-INS-055A RAW SC'!K41/'Midterm OVPAA-F-INS-055A RAW SC'!K$17*100)</f>
        <v/>
      </c>
      <c r="L41" s="126" t="str">
        <f>IF('Midterm OVPAA-F-INS-055A RAW SC'!L41="","",'Midterm OVPAA-F-INS-055A RAW SC'!L41/'Midterm OVPAA-F-INS-055A RAW SC'!L$17*100)</f>
        <v/>
      </c>
      <c r="M41" s="126" t="str">
        <f>IF('Midterm OVPAA-F-INS-055A RAW SC'!M41="","",'Midterm OVPAA-F-INS-055A RAW SC'!M41/'Midterm OVPAA-F-INS-055A RAW SC'!M$17*100)</f>
        <v/>
      </c>
      <c r="N41" s="126" t="str">
        <f>IF('Midterm OVPAA-F-INS-055A RAW SC'!N41="","",'Midterm OVPAA-F-INS-055A RAW SC'!N41/'Midterm OVPAA-F-INS-055A RAW SC'!N$17*100)</f>
        <v/>
      </c>
      <c r="O41" s="126" t="str">
        <f>IF('Midterm OVPAA-F-INS-055A RAW SC'!O41="","",'Midterm OVPAA-F-INS-055A RAW SC'!O41/'Midterm OVPAA-F-INS-055A RAW SC'!O$17*100)</f>
        <v/>
      </c>
      <c r="P41" s="126" t="str">
        <f>IF('Midterm OVPAA-F-INS-055A RAW SC'!P41="","",'Midterm OVPAA-F-INS-055A RAW SC'!P41/'Midterm OVPAA-F-INS-055A RAW SC'!P$17*100)</f>
        <v/>
      </c>
      <c r="Q41" s="126" t="str">
        <f>IF('Midterm OVPAA-F-INS-055A RAW SC'!Q41="","",'Midterm OVPAA-F-INS-055A RAW SC'!Q41/'Midterm OVPAA-F-INS-055A RAW SC'!Q$17*100)</f>
        <v/>
      </c>
      <c r="R41" s="126" t="str">
        <f>IF('Midterm OVPAA-F-INS-055A RAW SC'!R41="","",'Midterm OVPAA-F-INS-055A RAW SC'!R41/'Midterm OVPAA-F-INS-055A RAW SC'!R$17*100)</f>
        <v/>
      </c>
      <c r="S41" s="126" t="str">
        <f>IF('Midterm OVPAA-F-INS-055A RAW SC'!S41="","",'Midterm OVPAA-F-INS-055A RAW SC'!S41/'Midterm OVPAA-F-INS-055A RAW SC'!S$17*100)</f>
        <v/>
      </c>
      <c r="T41" s="126" t="str">
        <f>IF('Midterm OVPAA-F-INS-055A RAW SC'!T41="","",'Midterm OVPAA-F-INS-055A RAW SC'!T41/'Midterm OVPAA-F-INS-055A RAW SC'!T$17*100)</f>
        <v/>
      </c>
      <c r="U41" s="126" t="str">
        <f>IF('Midterm OVPAA-F-INS-055A RAW SC'!U41="","",'Midterm OVPAA-F-INS-055A RAW SC'!U41/'Midterm OVPAA-F-INS-055A RAW SC'!U$17*100)</f>
        <v/>
      </c>
      <c r="V41" s="126" t="str">
        <f>IF('Midterm OVPAA-F-INS-055A RAW SC'!V41="","",'Midterm OVPAA-F-INS-055A RAW SC'!V41/'Midterm OVPAA-F-INS-055A RAW SC'!V$17*100)</f>
        <v/>
      </c>
      <c r="W41" s="126" t="str">
        <f>IF('Midterm OVPAA-F-INS-055A RAW SC'!W41="","",'Midterm OVPAA-F-INS-055A RAW SC'!W41/'Midterm OVPAA-F-INS-055A RAW SC'!W$17*100)</f>
        <v/>
      </c>
      <c r="X41" s="126" t="str">
        <f>IF('Midterm OVPAA-F-INS-055A RAW SC'!X41="","",'Midterm OVPAA-F-INS-055A RAW SC'!X41/'Midterm OVPAA-F-INS-055A RAW SC'!X$17*100)</f>
        <v/>
      </c>
      <c r="Y41" s="126" t="str">
        <f>IF('Midterm OVPAA-F-INS-055A RAW SC'!Y41="","",'Midterm OVPAA-F-INS-055A RAW SC'!Y41/'Midterm OVPAA-F-INS-055A RAW SC'!Y$17*100)</f>
        <v/>
      </c>
      <c r="Z41" s="126" t="str">
        <f>IF('Midterm OVPAA-F-INS-055A RAW SC'!Z41="","",'Midterm OVPAA-F-INS-055A RAW SC'!Z41/'Midterm OVPAA-F-INS-055A RAW SC'!Z$17*100)</f>
        <v/>
      </c>
      <c r="AA41" s="126" t="str">
        <f>IF('Midterm OVPAA-F-INS-055A RAW SC'!AA41="","",'Midterm OVPAA-F-INS-055A RAW SC'!AA41/'Midterm OVPAA-F-INS-055A RAW SC'!AA$17*100)</f>
        <v/>
      </c>
      <c r="AB41" s="126" t="str">
        <f>IF('Midterm OVPAA-F-INS-055A RAW SC'!AB41="","",'Midterm OVPAA-F-INS-055A RAW SC'!AB41/'Midterm OVPAA-F-INS-055A RAW SC'!AB$17*100)</f>
        <v/>
      </c>
      <c r="AC41" s="126" t="str">
        <f>IF('Midterm OVPAA-F-INS-055A RAW SC'!AC41="","",'Midterm OVPAA-F-INS-055A RAW SC'!AC41/'Midterm OVPAA-F-INS-055A RAW SC'!AC$17*100)</f>
        <v/>
      </c>
      <c r="AD41" s="126" t="str">
        <f>IF('Midterm OVPAA-F-INS-055A RAW SC'!AD41="","",'Midterm OVPAA-F-INS-055A RAW SC'!AD41/'Midterm OVPAA-F-INS-055A RAW SC'!AD$17*100)</f>
        <v/>
      </c>
      <c r="AE41" s="126" t="str">
        <f>IF('Midterm OVPAA-F-INS-055A RAW SC'!AE41="","",'Midterm OVPAA-F-INS-055A RAW SC'!AE41/'Midterm OVPAA-F-INS-055A RAW SC'!AE$17*100)</f>
        <v/>
      </c>
      <c r="AF41" s="126" t="str">
        <f>IF('Midterm OVPAA-F-INS-055A RAW SC'!AF41="","",'Midterm OVPAA-F-INS-055A RAW SC'!AF41/'Midterm OVPAA-F-INS-055A RAW SC'!AF$17*100)</f>
        <v/>
      </c>
      <c r="AG41" s="126" t="str">
        <f>IF('Midterm OVPAA-F-INS-055A RAW SC'!AG41="","",'Midterm OVPAA-F-INS-055A RAW SC'!AG41/'Midterm OVPAA-F-INS-055A RAW SC'!AG$17*100)</f>
        <v/>
      </c>
      <c r="AH41" s="126" t="str">
        <f>IF('Midterm OVPAA-F-INS-055A RAW SC'!AH41="","",'Midterm OVPAA-F-INS-055A RAW SC'!AH41/'Midterm OVPAA-F-INS-055A RAW SC'!AH$17*100)</f>
        <v/>
      </c>
      <c r="AI41" s="126" t="str">
        <f>IF('Midterm OVPAA-F-INS-055A RAW SC'!AI41="","",'Midterm OVPAA-F-INS-055A RAW SC'!AI41/'Midterm OVPAA-F-INS-055A RAW SC'!AI$17*100)</f>
        <v/>
      </c>
      <c r="AJ41" s="126" t="str">
        <f>IF('Midterm OVPAA-F-INS-055A RAW SC'!AJ41="","",'Midterm OVPAA-F-INS-055A RAW SC'!AJ41/'Midterm OVPAA-F-INS-055A RAW SC'!AJ$17*100)</f>
        <v/>
      </c>
      <c r="AK41" s="126" t="str">
        <f>IF('Midterm OVPAA-F-INS-055A RAW SC'!AK41="","",'Midterm OVPAA-F-INS-055A RAW SC'!AK41/'Midterm OVPAA-F-INS-055A RAW SC'!AK$17*100)</f>
        <v/>
      </c>
      <c r="AL41" s="126" t="str">
        <f>IF('Midterm OVPAA-F-INS-055A RAW SC'!AL41="","",'Midterm OVPAA-F-INS-055A RAW SC'!AL41/'Midterm OVPAA-F-INS-055A RAW SC'!AL$17*100)</f>
        <v/>
      </c>
      <c r="AM41" s="126" t="str">
        <f>IF('Midterm OVPAA-F-INS-055A RAW SC'!AM41="","",'Midterm OVPAA-F-INS-055A RAW SC'!AM41/'Midterm OVPAA-F-INS-055A RAW SC'!AM$17*100)</f>
        <v/>
      </c>
      <c r="AN41" s="126" t="str">
        <f>IF('Midterm OVPAA-F-INS-055A RAW SC'!AN41="","",'Midterm OVPAA-F-INS-055A RAW SC'!AN41/'Midterm OVPAA-F-INS-055A RAW SC'!AN$17*100)</f>
        <v/>
      </c>
      <c r="AO41" s="126" t="str">
        <f>IF('Midterm OVPAA-F-INS-055A RAW SC'!AO41="","",'Midterm OVPAA-F-INS-055A RAW SC'!AO41/'Midterm OVPAA-F-INS-055A RAW SC'!AO$17*100)</f>
        <v/>
      </c>
      <c r="AP41" s="126" t="str">
        <f>IF('Midterm OVPAA-F-INS-055A RAW SC'!AP41="","",'Midterm OVPAA-F-INS-055A RAW SC'!AP41/'Midterm OVPAA-F-INS-055A RAW SC'!AP$17*100)</f>
        <v/>
      </c>
      <c r="AQ41" s="126" t="str">
        <f>IF('Midterm OVPAA-F-INS-055A RAW SC'!AQ41="","",'Midterm OVPAA-F-INS-055A RAW SC'!AQ41/'Midterm OVPAA-F-INS-055A RAW SC'!AQ$17*100)</f>
        <v/>
      </c>
      <c r="AR41" s="126" t="str">
        <f>IF('Midterm OVPAA-F-INS-055A RAW SC'!AR41="","",'Midterm OVPAA-F-INS-055A RAW SC'!AR41/'Midterm OVPAA-F-INS-055A RAW SC'!AR$17*100)</f>
        <v/>
      </c>
      <c r="AS41" s="126" t="str">
        <f>IF('Midterm OVPAA-F-INS-055A RAW SC'!AS41="","",'Midterm OVPAA-F-INS-055A RAW SC'!AS41/'Midterm OVPAA-F-INS-055A RAW SC'!AS$17*100)</f>
        <v/>
      </c>
      <c r="AT41" s="126" t="str">
        <f>IF('Midterm OVPAA-F-INS-055A RAW SC'!AT41="","",'Midterm OVPAA-F-INS-055A RAW SC'!AT41/'Midterm OVPAA-F-INS-055A RAW SC'!AT$17*100)</f>
        <v/>
      </c>
      <c r="AU41" s="126" t="str">
        <f>IF('Midterm OVPAA-F-INS-055A RAW SC'!AU41="","",'Midterm OVPAA-F-INS-055A RAW SC'!AU41/'Midterm OVPAA-F-INS-055A RAW SC'!AU$17*100)</f>
        <v/>
      </c>
      <c r="AV41" s="126" t="str">
        <f>IF('Midterm OVPAA-F-INS-055A RAW SC'!AV41="","",'Midterm OVPAA-F-INS-055A RAW SC'!AV41/'Midterm OVPAA-F-INS-055A RAW SC'!AV$17*100)</f>
        <v/>
      </c>
      <c r="AW41" s="126" t="str">
        <f>IF('Midterm OVPAA-F-INS-055A RAW SC'!AW41="","",'Midterm OVPAA-F-INS-055A RAW SC'!AW41/'Midterm OVPAA-F-INS-055A RAW SC'!AW$17*100)</f>
        <v/>
      </c>
      <c r="AX41" s="126" t="str">
        <f>IF('Midterm OVPAA-F-INS-055A RAW SC'!AX41="","",'Midterm OVPAA-F-INS-055A RAW SC'!AX41/'Midterm OVPAA-F-INS-055A RAW SC'!AX$17*100)</f>
        <v/>
      </c>
      <c r="AY41" s="126" t="str">
        <f>IF('Midterm OVPAA-F-INS-055A RAW SC'!AY41="","",'Midterm OVPAA-F-INS-055A RAW SC'!AY41/'Midterm OVPAA-F-INS-055A RAW SC'!AY$17*100)</f>
        <v/>
      </c>
      <c r="AZ41" s="126" t="str">
        <f>IF('Midterm OVPAA-F-INS-055A RAW SC'!AZ41="","",'Midterm OVPAA-F-INS-055A RAW SC'!AZ41/'Midterm OVPAA-F-INS-055A RAW SC'!AZ$17*100)</f>
        <v/>
      </c>
      <c r="BA41" s="126" t="str">
        <f>IF('Midterm OVPAA-F-INS-055A RAW SC'!BA41="","",'Midterm OVPAA-F-INS-055A RAW SC'!BA41/'Midterm OVPAA-F-INS-055A RAW SC'!BA$17*100)</f>
        <v/>
      </c>
      <c r="BB41" s="126" t="str">
        <f>IF('Midterm OVPAA-F-INS-055A RAW SC'!BB41="","",'Midterm OVPAA-F-INS-055A RAW SC'!BB41/'Midterm OVPAA-F-INS-055A RAW SC'!BB$17*100)</f>
        <v/>
      </c>
      <c r="BC41" s="126" t="str">
        <f>IF('Midterm OVPAA-F-INS-055A RAW SC'!BC41="","",'Midterm OVPAA-F-INS-055A RAW SC'!BC41/'Midterm OVPAA-F-INS-055A RAW SC'!BC$17*100)</f>
        <v/>
      </c>
      <c r="BD41" s="126" t="str">
        <f>IF('Midterm OVPAA-F-INS-055A RAW SC'!BD41="","",'Midterm OVPAA-F-INS-055A RAW SC'!BD41/'Midterm OVPAA-F-INS-055A RAW SC'!BD$17*100)</f>
        <v/>
      </c>
      <c r="BE41" s="126" t="str">
        <f>IF('Midterm OVPAA-F-INS-055A RAW SC'!BE41="","",'Midterm OVPAA-F-INS-055A RAW SC'!BE41/'Midterm OVPAA-F-INS-055A RAW SC'!BE$17*100)</f>
        <v/>
      </c>
      <c r="BF41" s="126" t="str">
        <f>IF('Midterm OVPAA-F-INS-055A RAW SC'!BF41="","",'Midterm OVPAA-F-INS-055A RAW SC'!BF41/'Midterm OVPAA-F-INS-055A RAW SC'!BF$17*100)</f>
        <v/>
      </c>
      <c r="BG41" s="126" t="str">
        <f>IF('Midterm OVPAA-F-INS-055A RAW SC'!BG41="","",'Midterm OVPAA-F-INS-055A RAW SC'!BG41/'Midterm OVPAA-F-INS-055A RAW SC'!BG$17*100)</f>
        <v/>
      </c>
      <c r="BH41" s="126" t="str">
        <f>IF('Midterm OVPAA-F-INS-055A RAW SC'!BH41="","",'Midterm OVPAA-F-INS-055A RAW SC'!BH41/'Midterm OVPAA-F-INS-055A RAW SC'!BH$17*100)</f>
        <v/>
      </c>
      <c r="BI41" s="126" t="str">
        <f>IF('Midterm OVPAA-F-INS-055A RAW SC'!BI41="","",'Midterm OVPAA-F-INS-055A RAW SC'!BI41/'Midterm OVPAA-F-INS-055A RAW SC'!BI$17*100)</f>
        <v/>
      </c>
      <c r="BJ41" s="126" t="str">
        <f>IF('Midterm OVPAA-F-INS-055A RAW SC'!BJ41="","",'Midterm OVPAA-F-INS-055A RAW SC'!BJ41/'Midterm OVPAA-F-INS-055A RAW SC'!BJ$17*100)</f>
        <v/>
      </c>
      <c r="BK41" s="126" t="str">
        <f>IF('Midterm OVPAA-F-INS-055A RAW SC'!BK41="","",'Midterm OVPAA-F-INS-055A RAW SC'!BK41/'Midterm OVPAA-F-INS-055A RAW SC'!BK$17*100)</f>
        <v/>
      </c>
      <c r="BL41" s="126" t="str">
        <f>IF('Midterm OVPAA-F-INS-055A RAW SC'!BL41="","",'Midterm OVPAA-F-INS-055A RAW SC'!BL41/'Midterm OVPAA-F-INS-055A RAW SC'!BL$17*100)</f>
        <v/>
      </c>
      <c r="BM41" s="126" t="str">
        <f>IF('Midterm OVPAA-F-INS-055A RAW SC'!BM41="","",'Midterm OVPAA-F-INS-055A RAW SC'!BM41/'Midterm OVPAA-F-INS-055A RAW SC'!BM$17*100)</f>
        <v/>
      </c>
      <c r="BN41" s="126" t="str">
        <f>IF('Midterm OVPAA-F-INS-055A RAW SC'!BN41="","",'Midterm OVPAA-F-INS-055A RAW SC'!BN41/'Midterm OVPAA-F-INS-055A RAW SC'!BN$17*100)</f>
        <v/>
      </c>
      <c r="BO41" s="126" t="str">
        <f>IF('Midterm OVPAA-F-INS-055A RAW SC'!BO41="","",'Midterm OVPAA-F-INS-055A RAW SC'!BO41/'Midterm OVPAA-F-INS-055A RAW SC'!BO$17*100)</f>
        <v/>
      </c>
      <c r="BP41" s="126" t="str">
        <f>IF('Midterm OVPAA-F-INS-055A RAW SC'!BP41="","",'Midterm OVPAA-F-INS-055A RAW SC'!BP41/'Midterm OVPAA-F-INS-055A RAW SC'!BP$17*100)</f>
        <v/>
      </c>
      <c r="BQ41" s="126" t="str">
        <f>IF('Midterm OVPAA-F-INS-055A RAW SC'!BQ41="","",'Midterm OVPAA-F-INS-055A RAW SC'!BQ41/'Midterm OVPAA-F-INS-055A RAW SC'!BQ$17*100)</f>
        <v/>
      </c>
      <c r="BR41" s="126" t="str">
        <f>IF('Midterm OVPAA-F-INS-055A RAW SC'!BR41="","",'Midterm OVPAA-F-INS-055A RAW SC'!BR41/'Midterm OVPAA-F-INS-055A RAW SC'!BR$17*100)</f>
        <v/>
      </c>
      <c r="BS41" s="126" t="str">
        <f>IF('Midterm OVPAA-F-INS-055A RAW SC'!BS41="","",'Midterm OVPAA-F-INS-055A RAW SC'!BS41/'Midterm OVPAA-F-INS-055A RAW SC'!BS$17*100)</f>
        <v/>
      </c>
      <c r="BT41" s="126" t="str">
        <f>IF('Midterm OVPAA-F-INS-055A RAW SC'!BT41="","",'Midterm OVPAA-F-INS-055A RAW SC'!BT41/'Midterm OVPAA-F-INS-055A RAW SC'!BT$17*100)</f>
        <v/>
      </c>
      <c r="BU41" s="127" t="str">
        <f t="array" ref="BU41">IF('Midterm OVPAA-F-INS-055A RAW SC'!$G41="","",IF((SUMPRODUCT(--ISBLANK('Midterm OVPAA-F-INS-055A RAW SC'!H41:BT41))=COLUMNS('Midterm OVPAA-F-INS-055A RAW SC'!H41:BT41))=TRUE,"",(((COUNTA('Midterm OVPAA-F-INS-055A RAW SC'!$H$17:$BT$17)+COUNTBLANK('Midterm OVPAA-F-INS-055A RAW SC'!H41:BT41))-COLUMNS('Midterm OVPAA-F-INS-055A RAW SC'!H41:BT41))*5+SUM(H41:BT41))/COUNTA('Midterm OVPAA-F-INS-055A RAW SC'!$H$17:$BT$17)))</f>
        <v/>
      </c>
      <c r="BV41" s="128" t="str">
        <f>IF(BU41="","",VLOOKUP(BU41,IF('Midterm OVPAA-F-INS-055A RAW SC'!$V$12=0.5,TRANSMUTATION!$C$4:$D$17,TRANSMUTATION!$G$4:$H$17),2,TRUE))</f>
        <v/>
      </c>
      <c r="BW41" s="129" t="str">
        <f>IF('Midterm OVPAA-F-INS-055A RAW SC'!BU41="","",'Midterm OVPAA-F-INS-055A RAW SC'!BU41/'Midterm OVPAA-F-INS-055A RAW SC'!BU$17*100)</f>
        <v/>
      </c>
      <c r="BX41" s="130" t="str">
        <f>IF('Midterm OVPAA-F-INS-055A RAW SC'!BV41="","",'Midterm OVPAA-F-INS-055A RAW SC'!BV41/'Midterm OVPAA-F-INS-055A RAW SC'!BV$17*100)</f>
        <v/>
      </c>
      <c r="BY41" s="130" t="str">
        <f>IF('Midterm OVPAA-F-INS-055A RAW SC'!BW41="","",'Midterm OVPAA-F-INS-055A RAW SC'!BW41/'Midterm OVPAA-F-INS-055A RAW SC'!BW$17*100)</f>
        <v/>
      </c>
      <c r="BZ41" s="130" t="str">
        <f>IF('Midterm OVPAA-F-INS-055A RAW SC'!BX41="","",'Midterm OVPAA-F-INS-055A RAW SC'!BX41/'Midterm OVPAA-F-INS-055A RAW SC'!BX$17*100)</f>
        <v/>
      </c>
      <c r="CA41" s="130" t="str">
        <f>IF('Midterm OVPAA-F-INS-055A RAW SC'!BY41="","",'Midterm OVPAA-F-INS-055A RAW SC'!BY41/'Midterm OVPAA-F-INS-055A RAW SC'!BY$17*100)</f>
        <v/>
      </c>
      <c r="CB41" s="130" t="str">
        <f>IF('Midterm OVPAA-F-INS-055A RAW SC'!BZ41="","",'Midterm OVPAA-F-INS-055A RAW SC'!BZ41/'Midterm OVPAA-F-INS-055A RAW SC'!BZ$17*100)</f>
        <v/>
      </c>
      <c r="CC41" s="130" t="str">
        <f>IF('Midterm OVPAA-F-INS-055A RAW SC'!CA41="","",'Midterm OVPAA-F-INS-055A RAW SC'!CA41/'Midterm OVPAA-F-INS-055A RAW SC'!CA$17*100)</f>
        <v/>
      </c>
      <c r="CD41" s="130" t="str">
        <f>IF('Midterm OVPAA-F-INS-055A RAW SC'!CB41="","",'Midterm OVPAA-F-INS-055A RAW SC'!CB41/'Midterm OVPAA-F-INS-055A RAW SC'!CB$17*100)</f>
        <v/>
      </c>
      <c r="CE41" s="130" t="str">
        <f>IF('Midterm OVPAA-F-INS-055A RAW SC'!CC41="","",'Midterm OVPAA-F-INS-055A RAW SC'!CC41/'Midterm OVPAA-F-INS-055A RAW SC'!CC$17*100)</f>
        <v/>
      </c>
      <c r="CF41" s="130" t="str">
        <f>IF('Midterm OVPAA-F-INS-055A RAW SC'!CD41="","",'Midterm OVPAA-F-INS-055A RAW SC'!CD41/'Midterm OVPAA-F-INS-055A RAW SC'!CD$17*100)</f>
        <v/>
      </c>
      <c r="CG41" s="130" t="str">
        <f>IF('Midterm OVPAA-F-INS-055A RAW SC'!CE41="","",'Midterm OVPAA-F-INS-055A RAW SC'!CE41/'Midterm OVPAA-F-INS-055A RAW SC'!CE$17*100)</f>
        <v/>
      </c>
      <c r="CH41" s="130" t="str">
        <f>IF('Midterm OVPAA-F-INS-055A RAW SC'!CF41="","",'Midterm OVPAA-F-INS-055A RAW SC'!CF41/'Midterm OVPAA-F-INS-055A RAW SC'!CF$17*100)</f>
        <v/>
      </c>
      <c r="CI41" s="130" t="str">
        <f>IF('Midterm OVPAA-F-INS-055A RAW SC'!CG41="","",'Midterm OVPAA-F-INS-055A RAW SC'!CG41/'Midterm OVPAA-F-INS-055A RAW SC'!CG$17*100)</f>
        <v/>
      </c>
      <c r="CJ41" s="130" t="str">
        <f>IF('Midterm OVPAA-F-INS-055A RAW SC'!CH41="","",'Midterm OVPAA-F-INS-055A RAW SC'!CH41/'Midterm OVPAA-F-INS-055A RAW SC'!CH$17*100)</f>
        <v/>
      </c>
      <c r="CK41" s="130" t="str">
        <f>IF('Midterm OVPAA-F-INS-055A RAW SC'!CI41="","",'Midterm OVPAA-F-INS-055A RAW SC'!CI41/'Midterm OVPAA-F-INS-055A RAW SC'!CI$17*100)</f>
        <v/>
      </c>
      <c r="CL41" s="130" t="str">
        <f>IF('Midterm OVPAA-F-INS-055A RAW SC'!CJ41="","",'Midterm OVPAA-F-INS-055A RAW SC'!CJ41/'Midterm OVPAA-F-INS-055A RAW SC'!CJ$17*100)</f>
        <v/>
      </c>
      <c r="CM41" s="130" t="str">
        <f>IF('Midterm OVPAA-F-INS-055A RAW SC'!CK41="","",'Midterm OVPAA-F-INS-055A RAW SC'!CK41/'Midterm OVPAA-F-INS-055A RAW SC'!CK$17*100)</f>
        <v/>
      </c>
      <c r="CN41" s="130" t="str">
        <f>IF('Midterm OVPAA-F-INS-055A RAW SC'!CL41="","",'Midterm OVPAA-F-INS-055A RAW SC'!CL41/'Midterm OVPAA-F-INS-055A RAW SC'!CL$17*100)</f>
        <v/>
      </c>
      <c r="CO41" s="130" t="str">
        <f>IF('Midterm OVPAA-F-INS-055A RAW SC'!CM41="","",'Midterm OVPAA-F-INS-055A RAW SC'!CM41/'Midterm OVPAA-F-INS-055A RAW SC'!CM$17*100)</f>
        <v/>
      </c>
      <c r="CP41" s="130" t="str">
        <f>IF('Midterm OVPAA-F-INS-055A RAW SC'!CN41="","",'Midterm OVPAA-F-INS-055A RAW SC'!CN41/'Midterm OVPAA-F-INS-055A RAW SC'!CN$17*100)</f>
        <v/>
      </c>
      <c r="CQ41" s="131" t="str">
        <f t="array" ref="CQ41">IF('Midterm OVPAA-F-INS-055A RAW SC'!G41="","",IF((SUMPRODUCT(--ISBLANK('Midterm OVPAA-F-INS-055A RAW SC'!BU41:CN41))=COLUMNS('Midterm OVPAA-F-INS-055A RAW SC'!BU41:CN41))=TRUE,"",(((COUNTA('Midterm OVPAA-F-INS-055A RAW SC'!$BU$17:$CN$17)+COUNTBLANK('Midterm OVPAA-F-INS-055A RAW SC'!BU41:CN41))-COLUMNS('Midterm OVPAA-F-INS-055A RAW SC'!BU41:CN41))*5+SUM(BW41:CP41))/COUNTA('Midterm OVPAA-F-INS-055A RAW SC'!$BU$17:$CN$17)))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IF('Midterm OVPAA-F-INS-055A RAW SC'!CO41="","",'Midterm OVPAA-F-INS-055A RAW SC'!CO41/'Midterm OVPAA-F-INS-055A RAW SC'!CO$17*100)</f>
        <v/>
      </c>
      <c r="CT41" s="133" t="str">
        <f>IF('Midterm OVPAA-F-INS-055A RAW SC'!CP41="","",'Midterm OVPAA-F-INS-055A RAW SC'!CP41/'Midterm OVPAA-F-INS-055A RAW SC'!CP$17*100)</f>
        <v/>
      </c>
      <c r="CU41" s="133" t="str">
        <f>IF('Midterm OVPAA-F-INS-055A RAW SC'!CQ41="","",'Midterm OVPAA-F-INS-055A RAW SC'!CQ41/'Midterm OVPAA-F-INS-055A RAW SC'!CQ$17*100)</f>
        <v/>
      </c>
      <c r="CV41" s="133" t="str">
        <f>IF('Midterm OVPAA-F-INS-055A RAW SC'!CR41="","",'Midterm OVPAA-F-INS-055A RAW SC'!CR41/'Midterm OVPAA-F-INS-055A RAW SC'!CR$17*100)</f>
        <v/>
      </c>
      <c r="CW41" s="133" t="str">
        <f>IF('Midterm OVPAA-F-INS-055A RAW SC'!CS41="","",'Midterm OVPAA-F-INS-055A RAW SC'!CS41/'Midterm OVPAA-F-INS-055A RAW SC'!CS$17*100)</f>
        <v/>
      </c>
      <c r="CX41" s="133" t="str">
        <f>IF('Midterm OVPAA-F-INS-055A RAW SC'!CT41="","",'Midterm OVPAA-F-INS-055A RAW SC'!CT41/'Midterm OVPAA-F-INS-055A RAW SC'!CT$17*100)</f>
        <v/>
      </c>
      <c r="CY41" s="133" t="str">
        <f>IF('Midterm OVPAA-F-INS-055A RAW SC'!CU41="","",'Midterm OVPAA-F-INS-055A RAW SC'!CU41/'Midterm OVPAA-F-INS-055A RAW SC'!CU$17*100)</f>
        <v/>
      </c>
      <c r="CZ41" s="133" t="str">
        <f>IF('Midterm OVPAA-F-INS-055A RAW SC'!CV41="","",'Midterm OVPAA-F-INS-055A RAW SC'!CV41/'Midterm OVPAA-F-INS-055A RAW SC'!CV$17*100)</f>
        <v/>
      </c>
      <c r="DA41" s="133" t="str">
        <f>IF('Midterm OVPAA-F-INS-055A RAW SC'!CW41="","",'Midterm OVPAA-F-INS-055A RAW SC'!CW41/'Midterm OVPAA-F-INS-055A RAW SC'!CW$17*100)</f>
        <v/>
      </c>
      <c r="DB41" s="133" t="str">
        <f>IF('Midterm OVPAA-F-INS-055A RAW SC'!CX41="","",'Midterm OVPAA-F-INS-055A RAW SC'!CX41/'Midterm OVPAA-F-INS-055A RAW SC'!CX$17*100)</f>
        <v/>
      </c>
      <c r="DC41" s="134" t="str">
        <f t="array" ref="DC41">IF('Midterm OVPAA-F-INS-055A RAW SC'!$G41="","",IF((SUMPRODUCT(--ISBLANK('Midterm OVPAA-F-INS-055A RAW SC'!CO41:CX41))=COLUMNS('Midterm OVPAA-F-INS-055A RAW SC'!CO41:CX41))=TRUE,"",(((COUNTA('Midterm OVPAA-F-INS-055A RAW SC'!$CO$17:$CX$17)+COUNTBLANK('Midterm OVPAA-F-INS-055A RAW SC'!CO41:CX41))-COLUMNS('Midterm OVPAA-F-INS-055A RAW SC'!CO41:CX41))*5+SUM(CS41:DB41))/COUNTA('Midterm OVPAA-F-INS-055A RAW SC'!$CO$17:$CX$17)))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37" t="str">
        <f t="shared" si="2"/>
        <v/>
      </c>
      <c r="DG41" s="138" t="str">
        <f t="shared" si="3"/>
        <v/>
      </c>
      <c r="DH41" s="136" t="str">
        <f t="shared" si="4"/>
        <v/>
      </c>
      <c r="DI41" s="123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IF('Midterm OVPAA-F-INS-055A RAW SC'!H42="","",'Midterm OVPAA-F-INS-055A RAW SC'!H42/'Midterm OVPAA-F-INS-055A RAW SC'!H$17*100)</f>
        <v/>
      </c>
      <c r="I42" s="126" t="str">
        <f>IF('Midterm OVPAA-F-INS-055A RAW SC'!I42="","",'Midterm OVPAA-F-INS-055A RAW SC'!I42/'Midterm OVPAA-F-INS-055A RAW SC'!I$17*100)</f>
        <v/>
      </c>
      <c r="J42" s="126" t="str">
        <f>IF('Midterm OVPAA-F-INS-055A RAW SC'!J42="","",'Midterm OVPAA-F-INS-055A RAW SC'!J42/'Midterm OVPAA-F-INS-055A RAW SC'!J$17*100)</f>
        <v/>
      </c>
      <c r="K42" s="126" t="str">
        <f>IF('Midterm OVPAA-F-INS-055A RAW SC'!K42="","",'Midterm OVPAA-F-INS-055A RAW SC'!K42/'Midterm OVPAA-F-INS-055A RAW SC'!K$17*100)</f>
        <v/>
      </c>
      <c r="L42" s="126" t="str">
        <f>IF('Midterm OVPAA-F-INS-055A RAW SC'!L42="","",'Midterm OVPAA-F-INS-055A RAW SC'!L42/'Midterm OVPAA-F-INS-055A RAW SC'!L$17*100)</f>
        <v/>
      </c>
      <c r="M42" s="126" t="str">
        <f>IF('Midterm OVPAA-F-INS-055A RAW SC'!M42="","",'Midterm OVPAA-F-INS-055A RAW SC'!M42/'Midterm OVPAA-F-INS-055A RAW SC'!M$17*100)</f>
        <v/>
      </c>
      <c r="N42" s="126" t="str">
        <f>IF('Midterm OVPAA-F-INS-055A RAW SC'!N42="","",'Midterm OVPAA-F-INS-055A RAW SC'!N42/'Midterm OVPAA-F-INS-055A RAW SC'!N$17*100)</f>
        <v/>
      </c>
      <c r="O42" s="126" t="str">
        <f>IF('Midterm OVPAA-F-INS-055A RAW SC'!O42="","",'Midterm OVPAA-F-INS-055A RAW SC'!O42/'Midterm OVPAA-F-INS-055A RAW SC'!O$17*100)</f>
        <v/>
      </c>
      <c r="P42" s="126" t="str">
        <f>IF('Midterm OVPAA-F-INS-055A RAW SC'!P42="","",'Midterm OVPAA-F-INS-055A RAW SC'!P42/'Midterm OVPAA-F-INS-055A RAW SC'!P$17*100)</f>
        <v/>
      </c>
      <c r="Q42" s="126" t="str">
        <f>IF('Midterm OVPAA-F-INS-055A RAW SC'!Q42="","",'Midterm OVPAA-F-INS-055A RAW SC'!Q42/'Midterm OVPAA-F-INS-055A RAW SC'!Q$17*100)</f>
        <v/>
      </c>
      <c r="R42" s="126" t="str">
        <f>IF('Midterm OVPAA-F-INS-055A RAW SC'!R42="","",'Midterm OVPAA-F-INS-055A RAW SC'!R42/'Midterm OVPAA-F-INS-055A RAW SC'!R$17*100)</f>
        <v/>
      </c>
      <c r="S42" s="126" t="str">
        <f>IF('Midterm OVPAA-F-INS-055A RAW SC'!S42="","",'Midterm OVPAA-F-INS-055A RAW SC'!S42/'Midterm OVPAA-F-INS-055A RAW SC'!S$17*100)</f>
        <v/>
      </c>
      <c r="T42" s="126" t="str">
        <f>IF('Midterm OVPAA-F-INS-055A RAW SC'!T42="","",'Midterm OVPAA-F-INS-055A RAW SC'!T42/'Midterm OVPAA-F-INS-055A RAW SC'!T$17*100)</f>
        <v/>
      </c>
      <c r="U42" s="126" t="str">
        <f>IF('Midterm OVPAA-F-INS-055A RAW SC'!U42="","",'Midterm OVPAA-F-INS-055A RAW SC'!U42/'Midterm OVPAA-F-INS-055A RAW SC'!U$17*100)</f>
        <v/>
      </c>
      <c r="V42" s="126" t="str">
        <f>IF('Midterm OVPAA-F-INS-055A RAW SC'!V42="","",'Midterm OVPAA-F-INS-055A RAW SC'!V42/'Midterm OVPAA-F-INS-055A RAW SC'!V$17*100)</f>
        <v/>
      </c>
      <c r="W42" s="126" t="str">
        <f>IF('Midterm OVPAA-F-INS-055A RAW SC'!W42="","",'Midterm OVPAA-F-INS-055A RAW SC'!W42/'Midterm OVPAA-F-INS-055A RAW SC'!W$17*100)</f>
        <v/>
      </c>
      <c r="X42" s="126" t="str">
        <f>IF('Midterm OVPAA-F-INS-055A RAW SC'!X42="","",'Midterm OVPAA-F-INS-055A RAW SC'!X42/'Midterm OVPAA-F-INS-055A RAW SC'!X$17*100)</f>
        <v/>
      </c>
      <c r="Y42" s="126" t="str">
        <f>IF('Midterm OVPAA-F-INS-055A RAW SC'!Y42="","",'Midterm OVPAA-F-INS-055A RAW SC'!Y42/'Midterm OVPAA-F-INS-055A RAW SC'!Y$17*100)</f>
        <v/>
      </c>
      <c r="Z42" s="126" t="str">
        <f>IF('Midterm OVPAA-F-INS-055A RAW SC'!Z42="","",'Midterm OVPAA-F-INS-055A RAW SC'!Z42/'Midterm OVPAA-F-INS-055A RAW SC'!Z$17*100)</f>
        <v/>
      </c>
      <c r="AA42" s="126" t="str">
        <f>IF('Midterm OVPAA-F-INS-055A RAW SC'!AA42="","",'Midterm OVPAA-F-INS-055A RAW SC'!AA42/'Midterm OVPAA-F-INS-055A RAW SC'!AA$17*100)</f>
        <v/>
      </c>
      <c r="AB42" s="126" t="str">
        <f>IF('Midterm OVPAA-F-INS-055A RAW SC'!AB42="","",'Midterm OVPAA-F-INS-055A RAW SC'!AB42/'Midterm OVPAA-F-INS-055A RAW SC'!AB$17*100)</f>
        <v/>
      </c>
      <c r="AC42" s="126" t="str">
        <f>IF('Midterm OVPAA-F-INS-055A RAW SC'!AC42="","",'Midterm OVPAA-F-INS-055A RAW SC'!AC42/'Midterm OVPAA-F-INS-055A RAW SC'!AC$17*100)</f>
        <v/>
      </c>
      <c r="AD42" s="126" t="str">
        <f>IF('Midterm OVPAA-F-INS-055A RAW SC'!AD42="","",'Midterm OVPAA-F-INS-055A RAW SC'!AD42/'Midterm OVPAA-F-INS-055A RAW SC'!AD$17*100)</f>
        <v/>
      </c>
      <c r="AE42" s="126" t="str">
        <f>IF('Midterm OVPAA-F-INS-055A RAW SC'!AE42="","",'Midterm OVPAA-F-INS-055A RAW SC'!AE42/'Midterm OVPAA-F-INS-055A RAW SC'!AE$17*100)</f>
        <v/>
      </c>
      <c r="AF42" s="126" t="str">
        <f>IF('Midterm OVPAA-F-INS-055A RAW SC'!AF42="","",'Midterm OVPAA-F-INS-055A RAW SC'!AF42/'Midterm OVPAA-F-INS-055A RAW SC'!AF$17*100)</f>
        <v/>
      </c>
      <c r="AG42" s="126" t="str">
        <f>IF('Midterm OVPAA-F-INS-055A RAW SC'!AG42="","",'Midterm OVPAA-F-INS-055A RAW SC'!AG42/'Midterm OVPAA-F-INS-055A RAW SC'!AG$17*100)</f>
        <v/>
      </c>
      <c r="AH42" s="126" t="str">
        <f>IF('Midterm OVPAA-F-INS-055A RAW SC'!AH42="","",'Midterm OVPAA-F-INS-055A RAW SC'!AH42/'Midterm OVPAA-F-INS-055A RAW SC'!AH$17*100)</f>
        <v/>
      </c>
      <c r="AI42" s="126" t="str">
        <f>IF('Midterm OVPAA-F-INS-055A RAW SC'!AI42="","",'Midterm OVPAA-F-INS-055A RAW SC'!AI42/'Midterm OVPAA-F-INS-055A RAW SC'!AI$17*100)</f>
        <v/>
      </c>
      <c r="AJ42" s="126" t="str">
        <f>IF('Midterm OVPAA-F-INS-055A RAW SC'!AJ42="","",'Midterm OVPAA-F-INS-055A RAW SC'!AJ42/'Midterm OVPAA-F-INS-055A RAW SC'!AJ$17*100)</f>
        <v/>
      </c>
      <c r="AK42" s="126" t="str">
        <f>IF('Midterm OVPAA-F-INS-055A RAW SC'!AK42="","",'Midterm OVPAA-F-INS-055A RAW SC'!AK42/'Midterm OVPAA-F-INS-055A RAW SC'!AK$17*100)</f>
        <v/>
      </c>
      <c r="AL42" s="126" t="str">
        <f>IF('Midterm OVPAA-F-INS-055A RAW SC'!AL42="","",'Midterm OVPAA-F-INS-055A RAW SC'!AL42/'Midterm OVPAA-F-INS-055A RAW SC'!AL$17*100)</f>
        <v/>
      </c>
      <c r="AM42" s="126" t="str">
        <f>IF('Midterm OVPAA-F-INS-055A RAW SC'!AM42="","",'Midterm OVPAA-F-INS-055A RAW SC'!AM42/'Midterm OVPAA-F-INS-055A RAW SC'!AM$17*100)</f>
        <v/>
      </c>
      <c r="AN42" s="126" t="str">
        <f>IF('Midterm OVPAA-F-INS-055A RAW SC'!AN42="","",'Midterm OVPAA-F-INS-055A RAW SC'!AN42/'Midterm OVPAA-F-INS-055A RAW SC'!AN$17*100)</f>
        <v/>
      </c>
      <c r="AO42" s="126" t="str">
        <f>IF('Midterm OVPAA-F-INS-055A RAW SC'!AO42="","",'Midterm OVPAA-F-INS-055A RAW SC'!AO42/'Midterm OVPAA-F-INS-055A RAW SC'!AO$17*100)</f>
        <v/>
      </c>
      <c r="AP42" s="126" t="str">
        <f>IF('Midterm OVPAA-F-INS-055A RAW SC'!AP42="","",'Midterm OVPAA-F-INS-055A RAW SC'!AP42/'Midterm OVPAA-F-INS-055A RAW SC'!AP$17*100)</f>
        <v/>
      </c>
      <c r="AQ42" s="126" t="str">
        <f>IF('Midterm OVPAA-F-INS-055A RAW SC'!AQ42="","",'Midterm OVPAA-F-INS-055A RAW SC'!AQ42/'Midterm OVPAA-F-INS-055A RAW SC'!AQ$17*100)</f>
        <v/>
      </c>
      <c r="AR42" s="126" t="str">
        <f>IF('Midterm OVPAA-F-INS-055A RAW SC'!AR42="","",'Midterm OVPAA-F-INS-055A RAW SC'!AR42/'Midterm OVPAA-F-INS-055A RAW SC'!AR$17*100)</f>
        <v/>
      </c>
      <c r="AS42" s="126" t="str">
        <f>IF('Midterm OVPAA-F-INS-055A RAW SC'!AS42="","",'Midterm OVPAA-F-INS-055A RAW SC'!AS42/'Midterm OVPAA-F-INS-055A RAW SC'!AS$17*100)</f>
        <v/>
      </c>
      <c r="AT42" s="126" t="str">
        <f>IF('Midterm OVPAA-F-INS-055A RAW SC'!AT42="","",'Midterm OVPAA-F-INS-055A RAW SC'!AT42/'Midterm OVPAA-F-INS-055A RAW SC'!AT$17*100)</f>
        <v/>
      </c>
      <c r="AU42" s="126" t="str">
        <f>IF('Midterm OVPAA-F-INS-055A RAW SC'!AU42="","",'Midterm OVPAA-F-INS-055A RAW SC'!AU42/'Midterm OVPAA-F-INS-055A RAW SC'!AU$17*100)</f>
        <v/>
      </c>
      <c r="AV42" s="126" t="str">
        <f>IF('Midterm OVPAA-F-INS-055A RAW SC'!AV42="","",'Midterm OVPAA-F-INS-055A RAW SC'!AV42/'Midterm OVPAA-F-INS-055A RAW SC'!AV$17*100)</f>
        <v/>
      </c>
      <c r="AW42" s="126" t="str">
        <f>IF('Midterm OVPAA-F-INS-055A RAW SC'!AW42="","",'Midterm OVPAA-F-INS-055A RAW SC'!AW42/'Midterm OVPAA-F-INS-055A RAW SC'!AW$17*100)</f>
        <v/>
      </c>
      <c r="AX42" s="126" t="str">
        <f>IF('Midterm OVPAA-F-INS-055A RAW SC'!AX42="","",'Midterm OVPAA-F-INS-055A RAW SC'!AX42/'Midterm OVPAA-F-INS-055A RAW SC'!AX$17*100)</f>
        <v/>
      </c>
      <c r="AY42" s="126" t="str">
        <f>IF('Midterm OVPAA-F-INS-055A RAW SC'!AY42="","",'Midterm OVPAA-F-INS-055A RAW SC'!AY42/'Midterm OVPAA-F-INS-055A RAW SC'!AY$17*100)</f>
        <v/>
      </c>
      <c r="AZ42" s="126" t="str">
        <f>IF('Midterm OVPAA-F-INS-055A RAW SC'!AZ42="","",'Midterm OVPAA-F-INS-055A RAW SC'!AZ42/'Midterm OVPAA-F-INS-055A RAW SC'!AZ$17*100)</f>
        <v/>
      </c>
      <c r="BA42" s="126" t="str">
        <f>IF('Midterm OVPAA-F-INS-055A RAW SC'!BA42="","",'Midterm OVPAA-F-INS-055A RAW SC'!BA42/'Midterm OVPAA-F-INS-055A RAW SC'!BA$17*100)</f>
        <v/>
      </c>
      <c r="BB42" s="126" t="str">
        <f>IF('Midterm OVPAA-F-INS-055A RAW SC'!BB42="","",'Midterm OVPAA-F-INS-055A RAW SC'!BB42/'Midterm OVPAA-F-INS-055A RAW SC'!BB$17*100)</f>
        <v/>
      </c>
      <c r="BC42" s="126" t="str">
        <f>IF('Midterm OVPAA-F-INS-055A RAW SC'!BC42="","",'Midterm OVPAA-F-INS-055A RAW SC'!BC42/'Midterm OVPAA-F-INS-055A RAW SC'!BC$17*100)</f>
        <v/>
      </c>
      <c r="BD42" s="126" t="str">
        <f>IF('Midterm OVPAA-F-INS-055A RAW SC'!BD42="","",'Midterm OVPAA-F-INS-055A RAW SC'!BD42/'Midterm OVPAA-F-INS-055A RAW SC'!BD$17*100)</f>
        <v/>
      </c>
      <c r="BE42" s="126" t="str">
        <f>IF('Midterm OVPAA-F-INS-055A RAW SC'!BE42="","",'Midterm OVPAA-F-INS-055A RAW SC'!BE42/'Midterm OVPAA-F-INS-055A RAW SC'!BE$17*100)</f>
        <v/>
      </c>
      <c r="BF42" s="126" t="str">
        <f>IF('Midterm OVPAA-F-INS-055A RAW SC'!BF42="","",'Midterm OVPAA-F-INS-055A RAW SC'!BF42/'Midterm OVPAA-F-INS-055A RAW SC'!BF$17*100)</f>
        <v/>
      </c>
      <c r="BG42" s="126" t="str">
        <f>IF('Midterm OVPAA-F-INS-055A RAW SC'!BG42="","",'Midterm OVPAA-F-INS-055A RAW SC'!BG42/'Midterm OVPAA-F-INS-055A RAW SC'!BG$17*100)</f>
        <v/>
      </c>
      <c r="BH42" s="126" t="str">
        <f>IF('Midterm OVPAA-F-INS-055A RAW SC'!BH42="","",'Midterm OVPAA-F-INS-055A RAW SC'!BH42/'Midterm OVPAA-F-INS-055A RAW SC'!BH$17*100)</f>
        <v/>
      </c>
      <c r="BI42" s="126" t="str">
        <f>IF('Midterm OVPAA-F-INS-055A RAW SC'!BI42="","",'Midterm OVPAA-F-INS-055A RAW SC'!BI42/'Midterm OVPAA-F-INS-055A RAW SC'!BI$17*100)</f>
        <v/>
      </c>
      <c r="BJ42" s="126" t="str">
        <f>IF('Midterm OVPAA-F-INS-055A RAW SC'!BJ42="","",'Midterm OVPAA-F-INS-055A RAW SC'!BJ42/'Midterm OVPAA-F-INS-055A RAW SC'!BJ$17*100)</f>
        <v/>
      </c>
      <c r="BK42" s="126" t="str">
        <f>IF('Midterm OVPAA-F-INS-055A RAW SC'!BK42="","",'Midterm OVPAA-F-INS-055A RAW SC'!BK42/'Midterm OVPAA-F-INS-055A RAW SC'!BK$17*100)</f>
        <v/>
      </c>
      <c r="BL42" s="126" t="str">
        <f>IF('Midterm OVPAA-F-INS-055A RAW SC'!BL42="","",'Midterm OVPAA-F-INS-055A RAW SC'!BL42/'Midterm OVPAA-F-INS-055A RAW SC'!BL$17*100)</f>
        <v/>
      </c>
      <c r="BM42" s="126" t="str">
        <f>IF('Midterm OVPAA-F-INS-055A RAW SC'!BM42="","",'Midterm OVPAA-F-INS-055A RAW SC'!BM42/'Midterm OVPAA-F-INS-055A RAW SC'!BM$17*100)</f>
        <v/>
      </c>
      <c r="BN42" s="126" t="str">
        <f>IF('Midterm OVPAA-F-INS-055A RAW SC'!BN42="","",'Midterm OVPAA-F-INS-055A RAW SC'!BN42/'Midterm OVPAA-F-INS-055A RAW SC'!BN$17*100)</f>
        <v/>
      </c>
      <c r="BO42" s="126" t="str">
        <f>IF('Midterm OVPAA-F-INS-055A RAW SC'!BO42="","",'Midterm OVPAA-F-INS-055A RAW SC'!BO42/'Midterm OVPAA-F-INS-055A RAW SC'!BO$17*100)</f>
        <v/>
      </c>
      <c r="BP42" s="126" t="str">
        <f>IF('Midterm OVPAA-F-INS-055A RAW SC'!BP42="","",'Midterm OVPAA-F-INS-055A RAW SC'!BP42/'Midterm OVPAA-F-INS-055A RAW SC'!BP$17*100)</f>
        <v/>
      </c>
      <c r="BQ42" s="126" t="str">
        <f>IF('Midterm OVPAA-F-INS-055A RAW SC'!BQ42="","",'Midterm OVPAA-F-INS-055A RAW SC'!BQ42/'Midterm OVPAA-F-INS-055A RAW SC'!BQ$17*100)</f>
        <v/>
      </c>
      <c r="BR42" s="126" t="str">
        <f>IF('Midterm OVPAA-F-INS-055A RAW SC'!BR42="","",'Midterm OVPAA-F-INS-055A RAW SC'!BR42/'Midterm OVPAA-F-INS-055A RAW SC'!BR$17*100)</f>
        <v/>
      </c>
      <c r="BS42" s="126" t="str">
        <f>IF('Midterm OVPAA-F-INS-055A RAW SC'!BS42="","",'Midterm OVPAA-F-INS-055A RAW SC'!BS42/'Midterm OVPAA-F-INS-055A RAW SC'!BS$17*100)</f>
        <v/>
      </c>
      <c r="BT42" s="126" t="str">
        <f>IF('Midterm OVPAA-F-INS-055A RAW SC'!BT42="","",'Midterm OVPAA-F-INS-055A RAW SC'!BT42/'Midterm OVPAA-F-INS-055A RAW SC'!BT$17*100)</f>
        <v/>
      </c>
      <c r="BU42" s="127" t="str">
        <f t="array" ref="BU42">IF('Midterm OVPAA-F-INS-055A RAW SC'!$G42="","",IF((SUMPRODUCT(--ISBLANK('Midterm OVPAA-F-INS-055A RAW SC'!H42:BT42))=COLUMNS('Midterm OVPAA-F-INS-055A RAW SC'!H42:BT42))=TRUE,"",(((COUNTA('Midterm OVPAA-F-INS-055A RAW SC'!$H$17:$BT$17)+COUNTBLANK('Midterm OVPAA-F-INS-055A RAW SC'!H42:BT42))-COLUMNS('Midterm OVPAA-F-INS-055A RAW SC'!H42:BT42))*5+SUM(H42:BT42))/COUNTA('Midterm OVPAA-F-INS-055A RAW SC'!$H$17:$BT$17)))</f>
        <v/>
      </c>
      <c r="BV42" s="128" t="str">
        <f>IF(BU42="","",VLOOKUP(BU42,IF('Midterm OVPAA-F-INS-055A RAW SC'!$V$12=0.5,TRANSMUTATION!$C$4:$D$17,TRANSMUTATION!$G$4:$H$17),2,TRUE))</f>
        <v/>
      </c>
      <c r="BW42" s="129" t="str">
        <f>IF('Midterm OVPAA-F-INS-055A RAW SC'!BU42="","",'Midterm OVPAA-F-INS-055A RAW SC'!BU42/'Midterm OVPAA-F-INS-055A RAW SC'!BU$17*100)</f>
        <v/>
      </c>
      <c r="BX42" s="130" t="str">
        <f>IF('Midterm OVPAA-F-INS-055A RAW SC'!BV42="","",'Midterm OVPAA-F-INS-055A RAW SC'!BV42/'Midterm OVPAA-F-INS-055A RAW SC'!BV$17*100)</f>
        <v/>
      </c>
      <c r="BY42" s="130" t="str">
        <f>IF('Midterm OVPAA-F-INS-055A RAW SC'!BW42="","",'Midterm OVPAA-F-INS-055A RAW SC'!BW42/'Midterm OVPAA-F-INS-055A RAW SC'!BW$17*100)</f>
        <v/>
      </c>
      <c r="BZ42" s="130" t="str">
        <f>IF('Midterm OVPAA-F-INS-055A RAW SC'!BX42="","",'Midterm OVPAA-F-INS-055A RAW SC'!BX42/'Midterm OVPAA-F-INS-055A RAW SC'!BX$17*100)</f>
        <v/>
      </c>
      <c r="CA42" s="130" t="str">
        <f>IF('Midterm OVPAA-F-INS-055A RAW SC'!BY42="","",'Midterm OVPAA-F-INS-055A RAW SC'!BY42/'Midterm OVPAA-F-INS-055A RAW SC'!BY$17*100)</f>
        <v/>
      </c>
      <c r="CB42" s="130" t="str">
        <f>IF('Midterm OVPAA-F-INS-055A RAW SC'!BZ42="","",'Midterm OVPAA-F-INS-055A RAW SC'!BZ42/'Midterm OVPAA-F-INS-055A RAW SC'!BZ$17*100)</f>
        <v/>
      </c>
      <c r="CC42" s="130" t="str">
        <f>IF('Midterm OVPAA-F-INS-055A RAW SC'!CA42="","",'Midterm OVPAA-F-INS-055A RAW SC'!CA42/'Midterm OVPAA-F-INS-055A RAW SC'!CA$17*100)</f>
        <v/>
      </c>
      <c r="CD42" s="130" t="str">
        <f>IF('Midterm OVPAA-F-INS-055A RAW SC'!CB42="","",'Midterm OVPAA-F-INS-055A RAW SC'!CB42/'Midterm OVPAA-F-INS-055A RAW SC'!CB$17*100)</f>
        <v/>
      </c>
      <c r="CE42" s="130" t="str">
        <f>IF('Midterm OVPAA-F-INS-055A RAW SC'!CC42="","",'Midterm OVPAA-F-INS-055A RAW SC'!CC42/'Midterm OVPAA-F-INS-055A RAW SC'!CC$17*100)</f>
        <v/>
      </c>
      <c r="CF42" s="130" t="str">
        <f>IF('Midterm OVPAA-F-INS-055A RAW SC'!CD42="","",'Midterm OVPAA-F-INS-055A RAW SC'!CD42/'Midterm OVPAA-F-INS-055A RAW SC'!CD$17*100)</f>
        <v/>
      </c>
      <c r="CG42" s="130" t="str">
        <f>IF('Midterm OVPAA-F-INS-055A RAW SC'!CE42="","",'Midterm OVPAA-F-INS-055A RAW SC'!CE42/'Midterm OVPAA-F-INS-055A RAW SC'!CE$17*100)</f>
        <v/>
      </c>
      <c r="CH42" s="130" t="str">
        <f>IF('Midterm OVPAA-F-INS-055A RAW SC'!CF42="","",'Midterm OVPAA-F-INS-055A RAW SC'!CF42/'Midterm OVPAA-F-INS-055A RAW SC'!CF$17*100)</f>
        <v/>
      </c>
      <c r="CI42" s="130" t="str">
        <f>IF('Midterm OVPAA-F-INS-055A RAW SC'!CG42="","",'Midterm OVPAA-F-INS-055A RAW SC'!CG42/'Midterm OVPAA-F-INS-055A RAW SC'!CG$17*100)</f>
        <v/>
      </c>
      <c r="CJ42" s="130" t="str">
        <f>IF('Midterm OVPAA-F-INS-055A RAW SC'!CH42="","",'Midterm OVPAA-F-INS-055A RAW SC'!CH42/'Midterm OVPAA-F-INS-055A RAW SC'!CH$17*100)</f>
        <v/>
      </c>
      <c r="CK42" s="130" t="str">
        <f>IF('Midterm OVPAA-F-INS-055A RAW SC'!CI42="","",'Midterm OVPAA-F-INS-055A RAW SC'!CI42/'Midterm OVPAA-F-INS-055A RAW SC'!CI$17*100)</f>
        <v/>
      </c>
      <c r="CL42" s="130" t="str">
        <f>IF('Midterm OVPAA-F-INS-055A RAW SC'!CJ42="","",'Midterm OVPAA-F-INS-055A RAW SC'!CJ42/'Midterm OVPAA-F-INS-055A RAW SC'!CJ$17*100)</f>
        <v/>
      </c>
      <c r="CM42" s="130" t="str">
        <f>IF('Midterm OVPAA-F-INS-055A RAW SC'!CK42="","",'Midterm OVPAA-F-INS-055A RAW SC'!CK42/'Midterm OVPAA-F-INS-055A RAW SC'!CK$17*100)</f>
        <v/>
      </c>
      <c r="CN42" s="130" t="str">
        <f>IF('Midterm OVPAA-F-INS-055A RAW SC'!CL42="","",'Midterm OVPAA-F-INS-055A RAW SC'!CL42/'Midterm OVPAA-F-INS-055A RAW SC'!CL$17*100)</f>
        <v/>
      </c>
      <c r="CO42" s="130" t="str">
        <f>IF('Midterm OVPAA-F-INS-055A RAW SC'!CM42="","",'Midterm OVPAA-F-INS-055A RAW SC'!CM42/'Midterm OVPAA-F-INS-055A RAW SC'!CM$17*100)</f>
        <v/>
      </c>
      <c r="CP42" s="130" t="str">
        <f>IF('Midterm OVPAA-F-INS-055A RAW SC'!CN42="","",'Midterm OVPAA-F-INS-055A RAW SC'!CN42/'Midterm OVPAA-F-INS-055A RAW SC'!CN$17*100)</f>
        <v/>
      </c>
      <c r="CQ42" s="131" t="str">
        <f t="array" ref="CQ42">IF('Midterm OVPAA-F-INS-055A RAW SC'!G42="","",IF((SUMPRODUCT(--ISBLANK('Midterm OVPAA-F-INS-055A RAW SC'!BU42:CN42))=COLUMNS('Midterm OVPAA-F-INS-055A RAW SC'!BU42:CN42))=TRUE,"",(((COUNTA('Midterm OVPAA-F-INS-055A RAW SC'!$BU$17:$CN$17)+COUNTBLANK('Midterm OVPAA-F-INS-055A RAW SC'!BU42:CN42))-COLUMNS('Midterm OVPAA-F-INS-055A RAW SC'!BU42:CN42))*5+SUM(BW42:CP42))/COUNTA('Midterm OVPAA-F-INS-055A RAW SC'!$BU$17:$CN$17)))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IF('Midterm OVPAA-F-INS-055A RAW SC'!CO42="","",'Midterm OVPAA-F-INS-055A RAW SC'!CO42/'Midterm OVPAA-F-INS-055A RAW SC'!CO$17*100)</f>
        <v/>
      </c>
      <c r="CT42" s="133" t="str">
        <f>IF('Midterm OVPAA-F-INS-055A RAW SC'!CP42="","",'Midterm OVPAA-F-INS-055A RAW SC'!CP42/'Midterm OVPAA-F-INS-055A RAW SC'!CP$17*100)</f>
        <v/>
      </c>
      <c r="CU42" s="133" t="str">
        <f>IF('Midterm OVPAA-F-INS-055A RAW SC'!CQ42="","",'Midterm OVPAA-F-INS-055A RAW SC'!CQ42/'Midterm OVPAA-F-INS-055A RAW SC'!CQ$17*100)</f>
        <v/>
      </c>
      <c r="CV42" s="133" t="str">
        <f>IF('Midterm OVPAA-F-INS-055A RAW SC'!CR42="","",'Midterm OVPAA-F-INS-055A RAW SC'!CR42/'Midterm OVPAA-F-INS-055A RAW SC'!CR$17*100)</f>
        <v/>
      </c>
      <c r="CW42" s="133" t="str">
        <f>IF('Midterm OVPAA-F-INS-055A RAW SC'!CS42="","",'Midterm OVPAA-F-INS-055A RAW SC'!CS42/'Midterm OVPAA-F-INS-055A RAW SC'!CS$17*100)</f>
        <v/>
      </c>
      <c r="CX42" s="133" t="str">
        <f>IF('Midterm OVPAA-F-INS-055A RAW SC'!CT42="","",'Midterm OVPAA-F-INS-055A RAW SC'!CT42/'Midterm OVPAA-F-INS-055A RAW SC'!CT$17*100)</f>
        <v/>
      </c>
      <c r="CY42" s="133" t="str">
        <f>IF('Midterm OVPAA-F-INS-055A RAW SC'!CU42="","",'Midterm OVPAA-F-INS-055A RAW SC'!CU42/'Midterm OVPAA-F-INS-055A RAW SC'!CU$17*100)</f>
        <v/>
      </c>
      <c r="CZ42" s="133" t="str">
        <f>IF('Midterm OVPAA-F-INS-055A RAW SC'!CV42="","",'Midterm OVPAA-F-INS-055A RAW SC'!CV42/'Midterm OVPAA-F-INS-055A RAW SC'!CV$17*100)</f>
        <v/>
      </c>
      <c r="DA42" s="133" t="str">
        <f>IF('Midterm OVPAA-F-INS-055A RAW SC'!CW42="","",'Midterm OVPAA-F-INS-055A RAW SC'!CW42/'Midterm OVPAA-F-INS-055A RAW SC'!CW$17*100)</f>
        <v/>
      </c>
      <c r="DB42" s="133" t="str">
        <f>IF('Midterm OVPAA-F-INS-055A RAW SC'!CX42="","",'Midterm OVPAA-F-INS-055A RAW SC'!CX42/'Midterm OVPAA-F-INS-055A RAW SC'!CX$17*100)</f>
        <v/>
      </c>
      <c r="DC42" s="134" t="str">
        <f t="array" ref="DC42">IF('Midterm OVPAA-F-INS-055A RAW SC'!$G42="","",IF((SUMPRODUCT(--ISBLANK('Midterm OVPAA-F-INS-055A RAW SC'!CO42:CX42))=COLUMNS('Midterm OVPAA-F-INS-055A RAW SC'!CO42:CX42))=TRUE,"",(((COUNTA('Midterm OVPAA-F-INS-055A RAW SC'!$CO$17:$CX$17)+COUNTBLANK('Midterm OVPAA-F-INS-055A RAW SC'!CO42:CX42))-COLUMNS('Midterm OVPAA-F-INS-055A RAW SC'!CO42:CX42))*5+SUM(CS42:DB42))/COUNTA('Midterm OVPAA-F-INS-055A RAW SC'!$CO$17:$CX$17)))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37" t="str">
        <f t="shared" si="2"/>
        <v/>
      </c>
      <c r="DG42" s="138" t="str">
        <f t="shared" si="3"/>
        <v/>
      </c>
      <c r="DH42" s="136" t="str">
        <f t="shared" si="4"/>
        <v/>
      </c>
      <c r="DI42" s="123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IF('Midterm OVPAA-F-INS-055A RAW SC'!H43="","",'Midterm OVPAA-F-INS-055A RAW SC'!H43/'Midterm OVPAA-F-INS-055A RAW SC'!H$17*100)</f>
        <v/>
      </c>
      <c r="I43" s="126" t="str">
        <f>IF('Midterm OVPAA-F-INS-055A RAW SC'!I43="","",'Midterm OVPAA-F-INS-055A RAW SC'!I43/'Midterm OVPAA-F-INS-055A RAW SC'!I$17*100)</f>
        <v/>
      </c>
      <c r="J43" s="126" t="str">
        <f>IF('Midterm OVPAA-F-INS-055A RAW SC'!J43="","",'Midterm OVPAA-F-INS-055A RAW SC'!J43/'Midterm OVPAA-F-INS-055A RAW SC'!J$17*100)</f>
        <v/>
      </c>
      <c r="K43" s="126" t="str">
        <f>IF('Midterm OVPAA-F-INS-055A RAW SC'!K43="","",'Midterm OVPAA-F-INS-055A RAW SC'!K43/'Midterm OVPAA-F-INS-055A RAW SC'!K$17*100)</f>
        <v/>
      </c>
      <c r="L43" s="126" t="str">
        <f>IF('Midterm OVPAA-F-INS-055A RAW SC'!L43="","",'Midterm OVPAA-F-INS-055A RAW SC'!L43/'Midterm OVPAA-F-INS-055A RAW SC'!L$17*100)</f>
        <v/>
      </c>
      <c r="M43" s="126" t="str">
        <f>IF('Midterm OVPAA-F-INS-055A RAW SC'!M43="","",'Midterm OVPAA-F-INS-055A RAW SC'!M43/'Midterm OVPAA-F-INS-055A RAW SC'!M$17*100)</f>
        <v/>
      </c>
      <c r="N43" s="126" t="str">
        <f>IF('Midterm OVPAA-F-INS-055A RAW SC'!N43="","",'Midterm OVPAA-F-INS-055A RAW SC'!N43/'Midterm OVPAA-F-INS-055A RAW SC'!N$17*100)</f>
        <v/>
      </c>
      <c r="O43" s="126" t="str">
        <f>IF('Midterm OVPAA-F-INS-055A RAW SC'!O43="","",'Midterm OVPAA-F-INS-055A RAW SC'!O43/'Midterm OVPAA-F-INS-055A RAW SC'!O$17*100)</f>
        <v/>
      </c>
      <c r="P43" s="126" t="str">
        <f>IF('Midterm OVPAA-F-INS-055A RAW SC'!P43="","",'Midterm OVPAA-F-INS-055A RAW SC'!P43/'Midterm OVPAA-F-INS-055A RAW SC'!P$17*100)</f>
        <v/>
      </c>
      <c r="Q43" s="126" t="str">
        <f>IF('Midterm OVPAA-F-INS-055A RAW SC'!Q43="","",'Midterm OVPAA-F-INS-055A RAW SC'!Q43/'Midterm OVPAA-F-INS-055A RAW SC'!Q$17*100)</f>
        <v/>
      </c>
      <c r="R43" s="126" t="str">
        <f>IF('Midterm OVPAA-F-INS-055A RAW SC'!R43="","",'Midterm OVPAA-F-INS-055A RAW SC'!R43/'Midterm OVPAA-F-INS-055A RAW SC'!R$17*100)</f>
        <v/>
      </c>
      <c r="S43" s="126" t="str">
        <f>IF('Midterm OVPAA-F-INS-055A RAW SC'!S43="","",'Midterm OVPAA-F-INS-055A RAW SC'!S43/'Midterm OVPAA-F-INS-055A RAW SC'!S$17*100)</f>
        <v/>
      </c>
      <c r="T43" s="126" t="str">
        <f>IF('Midterm OVPAA-F-INS-055A RAW SC'!T43="","",'Midterm OVPAA-F-INS-055A RAW SC'!T43/'Midterm OVPAA-F-INS-055A RAW SC'!T$17*100)</f>
        <v/>
      </c>
      <c r="U43" s="126" t="str">
        <f>IF('Midterm OVPAA-F-INS-055A RAW SC'!U43="","",'Midterm OVPAA-F-INS-055A RAW SC'!U43/'Midterm OVPAA-F-INS-055A RAW SC'!U$17*100)</f>
        <v/>
      </c>
      <c r="V43" s="126" t="str">
        <f>IF('Midterm OVPAA-F-INS-055A RAW SC'!V43="","",'Midterm OVPAA-F-INS-055A RAW SC'!V43/'Midterm OVPAA-F-INS-055A RAW SC'!V$17*100)</f>
        <v/>
      </c>
      <c r="W43" s="126" t="str">
        <f>IF('Midterm OVPAA-F-INS-055A RAW SC'!W43="","",'Midterm OVPAA-F-INS-055A RAW SC'!W43/'Midterm OVPAA-F-INS-055A RAW SC'!W$17*100)</f>
        <v/>
      </c>
      <c r="X43" s="126" t="str">
        <f>IF('Midterm OVPAA-F-INS-055A RAW SC'!X43="","",'Midterm OVPAA-F-INS-055A RAW SC'!X43/'Midterm OVPAA-F-INS-055A RAW SC'!X$17*100)</f>
        <v/>
      </c>
      <c r="Y43" s="126" t="str">
        <f>IF('Midterm OVPAA-F-INS-055A RAW SC'!Y43="","",'Midterm OVPAA-F-INS-055A RAW SC'!Y43/'Midterm OVPAA-F-INS-055A RAW SC'!Y$17*100)</f>
        <v/>
      </c>
      <c r="Z43" s="126" t="str">
        <f>IF('Midterm OVPAA-F-INS-055A RAW SC'!Z43="","",'Midterm OVPAA-F-INS-055A RAW SC'!Z43/'Midterm OVPAA-F-INS-055A RAW SC'!Z$17*100)</f>
        <v/>
      </c>
      <c r="AA43" s="126" t="str">
        <f>IF('Midterm OVPAA-F-INS-055A RAW SC'!AA43="","",'Midterm OVPAA-F-INS-055A RAW SC'!AA43/'Midterm OVPAA-F-INS-055A RAW SC'!AA$17*100)</f>
        <v/>
      </c>
      <c r="AB43" s="126" t="str">
        <f>IF('Midterm OVPAA-F-INS-055A RAW SC'!AB43="","",'Midterm OVPAA-F-INS-055A RAW SC'!AB43/'Midterm OVPAA-F-INS-055A RAW SC'!AB$17*100)</f>
        <v/>
      </c>
      <c r="AC43" s="126" t="str">
        <f>IF('Midterm OVPAA-F-INS-055A RAW SC'!AC43="","",'Midterm OVPAA-F-INS-055A RAW SC'!AC43/'Midterm OVPAA-F-INS-055A RAW SC'!AC$17*100)</f>
        <v/>
      </c>
      <c r="AD43" s="126" t="str">
        <f>IF('Midterm OVPAA-F-INS-055A RAW SC'!AD43="","",'Midterm OVPAA-F-INS-055A RAW SC'!AD43/'Midterm OVPAA-F-INS-055A RAW SC'!AD$17*100)</f>
        <v/>
      </c>
      <c r="AE43" s="126" t="str">
        <f>IF('Midterm OVPAA-F-INS-055A RAW SC'!AE43="","",'Midterm OVPAA-F-INS-055A RAW SC'!AE43/'Midterm OVPAA-F-INS-055A RAW SC'!AE$17*100)</f>
        <v/>
      </c>
      <c r="AF43" s="126" t="str">
        <f>IF('Midterm OVPAA-F-INS-055A RAW SC'!AF43="","",'Midterm OVPAA-F-INS-055A RAW SC'!AF43/'Midterm OVPAA-F-INS-055A RAW SC'!AF$17*100)</f>
        <v/>
      </c>
      <c r="AG43" s="126" t="str">
        <f>IF('Midterm OVPAA-F-INS-055A RAW SC'!AG43="","",'Midterm OVPAA-F-INS-055A RAW SC'!AG43/'Midterm OVPAA-F-INS-055A RAW SC'!AG$17*100)</f>
        <v/>
      </c>
      <c r="AH43" s="126" t="str">
        <f>IF('Midterm OVPAA-F-INS-055A RAW SC'!AH43="","",'Midterm OVPAA-F-INS-055A RAW SC'!AH43/'Midterm OVPAA-F-INS-055A RAW SC'!AH$17*100)</f>
        <v/>
      </c>
      <c r="AI43" s="126" t="str">
        <f>IF('Midterm OVPAA-F-INS-055A RAW SC'!AI43="","",'Midterm OVPAA-F-INS-055A RAW SC'!AI43/'Midterm OVPAA-F-INS-055A RAW SC'!AI$17*100)</f>
        <v/>
      </c>
      <c r="AJ43" s="126" t="str">
        <f>IF('Midterm OVPAA-F-INS-055A RAW SC'!AJ43="","",'Midterm OVPAA-F-INS-055A RAW SC'!AJ43/'Midterm OVPAA-F-INS-055A RAW SC'!AJ$17*100)</f>
        <v/>
      </c>
      <c r="AK43" s="126" t="str">
        <f>IF('Midterm OVPAA-F-INS-055A RAW SC'!AK43="","",'Midterm OVPAA-F-INS-055A RAW SC'!AK43/'Midterm OVPAA-F-INS-055A RAW SC'!AK$17*100)</f>
        <v/>
      </c>
      <c r="AL43" s="126" t="str">
        <f>IF('Midterm OVPAA-F-INS-055A RAW SC'!AL43="","",'Midterm OVPAA-F-INS-055A RAW SC'!AL43/'Midterm OVPAA-F-INS-055A RAW SC'!AL$17*100)</f>
        <v/>
      </c>
      <c r="AM43" s="126" t="str">
        <f>IF('Midterm OVPAA-F-INS-055A RAW SC'!AM43="","",'Midterm OVPAA-F-INS-055A RAW SC'!AM43/'Midterm OVPAA-F-INS-055A RAW SC'!AM$17*100)</f>
        <v/>
      </c>
      <c r="AN43" s="126" t="str">
        <f>IF('Midterm OVPAA-F-INS-055A RAW SC'!AN43="","",'Midterm OVPAA-F-INS-055A RAW SC'!AN43/'Midterm OVPAA-F-INS-055A RAW SC'!AN$17*100)</f>
        <v/>
      </c>
      <c r="AO43" s="126" t="str">
        <f>IF('Midterm OVPAA-F-INS-055A RAW SC'!AO43="","",'Midterm OVPAA-F-INS-055A RAW SC'!AO43/'Midterm OVPAA-F-INS-055A RAW SC'!AO$17*100)</f>
        <v/>
      </c>
      <c r="AP43" s="126" t="str">
        <f>IF('Midterm OVPAA-F-INS-055A RAW SC'!AP43="","",'Midterm OVPAA-F-INS-055A RAW SC'!AP43/'Midterm OVPAA-F-INS-055A RAW SC'!AP$17*100)</f>
        <v/>
      </c>
      <c r="AQ43" s="126" t="str">
        <f>IF('Midterm OVPAA-F-INS-055A RAW SC'!AQ43="","",'Midterm OVPAA-F-INS-055A RAW SC'!AQ43/'Midterm OVPAA-F-INS-055A RAW SC'!AQ$17*100)</f>
        <v/>
      </c>
      <c r="AR43" s="126" t="str">
        <f>IF('Midterm OVPAA-F-INS-055A RAW SC'!AR43="","",'Midterm OVPAA-F-INS-055A RAW SC'!AR43/'Midterm OVPAA-F-INS-055A RAW SC'!AR$17*100)</f>
        <v/>
      </c>
      <c r="AS43" s="126" t="str">
        <f>IF('Midterm OVPAA-F-INS-055A RAW SC'!AS43="","",'Midterm OVPAA-F-INS-055A RAW SC'!AS43/'Midterm OVPAA-F-INS-055A RAW SC'!AS$17*100)</f>
        <v/>
      </c>
      <c r="AT43" s="126" t="str">
        <f>IF('Midterm OVPAA-F-INS-055A RAW SC'!AT43="","",'Midterm OVPAA-F-INS-055A RAW SC'!AT43/'Midterm OVPAA-F-INS-055A RAW SC'!AT$17*100)</f>
        <v/>
      </c>
      <c r="AU43" s="126" t="str">
        <f>IF('Midterm OVPAA-F-INS-055A RAW SC'!AU43="","",'Midterm OVPAA-F-INS-055A RAW SC'!AU43/'Midterm OVPAA-F-INS-055A RAW SC'!AU$17*100)</f>
        <v/>
      </c>
      <c r="AV43" s="126" t="str">
        <f>IF('Midterm OVPAA-F-INS-055A RAW SC'!AV43="","",'Midterm OVPAA-F-INS-055A RAW SC'!AV43/'Midterm OVPAA-F-INS-055A RAW SC'!AV$17*100)</f>
        <v/>
      </c>
      <c r="AW43" s="126" t="str">
        <f>IF('Midterm OVPAA-F-INS-055A RAW SC'!AW43="","",'Midterm OVPAA-F-INS-055A RAW SC'!AW43/'Midterm OVPAA-F-INS-055A RAW SC'!AW$17*100)</f>
        <v/>
      </c>
      <c r="AX43" s="126" t="str">
        <f>IF('Midterm OVPAA-F-INS-055A RAW SC'!AX43="","",'Midterm OVPAA-F-INS-055A RAW SC'!AX43/'Midterm OVPAA-F-INS-055A RAW SC'!AX$17*100)</f>
        <v/>
      </c>
      <c r="AY43" s="126" t="str">
        <f>IF('Midterm OVPAA-F-INS-055A RAW SC'!AY43="","",'Midterm OVPAA-F-INS-055A RAW SC'!AY43/'Midterm OVPAA-F-INS-055A RAW SC'!AY$17*100)</f>
        <v/>
      </c>
      <c r="AZ43" s="126" t="str">
        <f>IF('Midterm OVPAA-F-INS-055A RAW SC'!AZ43="","",'Midterm OVPAA-F-INS-055A RAW SC'!AZ43/'Midterm OVPAA-F-INS-055A RAW SC'!AZ$17*100)</f>
        <v/>
      </c>
      <c r="BA43" s="126" t="str">
        <f>IF('Midterm OVPAA-F-INS-055A RAW SC'!BA43="","",'Midterm OVPAA-F-INS-055A RAW SC'!BA43/'Midterm OVPAA-F-INS-055A RAW SC'!BA$17*100)</f>
        <v/>
      </c>
      <c r="BB43" s="126" t="str">
        <f>IF('Midterm OVPAA-F-INS-055A RAW SC'!BB43="","",'Midterm OVPAA-F-INS-055A RAW SC'!BB43/'Midterm OVPAA-F-INS-055A RAW SC'!BB$17*100)</f>
        <v/>
      </c>
      <c r="BC43" s="126" t="str">
        <f>IF('Midterm OVPAA-F-INS-055A RAW SC'!BC43="","",'Midterm OVPAA-F-INS-055A RAW SC'!BC43/'Midterm OVPAA-F-INS-055A RAW SC'!BC$17*100)</f>
        <v/>
      </c>
      <c r="BD43" s="126" t="str">
        <f>IF('Midterm OVPAA-F-INS-055A RAW SC'!BD43="","",'Midterm OVPAA-F-INS-055A RAW SC'!BD43/'Midterm OVPAA-F-INS-055A RAW SC'!BD$17*100)</f>
        <v/>
      </c>
      <c r="BE43" s="126" t="str">
        <f>IF('Midterm OVPAA-F-INS-055A RAW SC'!BE43="","",'Midterm OVPAA-F-INS-055A RAW SC'!BE43/'Midterm OVPAA-F-INS-055A RAW SC'!BE$17*100)</f>
        <v/>
      </c>
      <c r="BF43" s="126" t="str">
        <f>IF('Midterm OVPAA-F-INS-055A RAW SC'!BF43="","",'Midterm OVPAA-F-INS-055A RAW SC'!BF43/'Midterm OVPAA-F-INS-055A RAW SC'!BF$17*100)</f>
        <v/>
      </c>
      <c r="BG43" s="126" t="str">
        <f>IF('Midterm OVPAA-F-INS-055A RAW SC'!BG43="","",'Midterm OVPAA-F-INS-055A RAW SC'!BG43/'Midterm OVPAA-F-INS-055A RAW SC'!BG$17*100)</f>
        <v/>
      </c>
      <c r="BH43" s="126" t="str">
        <f>IF('Midterm OVPAA-F-INS-055A RAW SC'!BH43="","",'Midterm OVPAA-F-INS-055A RAW SC'!BH43/'Midterm OVPAA-F-INS-055A RAW SC'!BH$17*100)</f>
        <v/>
      </c>
      <c r="BI43" s="126" t="str">
        <f>IF('Midterm OVPAA-F-INS-055A RAW SC'!BI43="","",'Midterm OVPAA-F-INS-055A RAW SC'!BI43/'Midterm OVPAA-F-INS-055A RAW SC'!BI$17*100)</f>
        <v/>
      </c>
      <c r="BJ43" s="126" t="str">
        <f>IF('Midterm OVPAA-F-INS-055A RAW SC'!BJ43="","",'Midterm OVPAA-F-INS-055A RAW SC'!BJ43/'Midterm OVPAA-F-INS-055A RAW SC'!BJ$17*100)</f>
        <v/>
      </c>
      <c r="BK43" s="126" t="str">
        <f>IF('Midterm OVPAA-F-INS-055A RAW SC'!BK43="","",'Midterm OVPAA-F-INS-055A RAW SC'!BK43/'Midterm OVPAA-F-INS-055A RAW SC'!BK$17*100)</f>
        <v/>
      </c>
      <c r="BL43" s="126" t="str">
        <f>IF('Midterm OVPAA-F-INS-055A RAW SC'!BL43="","",'Midterm OVPAA-F-INS-055A RAW SC'!BL43/'Midterm OVPAA-F-INS-055A RAW SC'!BL$17*100)</f>
        <v/>
      </c>
      <c r="BM43" s="126" t="str">
        <f>IF('Midterm OVPAA-F-INS-055A RAW SC'!BM43="","",'Midterm OVPAA-F-INS-055A RAW SC'!BM43/'Midterm OVPAA-F-INS-055A RAW SC'!BM$17*100)</f>
        <v/>
      </c>
      <c r="BN43" s="126" t="str">
        <f>IF('Midterm OVPAA-F-INS-055A RAW SC'!BN43="","",'Midterm OVPAA-F-INS-055A RAW SC'!BN43/'Midterm OVPAA-F-INS-055A RAW SC'!BN$17*100)</f>
        <v/>
      </c>
      <c r="BO43" s="126" t="str">
        <f>IF('Midterm OVPAA-F-INS-055A RAW SC'!BO43="","",'Midterm OVPAA-F-INS-055A RAW SC'!BO43/'Midterm OVPAA-F-INS-055A RAW SC'!BO$17*100)</f>
        <v/>
      </c>
      <c r="BP43" s="126" t="str">
        <f>IF('Midterm OVPAA-F-INS-055A RAW SC'!BP43="","",'Midterm OVPAA-F-INS-055A RAW SC'!BP43/'Midterm OVPAA-F-INS-055A RAW SC'!BP$17*100)</f>
        <v/>
      </c>
      <c r="BQ43" s="126" t="str">
        <f>IF('Midterm OVPAA-F-INS-055A RAW SC'!BQ43="","",'Midterm OVPAA-F-INS-055A RAW SC'!BQ43/'Midterm OVPAA-F-INS-055A RAW SC'!BQ$17*100)</f>
        <v/>
      </c>
      <c r="BR43" s="126" t="str">
        <f>IF('Midterm OVPAA-F-INS-055A RAW SC'!BR43="","",'Midterm OVPAA-F-INS-055A RAW SC'!BR43/'Midterm OVPAA-F-INS-055A RAW SC'!BR$17*100)</f>
        <v/>
      </c>
      <c r="BS43" s="126" t="str">
        <f>IF('Midterm OVPAA-F-INS-055A RAW SC'!BS43="","",'Midterm OVPAA-F-INS-055A RAW SC'!BS43/'Midterm OVPAA-F-INS-055A RAW SC'!BS$17*100)</f>
        <v/>
      </c>
      <c r="BT43" s="126" t="str">
        <f>IF('Midterm OVPAA-F-INS-055A RAW SC'!BT43="","",'Midterm OVPAA-F-INS-055A RAW SC'!BT43/'Midterm OVPAA-F-INS-055A RAW SC'!BT$17*100)</f>
        <v/>
      </c>
      <c r="BU43" s="127" t="str">
        <f t="array" ref="BU43">IF('Midterm OVPAA-F-INS-055A RAW SC'!$G43="","",IF((SUMPRODUCT(--ISBLANK('Midterm OVPAA-F-INS-055A RAW SC'!H43:BT43))=COLUMNS('Midterm OVPAA-F-INS-055A RAW SC'!H43:BT43))=TRUE,"",(((COUNTA('Midterm OVPAA-F-INS-055A RAW SC'!$H$17:$BT$17)+COUNTBLANK('Midterm OVPAA-F-INS-055A RAW SC'!H43:BT43))-COLUMNS('Midterm OVPAA-F-INS-055A RAW SC'!H43:BT43))*5+SUM(H43:BT43))/COUNTA('Midterm OVPAA-F-INS-055A RAW SC'!$H$17:$BT$17)))</f>
        <v/>
      </c>
      <c r="BV43" s="128" t="str">
        <f>IF(BU43="","",VLOOKUP(BU43,IF('Midterm OVPAA-F-INS-055A RAW SC'!$V$12=0.5,TRANSMUTATION!$C$4:$D$17,TRANSMUTATION!$G$4:$H$17),2,TRUE))</f>
        <v/>
      </c>
      <c r="BW43" s="129" t="str">
        <f>IF('Midterm OVPAA-F-INS-055A RAW SC'!BU43="","",'Midterm OVPAA-F-INS-055A RAW SC'!BU43/'Midterm OVPAA-F-INS-055A RAW SC'!BU$17*100)</f>
        <v/>
      </c>
      <c r="BX43" s="130" t="str">
        <f>IF('Midterm OVPAA-F-INS-055A RAW SC'!BV43="","",'Midterm OVPAA-F-INS-055A RAW SC'!BV43/'Midterm OVPAA-F-INS-055A RAW SC'!BV$17*100)</f>
        <v/>
      </c>
      <c r="BY43" s="130" t="str">
        <f>IF('Midterm OVPAA-F-INS-055A RAW SC'!BW43="","",'Midterm OVPAA-F-INS-055A RAW SC'!BW43/'Midterm OVPAA-F-INS-055A RAW SC'!BW$17*100)</f>
        <v/>
      </c>
      <c r="BZ43" s="130" t="str">
        <f>IF('Midterm OVPAA-F-INS-055A RAW SC'!BX43="","",'Midterm OVPAA-F-INS-055A RAW SC'!BX43/'Midterm OVPAA-F-INS-055A RAW SC'!BX$17*100)</f>
        <v/>
      </c>
      <c r="CA43" s="130" t="str">
        <f>IF('Midterm OVPAA-F-INS-055A RAW SC'!BY43="","",'Midterm OVPAA-F-INS-055A RAW SC'!BY43/'Midterm OVPAA-F-INS-055A RAW SC'!BY$17*100)</f>
        <v/>
      </c>
      <c r="CB43" s="130" t="str">
        <f>IF('Midterm OVPAA-F-INS-055A RAW SC'!BZ43="","",'Midterm OVPAA-F-INS-055A RAW SC'!BZ43/'Midterm OVPAA-F-INS-055A RAW SC'!BZ$17*100)</f>
        <v/>
      </c>
      <c r="CC43" s="130" t="str">
        <f>IF('Midterm OVPAA-F-INS-055A RAW SC'!CA43="","",'Midterm OVPAA-F-INS-055A RAW SC'!CA43/'Midterm OVPAA-F-INS-055A RAW SC'!CA$17*100)</f>
        <v/>
      </c>
      <c r="CD43" s="130" t="str">
        <f>IF('Midterm OVPAA-F-INS-055A RAW SC'!CB43="","",'Midterm OVPAA-F-INS-055A RAW SC'!CB43/'Midterm OVPAA-F-INS-055A RAW SC'!CB$17*100)</f>
        <v/>
      </c>
      <c r="CE43" s="130" t="str">
        <f>IF('Midterm OVPAA-F-INS-055A RAW SC'!CC43="","",'Midterm OVPAA-F-INS-055A RAW SC'!CC43/'Midterm OVPAA-F-INS-055A RAW SC'!CC$17*100)</f>
        <v/>
      </c>
      <c r="CF43" s="130" t="str">
        <f>IF('Midterm OVPAA-F-INS-055A RAW SC'!CD43="","",'Midterm OVPAA-F-INS-055A RAW SC'!CD43/'Midterm OVPAA-F-INS-055A RAW SC'!CD$17*100)</f>
        <v/>
      </c>
      <c r="CG43" s="130" t="str">
        <f>IF('Midterm OVPAA-F-INS-055A RAW SC'!CE43="","",'Midterm OVPAA-F-INS-055A RAW SC'!CE43/'Midterm OVPAA-F-INS-055A RAW SC'!CE$17*100)</f>
        <v/>
      </c>
      <c r="CH43" s="130" t="str">
        <f>IF('Midterm OVPAA-F-INS-055A RAW SC'!CF43="","",'Midterm OVPAA-F-INS-055A RAW SC'!CF43/'Midterm OVPAA-F-INS-055A RAW SC'!CF$17*100)</f>
        <v/>
      </c>
      <c r="CI43" s="130" t="str">
        <f>IF('Midterm OVPAA-F-INS-055A RAW SC'!CG43="","",'Midterm OVPAA-F-INS-055A RAW SC'!CG43/'Midterm OVPAA-F-INS-055A RAW SC'!CG$17*100)</f>
        <v/>
      </c>
      <c r="CJ43" s="130" t="str">
        <f>IF('Midterm OVPAA-F-INS-055A RAW SC'!CH43="","",'Midterm OVPAA-F-INS-055A RAW SC'!CH43/'Midterm OVPAA-F-INS-055A RAW SC'!CH$17*100)</f>
        <v/>
      </c>
      <c r="CK43" s="130" t="str">
        <f>IF('Midterm OVPAA-F-INS-055A RAW SC'!CI43="","",'Midterm OVPAA-F-INS-055A RAW SC'!CI43/'Midterm OVPAA-F-INS-055A RAW SC'!CI$17*100)</f>
        <v/>
      </c>
      <c r="CL43" s="130" t="str">
        <f>IF('Midterm OVPAA-F-INS-055A RAW SC'!CJ43="","",'Midterm OVPAA-F-INS-055A RAW SC'!CJ43/'Midterm OVPAA-F-INS-055A RAW SC'!CJ$17*100)</f>
        <v/>
      </c>
      <c r="CM43" s="130" t="str">
        <f>IF('Midterm OVPAA-F-INS-055A RAW SC'!CK43="","",'Midterm OVPAA-F-INS-055A RAW SC'!CK43/'Midterm OVPAA-F-INS-055A RAW SC'!CK$17*100)</f>
        <v/>
      </c>
      <c r="CN43" s="130" t="str">
        <f>IF('Midterm OVPAA-F-INS-055A RAW SC'!CL43="","",'Midterm OVPAA-F-INS-055A RAW SC'!CL43/'Midterm OVPAA-F-INS-055A RAW SC'!CL$17*100)</f>
        <v/>
      </c>
      <c r="CO43" s="130" t="str">
        <f>IF('Midterm OVPAA-F-INS-055A RAW SC'!CM43="","",'Midterm OVPAA-F-INS-055A RAW SC'!CM43/'Midterm OVPAA-F-INS-055A RAW SC'!CM$17*100)</f>
        <v/>
      </c>
      <c r="CP43" s="130" t="str">
        <f>IF('Midterm OVPAA-F-INS-055A RAW SC'!CN43="","",'Midterm OVPAA-F-INS-055A RAW SC'!CN43/'Midterm OVPAA-F-INS-055A RAW SC'!CN$17*100)</f>
        <v/>
      </c>
      <c r="CQ43" s="131" t="str">
        <f t="array" ref="CQ43">IF('Midterm OVPAA-F-INS-055A RAW SC'!G43="","",IF((SUMPRODUCT(--ISBLANK('Midterm OVPAA-F-INS-055A RAW SC'!BU43:CN43))=COLUMNS('Midterm OVPAA-F-INS-055A RAW SC'!BU43:CN43))=TRUE,"",(((COUNTA('Midterm OVPAA-F-INS-055A RAW SC'!$BU$17:$CN$17)+COUNTBLANK('Midterm OVPAA-F-INS-055A RAW SC'!BU43:CN43))-COLUMNS('Midterm OVPAA-F-INS-055A RAW SC'!BU43:CN43))*5+SUM(BW43:CP43))/COUNTA('Midterm OVPAA-F-INS-055A RAW SC'!$BU$17:$CN$17)))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IF('Midterm OVPAA-F-INS-055A RAW SC'!CO43="","",'Midterm OVPAA-F-INS-055A RAW SC'!CO43/'Midterm OVPAA-F-INS-055A RAW SC'!CO$17*100)</f>
        <v/>
      </c>
      <c r="CT43" s="133" t="str">
        <f>IF('Midterm OVPAA-F-INS-055A RAW SC'!CP43="","",'Midterm OVPAA-F-INS-055A RAW SC'!CP43/'Midterm OVPAA-F-INS-055A RAW SC'!CP$17*100)</f>
        <v/>
      </c>
      <c r="CU43" s="133" t="str">
        <f>IF('Midterm OVPAA-F-INS-055A RAW SC'!CQ43="","",'Midterm OVPAA-F-INS-055A RAW SC'!CQ43/'Midterm OVPAA-F-INS-055A RAW SC'!CQ$17*100)</f>
        <v/>
      </c>
      <c r="CV43" s="133" t="str">
        <f>IF('Midterm OVPAA-F-INS-055A RAW SC'!CR43="","",'Midterm OVPAA-F-INS-055A RAW SC'!CR43/'Midterm OVPAA-F-INS-055A RAW SC'!CR$17*100)</f>
        <v/>
      </c>
      <c r="CW43" s="133" t="str">
        <f>IF('Midterm OVPAA-F-INS-055A RAW SC'!CS43="","",'Midterm OVPAA-F-INS-055A RAW SC'!CS43/'Midterm OVPAA-F-INS-055A RAW SC'!CS$17*100)</f>
        <v/>
      </c>
      <c r="CX43" s="133" t="str">
        <f>IF('Midterm OVPAA-F-INS-055A RAW SC'!CT43="","",'Midterm OVPAA-F-INS-055A RAW SC'!CT43/'Midterm OVPAA-F-INS-055A RAW SC'!CT$17*100)</f>
        <v/>
      </c>
      <c r="CY43" s="133" t="str">
        <f>IF('Midterm OVPAA-F-INS-055A RAW SC'!CU43="","",'Midterm OVPAA-F-INS-055A RAW SC'!CU43/'Midterm OVPAA-F-INS-055A RAW SC'!CU$17*100)</f>
        <v/>
      </c>
      <c r="CZ43" s="133" t="str">
        <f>IF('Midterm OVPAA-F-INS-055A RAW SC'!CV43="","",'Midterm OVPAA-F-INS-055A RAW SC'!CV43/'Midterm OVPAA-F-INS-055A RAW SC'!CV$17*100)</f>
        <v/>
      </c>
      <c r="DA43" s="133" t="str">
        <f>IF('Midterm OVPAA-F-INS-055A RAW SC'!CW43="","",'Midterm OVPAA-F-INS-055A RAW SC'!CW43/'Midterm OVPAA-F-INS-055A RAW SC'!CW$17*100)</f>
        <v/>
      </c>
      <c r="DB43" s="133" t="str">
        <f>IF('Midterm OVPAA-F-INS-055A RAW SC'!CX43="","",'Midterm OVPAA-F-INS-055A RAW SC'!CX43/'Midterm OVPAA-F-INS-055A RAW SC'!CX$17*100)</f>
        <v/>
      </c>
      <c r="DC43" s="134" t="str">
        <f t="array" ref="DC43">IF('Midterm OVPAA-F-INS-055A RAW SC'!$G43="","",IF((SUMPRODUCT(--ISBLANK('Midterm OVPAA-F-INS-055A RAW SC'!CO43:CX43))=COLUMNS('Midterm OVPAA-F-INS-055A RAW SC'!CO43:CX43))=TRUE,"",(((COUNTA('Midterm OVPAA-F-INS-055A RAW SC'!$CO$17:$CX$17)+COUNTBLANK('Midterm OVPAA-F-INS-055A RAW SC'!CO43:CX43))-COLUMNS('Midterm OVPAA-F-INS-055A RAW SC'!CO43:CX43))*5+SUM(CS43:DB43))/COUNTA('Midterm OVPAA-F-INS-055A RAW SC'!$CO$17:$CX$17)))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37" t="str">
        <f t="shared" si="2"/>
        <v/>
      </c>
      <c r="DG43" s="138" t="str">
        <f t="shared" si="3"/>
        <v/>
      </c>
      <c r="DH43" s="136" t="str">
        <f t="shared" si="4"/>
        <v/>
      </c>
      <c r="DI43" s="123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IF('Midterm OVPAA-F-INS-055A RAW SC'!H44="","",'Midterm OVPAA-F-INS-055A RAW SC'!H44/'Midterm OVPAA-F-INS-055A RAW SC'!H$17*100)</f>
        <v/>
      </c>
      <c r="I44" s="126" t="str">
        <f>IF('Midterm OVPAA-F-INS-055A RAW SC'!I44="","",'Midterm OVPAA-F-INS-055A RAW SC'!I44/'Midterm OVPAA-F-INS-055A RAW SC'!I$17*100)</f>
        <v/>
      </c>
      <c r="J44" s="126" t="str">
        <f>IF('Midterm OVPAA-F-INS-055A RAW SC'!J44="","",'Midterm OVPAA-F-INS-055A RAW SC'!J44/'Midterm OVPAA-F-INS-055A RAW SC'!J$17*100)</f>
        <v/>
      </c>
      <c r="K44" s="126" t="str">
        <f>IF('Midterm OVPAA-F-INS-055A RAW SC'!K44="","",'Midterm OVPAA-F-INS-055A RAW SC'!K44/'Midterm OVPAA-F-INS-055A RAW SC'!K$17*100)</f>
        <v/>
      </c>
      <c r="L44" s="126" t="str">
        <f>IF('Midterm OVPAA-F-INS-055A RAW SC'!L44="","",'Midterm OVPAA-F-INS-055A RAW SC'!L44/'Midterm OVPAA-F-INS-055A RAW SC'!L$17*100)</f>
        <v/>
      </c>
      <c r="M44" s="126" t="str">
        <f>IF('Midterm OVPAA-F-INS-055A RAW SC'!M44="","",'Midterm OVPAA-F-INS-055A RAW SC'!M44/'Midterm OVPAA-F-INS-055A RAW SC'!M$17*100)</f>
        <v/>
      </c>
      <c r="N44" s="126" t="str">
        <f>IF('Midterm OVPAA-F-INS-055A RAW SC'!N44="","",'Midterm OVPAA-F-INS-055A RAW SC'!N44/'Midterm OVPAA-F-INS-055A RAW SC'!N$17*100)</f>
        <v/>
      </c>
      <c r="O44" s="126" t="str">
        <f>IF('Midterm OVPAA-F-INS-055A RAW SC'!O44="","",'Midterm OVPAA-F-INS-055A RAW SC'!O44/'Midterm OVPAA-F-INS-055A RAW SC'!O$17*100)</f>
        <v/>
      </c>
      <c r="P44" s="126" t="str">
        <f>IF('Midterm OVPAA-F-INS-055A RAW SC'!P44="","",'Midterm OVPAA-F-INS-055A RAW SC'!P44/'Midterm OVPAA-F-INS-055A RAW SC'!P$17*100)</f>
        <v/>
      </c>
      <c r="Q44" s="126" t="str">
        <f>IF('Midterm OVPAA-F-INS-055A RAW SC'!Q44="","",'Midterm OVPAA-F-INS-055A RAW SC'!Q44/'Midterm OVPAA-F-INS-055A RAW SC'!Q$17*100)</f>
        <v/>
      </c>
      <c r="R44" s="126" t="str">
        <f>IF('Midterm OVPAA-F-INS-055A RAW SC'!R44="","",'Midterm OVPAA-F-INS-055A RAW SC'!R44/'Midterm OVPAA-F-INS-055A RAW SC'!R$17*100)</f>
        <v/>
      </c>
      <c r="S44" s="126" t="str">
        <f>IF('Midterm OVPAA-F-INS-055A RAW SC'!S44="","",'Midterm OVPAA-F-INS-055A RAW SC'!S44/'Midterm OVPAA-F-INS-055A RAW SC'!S$17*100)</f>
        <v/>
      </c>
      <c r="T44" s="126" t="str">
        <f>IF('Midterm OVPAA-F-INS-055A RAW SC'!T44="","",'Midterm OVPAA-F-INS-055A RAW SC'!T44/'Midterm OVPAA-F-INS-055A RAW SC'!T$17*100)</f>
        <v/>
      </c>
      <c r="U44" s="126" t="str">
        <f>IF('Midterm OVPAA-F-INS-055A RAW SC'!U44="","",'Midterm OVPAA-F-INS-055A RAW SC'!U44/'Midterm OVPAA-F-INS-055A RAW SC'!U$17*100)</f>
        <v/>
      </c>
      <c r="V44" s="126" t="str">
        <f>IF('Midterm OVPAA-F-INS-055A RAW SC'!V44="","",'Midterm OVPAA-F-INS-055A RAW SC'!V44/'Midterm OVPAA-F-INS-055A RAW SC'!V$17*100)</f>
        <v/>
      </c>
      <c r="W44" s="126" t="str">
        <f>IF('Midterm OVPAA-F-INS-055A RAW SC'!W44="","",'Midterm OVPAA-F-INS-055A RAW SC'!W44/'Midterm OVPAA-F-INS-055A RAW SC'!W$17*100)</f>
        <v/>
      </c>
      <c r="X44" s="126" t="str">
        <f>IF('Midterm OVPAA-F-INS-055A RAW SC'!X44="","",'Midterm OVPAA-F-INS-055A RAW SC'!X44/'Midterm OVPAA-F-INS-055A RAW SC'!X$17*100)</f>
        <v/>
      </c>
      <c r="Y44" s="126" t="str">
        <f>IF('Midterm OVPAA-F-INS-055A RAW SC'!Y44="","",'Midterm OVPAA-F-INS-055A RAW SC'!Y44/'Midterm OVPAA-F-INS-055A RAW SC'!Y$17*100)</f>
        <v/>
      </c>
      <c r="Z44" s="126" t="str">
        <f>IF('Midterm OVPAA-F-INS-055A RAW SC'!Z44="","",'Midterm OVPAA-F-INS-055A RAW SC'!Z44/'Midterm OVPAA-F-INS-055A RAW SC'!Z$17*100)</f>
        <v/>
      </c>
      <c r="AA44" s="126" t="str">
        <f>IF('Midterm OVPAA-F-INS-055A RAW SC'!AA44="","",'Midterm OVPAA-F-INS-055A RAW SC'!AA44/'Midterm OVPAA-F-INS-055A RAW SC'!AA$17*100)</f>
        <v/>
      </c>
      <c r="AB44" s="126" t="str">
        <f>IF('Midterm OVPAA-F-INS-055A RAW SC'!AB44="","",'Midterm OVPAA-F-INS-055A RAW SC'!AB44/'Midterm OVPAA-F-INS-055A RAW SC'!AB$17*100)</f>
        <v/>
      </c>
      <c r="AC44" s="126" t="str">
        <f>IF('Midterm OVPAA-F-INS-055A RAW SC'!AC44="","",'Midterm OVPAA-F-INS-055A RAW SC'!AC44/'Midterm OVPAA-F-INS-055A RAW SC'!AC$17*100)</f>
        <v/>
      </c>
      <c r="AD44" s="126" t="str">
        <f>IF('Midterm OVPAA-F-INS-055A RAW SC'!AD44="","",'Midterm OVPAA-F-INS-055A RAW SC'!AD44/'Midterm OVPAA-F-INS-055A RAW SC'!AD$17*100)</f>
        <v/>
      </c>
      <c r="AE44" s="126" t="str">
        <f>IF('Midterm OVPAA-F-INS-055A RAW SC'!AE44="","",'Midterm OVPAA-F-INS-055A RAW SC'!AE44/'Midterm OVPAA-F-INS-055A RAW SC'!AE$17*100)</f>
        <v/>
      </c>
      <c r="AF44" s="126" t="str">
        <f>IF('Midterm OVPAA-F-INS-055A RAW SC'!AF44="","",'Midterm OVPAA-F-INS-055A RAW SC'!AF44/'Midterm OVPAA-F-INS-055A RAW SC'!AF$17*100)</f>
        <v/>
      </c>
      <c r="AG44" s="126" t="str">
        <f>IF('Midterm OVPAA-F-INS-055A RAW SC'!AG44="","",'Midterm OVPAA-F-INS-055A RAW SC'!AG44/'Midterm OVPAA-F-INS-055A RAW SC'!AG$17*100)</f>
        <v/>
      </c>
      <c r="AH44" s="126" t="str">
        <f>IF('Midterm OVPAA-F-INS-055A RAW SC'!AH44="","",'Midterm OVPAA-F-INS-055A RAW SC'!AH44/'Midterm OVPAA-F-INS-055A RAW SC'!AH$17*100)</f>
        <v/>
      </c>
      <c r="AI44" s="126" t="str">
        <f>IF('Midterm OVPAA-F-INS-055A RAW SC'!AI44="","",'Midterm OVPAA-F-INS-055A RAW SC'!AI44/'Midterm OVPAA-F-INS-055A RAW SC'!AI$17*100)</f>
        <v/>
      </c>
      <c r="AJ44" s="126" t="str">
        <f>IF('Midterm OVPAA-F-INS-055A RAW SC'!AJ44="","",'Midterm OVPAA-F-INS-055A RAW SC'!AJ44/'Midterm OVPAA-F-INS-055A RAW SC'!AJ$17*100)</f>
        <v/>
      </c>
      <c r="AK44" s="126" t="str">
        <f>IF('Midterm OVPAA-F-INS-055A RAW SC'!AK44="","",'Midterm OVPAA-F-INS-055A RAW SC'!AK44/'Midterm OVPAA-F-INS-055A RAW SC'!AK$17*100)</f>
        <v/>
      </c>
      <c r="AL44" s="126" t="str">
        <f>IF('Midterm OVPAA-F-INS-055A RAW SC'!AL44="","",'Midterm OVPAA-F-INS-055A RAW SC'!AL44/'Midterm OVPAA-F-INS-055A RAW SC'!AL$17*100)</f>
        <v/>
      </c>
      <c r="AM44" s="126" t="str">
        <f>IF('Midterm OVPAA-F-INS-055A RAW SC'!AM44="","",'Midterm OVPAA-F-INS-055A RAW SC'!AM44/'Midterm OVPAA-F-INS-055A RAW SC'!AM$17*100)</f>
        <v/>
      </c>
      <c r="AN44" s="126" t="str">
        <f>IF('Midterm OVPAA-F-INS-055A RAW SC'!AN44="","",'Midterm OVPAA-F-INS-055A RAW SC'!AN44/'Midterm OVPAA-F-INS-055A RAW SC'!AN$17*100)</f>
        <v/>
      </c>
      <c r="AO44" s="126" t="str">
        <f>IF('Midterm OVPAA-F-INS-055A RAW SC'!AO44="","",'Midterm OVPAA-F-INS-055A RAW SC'!AO44/'Midterm OVPAA-F-INS-055A RAW SC'!AO$17*100)</f>
        <v/>
      </c>
      <c r="AP44" s="126" t="str">
        <f>IF('Midterm OVPAA-F-INS-055A RAW SC'!AP44="","",'Midterm OVPAA-F-INS-055A RAW SC'!AP44/'Midterm OVPAA-F-INS-055A RAW SC'!AP$17*100)</f>
        <v/>
      </c>
      <c r="AQ44" s="126" t="str">
        <f>IF('Midterm OVPAA-F-INS-055A RAW SC'!AQ44="","",'Midterm OVPAA-F-INS-055A RAW SC'!AQ44/'Midterm OVPAA-F-INS-055A RAW SC'!AQ$17*100)</f>
        <v/>
      </c>
      <c r="AR44" s="126" t="str">
        <f>IF('Midterm OVPAA-F-INS-055A RAW SC'!AR44="","",'Midterm OVPAA-F-INS-055A RAW SC'!AR44/'Midterm OVPAA-F-INS-055A RAW SC'!AR$17*100)</f>
        <v/>
      </c>
      <c r="AS44" s="126" t="str">
        <f>IF('Midterm OVPAA-F-INS-055A RAW SC'!AS44="","",'Midterm OVPAA-F-INS-055A RAW SC'!AS44/'Midterm OVPAA-F-INS-055A RAW SC'!AS$17*100)</f>
        <v/>
      </c>
      <c r="AT44" s="126" t="str">
        <f>IF('Midterm OVPAA-F-INS-055A RAW SC'!AT44="","",'Midterm OVPAA-F-INS-055A RAW SC'!AT44/'Midterm OVPAA-F-INS-055A RAW SC'!AT$17*100)</f>
        <v/>
      </c>
      <c r="AU44" s="126" t="str">
        <f>IF('Midterm OVPAA-F-INS-055A RAW SC'!AU44="","",'Midterm OVPAA-F-INS-055A RAW SC'!AU44/'Midterm OVPAA-F-INS-055A RAW SC'!AU$17*100)</f>
        <v/>
      </c>
      <c r="AV44" s="126" t="str">
        <f>IF('Midterm OVPAA-F-INS-055A RAW SC'!AV44="","",'Midterm OVPAA-F-INS-055A RAW SC'!AV44/'Midterm OVPAA-F-INS-055A RAW SC'!AV$17*100)</f>
        <v/>
      </c>
      <c r="AW44" s="126" t="str">
        <f>IF('Midterm OVPAA-F-INS-055A RAW SC'!AW44="","",'Midterm OVPAA-F-INS-055A RAW SC'!AW44/'Midterm OVPAA-F-INS-055A RAW SC'!AW$17*100)</f>
        <v/>
      </c>
      <c r="AX44" s="126" t="str">
        <f>IF('Midterm OVPAA-F-INS-055A RAW SC'!AX44="","",'Midterm OVPAA-F-INS-055A RAW SC'!AX44/'Midterm OVPAA-F-INS-055A RAW SC'!AX$17*100)</f>
        <v/>
      </c>
      <c r="AY44" s="126" t="str">
        <f>IF('Midterm OVPAA-F-INS-055A RAW SC'!AY44="","",'Midterm OVPAA-F-INS-055A RAW SC'!AY44/'Midterm OVPAA-F-INS-055A RAW SC'!AY$17*100)</f>
        <v/>
      </c>
      <c r="AZ44" s="126" t="str">
        <f>IF('Midterm OVPAA-F-INS-055A RAW SC'!AZ44="","",'Midterm OVPAA-F-INS-055A RAW SC'!AZ44/'Midterm OVPAA-F-INS-055A RAW SC'!AZ$17*100)</f>
        <v/>
      </c>
      <c r="BA44" s="126" t="str">
        <f>IF('Midterm OVPAA-F-INS-055A RAW SC'!BA44="","",'Midterm OVPAA-F-INS-055A RAW SC'!BA44/'Midterm OVPAA-F-INS-055A RAW SC'!BA$17*100)</f>
        <v/>
      </c>
      <c r="BB44" s="126" t="str">
        <f>IF('Midterm OVPAA-F-INS-055A RAW SC'!BB44="","",'Midterm OVPAA-F-INS-055A RAW SC'!BB44/'Midterm OVPAA-F-INS-055A RAW SC'!BB$17*100)</f>
        <v/>
      </c>
      <c r="BC44" s="126" t="str">
        <f>IF('Midterm OVPAA-F-INS-055A RAW SC'!BC44="","",'Midterm OVPAA-F-INS-055A RAW SC'!BC44/'Midterm OVPAA-F-INS-055A RAW SC'!BC$17*100)</f>
        <v/>
      </c>
      <c r="BD44" s="126" t="str">
        <f>IF('Midterm OVPAA-F-INS-055A RAW SC'!BD44="","",'Midterm OVPAA-F-INS-055A RAW SC'!BD44/'Midterm OVPAA-F-INS-055A RAW SC'!BD$17*100)</f>
        <v/>
      </c>
      <c r="BE44" s="126" t="str">
        <f>IF('Midterm OVPAA-F-INS-055A RAW SC'!BE44="","",'Midterm OVPAA-F-INS-055A RAW SC'!BE44/'Midterm OVPAA-F-INS-055A RAW SC'!BE$17*100)</f>
        <v/>
      </c>
      <c r="BF44" s="126" t="str">
        <f>IF('Midterm OVPAA-F-INS-055A RAW SC'!BF44="","",'Midterm OVPAA-F-INS-055A RAW SC'!BF44/'Midterm OVPAA-F-INS-055A RAW SC'!BF$17*100)</f>
        <v/>
      </c>
      <c r="BG44" s="126" t="str">
        <f>IF('Midterm OVPAA-F-INS-055A RAW SC'!BG44="","",'Midterm OVPAA-F-INS-055A RAW SC'!BG44/'Midterm OVPAA-F-INS-055A RAW SC'!BG$17*100)</f>
        <v/>
      </c>
      <c r="BH44" s="126" t="str">
        <f>IF('Midterm OVPAA-F-INS-055A RAW SC'!BH44="","",'Midterm OVPAA-F-INS-055A RAW SC'!BH44/'Midterm OVPAA-F-INS-055A RAW SC'!BH$17*100)</f>
        <v/>
      </c>
      <c r="BI44" s="126" t="str">
        <f>IF('Midterm OVPAA-F-INS-055A RAW SC'!BI44="","",'Midterm OVPAA-F-INS-055A RAW SC'!BI44/'Midterm OVPAA-F-INS-055A RAW SC'!BI$17*100)</f>
        <v/>
      </c>
      <c r="BJ44" s="126" t="str">
        <f>IF('Midterm OVPAA-F-INS-055A RAW SC'!BJ44="","",'Midterm OVPAA-F-INS-055A RAW SC'!BJ44/'Midterm OVPAA-F-INS-055A RAW SC'!BJ$17*100)</f>
        <v/>
      </c>
      <c r="BK44" s="126" t="str">
        <f>IF('Midterm OVPAA-F-INS-055A RAW SC'!BK44="","",'Midterm OVPAA-F-INS-055A RAW SC'!BK44/'Midterm OVPAA-F-INS-055A RAW SC'!BK$17*100)</f>
        <v/>
      </c>
      <c r="BL44" s="126" t="str">
        <f>IF('Midterm OVPAA-F-INS-055A RAW SC'!BL44="","",'Midterm OVPAA-F-INS-055A RAW SC'!BL44/'Midterm OVPAA-F-INS-055A RAW SC'!BL$17*100)</f>
        <v/>
      </c>
      <c r="BM44" s="126" t="str">
        <f>IF('Midterm OVPAA-F-INS-055A RAW SC'!BM44="","",'Midterm OVPAA-F-INS-055A RAW SC'!BM44/'Midterm OVPAA-F-INS-055A RAW SC'!BM$17*100)</f>
        <v/>
      </c>
      <c r="BN44" s="126" t="str">
        <f>IF('Midterm OVPAA-F-INS-055A RAW SC'!BN44="","",'Midterm OVPAA-F-INS-055A RAW SC'!BN44/'Midterm OVPAA-F-INS-055A RAW SC'!BN$17*100)</f>
        <v/>
      </c>
      <c r="BO44" s="126" t="str">
        <f>IF('Midterm OVPAA-F-INS-055A RAW SC'!BO44="","",'Midterm OVPAA-F-INS-055A RAW SC'!BO44/'Midterm OVPAA-F-INS-055A RAW SC'!BO$17*100)</f>
        <v/>
      </c>
      <c r="BP44" s="126" t="str">
        <f>IF('Midterm OVPAA-F-INS-055A RAW SC'!BP44="","",'Midterm OVPAA-F-INS-055A RAW SC'!BP44/'Midterm OVPAA-F-INS-055A RAW SC'!BP$17*100)</f>
        <v/>
      </c>
      <c r="BQ44" s="126" t="str">
        <f>IF('Midterm OVPAA-F-INS-055A RAW SC'!BQ44="","",'Midterm OVPAA-F-INS-055A RAW SC'!BQ44/'Midterm OVPAA-F-INS-055A RAW SC'!BQ$17*100)</f>
        <v/>
      </c>
      <c r="BR44" s="126" t="str">
        <f>IF('Midterm OVPAA-F-INS-055A RAW SC'!BR44="","",'Midterm OVPAA-F-INS-055A RAW SC'!BR44/'Midterm OVPAA-F-INS-055A RAW SC'!BR$17*100)</f>
        <v/>
      </c>
      <c r="BS44" s="126" t="str">
        <f>IF('Midterm OVPAA-F-INS-055A RAW SC'!BS44="","",'Midterm OVPAA-F-INS-055A RAW SC'!BS44/'Midterm OVPAA-F-INS-055A RAW SC'!BS$17*100)</f>
        <v/>
      </c>
      <c r="BT44" s="126" t="str">
        <f>IF('Midterm OVPAA-F-INS-055A RAW SC'!BT44="","",'Midterm OVPAA-F-INS-055A RAW SC'!BT44/'Midterm OVPAA-F-INS-055A RAW SC'!BT$17*100)</f>
        <v/>
      </c>
      <c r="BU44" s="127" t="str">
        <f t="array" ref="BU44">IF('Midterm OVPAA-F-INS-055A RAW SC'!$G44="","",IF((SUMPRODUCT(--ISBLANK('Midterm OVPAA-F-INS-055A RAW SC'!H44:BT44))=COLUMNS('Midterm OVPAA-F-INS-055A RAW SC'!H44:BT44))=TRUE,"",(((COUNTA('Midterm OVPAA-F-INS-055A RAW SC'!$H$17:$BT$17)+COUNTBLANK('Midterm OVPAA-F-INS-055A RAW SC'!H44:BT44))-COLUMNS('Midterm OVPAA-F-INS-055A RAW SC'!H44:BT44))*5+SUM(H44:BT44))/COUNTA('Midterm OVPAA-F-INS-055A RAW SC'!$H$17:$BT$17)))</f>
        <v/>
      </c>
      <c r="BV44" s="128" t="str">
        <f>IF(BU44="","",VLOOKUP(BU44,IF('Midterm OVPAA-F-INS-055A RAW SC'!$V$12=0.5,TRANSMUTATION!$C$4:$D$17,TRANSMUTATION!$G$4:$H$17),2,TRUE))</f>
        <v/>
      </c>
      <c r="BW44" s="129" t="str">
        <f>IF('Midterm OVPAA-F-INS-055A RAW SC'!BU44="","",'Midterm OVPAA-F-INS-055A RAW SC'!BU44/'Midterm OVPAA-F-INS-055A RAW SC'!BU$17*100)</f>
        <v/>
      </c>
      <c r="BX44" s="130" t="str">
        <f>IF('Midterm OVPAA-F-INS-055A RAW SC'!BV44="","",'Midterm OVPAA-F-INS-055A RAW SC'!BV44/'Midterm OVPAA-F-INS-055A RAW SC'!BV$17*100)</f>
        <v/>
      </c>
      <c r="BY44" s="130" t="str">
        <f>IF('Midterm OVPAA-F-INS-055A RAW SC'!BW44="","",'Midterm OVPAA-F-INS-055A RAW SC'!BW44/'Midterm OVPAA-F-INS-055A RAW SC'!BW$17*100)</f>
        <v/>
      </c>
      <c r="BZ44" s="130" t="str">
        <f>IF('Midterm OVPAA-F-INS-055A RAW SC'!BX44="","",'Midterm OVPAA-F-INS-055A RAW SC'!BX44/'Midterm OVPAA-F-INS-055A RAW SC'!BX$17*100)</f>
        <v/>
      </c>
      <c r="CA44" s="130" t="str">
        <f>IF('Midterm OVPAA-F-INS-055A RAW SC'!BY44="","",'Midterm OVPAA-F-INS-055A RAW SC'!BY44/'Midterm OVPAA-F-INS-055A RAW SC'!BY$17*100)</f>
        <v/>
      </c>
      <c r="CB44" s="130" t="str">
        <f>IF('Midterm OVPAA-F-INS-055A RAW SC'!BZ44="","",'Midterm OVPAA-F-INS-055A RAW SC'!BZ44/'Midterm OVPAA-F-INS-055A RAW SC'!BZ$17*100)</f>
        <v/>
      </c>
      <c r="CC44" s="130" t="str">
        <f>IF('Midterm OVPAA-F-INS-055A RAW SC'!CA44="","",'Midterm OVPAA-F-INS-055A RAW SC'!CA44/'Midterm OVPAA-F-INS-055A RAW SC'!CA$17*100)</f>
        <v/>
      </c>
      <c r="CD44" s="130" t="str">
        <f>IF('Midterm OVPAA-F-INS-055A RAW SC'!CB44="","",'Midterm OVPAA-F-INS-055A RAW SC'!CB44/'Midterm OVPAA-F-INS-055A RAW SC'!CB$17*100)</f>
        <v/>
      </c>
      <c r="CE44" s="130" t="str">
        <f>IF('Midterm OVPAA-F-INS-055A RAW SC'!CC44="","",'Midterm OVPAA-F-INS-055A RAW SC'!CC44/'Midterm OVPAA-F-INS-055A RAW SC'!CC$17*100)</f>
        <v/>
      </c>
      <c r="CF44" s="130" t="str">
        <f>IF('Midterm OVPAA-F-INS-055A RAW SC'!CD44="","",'Midterm OVPAA-F-INS-055A RAW SC'!CD44/'Midterm OVPAA-F-INS-055A RAW SC'!CD$17*100)</f>
        <v/>
      </c>
      <c r="CG44" s="130" t="str">
        <f>IF('Midterm OVPAA-F-INS-055A RAW SC'!CE44="","",'Midterm OVPAA-F-INS-055A RAW SC'!CE44/'Midterm OVPAA-F-INS-055A RAW SC'!CE$17*100)</f>
        <v/>
      </c>
      <c r="CH44" s="130" t="str">
        <f>IF('Midterm OVPAA-F-INS-055A RAW SC'!CF44="","",'Midterm OVPAA-F-INS-055A RAW SC'!CF44/'Midterm OVPAA-F-INS-055A RAW SC'!CF$17*100)</f>
        <v/>
      </c>
      <c r="CI44" s="130" t="str">
        <f>IF('Midterm OVPAA-F-INS-055A RAW SC'!CG44="","",'Midterm OVPAA-F-INS-055A RAW SC'!CG44/'Midterm OVPAA-F-INS-055A RAW SC'!CG$17*100)</f>
        <v/>
      </c>
      <c r="CJ44" s="130" t="str">
        <f>IF('Midterm OVPAA-F-INS-055A RAW SC'!CH44="","",'Midterm OVPAA-F-INS-055A RAW SC'!CH44/'Midterm OVPAA-F-INS-055A RAW SC'!CH$17*100)</f>
        <v/>
      </c>
      <c r="CK44" s="130" t="str">
        <f>IF('Midterm OVPAA-F-INS-055A RAW SC'!CI44="","",'Midterm OVPAA-F-INS-055A RAW SC'!CI44/'Midterm OVPAA-F-INS-055A RAW SC'!CI$17*100)</f>
        <v/>
      </c>
      <c r="CL44" s="130" t="str">
        <f>IF('Midterm OVPAA-F-INS-055A RAW SC'!CJ44="","",'Midterm OVPAA-F-INS-055A RAW SC'!CJ44/'Midterm OVPAA-F-INS-055A RAW SC'!CJ$17*100)</f>
        <v/>
      </c>
      <c r="CM44" s="130" t="str">
        <f>IF('Midterm OVPAA-F-INS-055A RAW SC'!CK44="","",'Midterm OVPAA-F-INS-055A RAW SC'!CK44/'Midterm OVPAA-F-INS-055A RAW SC'!CK$17*100)</f>
        <v/>
      </c>
      <c r="CN44" s="130" t="str">
        <f>IF('Midterm OVPAA-F-INS-055A RAW SC'!CL44="","",'Midterm OVPAA-F-INS-055A RAW SC'!CL44/'Midterm OVPAA-F-INS-055A RAW SC'!CL$17*100)</f>
        <v/>
      </c>
      <c r="CO44" s="130" t="str">
        <f>IF('Midterm OVPAA-F-INS-055A RAW SC'!CM44="","",'Midterm OVPAA-F-INS-055A RAW SC'!CM44/'Midterm OVPAA-F-INS-055A RAW SC'!CM$17*100)</f>
        <v/>
      </c>
      <c r="CP44" s="130" t="str">
        <f>IF('Midterm OVPAA-F-INS-055A RAW SC'!CN44="","",'Midterm OVPAA-F-INS-055A RAW SC'!CN44/'Midterm OVPAA-F-INS-055A RAW SC'!CN$17*100)</f>
        <v/>
      </c>
      <c r="CQ44" s="131" t="str">
        <f t="array" ref="CQ44">IF('Midterm OVPAA-F-INS-055A RAW SC'!G44="","",IF((SUMPRODUCT(--ISBLANK('Midterm OVPAA-F-INS-055A RAW SC'!BU44:CN44))=COLUMNS('Midterm OVPAA-F-INS-055A RAW SC'!BU44:CN44))=TRUE,"",(((COUNTA('Midterm OVPAA-F-INS-055A RAW SC'!$BU$17:$CN$17)+COUNTBLANK('Midterm OVPAA-F-INS-055A RAW SC'!BU44:CN44))-COLUMNS('Midterm OVPAA-F-INS-055A RAW SC'!BU44:CN44))*5+SUM(BW44:CP44))/COUNTA('Midterm OVPAA-F-INS-055A RAW SC'!$BU$17:$CN$17)))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IF('Midterm OVPAA-F-INS-055A RAW SC'!CO44="","",'Midterm OVPAA-F-INS-055A RAW SC'!CO44/'Midterm OVPAA-F-INS-055A RAW SC'!CO$17*100)</f>
        <v/>
      </c>
      <c r="CT44" s="133" t="str">
        <f>IF('Midterm OVPAA-F-INS-055A RAW SC'!CP44="","",'Midterm OVPAA-F-INS-055A RAW SC'!CP44/'Midterm OVPAA-F-INS-055A RAW SC'!CP$17*100)</f>
        <v/>
      </c>
      <c r="CU44" s="133" t="str">
        <f>IF('Midterm OVPAA-F-INS-055A RAW SC'!CQ44="","",'Midterm OVPAA-F-INS-055A RAW SC'!CQ44/'Midterm OVPAA-F-INS-055A RAW SC'!CQ$17*100)</f>
        <v/>
      </c>
      <c r="CV44" s="133" t="str">
        <f>IF('Midterm OVPAA-F-INS-055A RAW SC'!CR44="","",'Midterm OVPAA-F-INS-055A RAW SC'!CR44/'Midterm OVPAA-F-INS-055A RAW SC'!CR$17*100)</f>
        <v/>
      </c>
      <c r="CW44" s="133" t="str">
        <f>IF('Midterm OVPAA-F-INS-055A RAW SC'!CS44="","",'Midterm OVPAA-F-INS-055A RAW SC'!CS44/'Midterm OVPAA-F-INS-055A RAW SC'!CS$17*100)</f>
        <v/>
      </c>
      <c r="CX44" s="133" t="str">
        <f>IF('Midterm OVPAA-F-INS-055A RAW SC'!CT44="","",'Midterm OVPAA-F-INS-055A RAW SC'!CT44/'Midterm OVPAA-F-INS-055A RAW SC'!CT$17*100)</f>
        <v/>
      </c>
      <c r="CY44" s="133" t="str">
        <f>IF('Midterm OVPAA-F-INS-055A RAW SC'!CU44="","",'Midterm OVPAA-F-INS-055A RAW SC'!CU44/'Midterm OVPAA-F-INS-055A RAW SC'!CU$17*100)</f>
        <v/>
      </c>
      <c r="CZ44" s="133" t="str">
        <f>IF('Midterm OVPAA-F-INS-055A RAW SC'!CV44="","",'Midterm OVPAA-F-INS-055A RAW SC'!CV44/'Midterm OVPAA-F-INS-055A RAW SC'!CV$17*100)</f>
        <v/>
      </c>
      <c r="DA44" s="133" t="str">
        <f>IF('Midterm OVPAA-F-INS-055A RAW SC'!CW44="","",'Midterm OVPAA-F-INS-055A RAW SC'!CW44/'Midterm OVPAA-F-INS-055A RAW SC'!CW$17*100)</f>
        <v/>
      </c>
      <c r="DB44" s="133" t="str">
        <f>IF('Midterm OVPAA-F-INS-055A RAW SC'!CX44="","",'Midterm OVPAA-F-INS-055A RAW SC'!CX44/'Midterm OVPAA-F-INS-055A RAW SC'!CX$17*100)</f>
        <v/>
      </c>
      <c r="DC44" s="134" t="str">
        <f t="array" ref="DC44">IF('Midterm OVPAA-F-INS-055A RAW SC'!$G44="","",IF((SUMPRODUCT(--ISBLANK('Midterm OVPAA-F-INS-055A RAW SC'!CO44:CX44))=COLUMNS('Midterm OVPAA-F-INS-055A RAW SC'!CO44:CX44))=TRUE,"",(((COUNTA('Midterm OVPAA-F-INS-055A RAW SC'!$CO$17:$CX$17)+COUNTBLANK('Midterm OVPAA-F-INS-055A RAW SC'!CO44:CX44))-COLUMNS('Midterm OVPAA-F-INS-055A RAW SC'!CO44:CX44))*5+SUM(CS44:DB44))/COUNTA('Midterm OVPAA-F-INS-055A RAW SC'!$CO$17:$CX$17)))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37" t="str">
        <f t="shared" si="2"/>
        <v/>
      </c>
      <c r="DG44" s="138" t="str">
        <f t="shared" si="3"/>
        <v/>
      </c>
      <c r="DH44" s="136" t="str">
        <f t="shared" si="4"/>
        <v/>
      </c>
      <c r="DI44" s="123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IF('Midterm OVPAA-F-INS-055A RAW SC'!H45="","",'Midterm OVPAA-F-INS-055A RAW SC'!H45/'Midterm OVPAA-F-INS-055A RAW SC'!H$17*100)</f>
        <v/>
      </c>
      <c r="I45" s="126" t="str">
        <f>IF('Midterm OVPAA-F-INS-055A RAW SC'!I45="","",'Midterm OVPAA-F-INS-055A RAW SC'!I45/'Midterm OVPAA-F-INS-055A RAW SC'!I$17*100)</f>
        <v/>
      </c>
      <c r="J45" s="126" t="str">
        <f>IF('Midterm OVPAA-F-INS-055A RAW SC'!J45="","",'Midterm OVPAA-F-INS-055A RAW SC'!J45/'Midterm OVPAA-F-INS-055A RAW SC'!J$17*100)</f>
        <v/>
      </c>
      <c r="K45" s="126" t="str">
        <f>IF('Midterm OVPAA-F-INS-055A RAW SC'!K45="","",'Midterm OVPAA-F-INS-055A RAW SC'!K45/'Midterm OVPAA-F-INS-055A RAW SC'!K$17*100)</f>
        <v/>
      </c>
      <c r="L45" s="126" t="str">
        <f>IF('Midterm OVPAA-F-INS-055A RAW SC'!L45="","",'Midterm OVPAA-F-INS-055A RAW SC'!L45/'Midterm OVPAA-F-INS-055A RAW SC'!L$17*100)</f>
        <v/>
      </c>
      <c r="M45" s="126" t="str">
        <f>IF('Midterm OVPAA-F-INS-055A RAW SC'!M45="","",'Midterm OVPAA-F-INS-055A RAW SC'!M45/'Midterm OVPAA-F-INS-055A RAW SC'!M$17*100)</f>
        <v/>
      </c>
      <c r="N45" s="126" t="str">
        <f>IF('Midterm OVPAA-F-INS-055A RAW SC'!N45="","",'Midterm OVPAA-F-INS-055A RAW SC'!N45/'Midterm OVPAA-F-INS-055A RAW SC'!N$17*100)</f>
        <v/>
      </c>
      <c r="O45" s="126" t="str">
        <f>IF('Midterm OVPAA-F-INS-055A RAW SC'!O45="","",'Midterm OVPAA-F-INS-055A RAW SC'!O45/'Midterm OVPAA-F-INS-055A RAW SC'!O$17*100)</f>
        <v/>
      </c>
      <c r="P45" s="126" t="str">
        <f>IF('Midterm OVPAA-F-INS-055A RAW SC'!P45="","",'Midterm OVPAA-F-INS-055A RAW SC'!P45/'Midterm OVPAA-F-INS-055A RAW SC'!P$17*100)</f>
        <v/>
      </c>
      <c r="Q45" s="126" t="str">
        <f>IF('Midterm OVPAA-F-INS-055A RAW SC'!Q45="","",'Midterm OVPAA-F-INS-055A RAW SC'!Q45/'Midterm OVPAA-F-INS-055A RAW SC'!Q$17*100)</f>
        <v/>
      </c>
      <c r="R45" s="126" t="str">
        <f>IF('Midterm OVPAA-F-INS-055A RAW SC'!R45="","",'Midterm OVPAA-F-INS-055A RAW SC'!R45/'Midterm OVPAA-F-INS-055A RAW SC'!R$17*100)</f>
        <v/>
      </c>
      <c r="S45" s="126" t="str">
        <f>IF('Midterm OVPAA-F-INS-055A RAW SC'!S45="","",'Midterm OVPAA-F-INS-055A RAW SC'!S45/'Midterm OVPAA-F-INS-055A RAW SC'!S$17*100)</f>
        <v/>
      </c>
      <c r="T45" s="126" t="str">
        <f>IF('Midterm OVPAA-F-INS-055A RAW SC'!T45="","",'Midterm OVPAA-F-INS-055A RAW SC'!T45/'Midterm OVPAA-F-INS-055A RAW SC'!T$17*100)</f>
        <v/>
      </c>
      <c r="U45" s="126" t="str">
        <f>IF('Midterm OVPAA-F-INS-055A RAW SC'!U45="","",'Midterm OVPAA-F-INS-055A RAW SC'!U45/'Midterm OVPAA-F-INS-055A RAW SC'!U$17*100)</f>
        <v/>
      </c>
      <c r="V45" s="126" t="str">
        <f>IF('Midterm OVPAA-F-INS-055A RAW SC'!V45="","",'Midterm OVPAA-F-INS-055A RAW SC'!V45/'Midterm OVPAA-F-INS-055A RAW SC'!V$17*100)</f>
        <v/>
      </c>
      <c r="W45" s="126" t="str">
        <f>IF('Midterm OVPAA-F-INS-055A RAW SC'!W45="","",'Midterm OVPAA-F-INS-055A RAW SC'!W45/'Midterm OVPAA-F-INS-055A RAW SC'!W$17*100)</f>
        <v/>
      </c>
      <c r="X45" s="126" t="str">
        <f>IF('Midterm OVPAA-F-INS-055A RAW SC'!X45="","",'Midterm OVPAA-F-INS-055A RAW SC'!X45/'Midterm OVPAA-F-INS-055A RAW SC'!X$17*100)</f>
        <v/>
      </c>
      <c r="Y45" s="126" t="str">
        <f>IF('Midterm OVPAA-F-INS-055A RAW SC'!Y45="","",'Midterm OVPAA-F-INS-055A RAW SC'!Y45/'Midterm OVPAA-F-INS-055A RAW SC'!Y$17*100)</f>
        <v/>
      </c>
      <c r="Z45" s="126" t="str">
        <f>IF('Midterm OVPAA-F-INS-055A RAW SC'!Z45="","",'Midterm OVPAA-F-INS-055A RAW SC'!Z45/'Midterm OVPAA-F-INS-055A RAW SC'!Z$17*100)</f>
        <v/>
      </c>
      <c r="AA45" s="126" t="str">
        <f>IF('Midterm OVPAA-F-INS-055A RAW SC'!AA45="","",'Midterm OVPAA-F-INS-055A RAW SC'!AA45/'Midterm OVPAA-F-INS-055A RAW SC'!AA$17*100)</f>
        <v/>
      </c>
      <c r="AB45" s="126" t="str">
        <f>IF('Midterm OVPAA-F-INS-055A RAW SC'!AB45="","",'Midterm OVPAA-F-INS-055A RAW SC'!AB45/'Midterm OVPAA-F-INS-055A RAW SC'!AB$17*100)</f>
        <v/>
      </c>
      <c r="AC45" s="126" t="str">
        <f>IF('Midterm OVPAA-F-INS-055A RAW SC'!AC45="","",'Midterm OVPAA-F-INS-055A RAW SC'!AC45/'Midterm OVPAA-F-INS-055A RAW SC'!AC$17*100)</f>
        <v/>
      </c>
      <c r="AD45" s="126" t="str">
        <f>IF('Midterm OVPAA-F-INS-055A RAW SC'!AD45="","",'Midterm OVPAA-F-INS-055A RAW SC'!AD45/'Midterm OVPAA-F-INS-055A RAW SC'!AD$17*100)</f>
        <v/>
      </c>
      <c r="AE45" s="126" t="str">
        <f>IF('Midterm OVPAA-F-INS-055A RAW SC'!AE45="","",'Midterm OVPAA-F-INS-055A RAW SC'!AE45/'Midterm OVPAA-F-INS-055A RAW SC'!AE$17*100)</f>
        <v/>
      </c>
      <c r="AF45" s="126" t="str">
        <f>IF('Midterm OVPAA-F-INS-055A RAW SC'!AF45="","",'Midterm OVPAA-F-INS-055A RAW SC'!AF45/'Midterm OVPAA-F-INS-055A RAW SC'!AF$17*100)</f>
        <v/>
      </c>
      <c r="AG45" s="126" t="str">
        <f>IF('Midterm OVPAA-F-INS-055A RAW SC'!AG45="","",'Midterm OVPAA-F-INS-055A RAW SC'!AG45/'Midterm OVPAA-F-INS-055A RAW SC'!AG$17*100)</f>
        <v/>
      </c>
      <c r="AH45" s="126" t="str">
        <f>IF('Midterm OVPAA-F-INS-055A RAW SC'!AH45="","",'Midterm OVPAA-F-INS-055A RAW SC'!AH45/'Midterm OVPAA-F-INS-055A RAW SC'!AH$17*100)</f>
        <v/>
      </c>
      <c r="AI45" s="126" t="str">
        <f>IF('Midterm OVPAA-F-INS-055A RAW SC'!AI45="","",'Midterm OVPAA-F-INS-055A RAW SC'!AI45/'Midterm OVPAA-F-INS-055A RAW SC'!AI$17*100)</f>
        <v/>
      </c>
      <c r="AJ45" s="126" t="str">
        <f>IF('Midterm OVPAA-F-INS-055A RAW SC'!AJ45="","",'Midterm OVPAA-F-INS-055A RAW SC'!AJ45/'Midterm OVPAA-F-INS-055A RAW SC'!AJ$17*100)</f>
        <v/>
      </c>
      <c r="AK45" s="126" t="str">
        <f>IF('Midterm OVPAA-F-INS-055A RAW SC'!AK45="","",'Midterm OVPAA-F-INS-055A RAW SC'!AK45/'Midterm OVPAA-F-INS-055A RAW SC'!AK$17*100)</f>
        <v/>
      </c>
      <c r="AL45" s="126" t="str">
        <f>IF('Midterm OVPAA-F-INS-055A RAW SC'!AL45="","",'Midterm OVPAA-F-INS-055A RAW SC'!AL45/'Midterm OVPAA-F-INS-055A RAW SC'!AL$17*100)</f>
        <v/>
      </c>
      <c r="AM45" s="126" t="str">
        <f>IF('Midterm OVPAA-F-INS-055A RAW SC'!AM45="","",'Midterm OVPAA-F-INS-055A RAW SC'!AM45/'Midterm OVPAA-F-INS-055A RAW SC'!AM$17*100)</f>
        <v/>
      </c>
      <c r="AN45" s="126" t="str">
        <f>IF('Midterm OVPAA-F-INS-055A RAW SC'!AN45="","",'Midterm OVPAA-F-INS-055A RAW SC'!AN45/'Midterm OVPAA-F-INS-055A RAW SC'!AN$17*100)</f>
        <v/>
      </c>
      <c r="AO45" s="126" t="str">
        <f>IF('Midterm OVPAA-F-INS-055A RAW SC'!AO45="","",'Midterm OVPAA-F-INS-055A RAW SC'!AO45/'Midterm OVPAA-F-INS-055A RAW SC'!AO$17*100)</f>
        <v/>
      </c>
      <c r="AP45" s="126" t="str">
        <f>IF('Midterm OVPAA-F-INS-055A RAW SC'!AP45="","",'Midterm OVPAA-F-INS-055A RAW SC'!AP45/'Midterm OVPAA-F-INS-055A RAW SC'!AP$17*100)</f>
        <v/>
      </c>
      <c r="AQ45" s="126" t="str">
        <f>IF('Midterm OVPAA-F-INS-055A RAW SC'!AQ45="","",'Midterm OVPAA-F-INS-055A RAW SC'!AQ45/'Midterm OVPAA-F-INS-055A RAW SC'!AQ$17*100)</f>
        <v/>
      </c>
      <c r="AR45" s="126" t="str">
        <f>IF('Midterm OVPAA-F-INS-055A RAW SC'!AR45="","",'Midterm OVPAA-F-INS-055A RAW SC'!AR45/'Midterm OVPAA-F-INS-055A RAW SC'!AR$17*100)</f>
        <v/>
      </c>
      <c r="AS45" s="126" t="str">
        <f>IF('Midterm OVPAA-F-INS-055A RAW SC'!AS45="","",'Midterm OVPAA-F-INS-055A RAW SC'!AS45/'Midterm OVPAA-F-INS-055A RAW SC'!AS$17*100)</f>
        <v/>
      </c>
      <c r="AT45" s="126" t="str">
        <f>IF('Midterm OVPAA-F-INS-055A RAW SC'!AT45="","",'Midterm OVPAA-F-INS-055A RAW SC'!AT45/'Midterm OVPAA-F-INS-055A RAW SC'!AT$17*100)</f>
        <v/>
      </c>
      <c r="AU45" s="126" t="str">
        <f>IF('Midterm OVPAA-F-INS-055A RAW SC'!AU45="","",'Midterm OVPAA-F-INS-055A RAW SC'!AU45/'Midterm OVPAA-F-INS-055A RAW SC'!AU$17*100)</f>
        <v/>
      </c>
      <c r="AV45" s="126" t="str">
        <f>IF('Midterm OVPAA-F-INS-055A RAW SC'!AV45="","",'Midterm OVPAA-F-INS-055A RAW SC'!AV45/'Midterm OVPAA-F-INS-055A RAW SC'!AV$17*100)</f>
        <v/>
      </c>
      <c r="AW45" s="126" t="str">
        <f>IF('Midterm OVPAA-F-INS-055A RAW SC'!AW45="","",'Midterm OVPAA-F-INS-055A RAW SC'!AW45/'Midterm OVPAA-F-INS-055A RAW SC'!AW$17*100)</f>
        <v/>
      </c>
      <c r="AX45" s="126" t="str">
        <f>IF('Midterm OVPAA-F-INS-055A RAW SC'!AX45="","",'Midterm OVPAA-F-INS-055A RAW SC'!AX45/'Midterm OVPAA-F-INS-055A RAW SC'!AX$17*100)</f>
        <v/>
      </c>
      <c r="AY45" s="126" t="str">
        <f>IF('Midterm OVPAA-F-INS-055A RAW SC'!AY45="","",'Midterm OVPAA-F-INS-055A RAW SC'!AY45/'Midterm OVPAA-F-INS-055A RAW SC'!AY$17*100)</f>
        <v/>
      </c>
      <c r="AZ45" s="126" t="str">
        <f>IF('Midterm OVPAA-F-INS-055A RAW SC'!AZ45="","",'Midterm OVPAA-F-INS-055A RAW SC'!AZ45/'Midterm OVPAA-F-INS-055A RAW SC'!AZ$17*100)</f>
        <v/>
      </c>
      <c r="BA45" s="126" t="str">
        <f>IF('Midterm OVPAA-F-INS-055A RAW SC'!BA45="","",'Midterm OVPAA-F-INS-055A RAW SC'!BA45/'Midterm OVPAA-F-INS-055A RAW SC'!BA$17*100)</f>
        <v/>
      </c>
      <c r="BB45" s="126" t="str">
        <f>IF('Midterm OVPAA-F-INS-055A RAW SC'!BB45="","",'Midterm OVPAA-F-INS-055A RAW SC'!BB45/'Midterm OVPAA-F-INS-055A RAW SC'!BB$17*100)</f>
        <v/>
      </c>
      <c r="BC45" s="126" t="str">
        <f>IF('Midterm OVPAA-F-INS-055A RAW SC'!BC45="","",'Midterm OVPAA-F-INS-055A RAW SC'!BC45/'Midterm OVPAA-F-INS-055A RAW SC'!BC$17*100)</f>
        <v/>
      </c>
      <c r="BD45" s="126" t="str">
        <f>IF('Midterm OVPAA-F-INS-055A RAW SC'!BD45="","",'Midterm OVPAA-F-INS-055A RAW SC'!BD45/'Midterm OVPAA-F-INS-055A RAW SC'!BD$17*100)</f>
        <v/>
      </c>
      <c r="BE45" s="126" t="str">
        <f>IF('Midterm OVPAA-F-INS-055A RAW SC'!BE45="","",'Midterm OVPAA-F-INS-055A RAW SC'!BE45/'Midterm OVPAA-F-INS-055A RAW SC'!BE$17*100)</f>
        <v/>
      </c>
      <c r="BF45" s="126" t="str">
        <f>IF('Midterm OVPAA-F-INS-055A RAW SC'!BF45="","",'Midterm OVPAA-F-INS-055A RAW SC'!BF45/'Midterm OVPAA-F-INS-055A RAW SC'!BF$17*100)</f>
        <v/>
      </c>
      <c r="BG45" s="126" t="str">
        <f>IF('Midterm OVPAA-F-INS-055A RAW SC'!BG45="","",'Midterm OVPAA-F-INS-055A RAW SC'!BG45/'Midterm OVPAA-F-INS-055A RAW SC'!BG$17*100)</f>
        <v/>
      </c>
      <c r="BH45" s="126" t="str">
        <f>IF('Midterm OVPAA-F-INS-055A RAW SC'!BH45="","",'Midterm OVPAA-F-INS-055A RAW SC'!BH45/'Midterm OVPAA-F-INS-055A RAW SC'!BH$17*100)</f>
        <v/>
      </c>
      <c r="BI45" s="126" t="str">
        <f>IF('Midterm OVPAA-F-INS-055A RAW SC'!BI45="","",'Midterm OVPAA-F-INS-055A RAW SC'!BI45/'Midterm OVPAA-F-INS-055A RAW SC'!BI$17*100)</f>
        <v/>
      </c>
      <c r="BJ45" s="126" t="str">
        <f>IF('Midterm OVPAA-F-INS-055A RAW SC'!BJ45="","",'Midterm OVPAA-F-INS-055A RAW SC'!BJ45/'Midterm OVPAA-F-INS-055A RAW SC'!BJ$17*100)</f>
        <v/>
      </c>
      <c r="BK45" s="126" t="str">
        <f>IF('Midterm OVPAA-F-INS-055A RAW SC'!BK45="","",'Midterm OVPAA-F-INS-055A RAW SC'!BK45/'Midterm OVPAA-F-INS-055A RAW SC'!BK$17*100)</f>
        <v/>
      </c>
      <c r="BL45" s="126" t="str">
        <f>IF('Midterm OVPAA-F-INS-055A RAW SC'!BL45="","",'Midterm OVPAA-F-INS-055A RAW SC'!BL45/'Midterm OVPAA-F-INS-055A RAW SC'!BL$17*100)</f>
        <v/>
      </c>
      <c r="BM45" s="126" t="str">
        <f>IF('Midterm OVPAA-F-INS-055A RAW SC'!BM45="","",'Midterm OVPAA-F-INS-055A RAW SC'!BM45/'Midterm OVPAA-F-INS-055A RAW SC'!BM$17*100)</f>
        <v/>
      </c>
      <c r="BN45" s="126" t="str">
        <f>IF('Midterm OVPAA-F-INS-055A RAW SC'!BN45="","",'Midterm OVPAA-F-INS-055A RAW SC'!BN45/'Midterm OVPAA-F-INS-055A RAW SC'!BN$17*100)</f>
        <v/>
      </c>
      <c r="BO45" s="126" t="str">
        <f>IF('Midterm OVPAA-F-INS-055A RAW SC'!BO45="","",'Midterm OVPAA-F-INS-055A RAW SC'!BO45/'Midterm OVPAA-F-INS-055A RAW SC'!BO$17*100)</f>
        <v/>
      </c>
      <c r="BP45" s="126" t="str">
        <f>IF('Midterm OVPAA-F-INS-055A RAW SC'!BP45="","",'Midterm OVPAA-F-INS-055A RAW SC'!BP45/'Midterm OVPAA-F-INS-055A RAW SC'!BP$17*100)</f>
        <v/>
      </c>
      <c r="BQ45" s="126" t="str">
        <f>IF('Midterm OVPAA-F-INS-055A RAW SC'!BQ45="","",'Midterm OVPAA-F-INS-055A RAW SC'!BQ45/'Midterm OVPAA-F-INS-055A RAW SC'!BQ$17*100)</f>
        <v/>
      </c>
      <c r="BR45" s="126" t="str">
        <f>IF('Midterm OVPAA-F-INS-055A RAW SC'!BR45="","",'Midterm OVPAA-F-INS-055A RAW SC'!BR45/'Midterm OVPAA-F-INS-055A RAW SC'!BR$17*100)</f>
        <v/>
      </c>
      <c r="BS45" s="126" t="str">
        <f>IF('Midterm OVPAA-F-INS-055A RAW SC'!BS45="","",'Midterm OVPAA-F-INS-055A RAW SC'!BS45/'Midterm OVPAA-F-INS-055A RAW SC'!BS$17*100)</f>
        <v/>
      </c>
      <c r="BT45" s="126" t="str">
        <f>IF('Midterm OVPAA-F-INS-055A RAW SC'!BT45="","",'Midterm OVPAA-F-INS-055A RAW SC'!BT45/'Midterm OVPAA-F-INS-055A RAW SC'!BT$17*100)</f>
        <v/>
      </c>
      <c r="BU45" s="127" t="str">
        <f t="array" ref="BU45">IF('Midterm OVPAA-F-INS-055A RAW SC'!$G45="","",IF((SUMPRODUCT(--ISBLANK('Midterm OVPAA-F-INS-055A RAW SC'!H45:BT45))=COLUMNS('Midterm OVPAA-F-INS-055A RAW SC'!H45:BT45))=TRUE,"",(((COUNTA('Midterm OVPAA-F-INS-055A RAW SC'!$H$17:$BT$17)+COUNTBLANK('Midterm OVPAA-F-INS-055A RAW SC'!H45:BT45))-COLUMNS('Midterm OVPAA-F-INS-055A RAW SC'!H45:BT45))*5+SUM(H45:BT45))/COUNTA('Midterm OVPAA-F-INS-055A RAW SC'!$H$17:$BT$17)))</f>
        <v/>
      </c>
      <c r="BV45" s="128" t="str">
        <f>IF(BU45="","",VLOOKUP(BU45,IF('Midterm OVPAA-F-INS-055A RAW SC'!$V$12=0.5,TRANSMUTATION!$C$4:$D$17,TRANSMUTATION!$G$4:$H$17),2,TRUE))</f>
        <v/>
      </c>
      <c r="BW45" s="129" t="str">
        <f>IF('Midterm OVPAA-F-INS-055A RAW SC'!BU45="","",'Midterm OVPAA-F-INS-055A RAW SC'!BU45/'Midterm OVPAA-F-INS-055A RAW SC'!BU$17*100)</f>
        <v/>
      </c>
      <c r="BX45" s="130" t="str">
        <f>IF('Midterm OVPAA-F-INS-055A RAW SC'!BV45="","",'Midterm OVPAA-F-INS-055A RAW SC'!BV45/'Midterm OVPAA-F-INS-055A RAW SC'!BV$17*100)</f>
        <v/>
      </c>
      <c r="BY45" s="130" t="str">
        <f>IF('Midterm OVPAA-F-INS-055A RAW SC'!BW45="","",'Midterm OVPAA-F-INS-055A RAW SC'!BW45/'Midterm OVPAA-F-INS-055A RAW SC'!BW$17*100)</f>
        <v/>
      </c>
      <c r="BZ45" s="130" t="str">
        <f>IF('Midterm OVPAA-F-INS-055A RAW SC'!BX45="","",'Midterm OVPAA-F-INS-055A RAW SC'!BX45/'Midterm OVPAA-F-INS-055A RAW SC'!BX$17*100)</f>
        <v/>
      </c>
      <c r="CA45" s="130" t="str">
        <f>IF('Midterm OVPAA-F-INS-055A RAW SC'!BY45="","",'Midterm OVPAA-F-INS-055A RAW SC'!BY45/'Midterm OVPAA-F-INS-055A RAW SC'!BY$17*100)</f>
        <v/>
      </c>
      <c r="CB45" s="130" t="str">
        <f>IF('Midterm OVPAA-F-INS-055A RAW SC'!BZ45="","",'Midterm OVPAA-F-INS-055A RAW SC'!BZ45/'Midterm OVPAA-F-INS-055A RAW SC'!BZ$17*100)</f>
        <v/>
      </c>
      <c r="CC45" s="130" t="str">
        <f>IF('Midterm OVPAA-F-INS-055A RAW SC'!CA45="","",'Midterm OVPAA-F-INS-055A RAW SC'!CA45/'Midterm OVPAA-F-INS-055A RAW SC'!CA$17*100)</f>
        <v/>
      </c>
      <c r="CD45" s="130" t="str">
        <f>IF('Midterm OVPAA-F-INS-055A RAW SC'!CB45="","",'Midterm OVPAA-F-INS-055A RAW SC'!CB45/'Midterm OVPAA-F-INS-055A RAW SC'!CB$17*100)</f>
        <v/>
      </c>
      <c r="CE45" s="130" t="str">
        <f>IF('Midterm OVPAA-F-INS-055A RAW SC'!CC45="","",'Midterm OVPAA-F-INS-055A RAW SC'!CC45/'Midterm OVPAA-F-INS-055A RAW SC'!CC$17*100)</f>
        <v/>
      </c>
      <c r="CF45" s="130" t="str">
        <f>IF('Midterm OVPAA-F-INS-055A RAW SC'!CD45="","",'Midterm OVPAA-F-INS-055A RAW SC'!CD45/'Midterm OVPAA-F-INS-055A RAW SC'!CD$17*100)</f>
        <v/>
      </c>
      <c r="CG45" s="130" t="str">
        <f>IF('Midterm OVPAA-F-INS-055A RAW SC'!CE45="","",'Midterm OVPAA-F-INS-055A RAW SC'!CE45/'Midterm OVPAA-F-INS-055A RAW SC'!CE$17*100)</f>
        <v/>
      </c>
      <c r="CH45" s="130" t="str">
        <f>IF('Midterm OVPAA-F-INS-055A RAW SC'!CF45="","",'Midterm OVPAA-F-INS-055A RAW SC'!CF45/'Midterm OVPAA-F-INS-055A RAW SC'!CF$17*100)</f>
        <v/>
      </c>
      <c r="CI45" s="130" t="str">
        <f>IF('Midterm OVPAA-F-INS-055A RAW SC'!CG45="","",'Midterm OVPAA-F-INS-055A RAW SC'!CG45/'Midterm OVPAA-F-INS-055A RAW SC'!CG$17*100)</f>
        <v/>
      </c>
      <c r="CJ45" s="130" t="str">
        <f>IF('Midterm OVPAA-F-INS-055A RAW SC'!CH45="","",'Midterm OVPAA-F-INS-055A RAW SC'!CH45/'Midterm OVPAA-F-INS-055A RAW SC'!CH$17*100)</f>
        <v/>
      </c>
      <c r="CK45" s="130" t="str">
        <f>IF('Midterm OVPAA-F-INS-055A RAW SC'!CI45="","",'Midterm OVPAA-F-INS-055A RAW SC'!CI45/'Midterm OVPAA-F-INS-055A RAW SC'!CI$17*100)</f>
        <v/>
      </c>
      <c r="CL45" s="130" t="str">
        <f>IF('Midterm OVPAA-F-INS-055A RAW SC'!CJ45="","",'Midterm OVPAA-F-INS-055A RAW SC'!CJ45/'Midterm OVPAA-F-INS-055A RAW SC'!CJ$17*100)</f>
        <v/>
      </c>
      <c r="CM45" s="130" t="str">
        <f>IF('Midterm OVPAA-F-INS-055A RAW SC'!CK45="","",'Midterm OVPAA-F-INS-055A RAW SC'!CK45/'Midterm OVPAA-F-INS-055A RAW SC'!CK$17*100)</f>
        <v/>
      </c>
      <c r="CN45" s="130" t="str">
        <f>IF('Midterm OVPAA-F-INS-055A RAW SC'!CL45="","",'Midterm OVPAA-F-INS-055A RAW SC'!CL45/'Midterm OVPAA-F-INS-055A RAW SC'!CL$17*100)</f>
        <v/>
      </c>
      <c r="CO45" s="130" t="str">
        <f>IF('Midterm OVPAA-F-INS-055A RAW SC'!CM45="","",'Midterm OVPAA-F-INS-055A RAW SC'!CM45/'Midterm OVPAA-F-INS-055A RAW SC'!CM$17*100)</f>
        <v/>
      </c>
      <c r="CP45" s="130" t="str">
        <f>IF('Midterm OVPAA-F-INS-055A RAW SC'!CN45="","",'Midterm OVPAA-F-INS-055A RAW SC'!CN45/'Midterm OVPAA-F-INS-055A RAW SC'!CN$17*100)</f>
        <v/>
      </c>
      <c r="CQ45" s="131" t="str">
        <f t="array" ref="CQ45">IF('Midterm OVPAA-F-INS-055A RAW SC'!G45="","",IF((SUMPRODUCT(--ISBLANK('Midterm OVPAA-F-INS-055A RAW SC'!BU45:CN45))=COLUMNS('Midterm OVPAA-F-INS-055A RAW SC'!BU45:CN45))=TRUE,"",(((COUNTA('Midterm OVPAA-F-INS-055A RAW SC'!$BU$17:$CN$17)+COUNTBLANK('Midterm OVPAA-F-INS-055A RAW SC'!BU45:CN45))-COLUMNS('Midterm OVPAA-F-INS-055A RAW SC'!BU45:CN45))*5+SUM(BW45:CP45))/COUNTA('Midterm OVPAA-F-INS-055A RAW SC'!$BU$17:$CN$17)))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IF('Midterm OVPAA-F-INS-055A RAW SC'!CO45="","",'Midterm OVPAA-F-INS-055A RAW SC'!CO45/'Midterm OVPAA-F-INS-055A RAW SC'!CO$17*100)</f>
        <v/>
      </c>
      <c r="CT45" s="133" t="str">
        <f>IF('Midterm OVPAA-F-INS-055A RAW SC'!CP45="","",'Midterm OVPAA-F-INS-055A RAW SC'!CP45/'Midterm OVPAA-F-INS-055A RAW SC'!CP$17*100)</f>
        <v/>
      </c>
      <c r="CU45" s="133" t="str">
        <f>IF('Midterm OVPAA-F-INS-055A RAW SC'!CQ45="","",'Midterm OVPAA-F-INS-055A RAW SC'!CQ45/'Midterm OVPAA-F-INS-055A RAW SC'!CQ$17*100)</f>
        <v/>
      </c>
      <c r="CV45" s="133" t="str">
        <f>IF('Midterm OVPAA-F-INS-055A RAW SC'!CR45="","",'Midterm OVPAA-F-INS-055A RAW SC'!CR45/'Midterm OVPAA-F-INS-055A RAW SC'!CR$17*100)</f>
        <v/>
      </c>
      <c r="CW45" s="133" t="str">
        <f>IF('Midterm OVPAA-F-INS-055A RAW SC'!CS45="","",'Midterm OVPAA-F-INS-055A RAW SC'!CS45/'Midterm OVPAA-F-INS-055A RAW SC'!CS$17*100)</f>
        <v/>
      </c>
      <c r="CX45" s="133" t="str">
        <f>IF('Midterm OVPAA-F-INS-055A RAW SC'!CT45="","",'Midterm OVPAA-F-INS-055A RAW SC'!CT45/'Midterm OVPAA-F-INS-055A RAW SC'!CT$17*100)</f>
        <v/>
      </c>
      <c r="CY45" s="133" t="str">
        <f>IF('Midterm OVPAA-F-INS-055A RAW SC'!CU45="","",'Midterm OVPAA-F-INS-055A RAW SC'!CU45/'Midterm OVPAA-F-INS-055A RAW SC'!CU$17*100)</f>
        <v/>
      </c>
      <c r="CZ45" s="133" t="str">
        <f>IF('Midterm OVPAA-F-INS-055A RAW SC'!CV45="","",'Midterm OVPAA-F-INS-055A RAW SC'!CV45/'Midterm OVPAA-F-INS-055A RAW SC'!CV$17*100)</f>
        <v/>
      </c>
      <c r="DA45" s="133" t="str">
        <f>IF('Midterm OVPAA-F-INS-055A RAW SC'!CW45="","",'Midterm OVPAA-F-INS-055A RAW SC'!CW45/'Midterm OVPAA-F-INS-055A RAW SC'!CW$17*100)</f>
        <v/>
      </c>
      <c r="DB45" s="133" t="str">
        <f>IF('Midterm OVPAA-F-INS-055A RAW SC'!CX45="","",'Midterm OVPAA-F-INS-055A RAW SC'!CX45/'Midterm OVPAA-F-INS-055A RAW SC'!CX$17*100)</f>
        <v/>
      </c>
      <c r="DC45" s="134" t="str">
        <f t="array" ref="DC45">IF('Midterm OVPAA-F-INS-055A RAW SC'!$G45="","",IF((SUMPRODUCT(--ISBLANK('Midterm OVPAA-F-INS-055A RAW SC'!CO45:CX45))=COLUMNS('Midterm OVPAA-F-INS-055A RAW SC'!CO45:CX45))=TRUE,"",(((COUNTA('Midterm OVPAA-F-INS-055A RAW SC'!$CO$17:$CX$17)+COUNTBLANK('Midterm OVPAA-F-INS-055A RAW SC'!CO45:CX45))-COLUMNS('Midterm OVPAA-F-INS-055A RAW SC'!CO45:CX45))*5+SUM(CS45:DB45))/COUNTA('Midterm OVPAA-F-INS-055A RAW SC'!$CO$17:$CX$17)))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37" t="str">
        <f t="shared" si="2"/>
        <v/>
      </c>
      <c r="DG45" s="138" t="str">
        <f t="shared" si="3"/>
        <v/>
      </c>
      <c r="DH45" s="136" t="str">
        <f t="shared" si="4"/>
        <v/>
      </c>
      <c r="DI45" s="123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IF('Midterm OVPAA-F-INS-055A RAW SC'!H46="","",'Midterm OVPAA-F-INS-055A RAW SC'!H46/'Midterm OVPAA-F-INS-055A RAW SC'!H$17*100)</f>
        <v/>
      </c>
      <c r="I46" s="126" t="str">
        <f>IF('Midterm OVPAA-F-INS-055A RAW SC'!I46="","",'Midterm OVPAA-F-INS-055A RAW SC'!I46/'Midterm OVPAA-F-INS-055A RAW SC'!I$17*100)</f>
        <v/>
      </c>
      <c r="J46" s="126" t="str">
        <f>IF('Midterm OVPAA-F-INS-055A RAW SC'!J46="","",'Midterm OVPAA-F-INS-055A RAW SC'!J46/'Midterm OVPAA-F-INS-055A RAW SC'!J$17*100)</f>
        <v/>
      </c>
      <c r="K46" s="126" t="str">
        <f>IF('Midterm OVPAA-F-INS-055A RAW SC'!K46="","",'Midterm OVPAA-F-INS-055A RAW SC'!K46/'Midterm OVPAA-F-INS-055A RAW SC'!K$17*100)</f>
        <v/>
      </c>
      <c r="L46" s="126" t="str">
        <f>IF('Midterm OVPAA-F-INS-055A RAW SC'!L46="","",'Midterm OVPAA-F-INS-055A RAW SC'!L46/'Midterm OVPAA-F-INS-055A RAW SC'!L$17*100)</f>
        <v/>
      </c>
      <c r="M46" s="126" t="str">
        <f>IF('Midterm OVPAA-F-INS-055A RAW SC'!M46="","",'Midterm OVPAA-F-INS-055A RAW SC'!M46/'Midterm OVPAA-F-INS-055A RAW SC'!M$17*100)</f>
        <v/>
      </c>
      <c r="N46" s="126" t="str">
        <f>IF('Midterm OVPAA-F-INS-055A RAW SC'!N46="","",'Midterm OVPAA-F-INS-055A RAW SC'!N46/'Midterm OVPAA-F-INS-055A RAW SC'!N$17*100)</f>
        <v/>
      </c>
      <c r="O46" s="126" t="str">
        <f>IF('Midterm OVPAA-F-INS-055A RAW SC'!O46="","",'Midterm OVPAA-F-INS-055A RAW SC'!O46/'Midterm OVPAA-F-INS-055A RAW SC'!O$17*100)</f>
        <v/>
      </c>
      <c r="P46" s="126" t="str">
        <f>IF('Midterm OVPAA-F-INS-055A RAW SC'!P46="","",'Midterm OVPAA-F-INS-055A RAW SC'!P46/'Midterm OVPAA-F-INS-055A RAW SC'!P$17*100)</f>
        <v/>
      </c>
      <c r="Q46" s="126" t="str">
        <f>IF('Midterm OVPAA-F-INS-055A RAW SC'!Q46="","",'Midterm OVPAA-F-INS-055A RAW SC'!Q46/'Midterm OVPAA-F-INS-055A RAW SC'!Q$17*100)</f>
        <v/>
      </c>
      <c r="R46" s="126" t="str">
        <f>IF('Midterm OVPAA-F-INS-055A RAW SC'!R46="","",'Midterm OVPAA-F-INS-055A RAW SC'!R46/'Midterm OVPAA-F-INS-055A RAW SC'!R$17*100)</f>
        <v/>
      </c>
      <c r="S46" s="126" t="str">
        <f>IF('Midterm OVPAA-F-INS-055A RAW SC'!S46="","",'Midterm OVPAA-F-INS-055A RAW SC'!S46/'Midterm OVPAA-F-INS-055A RAW SC'!S$17*100)</f>
        <v/>
      </c>
      <c r="T46" s="126" t="str">
        <f>IF('Midterm OVPAA-F-INS-055A RAW SC'!T46="","",'Midterm OVPAA-F-INS-055A RAW SC'!T46/'Midterm OVPAA-F-INS-055A RAW SC'!T$17*100)</f>
        <v/>
      </c>
      <c r="U46" s="126" t="str">
        <f>IF('Midterm OVPAA-F-INS-055A RAW SC'!U46="","",'Midterm OVPAA-F-INS-055A RAW SC'!U46/'Midterm OVPAA-F-INS-055A RAW SC'!U$17*100)</f>
        <v/>
      </c>
      <c r="V46" s="126" t="str">
        <f>IF('Midterm OVPAA-F-INS-055A RAW SC'!V46="","",'Midterm OVPAA-F-INS-055A RAW SC'!V46/'Midterm OVPAA-F-INS-055A RAW SC'!V$17*100)</f>
        <v/>
      </c>
      <c r="W46" s="126" t="str">
        <f>IF('Midterm OVPAA-F-INS-055A RAW SC'!W46="","",'Midterm OVPAA-F-INS-055A RAW SC'!W46/'Midterm OVPAA-F-INS-055A RAW SC'!W$17*100)</f>
        <v/>
      </c>
      <c r="X46" s="126" t="str">
        <f>IF('Midterm OVPAA-F-INS-055A RAW SC'!X46="","",'Midterm OVPAA-F-INS-055A RAW SC'!X46/'Midterm OVPAA-F-INS-055A RAW SC'!X$17*100)</f>
        <v/>
      </c>
      <c r="Y46" s="126" t="str">
        <f>IF('Midterm OVPAA-F-INS-055A RAW SC'!Y46="","",'Midterm OVPAA-F-INS-055A RAW SC'!Y46/'Midterm OVPAA-F-INS-055A RAW SC'!Y$17*100)</f>
        <v/>
      </c>
      <c r="Z46" s="126" t="str">
        <f>IF('Midterm OVPAA-F-INS-055A RAW SC'!Z46="","",'Midterm OVPAA-F-INS-055A RAW SC'!Z46/'Midterm OVPAA-F-INS-055A RAW SC'!Z$17*100)</f>
        <v/>
      </c>
      <c r="AA46" s="126" t="str">
        <f>IF('Midterm OVPAA-F-INS-055A RAW SC'!AA46="","",'Midterm OVPAA-F-INS-055A RAW SC'!AA46/'Midterm OVPAA-F-INS-055A RAW SC'!AA$17*100)</f>
        <v/>
      </c>
      <c r="AB46" s="126" t="str">
        <f>IF('Midterm OVPAA-F-INS-055A RAW SC'!AB46="","",'Midterm OVPAA-F-INS-055A RAW SC'!AB46/'Midterm OVPAA-F-INS-055A RAW SC'!AB$17*100)</f>
        <v/>
      </c>
      <c r="AC46" s="126" t="str">
        <f>IF('Midterm OVPAA-F-INS-055A RAW SC'!AC46="","",'Midterm OVPAA-F-INS-055A RAW SC'!AC46/'Midterm OVPAA-F-INS-055A RAW SC'!AC$17*100)</f>
        <v/>
      </c>
      <c r="AD46" s="126" t="str">
        <f>IF('Midterm OVPAA-F-INS-055A RAW SC'!AD46="","",'Midterm OVPAA-F-INS-055A RAW SC'!AD46/'Midterm OVPAA-F-INS-055A RAW SC'!AD$17*100)</f>
        <v/>
      </c>
      <c r="AE46" s="126" t="str">
        <f>IF('Midterm OVPAA-F-INS-055A RAW SC'!AE46="","",'Midterm OVPAA-F-INS-055A RAW SC'!AE46/'Midterm OVPAA-F-INS-055A RAW SC'!AE$17*100)</f>
        <v/>
      </c>
      <c r="AF46" s="126" t="str">
        <f>IF('Midterm OVPAA-F-INS-055A RAW SC'!AF46="","",'Midterm OVPAA-F-INS-055A RAW SC'!AF46/'Midterm OVPAA-F-INS-055A RAW SC'!AF$17*100)</f>
        <v/>
      </c>
      <c r="AG46" s="126" t="str">
        <f>IF('Midterm OVPAA-F-INS-055A RAW SC'!AG46="","",'Midterm OVPAA-F-INS-055A RAW SC'!AG46/'Midterm OVPAA-F-INS-055A RAW SC'!AG$17*100)</f>
        <v/>
      </c>
      <c r="AH46" s="126" t="str">
        <f>IF('Midterm OVPAA-F-INS-055A RAW SC'!AH46="","",'Midterm OVPAA-F-INS-055A RAW SC'!AH46/'Midterm OVPAA-F-INS-055A RAW SC'!AH$17*100)</f>
        <v/>
      </c>
      <c r="AI46" s="126" t="str">
        <f>IF('Midterm OVPAA-F-INS-055A RAW SC'!AI46="","",'Midterm OVPAA-F-INS-055A RAW SC'!AI46/'Midterm OVPAA-F-INS-055A RAW SC'!AI$17*100)</f>
        <v/>
      </c>
      <c r="AJ46" s="126" t="str">
        <f>IF('Midterm OVPAA-F-INS-055A RAW SC'!AJ46="","",'Midterm OVPAA-F-INS-055A RAW SC'!AJ46/'Midterm OVPAA-F-INS-055A RAW SC'!AJ$17*100)</f>
        <v/>
      </c>
      <c r="AK46" s="126" t="str">
        <f>IF('Midterm OVPAA-F-INS-055A RAW SC'!AK46="","",'Midterm OVPAA-F-INS-055A RAW SC'!AK46/'Midterm OVPAA-F-INS-055A RAW SC'!AK$17*100)</f>
        <v/>
      </c>
      <c r="AL46" s="126" t="str">
        <f>IF('Midterm OVPAA-F-INS-055A RAW SC'!AL46="","",'Midterm OVPAA-F-INS-055A RAW SC'!AL46/'Midterm OVPAA-F-INS-055A RAW SC'!AL$17*100)</f>
        <v/>
      </c>
      <c r="AM46" s="126" t="str">
        <f>IF('Midterm OVPAA-F-INS-055A RAW SC'!AM46="","",'Midterm OVPAA-F-INS-055A RAW SC'!AM46/'Midterm OVPAA-F-INS-055A RAW SC'!AM$17*100)</f>
        <v/>
      </c>
      <c r="AN46" s="126" t="str">
        <f>IF('Midterm OVPAA-F-INS-055A RAW SC'!AN46="","",'Midterm OVPAA-F-INS-055A RAW SC'!AN46/'Midterm OVPAA-F-INS-055A RAW SC'!AN$17*100)</f>
        <v/>
      </c>
      <c r="AO46" s="126" t="str">
        <f>IF('Midterm OVPAA-F-INS-055A RAW SC'!AO46="","",'Midterm OVPAA-F-INS-055A RAW SC'!AO46/'Midterm OVPAA-F-INS-055A RAW SC'!AO$17*100)</f>
        <v/>
      </c>
      <c r="AP46" s="126" t="str">
        <f>IF('Midterm OVPAA-F-INS-055A RAW SC'!AP46="","",'Midterm OVPAA-F-INS-055A RAW SC'!AP46/'Midterm OVPAA-F-INS-055A RAW SC'!AP$17*100)</f>
        <v/>
      </c>
      <c r="AQ46" s="126" t="str">
        <f>IF('Midterm OVPAA-F-INS-055A RAW SC'!AQ46="","",'Midterm OVPAA-F-INS-055A RAW SC'!AQ46/'Midterm OVPAA-F-INS-055A RAW SC'!AQ$17*100)</f>
        <v/>
      </c>
      <c r="AR46" s="126" t="str">
        <f>IF('Midterm OVPAA-F-INS-055A RAW SC'!AR46="","",'Midterm OVPAA-F-INS-055A RAW SC'!AR46/'Midterm OVPAA-F-INS-055A RAW SC'!AR$17*100)</f>
        <v/>
      </c>
      <c r="AS46" s="126" t="str">
        <f>IF('Midterm OVPAA-F-INS-055A RAW SC'!AS46="","",'Midterm OVPAA-F-INS-055A RAW SC'!AS46/'Midterm OVPAA-F-INS-055A RAW SC'!AS$17*100)</f>
        <v/>
      </c>
      <c r="AT46" s="126" t="str">
        <f>IF('Midterm OVPAA-F-INS-055A RAW SC'!AT46="","",'Midterm OVPAA-F-INS-055A RAW SC'!AT46/'Midterm OVPAA-F-INS-055A RAW SC'!AT$17*100)</f>
        <v/>
      </c>
      <c r="AU46" s="126" t="str">
        <f>IF('Midterm OVPAA-F-INS-055A RAW SC'!AU46="","",'Midterm OVPAA-F-INS-055A RAW SC'!AU46/'Midterm OVPAA-F-INS-055A RAW SC'!AU$17*100)</f>
        <v/>
      </c>
      <c r="AV46" s="126" t="str">
        <f>IF('Midterm OVPAA-F-INS-055A RAW SC'!AV46="","",'Midterm OVPAA-F-INS-055A RAW SC'!AV46/'Midterm OVPAA-F-INS-055A RAW SC'!AV$17*100)</f>
        <v/>
      </c>
      <c r="AW46" s="126" t="str">
        <f>IF('Midterm OVPAA-F-INS-055A RAW SC'!AW46="","",'Midterm OVPAA-F-INS-055A RAW SC'!AW46/'Midterm OVPAA-F-INS-055A RAW SC'!AW$17*100)</f>
        <v/>
      </c>
      <c r="AX46" s="126" t="str">
        <f>IF('Midterm OVPAA-F-INS-055A RAW SC'!AX46="","",'Midterm OVPAA-F-INS-055A RAW SC'!AX46/'Midterm OVPAA-F-INS-055A RAW SC'!AX$17*100)</f>
        <v/>
      </c>
      <c r="AY46" s="126" t="str">
        <f>IF('Midterm OVPAA-F-INS-055A RAW SC'!AY46="","",'Midterm OVPAA-F-INS-055A RAW SC'!AY46/'Midterm OVPAA-F-INS-055A RAW SC'!AY$17*100)</f>
        <v/>
      </c>
      <c r="AZ46" s="126" t="str">
        <f>IF('Midterm OVPAA-F-INS-055A RAW SC'!AZ46="","",'Midterm OVPAA-F-INS-055A RAW SC'!AZ46/'Midterm OVPAA-F-INS-055A RAW SC'!AZ$17*100)</f>
        <v/>
      </c>
      <c r="BA46" s="126" t="str">
        <f>IF('Midterm OVPAA-F-INS-055A RAW SC'!BA46="","",'Midterm OVPAA-F-INS-055A RAW SC'!BA46/'Midterm OVPAA-F-INS-055A RAW SC'!BA$17*100)</f>
        <v/>
      </c>
      <c r="BB46" s="126" t="str">
        <f>IF('Midterm OVPAA-F-INS-055A RAW SC'!BB46="","",'Midterm OVPAA-F-INS-055A RAW SC'!BB46/'Midterm OVPAA-F-INS-055A RAW SC'!BB$17*100)</f>
        <v/>
      </c>
      <c r="BC46" s="126" t="str">
        <f>IF('Midterm OVPAA-F-INS-055A RAW SC'!BC46="","",'Midterm OVPAA-F-INS-055A RAW SC'!BC46/'Midterm OVPAA-F-INS-055A RAW SC'!BC$17*100)</f>
        <v/>
      </c>
      <c r="BD46" s="126" t="str">
        <f>IF('Midterm OVPAA-F-INS-055A RAW SC'!BD46="","",'Midterm OVPAA-F-INS-055A RAW SC'!BD46/'Midterm OVPAA-F-INS-055A RAW SC'!BD$17*100)</f>
        <v/>
      </c>
      <c r="BE46" s="126" t="str">
        <f>IF('Midterm OVPAA-F-INS-055A RAW SC'!BE46="","",'Midterm OVPAA-F-INS-055A RAW SC'!BE46/'Midterm OVPAA-F-INS-055A RAW SC'!BE$17*100)</f>
        <v/>
      </c>
      <c r="BF46" s="126" t="str">
        <f>IF('Midterm OVPAA-F-INS-055A RAW SC'!BF46="","",'Midterm OVPAA-F-INS-055A RAW SC'!BF46/'Midterm OVPAA-F-INS-055A RAW SC'!BF$17*100)</f>
        <v/>
      </c>
      <c r="BG46" s="126" t="str">
        <f>IF('Midterm OVPAA-F-INS-055A RAW SC'!BG46="","",'Midterm OVPAA-F-INS-055A RAW SC'!BG46/'Midterm OVPAA-F-INS-055A RAW SC'!BG$17*100)</f>
        <v/>
      </c>
      <c r="BH46" s="126" t="str">
        <f>IF('Midterm OVPAA-F-INS-055A RAW SC'!BH46="","",'Midterm OVPAA-F-INS-055A RAW SC'!BH46/'Midterm OVPAA-F-INS-055A RAW SC'!BH$17*100)</f>
        <v/>
      </c>
      <c r="BI46" s="126" t="str">
        <f>IF('Midterm OVPAA-F-INS-055A RAW SC'!BI46="","",'Midterm OVPAA-F-INS-055A RAW SC'!BI46/'Midterm OVPAA-F-INS-055A RAW SC'!BI$17*100)</f>
        <v/>
      </c>
      <c r="BJ46" s="126" t="str">
        <f>IF('Midterm OVPAA-F-INS-055A RAW SC'!BJ46="","",'Midterm OVPAA-F-INS-055A RAW SC'!BJ46/'Midterm OVPAA-F-INS-055A RAW SC'!BJ$17*100)</f>
        <v/>
      </c>
      <c r="BK46" s="126" t="str">
        <f>IF('Midterm OVPAA-F-INS-055A RAW SC'!BK46="","",'Midterm OVPAA-F-INS-055A RAW SC'!BK46/'Midterm OVPAA-F-INS-055A RAW SC'!BK$17*100)</f>
        <v/>
      </c>
      <c r="BL46" s="126" t="str">
        <f>IF('Midterm OVPAA-F-INS-055A RAW SC'!BL46="","",'Midterm OVPAA-F-INS-055A RAW SC'!BL46/'Midterm OVPAA-F-INS-055A RAW SC'!BL$17*100)</f>
        <v/>
      </c>
      <c r="BM46" s="126" t="str">
        <f>IF('Midterm OVPAA-F-INS-055A RAW SC'!BM46="","",'Midterm OVPAA-F-INS-055A RAW SC'!BM46/'Midterm OVPAA-F-INS-055A RAW SC'!BM$17*100)</f>
        <v/>
      </c>
      <c r="BN46" s="126" t="str">
        <f>IF('Midterm OVPAA-F-INS-055A RAW SC'!BN46="","",'Midterm OVPAA-F-INS-055A RAW SC'!BN46/'Midterm OVPAA-F-INS-055A RAW SC'!BN$17*100)</f>
        <v/>
      </c>
      <c r="BO46" s="126" t="str">
        <f>IF('Midterm OVPAA-F-INS-055A RAW SC'!BO46="","",'Midterm OVPAA-F-INS-055A RAW SC'!BO46/'Midterm OVPAA-F-INS-055A RAW SC'!BO$17*100)</f>
        <v/>
      </c>
      <c r="BP46" s="126" t="str">
        <f>IF('Midterm OVPAA-F-INS-055A RAW SC'!BP46="","",'Midterm OVPAA-F-INS-055A RAW SC'!BP46/'Midterm OVPAA-F-INS-055A RAW SC'!BP$17*100)</f>
        <v/>
      </c>
      <c r="BQ46" s="126" t="str">
        <f>IF('Midterm OVPAA-F-INS-055A RAW SC'!BQ46="","",'Midterm OVPAA-F-INS-055A RAW SC'!BQ46/'Midterm OVPAA-F-INS-055A RAW SC'!BQ$17*100)</f>
        <v/>
      </c>
      <c r="BR46" s="126" t="str">
        <f>IF('Midterm OVPAA-F-INS-055A RAW SC'!BR46="","",'Midterm OVPAA-F-INS-055A RAW SC'!BR46/'Midterm OVPAA-F-INS-055A RAW SC'!BR$17*100)</f>
        <v/>
      </c>
      <c r="BS46" s="126" t="str">
        <f>IF('Midterm OVPAA-F-INS-055A RAW SC'!BS46="","",'Midterm OVPAA-F-INS-055A RAW SC'!BS46/'Midterm OVPAA-F-INS-055A RAW SC'!BS$17*100)</f>
        <v/>
      </c>
      <c r="BT46" s="126" t="str">
        <f>IF('Midterm OVPAA-F-INS-055A RAW SC'!BT46="","",'Midterm OVPAA-F-INS-055A RAW SC'!BT46/'Midterm OVPAA-F-INS-055A RAW SC'!BT$17*100)</f>
        <v/>
      </c>
      <c r="BU46" s="127" t="str">
        <f t="array" ref="BU46">IF('Midterm OVPAA-F-INS-055A RAW SC'!$G46="","",IF((SUMPRODUCT(--ISBLANK('Midterm OVPAA-F-INS-055A RAW SC'!H46:BT46))=COLUMNS('Midterm OVPAA-F-INS-055A RAW SC'!H46:BT46))=TRUE,"",(((COUNTA('Midterm OVPAA-F-INS-055A RAW SC'!$H$17:$BT$17)+COUNTBLANK('Midterm OVPAA-F-INS-055A RAW SC'!H46:BT46))-COLUMNS('Midterm OVPAA-F-INS-055A RAW SC'!H46:BT46))*5+SUM(H46:BT46))/COUNTA('Midterm OVPAA-F-INS-055A RAW SC'!$H$17:$BT$17)))</f>
        <v/>
      </c>
      <c r="BV46" s="128" t="str">
        <f>IF(BU46="","",VLOOKUP(BU46,IF('Midterm OVPAA-F-INS-055A RAW SC'!$V$12=0.5,TRANSMUTATION!$C$4:$D$17,TRANSMUTATION!$G$4:$H$17),2,TRUE))</f>
        <v/>
      </c>
      <c r="BW46" s="129" t="str">
        <f>IF('Midterm OVPAA-F-INS-055A RAW SC'!BU46="","",'Midterm OVPAA-F-INS-055A RAW SC'!BU46/'Midterm OVPAA-F-INS-055A RAW SC'!BU$17*100)</f>
        <v/>
      </c>
      <c r="BX46" s="130" t="str">
        <f>IF('Midterm OVPAA-F-INS-055A RAW SC'!BV46="","",'Midterm OVPAA-F-INS-055A RAW SC'!BV46/'Midterm OVPAA-F-INS-055A RAW SC'!BV$17*100)</f>
        <v/>
      </c>
      <c r="BY46" s="130" t="str">
        <f>IF('Midterm OVPAA-F-INS-055A RAW SC'!BW46="","",'Midterm OVPAA-F-INS-055A RAW SC'!BW46/'Midterm OVPAA-F-INS-055A RAW SC'!BW$17*100)</f>
        <v/>
      </c>
      <c r="BZ46" s="130" t="str">
        <f>IF('Midterm OVPAA-F-INS-055A RAW SC'!BX46="","",'Midterm OVPAA-F-INS-055A RAW SC'!BX46/'Midterm OVPAA-F-INS-055A RAW SC'!BX$17*100)</f>
        <v/>
      </c>
      <c r="CA46" s="130" t="str">
        <f>IF('Midterm OVPAA-F-INS-055A RAW SC'!BY46="","",'Midterm OVPAA-F-INS-055A RAW SC'!BY46/'Midterm OVPAA-F-INS-055A RAW SC'!BY$17*100)</f>
        <v/>
      </c>
      <c r="CB46" s="130" t="str">
        <f>IF('Midterm OVPAA-F-INS-055A RAW SC'!BZ46="","",'Midterm OVPAA-F-INS-055A RAW SC'!BZ46/'Midterm OVPAA-F-INS-055A RAW SC'!BZ$17*100)</f>
        <v/>
      </c>
      <c r="CC46" s="130" t="str">
        <f>IF('Midterm OVPAA-F-INS-055A RAW SC'!CA46="","",'Midterm OVPAA-F-INS-055A RAW SC'!CA46/'Midterm OVPAA-F-INS-055A RAW SC'!CA$17*100)</f>
        <v/>
      </c>
      <c r="CD46" s="130" t="str">
        <f>IF('Midterm OVPAA-F-INS-055A RAW SC'!CB46="","",'Midterm OVPAA-F-INS-055A RAW SC'!CB46/'Midterm OVPAA-F-INS-055A RAW SC'!CB$17*100)</f>
        <v/>
      </c>
      <c r="CE46" s="130" t="str">
        <f>IF('Midterm OVPAA-F-INS-055A RAW SC'!CC46="","",'Midterm OVPAA-F-INS-055A RAW SC'!CC46/'Midterm OVPAA-F-INS-055A RAW SC'!CC$17*100)</f>
        <v/>
      </c>
      <c r="CF46" s="130" t="str">
        <f>IF('Midterm OVPAA-F-INS-055A RAW SC'!CD46="","",'Midterm OVPAA-F-INS-055A RAW SC'!CD46/'Midterm OVPAA-F-INS-055A RAW SC'!CD$17*100)</f>
        <v/>
      </c>
      <c r="CG46" s="130" t="str">
        <f>IF('Midterm OVPAA-F-INS-055A RAW SC'!CE46="","",'Midterm OVPAA-F-INS-055A RAW SC'!CE46/'Midterm OVPAA-F-INS-055A RAW SC'!CE$17*100)</f>
        <v/>
      </c>
      <c r="CH46" s="130" t="str">
        <f>IF('Midterm OVPAA-F-INS-055A RAW SC'!CF46="","",'Midterm OVPAA-F-INS-055A RAW SC'!CF46/'Midterm OVPAA-F-INS-055A RAW SC'!CF$17*100)</f>
        <v/>
      </c>
      <c r="CI46" s="130" t="str">
        <f>IF('Midterm OVPAA-F-INS-055A RAW SC'!CG46="","",'Midterm OVPAA-F-INS-055A RAW SC'!CG46/'Midterm OVPAA-F-INS-055A RAW SC'!CG$17*100)</f>
        <v/>
      </c>
      <c r="CJ46" s="130" t="str">
        <f>IF('Midterm OVPAA-F-INS-055A RAW SC'!CH46="","",'Midterm OVPAA-F-INS-055A RAW SC'!CH46/'Midterm OVPAA-F-INS-055A RAW SC'!CH$17*100)</f>
        <v/>
      </c>
      <c r="CK46" s="130" t="str">
        <f>IF('Midterm OVPAA-F-INS-055A RAW SC'!CI46="","",'Midterm OVPAA-F-INS-055A RAW SC'!CI46/'Midterm OVPAA-F-INS-055A RAW SC'!CI$17*100)</f>
        <v/>
      </c>
      <c r="CL46" s="130" t="str">
        <f>IF('Midterm OVPAA-F-INS-055A RAW SC'!CJ46="","",'Midterm OVPAA-F-INS-055A RAW SC'!CJ46/'Midterm OVPAA-F-INS-055A RAW SC'!CJ$17*100)</f>
        <v/>
      </c>
      <c r="CM46" s="130" t="str">
        <f>IF('Midterm OVPAA-F-INS-055A RAW SC'!CK46="","",'Midterm OVPAA-F-INS-055A RAW SC'!CK46/'Midterm OVPAA-F-INS-055A RAW SC'!CK$17*100)</f>
        <v/>
      </c>
      <c r="CN46" s="130" t="str">
        <f>IF('Midterm OVPAA-F-INS-055A RAW SC'!CL46="","",'Midterm OVPAA-F-INS-055A RAW SC'!CL46/'Midterm OVPAA-F-INS-055A RAW SC'!CL$17*100)</f>
        <v/>
      </c>
      <c r="CO46" s="130" t="str">
        <f>IF('Midterm OVPAA-F-INS-055A RAW SC'!CM46="","",'Midterm OVPAA-F-INS-055A RAW SC'!CM46/'Midterm OVPAA-F-INS-055A RAW SC'!CM$17*100)</f>
        <v/>
      </c>
      <c r="CP46" s="130" t="str">
        <f>IF('Midterm OVPAA-F-INS-055A RAW SC'!CN46="","",'Midterm OVPAA-F-INS-055A RAW SC'!CN46/'Midterm OVPAA-F-INS-055A RAW SC'!CN$17*100)</f>
        <v/>
      </c>
      <c r="CQ46" s="131" t="str">
        <f t="array" ref="CQ46">IF('Midterm OVPAA-F-INS-055A RAW SC'!G46="","",IF((SUMPRODUCT(--ISBLANK('Midterm OVPAA-F-INS-055A RAW SC'!BU46:CN46))=COLUMNS('Midterm OVPAA-F-INS-055A RAW SC'!BU46:CN46))=TRUE,"",(((COUNTA('Midterm OVPAA-F-INS-055A RAW SC'!$BU$17:$CN$17)+COUNTBLANK('Midterm OVPAA-F-INS-055A RAW SC'!BU46:CN46))-COLUMNS('Midterm OVPAA-F-INS-055A RAW SC'!BU46:CN46))*5+SUM(BW46:CP46))/COUNTA('Midterm OVPAA-F-INS-055A RAW SC'!$BU$17:$CN$17)))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IF('Midterm OVPAA-F-INS-055A RAW SC'!CO46="","",'Midterm OVPAA-F-INS-055A RAW SC'!CO46/'Midterm OVPAA-F-INS-055A RAW SC'!CO$17*100)</f>
        <v/>
      </c>
      <c r="CT46" s="133" t="str">
        <f>IF('Midterm OVPAA-F-INS-055A RAW SC'!CP46="","",'Midterm OVPAA-F-INS-055A RAW SC'!CP46/'Midterm OVPAA-F-INS-055A RAW SC'!CP$17*100)</f>
        <v/>
      </c>
      <c r="CU46" s="133" t="str">
        <f>IF('Midterm OVPAA-F-INS-055A RAW SC'!CQ46="","",'Midterm OVPAA-F-INS-055A RAW SC'!CQ46/'Midterm OVPAA-F-INS-055A RAW SC'!CQ$17*100)</f>
        <v/>
      </c>
      <c r="CV46" s="133" t="str">
        <f>IF('Midterm OVPAA-F-INS-055A RAW SC'!CR46="","",'Midterm OVPAA-F-INS-055A RAW SC'!CR46/'Midterm OVPAA-F-INS-055A RAW SC'!CR$17*100)</f>
        <v/>
      </c>
      <c r="CW46" s="133" t="str">
        <f>IF('Midterm OVPAA-F-INS-055A RAW SC'!CS46="","",'Midterm OVPAA-F-INS-055A RAW SC'!CS46/'Midterm OVPAA-F-INS-055A RAW SC'!CS$17*100)</f>
        <v/>
      </c>
      <c r="CX46" s="133" t="str">
        <f>IF('Midterm OVPAA-F-INS-055A RAW SC'!CT46="","",'Midterm OVPAA-F-INS-055A RAW SC'!CT46/'Midterm OVPAA-F-INS-055A RAW SC'!CT$17*100)</f>
        <v/>
      </c>
      <c r="CY46" s="133" t="str">
        <f>IF('Midterm OVPAA-F-INS-055A RAW SC'!CU46="","",'Midterm OVPAA-F-INS-055A RAW SC'!CU46/'Midterm OVPAA-F-INS-055A RAW SC'!CU$17*100)</f>
        <v/>
      </c>
      <c r="CZ46" s="133" t="str">
        <f>IF('Midterm OVPAA-F-INS-055A RAW SC'!CV46="","",'Midterm OVPAA-F-INS-055A RAW SC'!CV46/'Midterm OVPAA-F-INS-055A RAW SC'!CV$17*100)</f>
        <v/>
      </c>
      <c r="DA46" s="133" t="str">
        <f>IF('Midterm OVPAA-F-INS-055A RAW SC'!CW46="","",'Midterm OVPAA-F-INS-055A RAW SC'!CW46/'Midterm OVPAA-F-INS-055A RAW SC'!CW$17*100)</f>
        <v/>
      </c>
      <c r="DB46" s="133" t="str">
        <f>IF('Midterm OVPAA-F-INS-055A RAW SC'!CX46="","",'Midterm OVPAA-F-INS-055A RAW SC'!CX46/'Midterm OVPAA-F-INS-055A RAW SC'!CX$17*100)</f>
        <v/>
      </c>
      <c r="DC46" s="134" t="str">
        <f t="array" ref="DC46">IF('Midterm OVPAA-F-INS-055A RAW SC'!$G46="","",IF((SUMPRODUCT(--ISBLANK('Midterm OVPAA-F-INS-055A RAW SC'!CO46:CX46))=COLUMNS('Midterm OVPAA-F-INS-055A RAW SC'!CO46:CX46))=TRUE,"",(((COUNTA('Midterm OVPAA-F-INS-055A RAW SC'!$CO$17:$CX$17)+COUNTBLANK('Midterm OVPAA-F-INS-055A RAW SC'!CO46:CX46))-COLUMNS('Midterm OVPAA-F-INS-055A RAW SC'!CO46:CX46))*5+SUM(CS46:DB46))/COUNTA('Midterm OVPAA-F-INS-055A RAW SC'!$CO$17:$CX$17)))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37" t="str">
        <f t="shared" si="2"/>
        <v/>
      </c>
      <c r="DG46" s="138" t="str">
        <f t="shared" si="3"/>
        <v/>
      </c>
      <c r="DH46" s="136" t="str">
        <f t="shared" si="4"/>
        <v/>
      </c>
      <c r="DI46" s="123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IF('Midterm OVPAA-F-INS-055A RAW SC'!H47="","",'Midterm OVPAA-F-INS-055A RAW SC'!H47/'Midterm OVPAA-F-INS-055A RAW SC'!H$17*100)</f>
        <v/>
      </c>
      <c r="I47" s="126" t="str">
        <f>IF('Midterm OVPAA-F-INS-055A RAW SC'!I47="","",'Midterm OVPAA-F-INS-055A RAW SC'!I47/'Midterm OVPAA-F-INS-055A RAW SC'!I$17*100)</f>
        <v/>
      </c>
      <c r="J47" s="126" t="str">
        <f>IF('Midterm OVPAA-F-INS-055A RAW SC'!J47="","",'Midterm OVPAA-F-INS-055A RAW SC'!J47/'Midterm OVPAA-F-INS-055A RAW SC'!J$17*100)</f>
        <v/>
      </c>
      <c r="K47" s="126" t="str">
        <f>IF('Midterm OVPAA-F-INS-055A RAW SC'!K47="","",'Midterm OVPAA-F-INS-055A RAW SC'!K47/'Midterm OVPAA-F-INS-055A RAW SC'!K$17*100)</f>
        <v/>
      </c>
      <c r="L47" s="126" t="str">
        <f>IF('Midterm OVPAA-F-INS-055A RAW SC'!L47="","",'Midterm OVPAA-F-INS-055A RAW SC'!L47/'Midterm OVPAA-F-INS-055A RAW SC'!L$17*100)</f>
        <v/>
      </c>
      <c r="M47" s="126" t="str">
        <f>IF('Midterm OVPAA-F-INS-055A RAW SC'!M47="","",'Midterm OVPAA-F-INS-055A RAW SC'!M47/'Midterm OVPAA-F-INS-055A RAW SC'!M$17*100)</f>
        <v/>
      </c>
      <c r="N47" s="126" t="str">
        <f>IF('Midterm OVPAA-F-INS-055A RAW SC'!N47="","",'Midterm OVPAA-F-INS-055A RAW SC'!N47/'Midterm OVPAA-F-INS-055A RAW SC'!N$17*100)</f>
        <v/>
      </c>
      <c r="O47" s="126" t="str">
        <f>IF('Midterm OVPAA-F-INS-055A RAW SC'!O47="","",'Midterm OVPAA-F-INS-055A RAW SC'!O47/'Midterm OVPAA-F-INS-055A RAW SC'!O$17*100)</f>
        <v/>
      </c>
      <c r="P47" s="126" t="str">
        <f>IF('Midterm OVPAA-F-INS-055A RAW SC'!P47="","",'Midterm OVPAA-F-INS-055A RAW SC'!P47/'Midterm OVPAA-F-INS-055A RAW SC'!P$17*100)</f>
        <v/>
      </c>
      <c r="Q47" s="126" t="str">
        <f>IF('Midterm OVPAA-F-INS-055A RAW SC'!Q47="","",'Midterm OVPAA-F-INS-055A RAW SC'!Q47/'Midterm OVPAA-F-INS-055A RAW SC'!Q$17*100)</f>
        <v/>
      </c>
      <c r="R47" s="126" t="str">
        <f>IF('Midterm OVPAA-F-INS-055A RAW SC'!R47="","",'Midterm OVPAA-F-INS-055A RAW SC'!R47/'Midterm OVPAA-F-INS-055A RAW SC'!R$17*100)</f>
        <v/>
      </c>
      <c r="S47" s="126" t="str">
        <f>IF('Midterm OVPAA-F-INS-055A RAW SC'!S47="","",'Midterm OVPAA-F-INS-055A RAW SC'!S47/'Midterm OVPAA-F-INS-055A RAW SC'!S$17*100)</f>
        <v/>
      </c>
      <c r="T47" s="126" t="str">
        <f>IF('Midterm OVPAA-F-INS-055A RAW SC'!T47="","",'Midterm OVPAA-F-INS-055A RAW SC'!T47/'Midterm OVPAA-F-INS-055A RAW SC'!T$17*100)</f>
        <v/>
      </c>
      <c r="U47" s="126" t="str">
        <f>IF('Midterm OVPAA-F-INS-055A RAW SC'!U47="","",'Midterm OVPAA-F-INS-055A RAW SC'!U47/'Midterm OVPAA-F-INS-055A RAW SC'!U$17*100)</f>
        <v/>
      </c>
      <c r="V47" s="126" t="str">
        <f>IF('Midterm OVPAA-F-INS-055A RAW SC'!V47="","",'Midterm OVPAA-F-INS-055A RAW SC'!V47/'Midterm OVPAA-F-INS-055A RAW SC'!V$17*100)</f>
        <v/>
      </c>
      <c r="W47" s="126" t="str">
        <f>IF('Midterm OVPAA-F-INS-055A RAW SC'!W47="","",'Midterm OVPAA-F-INS-055A RAW SC'!W47/'Midterm OVPAA-F-INS-055A RAW SC'!W$17*100)</f>
        <v/>
      </c>
      <c r="X47" s="126" t="str">
        <f>IF('Midterm OVPAA-F-INS-055A RAW SC'!X47="","",'Midterm OVPAA-F-INS-055A RAW SC'!X47/'Midterm OVPAA-F-INS-055A RAW SC'!X$17*100)</f>
        <v/>
      </c>
      <c r="Y47" s="126" t="str">
        <f>IF('Midterm OVPAA-F-INS-055A RAW SC'!Y47="","",'Midterm OVPAA-F-INS-055A RAW SC'!Y47/'Midterm OVPAA-F-INS-055A RAW SC'!Y$17*100)</f>
        <v/>
      </c>
      <c r="Z47" s="126" t="str">
        <f>IF('Midterm OVPAA-F-INS-055A RAW SC'!Z47="","",'Midterm OVPAA-F-INS-055A RAW SC'!Z47/'Midterm OVPAA-F-INS-055A RAW SC'!Z$17*100)</f>
        <v/>
      </c>
      <c r="AA47" s="126" t="str">
        <f>IF('Midterm OVPAA-F-INS-055A RAW SC'!AA47="","",'Midterm OVPAA-F-INS-055A RAW SC'!AA47/'Midterm OVPAA-F-INS-055A RAW SC'!AA$17*100)</f>
        <v/>
      </c>
      <c r="AB47" s="126" t="str">
        <f>IF('Midterm OVPAA-F-INS-055A RAW SC'!AB47="","",'Midterm OVPAA-F-INS-055A RAW SC'!AB47/'Midterm OVPAA-F-INS-055A RAW SC'!AB$17*100)</f>
        <v/>
      </c>
      <c r="AC47" s="126" t="str">
        <f>IF('Midterm OVPAA-F-INS-055A RAW SC'!AC47="","",'Midterm OVPAA-F-INS-055A RAW SC'!AC47/'Midterm OVPAA-F-INS-055A RAW SC'!AC$17*100)</f>
        <v/>
      </c>
      <c r="AD47" s="126" t="str">
        <f>IF('Midterm OVPAA-F-INS-055A RAW SC'!AD47="","",'Midterm OVPAA-F-INS-055A RAW SC'!AD47/'Midterm OVPAA-F-INS-055A RAW SC'!AD$17*100)</f>
        <v/>
      </c>
      <c r="AE47" s="126" t="str">
        <f>IF('Midterm OVPAA-F-INS-055A RAW SC'!AE47="","",'Midterm OVPAA-F-INS-055A RAW SC'!AE47/'Midterm OVPAA-F-INS-055A RAW SC'!AE$17*100)</f>
        <v/>
      </c>
      <c r="AF47" s="126" t="str">
        <f>IF('Midterm OVPAA-F-INS-055A RAW SC'!AF47="","",'Midterm OVPAA-F-INS-055A RAW SC'!AF47/'Midterm OVPAA-F-INS-055A RAW SC'!AF$17*100)</f>
        <v/>
      </c>
      <c r="AG47" s="126" t="str">
        <f>IF('Midterm OVPAA-F-INS-055A RAW SC'!AG47="","",'Midterm OVPAA-F-INS-055A RAW SC'!AG47/'Midterm OVPAA-F-INS-055A RAW SC'!AG$17*100)</f>
        <v/>
      </c>
      <c r="AH47" s="126" t="str">
        <f>IF('Midterm OVPAA-F-INS-055A RAW SC'!AH47="","",'Midterm OVPAA-F-INS-055A RAW SC'!AH47/'Midterm OVPAA-F-INS-055A RAW SC'!AH$17*100)</f>
        <v/>
      </c>
      <c r="AI47" s="126" t="str">
        <f>IF('Midterm OVPAA-F-INS-055A RAW SC'!AI47="","",'Midterm OVPAA-F-INS-055A RAW SC'!AI47/'Midterm OVPAA-F-INS-055A RAW SC'!AI$17*100)</f>
        <v/>
      </c>
      <c r="AJ47" s="126" t="str">
        <f>IF('Midterm OVPAA-F-INS-055A RAW SC'!AJ47="","",'Midterm OVPAA-F-INS-055A RAW SC'!AJ47/'Midterm OVPAA-F-INS-055A RAW SC'!AJ$17*100)</f>
        <v/>
      </c>
      <c r="AK47" s="126" t="str">
        <f>IF('Midterm OVPAA-F-INS-055A RAW SC'!AK47="","",'Midterm OVPAA-F-INS-055A RAW SC'!AK47/'Midterm OVPAA-F-INS-055A RAW SC'!AK$17*100)</f>
        <v/>
      </c>
      <c r="AL47" s="126" t="str">
        <f>IF('Midterm OVPAA-F-INS-055A RAW SC'!AL47="","",'Midterm OVPAA-F-INS-055A RAW SC'!AL47/'Midterm OVPAA-F-INS-055A RAW SC'!AL$17*100)</f>
        <v/>
      </c>
      <c r="AM47" s="126" t="str">
        <f>IF('Midterm OVPAA-F-INS-055A RAW SC'!AM47="","",'Midterm OVPAA-F-INS-055A RAW SC'!AM47/'Midterm OVPAA-F-INS-055A RAW SC'!AM$17*100)</f>
        <v/>
      </c>
      <c r="AN47" s="126" t="str">
        <f>IF('Midterm OVPAA-F-INS-055A RAW SC'!AN47="","",'Midterm OVPAA-F-INS-055A RAW SC'!AN47/'Midterm OVPAA-F-INS-055A RAW SC'!AN$17*100)</f>
        <v/>
      </c>
      <c r="AO47" s="126" t="str">
        <f>IF('Midterm OVPAA-F-INS-055A RAW SC'!AO47="","",'Midterm OVPAA-F-INS-055A RAW SC'!AO47/'Midterm OVPAA-F-INS-055A RAW SC'!AO$17*100)</f>
        <v/>
      </c>
      <c r="AP47" s="126" t="str">
        <f>IF('Midterm OVPAA-F-INS-055A RAW SC'!AP47="","",'Midterm OVPAA-F-INS-055A RAW SC'!AP47/'Midterm OVPAA-F-INS-055A RAW SC'!AP$17*100)</f>
        <v/>
      </c>
      <c r="AQ47" s="126" t="str">
        <f>IF('Midterm OVPAA-F-INS-055A RAW SC'!AQ47="","",'Midterm OVPAA-F-INS-055A RAW SC'!AQ47/'Midterm OVPAA-F-INS-055A RAW SC'!AQ$17*100)</f>
        <v/>
      </c>
      <c r="AR47" s="126" t="str">
        <f>IF('Midterm OVPAA-F-INS-055A RAW SC'!AR47="","",'Midterm OVPAA-F-INS-055A RAW SC'!AR47/'Midterm OVPAA-F-INS-055A RAW SC'!AR$17*100)</f>
        <v/>
      </c>
      <c r="AS47" s="126" t="str">
        <f>IF('Midterm OVPAA-F-INS-055A RAW SC'!AS47="","",'Midterm OVPAA-F-INS-055A RAW SC'!AS47/'Midterm OVPAA-F-INS-055A RAW SC'!AS$17*100)</f>
        <v/>
      </c>
      <c r="AT47" s="126" t="str">
        <f>IF('Midterm OVPAA-F-INS-055A RAW SC'!AT47="","",'Midterm OVPAA-F-INS-055A RAW SC'!AT47/'Midterm OVPAA-F-INS-055A RAW SC'!AT$17*100)</f>
        <v/>
      </c>
      <c r="AU47" s="126" t="str">
        <f>IF('Midterm OVPAA-F-INS-055A RAW SC'!AU47="","",'Midterm OVPAA-F-INS-055A RAW SC'!AU47/'Midterm OVPAA-F-INS-055A RAW SC'!AU$17*100)</f>
        <v/>
      </c>
      <c r="AV47" s="126" t="str">
        <f>IF('Midterm OVPAA-F-INS-055A RAW SC'!AV47="","",'Midterm OVPAA-F-INS-055A RAW SC'!AV47/'Midterm OVPAA-F-INS-055A RAW SC'!AV$17*100)</f>
        <v/>
      </c>
      <c r="AW47" s="126" t="str">
        <f>IF('Midterm OVPAA-F-INS-055A RAW SC'!AW47="","",'Midterm OVPAA-F-INS-055A RAW SC'!AW47/'Midterm OVPAA-F-INS-055A RAW SC'!AW$17*100)</f>
        <v/>
      </c>
      <c r="AX47" s="126" t="str">
        <f>IF('Midterm OVPAA-F-INS-055A RAW SC'!AX47="","",'Midterm OVPAA-F-INS-055A RAW SC'!AX47/'Midterm OVPAA-F-INS-055A RAW SC'!AX$17*100)</f>
        <v/>
      </c>
      <c r="AY47" s="126" t="str">
        <f>IF('Midterm OVPAA-F-INS-055A RAW SC'!AY47="","",'Midterm OVPAA-F-INS-055A RAW SC'!AY47/'Midterm OVPAA-F-INS-055A RAW SC'!AY$17*100)</f>
        <v/>
      </c>
      <c r="AZ47" s="126" t="str">
        <f>IF('Midterm OVPAA-F-INS-055A RAW SC'!AZ47="","",'Midterm OVPAA-F-INS-055A RAW SC'!AZ47/'Midterm OVPAA-F-INS-055A RAW SC'!AZ$17*100)</f>
        <v/>
      </c>
      <c r="BA47" s="126" t="str">
        <f>IF('Midterm OVPAA-F-INS-055A RAW SC'!BA47="","",'Midterm OVPAA-F-INS-055A RAW SC'!BA47/'Midterm OVPAA-F-INS-055A RAW SC'!BA$17*100)</f>
        <v/>
      </c>
      <c r="BB47" s="126" t="str">
        <f>IF('Midterm OVPAA-F-INS-055A RAW SC'!BB47="","",'Midterm OVPAA-F-INS-055A RAW SC'!BB47/'Midterm OVPAA-F-INS-055A RAW SC'!BB$17*100)</f>
        <v/>
      </c>
      <c r="BC47" s="126" t="str">
        <f>IF('Midterm OVPAA-F-INS-055A RAW SC'!BC47="","",'Midterm OVPAA-F-INS-055A RAW SC'!BC47/'Midterm OVPAA-F-INS-055A RAW SC'!BC$17*100)</f>
        <v/>
      </c>
      <c r="BD47" s="126" t="str">
        <f>IF('Midterm OVPAA-F-INS-055A RAW SC'!BD47="","",'Midterm OVPAA-F-INS-055A RAW SC'!BD47/'Midterm OVPAA-F-INS-055A RAW SC'!BD$17*100)</f>
        <v/>
      </c>
      <c r="BE47" s="126" t="str">
        <f>IF('Midterm OVPAA-F-INS-055A RAW SC'!BE47="","",'Midterm OVPAA-F-INS-055A RAW SC'!BE47/'Midterm OVPAA-F-INS-055A RAW SC'!BE$17*100)</f>
        <v/>
      </c>
      <c r="BF47" s="126" t="str">
        <f>IF('Midterm OVPAA-F-INS-055A RAW SC'!BF47="","",'Midterm OVPAA-F-INS-055A RAW SC'!BF47/'Midterm OVPAA-F-INS-055A RAW SC'!BF$17*100)</f>
        <v/>
      </c>
      <c r="BG47" s="126" t="str">
        <f>IF('Midterm OVPAA-F-INS-055A RAW SC'!BG47="","",'Midterm OVPAA-F-INS-055A RAW SC'!BG47/'Midterm OVPAA-F-INS-055A RAW SC'!BG$17*100)</f>
        <v/>
      </c>
      <c r="BH47" s="126" t="str">
        <f>IF('Midterm OVPAA-F-INS-055A RAW SC'!BH47="","",'Midterm OVPAA-F-INS-055A RAW SC'!BH47/'Midterm OVPAA-F-INS-055A RAW SC'!BH$17*100)</f>
        <v/>
      </c>
      <c r="BI47" s="126" t="str">
        <f>IF('Midterm OVPAA-F-INS-055A RAW SC'!BI47="","",'Midterm OVPAA-F-INS-055A RAW SC'!BI47/'Midterm OVPAA-F-INS-055A RAW SC'!BI$17*100)</f>
        <v/>
      </c>
      <c r="BJ47" s="126" t="str">
        <f>IF('Midterm OVPAA-F-INS-055A RAW SC'!BJ47="","",'Midterm OVPAA-F-INS-055A RAW SC'!BJ47/'Midterm OVPAA-F-INS-055A RAW SC'!BJ$17*100)</f>
        <v/>
      </c>
      <c r="BK47" s="126" t="str">
        <f>IF('Midterm OVPAA-F-INS-055A RAW SC'!BK47="","",'Midterm OVPAA-F-INS-055A RAW SC'!BK47/'Midterm OVPAA-F-INS-055A RAW SC'!BK$17*100)</f>
        <v/>
      </c>
      <c r="BL47" s="126" t="str">
        <f>IF('Midterm OVPAA-F-INS-055A RAW SC'!BL47="","",'Midterm OVPAA-F-INS-055A RAW SC'!BL47/'Midterm OVPAA-F-INS-055A RAW SC'!BL$17*100)</f>
        <v/>
      </c>
      <c r="BM47" s="126" t="str">
        <f>IF('Midterm OVPAA-F-INS-055A RAW SC'!BM47="","",'Midterm OVPAA-F-INS-055A RAW SC'!BM47/'Midterm OVPAA-F-INS-055A RAW SC'!BM$17*100)</f>
        <v/>
      </c>
      <c r="BN47" s="126" t="str">
        <f>IF('Midterm OVPAA-F-INS-055A RAW SC'!BN47="","",'Midterm OVPAA-F-INS-055A RAW SC'!BN47/'Midterm OVPAA-F-INS-055A RAW SC'!BN$17*100)</f>
        <v/>
      </c>
      <c r="BO47" s="126" t="str">
        <f>IF('Midterm OVPAA-F-INS-055A RAW SC'!BO47="","",'Midterm OVPAA-F-INS-055A RAW SC'!BO47/'Midterm OVPAA-F-INS-055A RAW SC'!BO$17*100)</f>
        <v/>
      </c>
      <c r="BP47" s="126" t="str">
        <f>IF('Midterm OVPAA-F-INS-055A RAW SC'!BP47="","",'Midterm OVPAA-F-INS-055A RAW SC'!BP47/'Midterm OVPAA-F-INS-055A RAW SC'!BP$17*100)</f>
        <v/>
      </c>
      <c r="BQ47" s="126" t="str">
        <f>IF('Midterm OVPAA-F-INS-055A RAW SC'!BQ47="","",'Midterm OVPAA-F-INS-055A RAW SC'!BQ47/'Midterm OVPAA-F-INS-055A RAW SC'!BQ$17*100)</f>
        <v/>
      </c>
      <c r="BR47" s="126" t="str">
        <f>IF('Midterm OVPAA-F-INS-055A RAW SC'!BR47="","",'Midterm OVPAA-F-INS-055A RAW SC'!BR47/'Midterm OVPAA-F-INS-055A RAW SC'!BR$17*100)</f>
        <v/>
      </c>
      <c r="BS47" s="126" t="str">
        <f>IF('Midterm OVPAA-F-INS-055A RAW SC'!BS47="","",'Midterm OVPAA-F-INS-055A RAW SC'!BS47/'Midterm OVPAA-F-INS-055A RAW SC'!BS$17*100)</f>
        <v/>
      </c>
      <c r="BT47" s="126" t="str">
        <f>IF('Midterm OVPAA-F-INS-055A RAW SC'!BT47="","",'Midterm OVPAA-F-INS-055A RAW SC'!BT47/'Midterm OVPAA-F-INS-055A RAW SC'!BT$17*100)</f>
        <v/>
      </c>
      <c r="BU47" s="127" t="str">
        <f t="array" ref="BU47">IF('Midterm OVPAA-F-INS-055A RAW SC'!$G47="","",IF((SUMPRODUCT(--ISBLANK('Midterm OVPAA-F-INS-055A RAW SC'!H47:BT47))=COLUMNS('Midterm OVPAA-F-INS-055A RAW SC'!H47:BT47))=TRUE,"",(((COUNTA('Midterm OVPAA-F-INS-055A RAW SC'!$H$17:$BT$17)+COUNTBLANK('Midterm OVPAA-F-INS-055A RAW SC'!H47:BT47))-COLUMNS('Midterm OVPAA-F-INS-055A RAW SC'!H47:BT47))*5+SUM(H47:BT47))/COUNTA('Midterm OVPAA-F-INS-055A RAW SC'!$H$17:$BT$17)))</f>
        <v/>
      </c>
      <c r="BV47" s="128" t="str">
        <f>IF(BU47="","",VLOOKUP(BU47,IF('Midterm OVPAA-F-INS-055A RAW SC'!$V$12=0.5,TRANSMUTATION!$C$4:$D$17,TRANSMUTATION!$G$4:$H$17),2,TRUE))</f>
        <v/>
      </c>
      <c r="BW47" s="129" t="str">
        <f>IF('Midterm OVPAA-F-INS-055A RAW SC'!BU47="","",'Midterm OVPAA-F-INS-055A RAW SC'!BU47/'Midterm OVPAA-F-INS-055A RAW SC'!BU$17*100)</f>
        <v/>
      </c>
      <c r="BX47" s="130" t="str">
        <f>IF('Midterm OVPAA-F-INS-055A RAW SC'!BV47="","",'Midterm OVPAA-F-INS-055A RAW SC'!BV47/'Midterm OVPAA-F-INS-055A RAW SC'!BV$17*100)</f>
        <v/>
      </c>
      <c r="BY47" s="130" t="str">
        <f>IF('Midterm OVPAA-F-INS-055A RAW SC'!BW47="","",'Midterm OVPAA-F-INS-055A RAW SC'!BW47/'Midterm OVPAA-F-INS-055A RAW SC'!BW$17*100)</f>
        <v/>
      </c>
      <c r="BZ47" s="130" t="str">
        <f>IF('Midterm OVPAA-F-INS-055A RAW SC'!BX47="","",'Midterm OVPAA-F-INS-055A RAW SC'!BX47/'Midterm OVPAA-F-INS-055A RAW SC'!BX$17*100)</f>
        <v/>
      </c>
      <c r="CA47" s="130" t="str">
        <f>IF('Midterm OVPAA-F-INS-055A RAW SC'!BY47="","",'Midterm OVPAA-F-INS-055A RAW SC'!BY47/'Midterm OVPAA-F-INS-055A RAW SC'!BY$17*100)</f>
        <v/>
      </c>
      <c r="CB47" s="130" t="str">
        <f>IF('Midterm OVPAA-F-INS-055A RAW SC'!BZ47="","",'Midterm OVPAA-F-INS-055A RAW SC'!BZ47/'Midterm OVPAA-F-INS-055A RAW SC'!BZ$17*100)</f>
        <v/>
      </c>
      <c r="CC47" s="130" t="str">
        <f>IF('Midterm OVPAA-F-INS-055A RAW SC'!CA47="","",'Midterm OVPAA-F-INS-055A RAW SC'!CA47/'Midterm OVPAA-F-INS-055A RAW SC'!CA$17*100)</f>
        <v/>
      </c>
      <c r="CD47" s="130" t="str">
        <f>IF('Midterm OVPAA-F-INS-055A RAW SC'!CB47="","",'Midterm OVPAA-F-INS-055A RAW SC'!CB47/'Midterm OVPAA-F-INS-055A RAW SC'!CB$17*100)</f>
        <v/>
      </c>
      <c r="CE47" s="130" t="str">
        <f>IF('Midterm OVPAA-F-INS-055A RAW SC'!CC47="","",'Midterm OVPAA-F-INS-055A RAW SC'!CC47/'Midterm OVPAA-F-INS-055A RAW SC'!CC$17*100)</f>
        <v/>
      </c>
      <c r="CF47" s="130" t="str">
        <f>IF('Midterm OVPAA-F-INS-055A RAW SC'!CD47="","",'Midterm OVPAA-F-INS-055A RAW SC'!CD47/'Midterm OVPAA-F-INS-055A RAW SC'!CD$17*100)</f>
        <v/>
      </c>
      <c r="CG47" s="130" t="str">
        <f>IF('Midterm OVPAA-F-INS-055A RAW SC'!CE47="","",'Midterm OVPAA-F-INS-055A RAW SC'!CE47/'Midterm OVPAA-F-INS-055A RAW SC'!CE$17*100)</f>
        <v/>
      </c>
      <c r="CH47" s="130" t="str">
        <f>IF('Midterm OVPAA-F-INS-055A RAW SC'!CF47="","",'Midterm OVPAA-F-INS-055A RAW SC'!CF47/'Midterm OVPAA-F-INS-055A RAW SC'!CF$17*100)</f>
        <v/>
      </c>
      <c r="CI47" s="130" t="str">
        <f>IF('Midterm OVPAA-F-INS-055A RAW SC'!CG47="","",'Midterm OVPAA-F-INS-055A RAW SC'!CG47/'Midterm OVPAA-F-INS-055A RAW SC'!CG$17*100)</f>
        <v/>
      </c>
      <c r="CJ47" s="130" t="str">
        <f>IF('Midterm OVPAA-F-INS-055A RAW SC'!CH47="","",'Midterm OVPAA-F-INS-055A RAW SC'!CH47/'Midterm OVPAA-F-INS-055A RAW SC'!CH$17*100)</f>
        <v/>
      </c>
      <c r="CK47" s="130" t="str">
        <f>IF('Midterm OVPAA-F-INS-055A RAW SC'!CI47="","",'Midterm OVPAA-F-INS-055A RAW SC'!CI47/'Midterm OVPAA-F-INS-055A RAW SC'!CI$17*100)</f>
        <v/>
      </c>
      <c r="CL47" s="130" t="str">
        <f>IF('Midterm OVPAA-F-INS-055A RAW SC'!CJ47="","",'Midterm OVPAA-F-INS-055A RAW SC'!CJ47/'Midterm OVPAA-F-INS-055A RAW SC'!CJ$17*100)</f>
        <v/>
      </c>
      <c r="CM47" s="130" t="str">
        <f>IF('Midterm OVPAA-F-INS-055A RAW SC'!CK47="","",'Midterm OVPAA-F-INS-055A RAW SC'!CK47/'Midterm OVPAA-F-INS-055A RAW SC'!CK$17*100)</f>
        <v/>
      </c>
      <c r="CN47" s="130" t="str">
        <f>IF('Midterm OVPAA-F-INS-055A RAW SC'!CL47="","",'Midterm OVPAA-F-INS-055A RAW SC'!CL47/'Midterm OVPAA-F-INS-055A RAW SC'!CL$17*100)</f>
        <v/>
      </c>
      <c r="CO47" s="130" t="str">
        <f>IF('Midterm OVPAA-F-INS-055A RAW SC'!CM47="","",'Midterm OVPAA-F-INS-055A RAW SC'!CM47/'Midterm OVPAA-F-INS-055A RAW SC'!CM$17*100)</f>
        <v/>
      </c>
      <c r="CP47" s="130" t="str">
        <f>IF('Midterm OVPAA-F-INS-055A RAW SC'!CN47="","",'Midterm OVPAA-F-INS-055A RAW SC'!CN47/'Midterm OVPAA-F-INS-055A RAW SC'!CN$17*100)</f>
        <v/>
      </c>
      <c r="CQ47" s="131" t="str">
        <f t="array" ref="CQ47">IF('Midterm OVPAA-F-INS-055A RAW SC'!G47="","",IF((SUMPRODUCT(--ISBLANK('Midterm OVPAA-F-INS-055A RAW SC'!BU47:CN47))=COLUMNS('Midterm OVPAA-F-INS-055A RAW SC'!BU47:CN47))=TRUE,"",(((COUNTA('Midterm OVPAA-F-INS-055A RAW SC'!$BU$17:$CN$17)+COUNTBLANK('Midterm OVPAA-F-INS-055A RAW SC'!BU47:CN47))-COLUMNS('Midterm OVPAA-F-INS-055A RAW SC'!BU47:CN47))*5+SUM(BW47:CP47))/COUNTA('Midterm OVPAA-F-INS-055A RAW SC'!$BU$17:$CN$17)))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IF('Midterm OVPAA-F-INS-055A RAW SC'!CO47="","",'Midterm OVPAA-F-INS-055A RAW SC'!CO47/'Midterm OVPAA-F-INS-055A RAW SC'!CO$17*100)</f>
        <v/>
      </c>
      <c r="CT47" s="133" t="str">
        <f>IF('Midterm OVPAA-F-INS-055A RAW SC'!CP47="","",'Midterm OVPAA-F-INS-055A RAW SC'!CP47/'Midterm OVPAA-F-INS-055A RAW SC'!CP$17*100)</f>
        <v/>
      </c>
      <c r="CU47" s="133" t="str">
        <f>IF('Midterm OVPAA-F-INS-055A RAW SC'!CQ47="","",'Midterm OVPAA-F-INS-055A RAW SC'!CQ47/'Midterm OVPAA-F-INS-055A RAW SC'!CQ$17*100)</f>
        <v/>
      </c>
      <c r="CV47" s="133" t="str">
        <f>IF('Midterm OVPAA-F-INS-055A RAW SC'!CR47="","",'Midterm OVPAA-F-INS-055A RAW SC'!CR47/'Midterm OVPAA-F-INS-055A RAW SC'!CR$17*100)</f>
        <v/>
      </c>
      <c r="CW47" s="133" t="str">
        <f>IF('Midterm OVPAA-F-INS-055A RAW SC'!CS47="","",'Midterm OVPAA-F-INS-055A RAW SC'!CS47/'Midterm OVPAA-F-INS-055A RAW SC'!CS$17*100)</f>
        <v/>
      </c>
      <c r="CX47" s="133" t="str">
        <f>IF('Midterm OVPAA-F-INS-055A RAW SC'!CT47="","",'Midterm OVPAA-F-INS-055A RAW SC'!CT47/'Midterm OVPAA-F-INS-055A RAW SC'!CT$17*100)</f>
        <v/>
      </c>
      <c r="CY47" s="133" t="str">
        <f>IF('Midterm OVPAA-F-INS-055A RAW SC'!CU47="","",'Midterm OVPAA-F-INS-055A RAW SC'!CU47/'Midterm OVPAA-F-INS-055A RAW SC'!CU$17*100)</f>
        <v/>
      </c>
      <c r="CZ47" s="133" t="str">
        <f>IF('Midterm OVPAA-F-INS-055A RAW SC'!CV47="","",'Midterm OVPAA-F-INS-055A RAW SC'!CV47/'Midterm OVPAA-F-INS-055A RAW SC'!CV$17*100)</f>
        <v/>
      </c>
      <c r="DA47" s="133" t="str">
        <f>IF('Midterm OVPAA-F-INS-055A RAW SC'!CW47="","",'Midterm OVPAA-F-INS-055A RAW SC'!CW47/'Midterm OVPAA-F-INS-055A RAW SC'!CW$17*100)</f>
        <v/>
      </c>
      <c r="DB47" s="133" t="str">
        <f>IF('Midterm OVPAA-F-INS-055A RAW SC'!CX47="","",'Midterm OVPAA-F-INS-055A RAW SC'!CX47/'Midterm OVPAA-F-INS-055A RAW SC'!CX$17*100)</f>
        <v/>
      </c>
      <c r="DC47" s="134" t="str">
        <f t="array" ref="DC47">IF('Midterm OVPAA-F-INS-055A RAW SC'!$G47="","",IF((SUMPRODUCT(--ISBLANK('Midterm OVPAA-F-INS-055A RAW SC'!CO47:CX47))=COLUMNS('Midterm OVPAA-F-INS-055A RAW SC'!CO47:CX47))=TRUE,"",(((COUNTA('Midterm OVPAA-F-INS-055A RAW SC'!$CO$17:$CX$17)+COUNTBLANK('Midterm OVPAA-F-INS-055A RAW SC'!CO47:CX47))-COLUMNS('Midterm OVPAA-F-INS-055A RAW SC'!CO47:CX47))*5+SUM(CS47:DB47))/COUNTA('Midterm OVPAA-F-INS-055A RAW SC'!$CO$17:$CX$17)))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37" t="str">
        <f t="shared" si="2"/>
        <v/>
      </c>
      <c r="DG47" s="138" t="str">
        <f t="shared" si="3"/>
        <v/>
      </c>
      <c r="DH47" s="136" t="str">
        <f t="shared" si="4"/>
        <v/>
      </c>
      <c r="DI47" s="123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IF('Midterm OVPAA-F-INS-055A RAW SC'!H48="","",'Midterm OVPAA-F-INS-055A RAW SC'!H48/'Midterm OVPAA-F-INS-055A RAW SC'!H$17*100)</f>
        <v/>
      </c>
      <c r="I48" s="126" t="str">
        <f>IF('Midterm OVPAA-F-INS-055A RAW SC'!I48="","",'Midterm OVPAA-F-INS-055A RAW SC'!I48/'Midterm OVPAA-F-INS-055A RAW SC'!I$17*100)</f>
        <v/>
      </c>
      <c r="J48" s="126" t="str">
        <f>IF('Midterm OVPAA-F-INS-055A RAW SC'!J48="","",'Midterm OVPAA-F-INS-055A RAW SC'!J48/'Midterm OVPAA-F-INS-055A RAW SC'!J$17*100)</f>
        <v/>
      </c>
      <c r="K48" s="126" t="str">
        <f>IF('Midterm OVPAA-F-INS-055A RAW SC'!K48="","",'Midterm OVPAA-F-INS-055A RAW SC'!K48/'Midterm OVPAA-F-INS-055A RAW SC'!K$17*100)</f>
        <v/>
      </c>
      <c r="L48" s="126" t="str">
        <f>IF('Midterm OVPAA-F-INS-055A RAW SC'!L48="","",'Midterm OVPAA-F-INS-055A RAW SC'!L48/'Midterm OVPAA-F-INS-055A RAW SC'!L$17*100)</f>
        <v/>
      </c>
      <c r="M48" s="126" t="str">
        <f>IF('Midterm OVPAA-F-INS-055A RAW SC'!M48="","",'Midterm OVPAA-F-INS-055A RAW SC'!M48/'Midterm OVPAA-F-INS-055A RAW SC'!M$17*100)</f>
        <v/>
      </c>
      <c r="N48" s="126" t="str">
        <f>IF('Midterm OVPAA-F-INS-055A RAW SC'!N48="","",'Midterm OVPAA-F-INS-055A RAW SC'!N48/'Midterm OVPAA-F-INS-055A RAW SC'!N$17*100)</f>
        <v/>
      </c>
      <c r="O48" s="126" t="str">
        <f>IF('Midterm OVPAA-F-INS-055A RAW SC'!O48="","",'Midterm OVPAA-F-INS-055A RAW SC'!O48/'Midterm OVPAA-F-INS-055A RAW SC'!O$17*100)</f>
        <v/>
      </c>
      <c r="P48" s="126" t="str">
        <f>IF('Midterm OVPAA-F-INS-055A RAW SC'!P48="","",'Midterm OVPAA-F-INS-055A RAW SC'!P48/'Midterm OVPAA-F-INS-055A RAW SC'!P$17*100)</f>
        <v/>
      </c>
      <c r="Q48" s="126" t="str">
        <f>IF('Midterm OVPAA-F-INS-055A RAW SC'!Q48="","",'Midterm OVPAA-F-INS-055A RAW SC'!Q48/'Midterm OVPAA-F-INS-055A RAW SC'!Q$17*100)</f>
        <v/>
      </c>
      <c r="R48" s="126" t="str">
        <f>IF('Midterm OVPAA-F-INS-055A RAW SC'!R48="","",'Midterm OVPAA-F-INS-055A RAW SC'!R48/'Midterm OVPAA-F-INS-055A RAW SC'!R$17*100)</f>
        <v/>
      </c>
      <c r="S48" s="126" t="str">
        <f>IF('Midterm OVPAA-F-INS-055A RAW SC'!S48="","",'Midterm OVPAA-F-INS-055A RAW SC'!S48/'Midterm OVPAA-F-INS-055A RAW SC'!S$17*100)</f>
        <v/>
      </c>
      <c r="T48" s="126" t="str">
        <f>IF('Midterm OVPAA-F-INS-055A RAW SC'!T48="","",'Midterm OVPAA-F-INS-055A RAW SC'!T48/'Midterm OVPAA-F-INS-055A RAW SC'!T$17*100)</f>
        <v/>
      </c>
      <c r="U48" s="126" t="str">
        <f>IF('Midterm OVPAA-F-INS-055A RAW SC'!U48="","",'Midterm OVPAA-F-INS-055A RAW SC'!U48/'Midterm OVPAA-F-INS-055A RAW SC'!U$17*100)</f>
        <v/>
      </c>
      <c r="V48" s="126" t="str">
        <f>IF('Midterm OVPAA-F-INS-055A RAW SC'!V48="","",'Midterm OVPAA-F-INS-055A RAW SC'!V48/'Midterm OVPAA-F-INS-055A RAW SC'!V$17*100)</f>
        <v/>
      </c>
      <c r="W48" s="126" t="str">
        <f>IF('Midterm OVPAA-F-INS-055A RAW SC'!W48="","",'Midterm OVPAA-F-INS-055A RAW SC'!W48/'Midterm OVPAA-F-INS-055A RAW SC'!W$17*100)</f>
        <v/>
      </c>
      <c r="X48" s="126" t="str">
        <f>IF('Midterm OVPAA-F-INS-055A RAW SC'!X48="","",'Midterm OVPAA-F-INS-055A RAW SC'!X48/'Midterm OVPAA-F-INS-055A RAW SC'!X$17*100)</f>
        <v/>
      </c>
      <c r="Y48" s="126" t="str">
        <f>IF('Midterm OVPAA-F-INS-055A RAW SC'!Y48="","",'Midterm OVPAA-F-INS-055A RAW SC'!Y48/'Midterm OVPAA-F-INS-055A RAW SC'!Y$17*100)</f>
        <v/>
      </c>
      <c r="Z48" s="126" t="str">
        <f>IF('Midterm OVPAA-F-INS-055A RAW SC'!Z48="","",'Midterm OVPAA-F-INS-055A RAW SC'!Z48/'Midterm OVPAA-F-INS-055A RAW SC'!Z$17*100)</f>
        <v/>
      </c>
      <c r="AA48" s="126" t="str">
        <f>IF('Midterm OVPAA-F-INS-055A RAW SC'!AA48="","",'Midterm OVPAA-F-INS-055A RAW SC'!AA48/'Midterm OVPAA-F-INS-055A RAW SC'!AA$17*100)</f>
        <v/>
      </c>
      <c r="AB48" s="126" t="str">
        <f>IF('Midterm OVPAA-F-INS-055A RAW SC'!AB48="","",'Midterm OVPAA-F-INS-055A RAW SC'!AB48/'Midterm OVPAA-F-INS-055A RAW SC'!AB$17*100)</f>
        <v/>
      </c>
      <c r="AC48" s="126" t="str">
        <f>IF('Midterm OVPAA-F-INS-055A RAW SC'!AC48="","",'Midterm OVPAA-F-INS-055A RAW SC'!AC48/'Midterm OVPAA-F-INS-055A RAW SC'!AC$17*100)</f>
        <v/>
      </c>
      <c r="AD48" s="126" t="str">
        <f>IF('Midterm OVPAA-F-INS-055A RAW SC'!AD48="","",'Midterm OVPAA-F-INS-055A RAW SC'!AD48/'Midterm OVPAA-F-INS-055A RAW SC'!AD$17*100)</f>
        <v/>
      </c>
      <c r="AE48" s="126" t="str">
        <f>IF('Midterm OVPAA-F-INS-055A RAW SC'!AE48="","",'Midterm OVPAA-F-INS-055A RAW SC'!AE48/'Midterm OVPAA-F-INS-055A RAW SC'!AE$17*100)</f>
        <v/>
      </c>
      <c r="AF48" s="126" t="str">
        <f>IF('Midterm OVPAA-F-INS-055A RAW SC'!AF48="","",'Midterm OVPAA-F-INS-055A RAW SC'!AF48/'Midterm OVPAA-F-INS-055A RAW SC'!AF$17*100)</f>
        <v/>
      </c>
      <c r="AG48" s="126" t="str">
        <f>IF('Midterm OVPAA-F-INS-055A RAW SC'!AG48="","",'Midterm OVPAA-F-INS-055A RAW SC'!AG48/'Midterm OVPAA-F-INS-055A RAW SC'!AG$17*100)</f>
        <v/>
      </c>
      <c r="AH48" s="126" t="str">
        <f>IF('Midterm OVPAA-F-INS-055A RAW SC'!AH48="","",'Midterm OVPAA-F-INS-055A RAW SC'!AH48/'Midterm OVPAA-F-INS-055A RAW SC'!AH$17*100)</f>
        <v/>
      </c>
      <c r="AI48" s="126" t="str">
        <f>IF('Midterm OVPAA-F-INS-055A RAW SC'!AI48="","",'Midterm OVPAA-F-INS-055A RAW SC'!AI48/'Midterm OVPAA-F-INS-055A RAW SC'!AI$17*100)</f>
        <v/>
      </c>
      <c r="AJ48" s="126" t="str">
        <f>IF('Midterm OVPAA-F-INS-055A RAW SC'!AJ48="","",'Midterm OVPAA-F-INS-055A RAW SC'!AJ48/'Midterm OVPAA-F-INS-055A RAW SC'!AJ$17*100)</f>
        <v/>
      </c>
      <c r="AK48" s="126" t="str">
        <f>IF('Midterm OVPAA-F-INS-055A RAW SC'!AK48="","",'Midterm OVPAA-F-INS-055A RAW SC'!AK48/'Midterm OVPAA-F-INS-055A RAW SC'!AK$17*100)</f>
        <v/>
      </c>
      <c r="AL48" s="126" t="str">
        <f>IF('Midterm OVPAA-F-INS-055A RAW SC'!AL48="","",'Midterm OVPAA-F-INS-055A RAW SC'!AL48/'Midterm OVPAA-F-INS-055A RAW SC'!AL$17*100)</f>
        <v/>
      </c>
      <c r="AM48" s="126" t="str">
        <f>IF('Midterm OVPAA-F-INS-055A RAW SC'!AM48="","",'Midterm OVPAA-F-INS-055A RAW SC'!AM48/'Midterm OVPAA-F-INS-055A RAW SC'!AM$17*100)</f>
        <v/>
      </c>
      <c r="AN48" s="126" t="str">
        <f>IF('Midterm OVPAA-F-INS-055A RAW SC'!AN48="","",'Midterm OVPAA-F-INS-055A RAW SC'!AN48/'Midterm OVPAA-F-INS-055A RAW SC'!AN$17*100)</f>
        <v/>
      </c>
      <c r="AO48" s="126" t="str">
        <f>IF('Midterm OVPAA-F-INS-055A RAW SC'!AO48="","",'Midterm OVPAA-F-INS-055A RAW SC'!AO48/'Midterm OVPAA-F-INS-055A RAW SC'!AO$17*100)</f>
        <v/>
      </c>
      <c r="AP48" s="126" t="str">
        <f>IF('Midterm OVPAA-F-INS-055A RAW SC'!AP48="","",'Midterm OVPAA-F-INS-055A RAW SC'!AP48/'Midterm OVPAA-F-INS-055A RAW SC'!AP$17*100)</f>
        <v/>
      </c>
      <c r="AQ48" s="126" t="str">
        <f>IF('Midterm OVPAA-F-INS-055A RAW SC'!AQ48="","",'Midterm OVPAA-F-INS-055A RAW SC'!AQ48/'Midterm OVPAA-F-INS-055A RAW SC'!AQ$17*100)</f>
        <v/>
      </c>
      <c r="AR48" s="126" t="str">
        <f>IF('Midterm OVPAA-F-INS-055A RAW SC'!AR48="","",'Midterm OVPAA-F-INS-055A RAW SC'!AR48/'Midterm OVPAA-F-INS-055A RAW SC'!AR$17*100)</f>
        <v/>
      </c>
      <c r="AS48" s="126" t="str">
        <f>IF('Midterm OVPAA-F-INS-055A RAW SC'!AS48="","",'Midterm OVPAA-F-INS-055A RAW SC'!AS48/'Midterm OVPAA-F-INS-055A RAW SC'!AS$17*100)</f>
        <v/>
      </c>
      <c r="AT48" s="126" t="str">
        <f>IF('Midterm OVPAA-F-INS-055A RAW SC'!AT48="","",'Midterm OVPAA-F-INS-055A RAW SC'!AT48/'Midterm OVPAA-F-INS-055A RAW SC'!AT$17*100)</f>
        <v/>
      </c>
      <c r="AU48" s="126" t="str">
        <f>IF('Midterm OVPAA-F-INS-055A RAW SC'!AU48="","",'Midterm OVPAA-F-INS-055A RAW SC'!AU48/'Midterm OVPAA-F-INS-055A RAW SC'!AU$17*100)</f>
        <v/>
      </c>
      <c r="AV48" s="126" t="str">
        <f>IF('Midterm OVPAA-F-INS-055A RAW SC'!AV48="","",'Midterm OVPAA-F-INS-055A RAW SC'!AV48/'Midterm OVPAA-F-INS-055A RAW SC'!AV$17*100)</f>
        <v/>
      </c>
      <c r="AW48" s="126" t="str">
        <f>IF('Midterm OVPAA-F-INS-055A RAW SC'!AW48="","",'Midterm OVPAA-F-INS-055A RAW SC'!AW48/'Midterm OVPAA-F-INS-055A RAW SC'!AW$17*100)</f>
        <v/>
      </c>
      <c r="AX48" s="126" t="str">
        <f>IF('Midterm OVPAA-F-INS-055A RAW SC'!AX48="","",'Midterm OVPAA-F-INS-055A RAW SC'!AX48/'Midterm OVPAA-F-INS-055A RAW SC'!AX$17*100)</f>
        <v/>
      </c>
      <c r="AY48" s="126" t="str">
        <f>IF('Midterm OVPAA-F-INS-055A RAW SC'!AY48="","",'Midterm OVPAA-F-INS-055A RAW SC'!AY48/'Midterm OVPAA-F-INS-055A RAW SC'!AY$17*100)</f>
        <v/>
      </c>
      <c r="AZ48" s="126" t="str">
        <f>IF('Midterm OVPAA-F-INS-055A RAW SC'!AZ48="","",'Midterm OVPAA-F-INS-055A RAW SC'!AZ48/'Midterm OVPAA-F-INS-055A RAW SC'!AZ$17*100)</f>
        <v/>
      </c>
      <c r="BA48" s="126" t="str">
        <f>IF('Midterm OVPAA-F-INS-055A RAW SC'!BA48="","",'Midterm OVPAA-F-INS-055A RAW SC'!BA48/'Midterm OVPAA-F-INS-055A RAW SC'!BA$17*100)</f>
        <v/>
      </c>
      <c r="BB48" s="126" t="str">
        <f>IF('Midterm OVPAA-F-INS-055A RAW SC'!BB48="","",'Midterm OVPAA-F-INS-055A RAW SC'!BB48/'Midterm OVPAA-F-INS-055A RAW SC'!BB$17*100)</f>
        <v/>
      </c>
      <c r="BC48" s="126" t="str">
        <f>IF('Midterm OVPAA-F-INS-055A RAW SC'!BC48="","",'Midterm OVPAA-F-INS-055A RAW SC'!BC48/'Midterm OVPAA-F-INS-055A RAW SC'!BC$17*100)</f>
        <v/>
      </c>
      <c r="BD48" s="126" t="str">
        <f>IF('Midterm OVPAA-F-INS-055A RAW SC'!BD48="","",'Midterm OVPAA-F-INS-055A RAW SC'!BD48/'Midterm OVPAA-F-INS-055A RAW SC'!BD$17*100)</f>
        <v/>
      </c>
      <c r="BE48" s="126" t="str">
        <f>IF('Midterm OVPAA-F-INS-055A RAW SC'!BE48="","",'Midterm OVPAA-F-INS-055A RAW SC'!BE48/'Midterm OVPAA-F-INS-055A RAW SC'!BE$17*100)</f>
        <v/>
      </c>
      <c r="BF48" s="126" t="str">
        <f>IF('Midterm OVPAA-F-INS-055A RAW SC'!BF48="","",'Midterm OVPAA-F-INS-055A RAW SC'!BF48/'Midterm OVPAA-F-INS-055A RAW SC'!BF$17*100)</f>
        <v/>
      </c>
      <c r="BG48" s="126" t="str">
        <f>IF('Midterm OVPAA-F-INS-055A RAW SC'!BG48="","",'Midterm OVPAA-F-INS-055A RAW SC'!BG48/'Midterm OVPAA-F-INS-055A RAW SC'!BG$17*100)</f>
        <v/>
      </c>
      <c r="BH48" s="126" t="str">
        <f>IF('Midterm OVPAA-F-INS-055A RAW SC'!BH48="","",'Midterm OVPAA-F-INS-055A RAW SC'!BH48/'Midterm OVPAA-F-INS-055A RAW SC'!BH$17*100)</f>
        <v/>
      </c>
      <c r="BI48" s="126" t="str">
        <f>IF('Midterm OVPAA-F-INS-055A RAW SC'!BI48="","",'Midterm OVPAA-F-INS-055A RAW SC'!BI48/'Midterm OVPAA-F-INS-055A RAW SC'!BI$17*100)</f>
        <v/>
      </c>
      <c r="BJ48" s="126" t="str">
        <f>IF('Midterm OVPAA-F-INS-055A RAW SC'!BJ48="","",'Midterm OVPAA-F-INS-055A RAW SC'!BJ48/'Midterm OVPAA-F-INS-055A RAW SC'!BJ$17*100)</f>
        <v/>
      </c>
      <c r="BK48" s="126" t="str">
        <f>IF('Midterm OVPAA-F-INS-055A RAW SC'!BK48="","",'Midterm OVPAA-F-INS-055A RAW SC'!BK48/'Midterm OVPAA-F-INS-055A RAW SC'!BK$17*100)</f>
        <v/>
      </c>
      <c r="BL48" s="126" t="str">
        <f>IF('Midterm OVPAA-F-INS-055A RAW SC'!BL48="","",'Midterm OVPAA-F-INS-055A RAW SC'!BL48/'Midterm OVPAA-F-INS-055A RAW SC'!BL$17*100)</f>
        <v/>
      </c>
      <c r="BM48" s="126" t="str">
        <f>IF('Midterm OVPAA-F-INS-055A RAW SC'!BM48="","",'Midterm OVPAA-F-INS-055A RAW SC'!BM48/'Midterm OVPAA-F-INS-055A RAW SC'!BM$17*100)</f>
        <v/>
      </c>
      <c r="BN48" s="126" t="str">
        <f>IF('Midterm OVPAA-F-INS-055A RAW SC'!BN48="","",'Midterm OVPAA-F-INS-055A RAW SC'!BN48/'Midterm OVPAA-F-INS-055A RAW SC'!BN$17*100)</f>
        <v/>
      </c>
      <c r="BO48" s="126" t="str">
        <f>IF('Midterm OVPAA-F-INS-055A RAW SC'!BO48="","",'Midterm OVPAA-F-INS-055A RAW SC'!BO48/'Midterm OVPAA-F-INS-055A RAW SC'!BO$17*100)</f>
        <v/>
      </c>
      <c r="BP48" s="126" t="str">
        <f>IF('Midterm OVPAA-F-INS-055A RAW SC'!BP48="","",'Midterm OVPAA-F-INS-055A RAW SC'!BP48/'Midterm OVPAA-F-INS-055A RAW SC'!BP$17*100)</f>
        <v/>
      </c>
      <c r="BQ48" s="126" t="str">
        <f>IF('Midterm OVPAA-F-INS-055A RAW SC'!BQ48="","",'Midterm OVPAA-F-INS-055A RAW SC'!BQ48/'Midterm OVPAA-F-INS-055A RAW SC'!BQ$17*100)</f>
        <v/>
      </c>
      <c r="BR48" s="126" t="str">
        <f>IF('Midterm OVPAA-F-INS-055A RAW SC'!BR48="","",'Midterm OVPAA-F-INS-055A RAW SC'!BR48/'Midterm OVPAA-F-INS-055A RAW SC'!BR$17*100)</f>
        <v/>
      </c>
      <c r="BS48" s="126" t="str">
        <f>IF('Midterm OVPAA-F-INS-055A RAW SC'!BS48="","",'Midterm OVPAA-F-INS-055A RAW SC'!BS48/'Midterm OVPAA-F-INS-055A RAW SC'!BS$17*100)</f>
        <v/>
      </c>
      <c r="BT48" s="126" t="str">
        <f>IF('Midterm OVPAA-F-INS-055A RAW SC'!BT48="","",'Midterm OVPAA-F-INS-055A RAW SC'!BT48/'Midterm OVPAA-F-INS-055A RAW SC'!BT$17*100)</f>
        <v/>
      </c>
      <c r="BU48" s="127" t="str">
        <f t="array" ref="BU48">IF('Midterm OVPAA-F-INS-055A RAW SC'!$G48="","",IF((SUMPRODUCT(--ISBLANK('Midterm OVPAA-F-INS-055A RAW SC'!H48:BT48))=COLUMNS('Midterm OVPAA-F-INS-055A RAW SC'!H48:BT48))=TRUE,"",(((COUNTA('Midterm OVPAA-F-INS-055A RAW SC'!$H$17:$BT$17)+COUNTBLANK('Midterm OVPAA-F-INS-055A RAW SC'!H48:BT48))-COLUMNS('Midterm OVPAA-F-INS-055A RAW SC'!H48:BT48))*5+SUM(H48:BT48))/COUNTA('Midterm OVPAA-F-INS-055A RAW SC'!$H$17:$BT$17)))</f>
        <v/>
      </c>
      <c r="BV48" s="128" t="str">
        <f>IF(BU48="","",VLOOKUP(BU48,IF('Midterm OVPAA-F-INS-055A RAW SC'!$V$12=0.5,TRANSMUTATION!$C$4:$D$17,TRANSMUTATION!$G$4:$H$17),2,TRUE))</f>
        <v/>
      </c>
      <c r="BW48" s="129" t="str">
        <f>IF('Midterm OVPAA-F-INS-055A RAW SC'!BU48="","",'Midterm OVPAA-F-INS-055A RAW SC'!BU48/'Midterm OVPAA-F-INS-055A RAW SC'!BU$17*100)</f>
        <v/>
      </c>
      <c r="BX48" s="130" t="str">
        <f>IF('Midterm OVPAA-F-INS-055A RAW SC'!BV48="","",'Midterm OVPAA-F-INS-055A RAW SC'!BV48/'Midterm OVPAA-F-INS-055A RAW SC'!BV$17*100)</f>
        <v/>
      </c>
      <c r="BY48" s="130" t="str">
        <f>IF('Midterm OVPAA-F-INS-055A RAW SC'!BW48="","",'Midterm OVPAA-F-INS-055A RAW SC'!BW48/'Midterm OVPAA-F-INS-055A RAW SC'!BW$17*100)</f>
        <v/>
      </c>
      <c r="BZ48" s="130" t="str">
        <f>IF('Midterm OVPAA-F-INS-055A RAW SC'!BX48="","",'Midterm OVPAA-F-INS-055A RAW SC'!BX48/'Midterm OVPAA-F-INS-055A RAW SC'!BX$17*100)</f>
        <v/>
      </c>
      <c r="CA48" s="130" t="str">
        <f>IF('Midterm OVPAA-F-INS-055A RAW SC'!BY48="","",'Midterm OVPAA-F-INS-055A RAW SC'!BY48/'Midterm OVPAA-F-INS-055A RAW SC'!BY$17*100)</f>
        <v/>
      </c>
      <c r="CB48" s="130" t="str">
        <f>IF('Midterm OVPAA-F-INS-055A RAW SC'!BZ48="","",'Midterm OVPAA-F-INS-055A RAW SC'!BZ48/'Midterm OVPAA-F-INS-055A RAW SC'!BZ$17*100)</f>
        <v/>
      </c>
      <c r="CC48" s="130" t="str">
        <f>IF('Midterm OVPAA-F-INS-055A RAW SC'!CA48="","",'Midterm OVPAA-F-INS-055A RAW SC'!CA48/'Midterm OVPAA-F-INS-055A RAW SC'!CA$17*100)</f>
        <v/>
      </c>
      <c r="CD48" s="130" t="str">
        <f>IF('Midterm OVPAA-F-INS-055A RAW SC'!CB48="","",'Midterm OVPAA-F-INS-055A RAW SC'!CB48/'Midterm OVPAA-F-INS-055A RAW SC'!CB$17*100)</f>
        <v/>
      </c>
      <c r="CE48" s="130" t="str">
        <f>IF('Midterm OVPAA-F-INS-055A RAW SC'!CC48="","",'Midterm OVPAA-F-INS-055A RAW SC'!CC48/'Midterm OVPAA-F-INS-055A RAW SC'!CC$17*100)</f>
        <v/>
      </c>
      <c r="CF48" s="130" t="str">
        <f>IF('Midterm OVPAA-F-INS-055A RAW SC'!CD48="","",'Midterm OVPAA-F-INS-055A RAW SC'!CD48/'Midterm OVPAA-F-INS-055A RAW SC'!CD$17*100)</f>
        <v/>
      </c>
      <c r="CG48" s="130" t="str">
        <f>IF('Midterm OVPAA-F-INS-055A RAW SC'!CE48="","",'Midterm OVPAA-F-INS-055A RAW SC'!CE48/'Midterm OVPAA-F-INS-055A RAW SC'!CE$17*100)</f>
        <v/>
      </c>
      <c r="CH48" s="130" t="str">
        <f>IF('Midterm OVPAA-F-INS-055A RAW SC'!CF48="","",'Midterm OVPAA-F-INS-055A RAW SC'!CF48/'Midterm OVPAA-F-INS-055A RAW SC'!CF$17*100)</f>
        <v/>
      </c>
      <c r="CI48" s="130" t="str">
        <f>IF('Midterm OVPAA-F-INS-055A RAW SC'!CG48="","",'Midterm OVPAA-F-INS-055A RAW SC'!CG48/'Midterm OVPAA-F-INS-055A RAW SC'!CG$17*100)</f>
        <v/>
      </c>
      <c r="CJ48" s="130" t="str">
        <f>IF('Midterm OVPAA-F-INS-055A RAW SC'!CH48="","",'Midterm OVPAA-F-INS-055A RAW SC'!CH48/'Midterm OVPAA-F-INS-055A RAW SC'!CH$17*100)</f>
        <v/>
      </c>
      <c r="CK48" s="130" t="str">
        <f>IF('Midterm OVPAA-F-INS-055A RAW SC'!CI48="","",'Midterm OVPAA-F-INS-055A RAW SC'!CI48/'Midterm OVPAA-F-INS-055A RAW SC'!CI$17*100)</f>
        <v/>
      </c>
      <c r="CL48" s="130" t="str">
        <f>IF('Midterm OVPAA-F-INS-055A RAW SC'!CJ48="","",'Midterm OVPAA-F-INS-055A RAW SC'!CJ48/'Midterm OVPAA-F-INS-055A RAW SC'!CJ$17*100)</f>
        <v/>
      </c>
      <c r="CM48" s="130" t="str">
        <f>IF('Midterm OVPAA-F-INS-055A RAW SC'!CK48="","",'Midterm OVPAA-F-INS-055A RAW SC'!CK48/'Midterm OVPAA-F-INS-055A RAW SC'!CK$17*100)</f>
        <v/>
      </c>
      <c r="CN48" s="130" t="str">
        <f>IF('Midterm OVPAA-F-INS-055A RAW SC'!CL48="","",'Midterm OVPAA-F-INS-055A RAW SC'!CL48/'Midterm OVPAA-F-INS-055A RAW SC'!CL$17*100)</f>
        <v/>
      </c>
      <c r="CO48" s="130" t="str">
        <f>IF('Midterm OVPAA-F-INS-055A RAW SC'!CM48="","",'Midterm OVPAA-F-INS-055A RAW SC'!CM48/'Midterm OVPAA-F-INS-055A RAW SC'!CM$17*100)</f>
        <v/>
      </c>
      <c r="CP48" s="130" t="str">
        <f>IF('Midterm OVPAA-F-INS-055A RAW SC'!CN48="","",'Midterm OVPAA-F-INS-055A RAW SC'!CN48/'Midterm OVPAA-F-INS-055A RAW SC'!CN$17*100)</f>
        <v/>
      </c>
      <c r="CQ48" s="131" t="str">
        <f t="array" ref="CQ48">IF('Midterm OVPAA-F-INS-055A RAW SC'!G48="","",IF((SUMPRODUCT(--ISBLANK('Midterm OVPAA-F-INS-055A RAW SC'!BU48:CN48))=COLUMNS('Midterm OVPAA-F-INS-055A RAW SC'!BU48:CN48))=TRUE,"",(((COUNTA('Midterm OVPAA-F-INS-055A RAW SC'!$BU$17:$CN$17)+COUNTBLANK('Midterm OVPAA-F-INS-055A RAW SC'!BU48:CN48))-COLUMNS('Midterm OVPAA-F-INS-055A RAW SC'!BU48:CN48))*5+SUM(BW48:CP48))/COUNTA('Midterm OVPAA-F-INS-055A RAW SC'!$BU$17:$CN$17)))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IF('Midterm OVPAA-F-INS-055A RAW SC'!CO48="","",'Midterm OVPAA-F-INS-055A RAW SC'!CO48/'Midterm OVPAA-F-INS-055A RAW SC'!CO$17*100)</f>
        <v/>
      </c>
      <c r="CT48" s="133" t="str">
        <f>IF('Midterm OVPAA-F-INS-055A RAW SC'!CP48="","",'Midterm OVPAA-F-INS-055A RAW SC'!CP48/'Midterm OVPAA-F-INS-055A RAW SC'!CP$17*100)</f>
        <v/>
      </c>
      <c r="CU48" s="133" t="str">
        <f>IF('Midterm OVPAA-F-INS-055A RAW SC'!CQ48="","",'Midterm OVPAA-F-INS-055A RAW SC'!CQ48/'Midterm OVPAA-F-INS-055A RAW SC'!CQ$17*100)</f>
        <v/>
      </c>
      <c r="CV48" s="133" t="str">
        <f>IF('Midterm OVPAA-F-INS-055A RAW SC'!CR48="","",'Midterm OVPAA-F-INS-055A RAW SC'!CR48/'Midterm OVPAA-F-INS-055A RAW SC'!CR$17*100)</f>
        <v/>
      </c>
      <c r="CW48" s="133" t="str">
        <f>IF('Midterm OVPAA-F-INS-055A RAW SC'!CS48="","",'Midterm OVPAA-F-INS-055A RAW SC'!CS48/'Midterm OVPAA-F-INS-055A RAW SC'!CS$17*100)</f>
        <v/>
      </c>
      <c r="CX48" s="133" t="str">
        <f>IF('Midterm OVPAA-F-INS-055A RAW SC'!CT48="","",'Midterm OVPAA-F-INS-055A RAW SC'!CT48/'Midterm OVPAA-F-INS-055A RAW SC'!CT$17*100)</f>
        <v/>
      </c>
      <c r="CY48" s="133" t="str">
        <f>IF('Midterm OVPAA-F-INS-055A RAW SC'!CU48="","",'Midterm OVPAA-F-INS-055A RAW SC'!CU48/'Midterm OVPAA-F-INS-055A RAW SC'!CU$17*100)</f>
        <v/>
      </c>
      <c r="CZ48" s="133" t="str">
        <f>IF('Midterm OVPAA-F-INS-055A RAW SC'!CV48="","",'Midterm OVPAA-F-INS-055A RAW SC'!CV48/'Midterm OVPAA-F-INS-055A RAW SC'!CV$17*100)</f>
        <v/>
      </c>
      <c r="DA48" s="133" t="str">
        <f>IF('Midterm OVPAA-F-INS-055A RAW SC'!CW48="","",'Midterm OVPAA-F-INS-055A RAW SC'!CW48/'Midterm OVPAA-F-INS-055A RAW SC'!CW$17*100)</f>
        <v/>
      </c>
      <c r="DB48" s="133" t="str">
        <f>IF('Midterm OVPAA-F-INS-055A RAW SC'!CX48="","",'Midterm OVPAA-F-INS-055A RAW SC'!CX48/'Midterm OVPAA-F-INS-055A RAW SC'!CX$17*100)</f>
        <v/>
      </c>
      <c r="DC48" s="134" t="str">
        <f t="array" ref="DC48">IF('Midterm OVPAA-F-INS-055A RAW SC'!$G48="","",IF((SUMPRODUCT(--ISBLANK('Midterm OVPAA-F-INS-055A RAW SC'!CO48:CX48))=COLUMNS('Midterm OVPAA-F-INS-055A RAW SC'!CO48:CX48))=TRUE,"",(((COUNTA('Midterm OVPAA-F-INS-055A RAW SC'!$CO$17:$CX$17)+COUNTBLANK('Midterm OVPAA-F-INS-055A RAW SC'!CO48:CX48))-COLUMNS('Midterm OVPAA-F-INS-055A RAW SC'!CO48:CX48))*5+SUM(CS48:DB48))/COUNTA('Midterm OVPAA-F-INS-055A RAW SC'!$CO$17:$CX$17)))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37" t="str">
        <f t="shared" si="2"/>
        <v/>
      </c>
      <c r="DG48" s="138" t="str">
        <f t="shared" si="3"/>
        <v/>
      </c>
      <c r="DH48" s="136" t="str">
        <f t="shared" si="4"/>
        <v/>
      </c>
      <c r="DI48" s="123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IF('Midterm OVPAA-F-INS-055A RAW SC'!H49="","",'Midterm OVPAA-F-INS-055A RAW SC'!H49/'Midterm OVPAA-F-INS-055A RAW SC'!H$17*100)</f>
        <v/>
      </c>
      <c r="I49" s="126" t="str">
        <f>IF('Midterm OVPAA-F-INS-055A RAW SC'!I49="","",'Midterm OVPAA-F-INS-055A RAW SC'!I49/'Midterm OVPAA-F-INS-055A RAW SC'!I$17*100)</f>
        <v/>
      </c>
      <c r="J49" s="126" t="str">
        <f>IF('Midterm OVPAA-F-INS-055A RAW SC'!J49="","",'Midterm OVPAA-F-INS-055A RAW SC'!J49/'Midterm OVPAA-F-INS-055A RAW SC'!J$17*100)</f>
        <v/>
      </c>
      <c r="K49" s="126" t="str">
        <f>IF('Midterm OVPAA-F-INS-055A RAW SC'!K49="","",'Midterm OVPAA-F-INS-055A RAW SC'!K49/'Midterm OVPAA-F-INS-055A RAW SC'!K$17*100)</f>
        <v/>
      </c>
      <c r="L49" s="126" t="str">
        <f>IF('Midterm OVPAA-F-INS-055A RAW SC'!L49="","",'Midterm OVPAA-F-INS-055A RAW SC'!L49/'Midterm OVPAA-F-INS-055A RAW SC'!L$17*100)</f>
        <v/>
      </c>
      <c r="M49" s="126" t="str">
        <f>IF('Midterm OVPAA-F-INS-055A RAW SC'!M49="","",'Midterm OVPAA-F-INS-055A RAW SC'!M49/'Midterm OVPAA-F-INS-055A RAW SC'!M$17*100)</f>
        <v/>
      </c>
      <c r="N49" s="126" t="str">
        <f>IF('Midterm OVPAA-F-INS-055A RAW SC'!N49="","",'Midterm OVPAA-F-INS-055A RAW SC'!N49/'Midterm OVPAA-F-INS-055A RAW SC'!N$17*100)</f>
        <v/>
      </c>
      <c r="O49" s="126" t="str">
        <f>IF('Midterm OVPAA-F-INS-055A RAW SC'!O49="","",'Midterm OVPAA-F-INS-055A RAW SC'!O49/'Midterm OVPAA-F-INS-055A RAW SC'!O$17*100)</f>
        <v/>
      </c>
      <c r="P49" s="126" t="str">
        <f>IF('Midterm OVPAA-F-INS-055A RAW SC'!P49="","",'Midterm OVPAA-F-INS-055A RAW SC'!P49/'Midterm OVPAA-F-INS-055A RAW SC'!P$17*100)</f>
        <v/>
      </c>
      <c r="Q49" s="126" t="str">
        <f>IF('Midterm OVPAA-F-INS-055A RAW SC'!Q49="","",'Midterm OVPAA-F-INS-055A RAW SC'!Q49/'Midterm OVPAA-F-INS-055A RAW SC'!Q$17*100)</f>
        <v/>
      </c>
      <c r="R49" s="126" t="str">
        <f>IF('Midterm OVPAA-F-INS-055A RAW SC'!R49="","",'Midterm OVPAA-F-INS-055A RAW SC'!R49/'Midterm OVPAA-F-INS-055A RAW SC'!R$17*100)</f>
        <v/>
      </c>
      <c r="S49" s="126" t="str">
        <f>IF('Midterm OVPAA-F-INS-055A RAW SC'!S49="","",'Midterm OVPAA-F-INS-055A RAW SC'!S49/'Midterm OVPAA-F-INS-055A RAW SC'!S$17*100)</f>
        <v/>
      </c>
      <c r="T49" s="126" t="str">
        <f>IF('Midterm OVPAA-F-INS-055A RAW SC'!T49="","",'Midterm OVPAA-F-INS-055A RAW SC'!T49/'Midterm OVPAA-F-INS-055A RAW SC'!T$17*100)</f>
        <v/>
      </c>
      <c r="U49" s="126" t="str">
        <f>IF('Midterm OVPAA-F-INS-055A RAW SC'!U49="","",'Midterm OVPAA-F-INS-055A RAW SC'!U49/'Midterm OVPAA-F-INS-055A RAW SC'!U$17*100)</f>
        <v/>
      </c>
      <c r="V49" s="126" t="str">
        <f>IF('Midterm OVPAA-F-INS-055A RAW SC'!V49="","",'Midterm OVPAA-F-INS-055A RAW SC'!V49/'Midterm OVPAA-F-INS-055A RAW SC'!V$17*100)</f>
        <v/>
      </c>
      <c r="W49" s="126" t="str">
        <f>IF('Midterm OVPAA-F-INS-055A RAW SC'!W49="","",'Midterm OVPAA-F-INS-055A RAW SC'!W49/'Midterm OVPAA-F-INS-055A RAW SC'!W$17*100)</f>
        <v/>
      </c>
      <c r="X49" s="126" t="str">
        <f>IF('Midterm OVPAA-F-INS-055A RAW SC'!X49="","",'Midterm OVPAA-F-INS-055A RAW SC'!X49/'Midterm OVPAA-F-INS-055A RAW SC'!X$17*100)</f>
        <v/>
      </c>
      <c r="Y49" s="126" t="str">
        <f>IF('Midterm OVPAA-F-INS-055A RAW SC'!Y49="","",'Midterm OVPAA-F-INS-055A RAW SC'!Y49/'Midterm OVPAA-F-INS-055A RAW SC'!Y$17*100)</f>
        <v/>
      </c>
      <c r="Z49" s="126" t="str">
        <f>IF('Midterm OVPAA-F-INS-055A RAW SC'!Z49="","",'Midterm OVPAA-F-INS-055A RAW SC'!Z49/'Midterm OVPAA-F-INS-055A RAW SC'!Z$17*100)</f>
        <v/>
      </c>
      <c r="AA49" s="126" t="str">
        <f>IF('Midterm OVPAA-F-INS-055A RAW SC'!AA49="","",'Midterm OVPAA-F-INS-055A RAW SC'!AA49/'Midterm OVPAA-F-INS-055A RAW SC'!AA$17*100)</f>
        <v/>
      </c>
      <c r="AB49" s="126" t="str">
        <f>IF('Midterm OVPAA-F-INS-055A RAW SC'!AB49="","",'Midterm OVPAA-F-INS-055A RAW SC'!AB49/'Midterm OVPAA-F-INS-055A RAW SC'!AB$17*100)</f>
        <v/>
      </c>
      <c r="AC49" s="126" t="str">
        <f>IF('Midterm OVPAA-F-INS-055A RAW SC'!AC49="","",'Midterm OVPAA-F-INS-055A RAW SC'!AC49/'Midterm OVPAA-F-INS-055A RAW SC'!AC$17*100)</f>
        <v/>
      </c>
      <c r="AD49" s="126" t="str">
        <f>IF('Midterm OVPAA-F-INS-055A RAW SC'!AD49="","",'Midterm OVPAA-F-INS-055A RAW SC'!AD49/'Midterm OVPAA-F-INS-055A RAW SC'!AD$17*100)</f>
        <v/>
      </c>
      <c r="AE49" s="126" t="str">
        <f>IF('Midterm OVPAA-F-INS-055A RAW SC'!AE49="","",'Midterm OVPAA-F-INS-055A RAW SC'!AE49/'Midterm OVPAA-F-INS-055A RAW SC'!AE$17*100)</f>
        <v/>
      </c>
      <c r="AF49" s="126" t="str">
        <f>IF('Midterm OVPAA-F-INS-055A RAW SC'!AF49="","",'Midterm OVPAA-F-INS-055A RAW SC'!AF49/'Midterm OVPAA-F-INS-055A RAW SC'!AF$17*100)</f>
        <v/>
      </c>
      <c r="AG49" s="126" t="str">
        <f>IF('Midterm OVPAA-F-INS-055A RAW SC'!AG49="","",'Midterm OVPAA-F-INS-055A RAW SC'!AG49/'Midterm OVPAA-F-INS-055A RAW SC'!AG$17*100)</f>
        <v/>
      </c>
      <c r="AH49" s="126" t="str">
        <f>IF('Midterm OVPAA-F-INS-055A RAW SC'!AH49="","",'Midterm OVPAA-F-INS-055A RAW SC'!AH49/'Midterm OVPAA-F-INS-055A RAW SC'!AH$17*100)</f>
        <v/>
      </c>
      <c r="AI49" s="126" t="str">
        <f>IF('Midterm OVPAA-F-INS-055A RAW SC'!AI49="","",'Midterm OVPAA-F-INS-055A RAW SC'!AI49/'Midterm OVPAA-F-INS-055A RAW SC'!AI$17*100)</f>
        <v/>
      </c>
      <c r="AJ49" s="126" t="str">
        <f>IF('Midterm OVPAA-F-INS-055A RAW SC'!AJ49="","",'Midterm OVPAA-F-INS-055A RAW SC'!AJ49/'Midterm OVPAA-F-INS-055A RAW SC'!AJ$17*100)</f>
        <v/>
      </c>
      <c r="AK49" s="126" t="str">
        <f>IF('Midterm OVPAA-F-INS-055A RAW SC'!AK49="","",'Midterm OVPAA-F-INS-055A RAW SC'!AK49/'Midterm OVPAA-F-INS-055A RAW SC'!AK$17*100)</f>
        <v/>
      </c>
      <c r="AL49" s="126" t="str">
        <f>IF('Midterm OVPAA-F-INS-055A RAW SC'!AL49="","",'Midterm OVPAA-F-INS-055A RAW SC'!AL49/'Midterm OVPAA-F-INS-055A RAW SC'!AL$17*100)</f>
        <v/>
      </c>
      <c r="AM49" s="126" t="str">
        <f>IF('Midterm OVPAA-F-INS-055A RAW SC'!AM49="","",'Midterm OVPAA-F-INS-055A RAW SC'!AM49/'Midterm OVPAA-F-INS-055A RAW SC'!AM$17*100)</f>
        <v/>
      </c>
      <c r="AN49" s="126" t="str">
        <f>IF('Midterm OVPAA-F-INS-055A RAW SC'!AN49="","",'Midterm OVPAA-F-INS-055A RAW SC'!AN49/'Midterm OVPAA-F-INS-055A RAW SC'!AN$17*100)</f>
        <v/>
      </c>
      <c r="AO49" s="126" t="str">
        <f>IF('Midterm OVPAA-F-INS-055A RAW SC'!AO49="","",'Midterm OVPAA-F-INS-055A RAW SC'!AO49/'Midterm OVPAA-F-INS-055A RAW SC'!AO$17*100)</f>
        <v/>
      </c>
      <c r="AP49" s="126" t="str">
        <f>IF('Midterm OVPAA-F-INS-055A RAW SC'!AP49="","",'Midterm OVPAA-F-INS-055A RAW SC'!AP49/'Midterm OVPAA-F-INS-055A RAW SC'!AP$17*100)</f>
        <v/>
      </c>
      <c r="AQ49" s="126" t="str">
        <f>IF('Midterm OVPAA-F-INS-055A RAW SC'!AQ49="","",'Midterm OVPAA-F-INS-055A RAW SC'!AQ49/'Midterm OVPAA-F-INS-055A RAW SC'!AQ$17*100)</f>
        <v/>
      </c>
      <c r="AR49" s="126" t="str">
        <f>IF('Midterm OVPAA-F-INS-055A RAW SC'!AR49="","",'Midterm OVPAA-F-INS-055A RAW SC'!AR49/'Midterm OVPAA-F-INS-055A RAW SC'!AR$17*100)</f>
        <v/>
      </c>
      <c r="AS49" s="126" t="str">
        <f>IF('Midterm OVPAA-F-INS-055A RAW SC'!AS49="","",'Midterm OVPAA-F-INS-055A RAW SC'!AS49/'Midterm OVPAA-F-INS-055A RAW SC'!AS$17*100)</f>
        <v/>
      </c>
      <c r="AT49" s="126" t="str">
        <f>IF('Midterm OVPAA-F-INS-055A RAW SC'!AT49="","",'Midterm OVPAA-F-INS-055A RAW SC'!AT49/'Midterm OVPAA-F-INS-055A RAW SC'!AT$17*100)</f>
        <v/>
      </c>
      <c r="AU49" s="126" t="str">
        <f>IF('Midterm OVPAA-F-INS-055A RAW SC'!AU49="","",'Midterm OVPAA-F-INS-055A RAW SC'!AU49/'Midterm OVPAA-F-INS-055A RAW SC'!AU$17*100)</f>
        <v/>
      </c>
      <c r="AV49" s="126" t="str">
        <f>IF('Midterm OVPAA-F-INS-055A RAW SC'!AV49="","",'Midterm OVPAA-F-INS-055A RAW SC'!AV49/'Midterm OVPAA-F-INS-055A RAW SC'!AV$17*100)</f>
        <v/>
      </c>
      <c r="AW49" s="126" t="str">
        <f>IF('Midterm OVPAA-F-INS-055A RAW SC'!AW49="","",'Midterm OVPAA-F-INS-055A RAW SC'!AW49/'Midterm OVPAA-F-INS-055A RAW SC'!AW$17*100)</f>
        <v/>
      </c>
      <c r="AX49" s="126" t="str">
        <f>IF('Midterm OVPAA-F-INS-055A RAW SC'!AX49="","",'Midterm OVPAA-F-INS-055A RAW SC'!AX49/'Midterm OVPAA-F-INS-055A RAW SC'!AX$17*100)</f>
        <v/>
      </c>
      <c r="AY49" s="126" t="str">
        <f>IF('Midterm OVPAA-F-INS-055A RAW SC'!AY49="","",'Midterm OVPAA-F-INS-055A RAW SC'!AY49/'Midterm OVPAA-F-INS-055A RAW SC'!AY$17*100)</f>
        <v/>
      </c>
      <c r="AZ49" s="126" t="str">
        <f>IF('Midterm OVPAA-F-INS-055A RAW SC'!AZ49="","",'Midterm OVPAA-F-INS-055A RAW SC'!AZ49/'Midterm OVPAA-F-INS-055A RAW SC'!AZ$17*100)</f>
        <v/>
      </c>
      <c r="BA49" s="126" t="str">
        <f>IF('Midterm OVPAA-F-INS-055A RAW SC'!BA49="","",'Midterm OVPAA-F-INS-055A RAW SC'!BA49/'Midterm OVPAA-F-INS-055A RAW SC'!BA$17*100)</f>
        <v/>
      </c>
      <c r="BB49" s="126" t="str">
        <f>IF('Midterm OVPAA-F-INS-055A RAW SC'!BB49="","",'Midterm OVPAA-F-INS-055A RAW SC'!BB49/'Midterm OVPAA-F-INS-055A RAW SC'!BB$17*100)</f>
        <v/>
      </c>
      <c r="BC49" s="126" t="str">
        <f>IF('Midterm OVPAA-F-INS-055A RAW SC'!BC49="","",'Midterm OVPAA-F-INS-055A RAW SC'!BC49/'Midterm OVPAA-F-INS-055A RAW SC'!BC$17*100)</f>
        <v/>
      </c>
      <c r="BD49" s="126" t="str">
        <f>IF('Midterm OVPAA-F-INS-055A RAW SC'!BD49="","",'Midterm OVPAA-F-INS-055A RAW SC'!BD49/'Midterm OVPAA-F-INS-055A RAW SC'!BD$17*100)</f>
        <v/>
      </c>
      <c r="BE49" s="126" t="str">
        <f>IF('Midterm OVPAA-F-INS-055A RAW SC'!BE49="","",'Midterm OVPAA-F-INS-055A RAW SC'!BE49/'Midterm OVPAA-F-INS-055A RAW SC'!BE$17*100)</f>
        <v/>
      </c>
      <c r="BF49" s="126" t="str">
        <f>IF('Midterm OVPAA-F-INS-055A RAW SC'!BF49="","",'Midterm OVPAA-F-INS-055A RAW SC'!BF49/'Midterm OVPAA-F-INS-055A RAW SC'!BF$17*100)</f>
        <v/>
      </c>
      <c r="BG49" s="126" t="str">
        <f>IF('Midterm OVPAA-F-INS-055A RAW SC'!BG49="","",'Midterm OVPAA-F-INS-055A RAW SC'!BG49/'Midterm OVPAA-F-INS-055A RAW SC'!BG$17*100)</f>
        <v/>
      </c>
      <c r="BH49" s="126" t="str">
        <f>IF('Midterm OVPAA-F-INS-055A RAW SC'!BH49="","",'Midterm OVPAA-F-INS-055A RAW SC'!BH49/'Midterm OVPAA-F-INS-055A RAW SC'!BH$17*100)</f>
        <v/>
      </c>
      <c r="BI49" s="126" t="str">
        <f>IF('Midterm OVPAA-F-INS-055A RAW SC'!BI49="","",'Midterm OVPAA-F-INS-055A RAW SC'!BI49/'Midterm OVPAA-F-INS-055A RAW SC'!BI$17*100)</f>
        <v/>
      </c>
      <c r="BJ49" s="126" t="str">
        <f>IF('Midterm OVPAA-F-INS-055A RAW SC'!BJ49="","",'Midterm OVPAA-F-INS-055A RAW SC'!BJ49/'Midterm OVPAA-F-INS-055A RAW SC'!BJ$17*100)</f>
        <v/>
      </c>
      <c r="BK49" s="126" t="str">
        <f>IF('Midterm OVPAA-F-INS-055A RAW SC'!BK49="","",'Midterm OVPAA-F-INS-055A RAW SC'!BK49/'Midterm OVPAA-F-INS-055A RAW SC'!BK$17*100)</f>
        <v/>
      </c>
      <c r="BL49" s="126" t="str">
        <f>IF('Midterm OVPAA-F-INS-055A RAW SC'!BL49="","",'Midterm OVPAA-F-INS-055A RAW SC'!BL49/'Midterm OVPAA-F-INS-055A RAW SC'!BL$17*100)</f>
        <v/>
      </c>
      <c r="BM49" s="126" t="str">
        <f>IF('Midterm OVPAA-F-INS-055A RAW SC'!BM49="","",'Midterm OVPAA-F-INS-055A RAW SC'!BM49/'Midterm OVPAA-F-INS-055A RAW SC'!BM$17*100)</f>
        <v/>
      </c>
      <c r="BN49" s="126" t="str">
        <f>IF('Midterm OVPAA-F-INS-055A RAW SC'!BN49="","",'Midterm OVPAA-F-INS-055A RAW SC'!BN49/'Midterm OVPAA-F-INS-055A RAW SC'!BN$17*100)</f>
        <v/>
      </c>
      <c r="BO49" s="126" t="str">
        <f>IF('Midterm OVPAA-F-INS-055A RAW SC'!BO49="","",'Midterm OVPAA-F-INS-055A RAW SC'!BO49/'Midterm OVPAA-F-INS-055A RAW SC'!BO$17*100)</f>
        <v/>
      </c>
      <c r="BP49" s="126" t="str">
        <f>IF('Midterm OVPAA-F-INS-055A RAW SC'!BP49="","",'Midterm OVPAA-F-INS-055A RAW SC'!BP49/'Midterm OVPAA-F-INS-055A RAW SC'!BP$17*100)</f>
        <v/>
      </c>
      <c r="BQ49" s="126" t="str">
        <f>IF('Midterm OVPAA-F-INS-055A RAW SC'!BQ49="","",'Midterm OVPAA-F-INS-055A RAW SC'!BQ49/'Midterm OVPAA-F-INS-055A RAW SC'!BQ$17*100)</f>
        <v/>
      </c>
      <c r="BR49" s="126" t="str">
        <f>IF('Midterm OVPAA-F-INS-055A RAW SC'!BR49="","",'Midterm OVPAA-F-INS-055A RAW SC'!BR49/'Midterm OVPAA-F-INS-055A RAW SC'!BR$17*100)</f>
        <v/>
      </c>
      <c r="BS49" s="126" t="str">
        <f>IF('Midterm OVPAA-F-INS-055A RAW SC'!BS49="","",'Midterm OVPAA-F-INS-055A RAW SC'!BS49/'Midterm OVPAA-F-INS-055A RAW SC'!BS$17*100)</f>
        <v/>
      </c>
      <c r="BT49" s="126" t="str">
        <f>IF('Midterm OVPAA-F-INS-055A RAW SC'!BT49="","",'Midterm OVPAA-F-INS-055A RAW SC'!BT49/'Midterm OVPAA-F-INS-055A RAW SC'!BT$17*100)</f>
        <v/>
      </c>
      <c r="BU49" s="127" t="str">
        <f t="array" ref="BU49">IF('Midterm OVPAA-F-INS-055A RAW SC'!$G49="","",IF((SUMPRODUCT(--ISBLANK('Midterm OVPAA-F-INS-055A RAW SC'!H49:BT49))=COLUMNS('Midterm OVPAA-F-INS-055A RAW SC'!H49:BT49))=TRUE,"",(((COUNTA('Midterm OVPAA-F-INS-055A RAW SC'!$H$17:$BT$17)+COUNTBLANK('Midterm OVPAA-F-INS-055A RAW SC'!H49:BT49))-COLUMNS('Midterm OVPAA-F-INS-055A RAW SC'!H49:BT49))*5+SUM(H49:BT49))/COUNTA('Midterm OVPAA-F-INS-055A RAW SC'!$H$17:$BT$17)))</f>
        <v/>
      </c>
      <c r="BV49" s="128" t="str">
        <f>IF(BU49="","",VLOOKUP(BU49,IF('Midterm OVPAA-F-INS-055A RAW SC'!$V$12=0.5,TRANSMUTATION!$C$4:$D$17,TRANSMUTATION!$G$4:$H$17),2,TRUE))</f>
        <v/>
      </c>
      <c r="BW49" s="129" t="str">
        <f>IF('Midterm OVPAA-F-INS-055A RAW SC'!BU49="","",'Midterm OVPAA-F-INS-055A RAW SC'!BU49/'Midterm OVPAA-F-INS-055A RAW SC'!BU$17*100)</f>
        <v/>
      </c>
      <c r="BX49" s="130" t="str">
        <f>IF('Midterm OVPAA-F-INS-055A RAW SC'!BV49="","",'Midterm OVPAA-F-INS-055A RAW SC'!BV49/'Midterm OVPAA-F-INS-055A RAW SC'!BV$17*100)</f>
        <v/>
      </c>
      <c r="BY49" s="130" t="str">
        <f>IF('Midterm OVPAA-F-INS-055A RAW SC'!BW49="","",'Midterm OVPAA-F-INS-055A RAW SC'!BW49/'Midterm OVPAA-F-INS-055A RAW SC'!BW$17*100)</f>
        <v/>
      </c>
      <c r="BZ49" s="130" t="str">
        <f>IF('Midterm OVPAA-F-INS-055A RAW SC'!BX49="","",'Midterm OVPAA-F-INS-055A RAW SC'!BX49/'Midterm OVPAA-F-INS-055A RAW SC'!BX$17*100)</f>
        <v/>
      </c>
      <c r="CA49" s="130" t="str">
        <f>IF('Midterm OVPAA-F-INS-055A RAW SC'!BY49="","",'Midterm OVPAA-F-INS-055A RAW SC'!BY49/'Midterm OVPAA-F-INS-055A RAW SC'!BY$17*100)</f>
        <v/>
      </c>
      <c r="CB49" s="130" t="str">
        <f>IF('Midterm OVPAA-F-INS-055A RAW SC'!BZ49="","",'Midterm OVPAA-F-INS-055A RAW SC'!BZ49/'Midterm OVPAA-F-INS-055A RAW SC'!BZ$17*100)</f>
        <v/>
      </c>
      <c r="CC49" s="130" t="str">
        <f>IF('Midterm OVPAA-F-INS-055A RAW SC'!CA49="","",'Midterm OVPAA-F-INS-055A RAW SC'!CA49/'Midterm OVPAA-F-INS-055A RAW SC'!CA$17*100)</f>
        <v/>
      </c>
      <c r="CD49" s="130" t="str">
        <f>IF('Midterm OVPAA-F-INS-055A RAW SC'!CB49="","",'Midterm OVPAA-F-INS-055A RAW SC'!CB49/'Midterm OVPAA-F-INS-055A RAW SC'!CB$17*100)</f>
        <v/>
      </c>
      <c r="CE49" s="130" t="str">
        <f>IF('Midterm OVPAA-F-INS-055A RAW SC'!CC49="","",'Midterm OVPAA-F-INS-055A RAW SC'!CC49/'Midterm OVPAA-F-INS-055A RAW SC'!CC$17*100)</f>
        <v/>
      </c>
      <c r="CF49" s="130" t="str">
        <f>IF('Midterm OVPAA-F-INS-055A RAW SC'!CD49="","",'Midterm OVPAA-F-INS-055A RAW SC'!CD49/'Midterm OVPAA-F-INS-055A RAW SC'!CD$17*100)</f>
        <v/>
      </c>
      <c r="CG49" s="130" t="str">
        <f>IF('Midterm OVPAA-F-INS-055A RAW SC'!CE49="","",'Midterm OVPAA-F-INS-055A RAW SC'!CE49/'Midterm OVPAA-F-INS-055A RAW SC'!CE$17*100)</f>
        <v/>
      </c>
      <c r="CH49" s="130" t="str">
        <f>IF('Midterm OVPAA-F-INS-055A RAW SC'!CF49="","",'Midterm OVPAA-F-INS-055A RAW SC'!CF49/'Midterm OVPAA-F-INS-055A RAW SC'!CF$17*100)</f>
        <v/>
      </c>
      <c r="CI49" s="130" t="str">
        <f>IF('Midterm OVPAA-F-INS-055A RAW SC'!CG49="","",'Midterm OVPAA-F-INS-055A RAW SC'!CG49/'Midterm OVPAA-F-INS-055A RAW SC'!CG$17*100)</f>
        <v/>
      </c>
      <c r="CJ49" s="130" t="str">
        <f>IF('Midterm OVPAA-F-INS-055A RAW SC'!CH49="","",'Midterm OVPAA-F-INS-055A RAW SC'!CH49/'Midterm OVPAA-F-INS-055A RAW SC'!CH$17*100)</f>
        <v/>
      </c>
      <c r="CK49" s="130" t="str">
        <f>IF('Midterm OVPAA-F-INS-055A RAW SC'!CI49="","",'Midterm OVPAA-F-INS-055A RAW SC'!CI49/'Midterm OVPAA-F-INS-055A RAW SC'!CI$17*100)</f>
        <v/>
      </c>
      <c r="CL49" s="130" t="str">
        <f>IF('Midterm OVPAA-F-INS-055A RAW SC'!CJ49="","",'Midterm OVPAA-F-INS-055A RAW SC'!CJ49/'Midterm OVPAA-F-INS-055A RAW SC'!CJ$17*100)</f>
        <v/>
      </c>
      <c r="CM49" s="130" t="str">
        <f>IF('Midterm OVPAA-F-INS-055A RAW SC'!CK49="","",'Midterm OVPAA-F-INS-055A RAW SC'!CK49/'Midterm OVPAA-F-INS-055A RAW SC'!CK$17*100)</f>
        <v/>
      </c>
      <c r="CN49" s="130" t="str">
        <f>IF('Midterm OVPAA-F-INS-055A RAW SC'!CL49="","",'Midterm OVPAA-F-INS-055A RAW SC'!CL49/'Midterm OVPAA-F-INS-055A RAW SC'!CL$17*100)</f>
        <v/>
      </c>
      <c r="CO49" s="130" t="str">
        <f>IF('Midterm OVPAA-F-INS-055A RAW SC'!CM49="","",'Midterm OVPAA-F-INS-055A RAW SC'!CM49/'Midterm OVPAA-F-INS-055A RAW SC'!CM$17*100)</f>
        <v/>
      </c>
      <c r="CP49" s="130" t="str">
        <f>IF('Midterm OVPAA-F-INS-055A RAW SC'!CN49="","",'Midterm OVPAA-F-INS-055A RAW SC'!CN49/'Midterm OVPAA-F-INS-055A RAW SC'!CN$17*100)</f>
        <v/>
      </c>
      <c r="CQ49" s="131" t="str">
        <f t="array" ref="CQ49">IF('Midterm OVPAA-F-INS-055A RAW SC'!G49="","",IF((SUMPRODUCT(--ISBLANK('Midterm OVPAA-F-INS-055A RAW SC'!BU49:CN49))=COLUMNS('Midterm OVPAA-F-INS-055A RAW SC'!BU49:CN49))=TRUE,"",(((COUNTA('Midterm OVPAA-F-INS-055A RAW SC'!$BU$17:$CN$17)+COUNTBLANK('Midterm OVPAA-F-INS-055A RAW SC'!BU49:CN49))-COLUMNS('Midterm OVPAA-F-INS-055A RAW SC'!BU49:CN49))*5+SUM(BW49:CP49))/COUNTA('Midterm OVPAA-F-INS-055A RAW SC'!$BU$17:$CN$17)))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IF('Midterm OVPAA-F-INS-055A RAW SC'!CO49="","",'Midterm OVPAA-F-INS-055A RAW SC'!CO49/'Midterm OVPAA-F-INS-055A RAW SC'!CO$17*100)</f>
        <v/>
      </c>
      <c r="CT49" s="133" t="str">
        <f>IF('Midterm OVPAA-F-INS-055A RAW SC'!CP49="","",'Midterm OVPAA-F-INS-055A RAW SC'!CP49/'Midterm OVPAA-F-INS-055A RAW SC'!CP$17*100)</f>
        <v/>
      </c>
      <c r="CU49" s="133" t="str">
        <f>IF('Midterm OVPAA-F-INS-055A RAW SC'!CQ49="","",'Midterm OVPAA-F-INS-055A RAW SC'!CQ49/'Midterm OVPAA-F-INS-055A RAW SC'!CQ$17*100)</f>
        <v/>
      </c>
      <c r="CV49" s="133" t="str">
        <f>IF('Midterm OVPAA-F-INS-055A RAW SC'!CR49="","",'Midterm OVPAA-F-INS-055A RAW SC'!CR49/'Midterm OVPAA-F-INS-055A RAW SC'!CR$17*100)</f>
        <v/>
      </c>
      <c r="CW49" s="133" t="str">
        <f>IF('Midterm OVPAA-F-INS-055A RAW SC'!CS49="","",'Midterm OVPAA-F-INS-055A RAW SC'!CS49/'Midterm OVPAA-F-INS-055A RAW SC'!CS$17*100)</f>
        <v/>
      </c>
      <c r="CX49" s="133" t="str">
        <f>IF('Midterm OVPAA-F-INS-055A RAW SC'!CT49="","",'Midterm OVPAA-F-INS-055A RAW SC'!CT49/'Midterm OVPAA-F-INS-055A RAW SC'!CT$17*100)</f>
        <v/>
      </c>
      <c r="CY49" s="133" t="str">
        <f>IF('Midterm OVPAA-F-INS-055A RAW SC'!CU49="","",'Midterm OVPAA-F-INS-055A RAW SC'!CU49/'Midterm OVPAA-F-INS-055A RAW SC'!CU$17*100)</f>
        <v/>
      </c>
      <c r="CZ49" s="133" t="str">
        <f>IF('Midterm OVPAA-F-INS-055A RAW SC'!CV49="","",'Midterm OVPAA-F-INS-055A RAW SC'!CV49/'Midterm OVPAA-F-INS-055A RAW SC'!CV$17*100)</f>
        <v/>
      </c>
      <c r="DA49" s="133" t="str">
        <f>IF('Midterm OVPAA-F-INS-055A RAW SC'!CW49="","",'Midterm OVPAA-F-INS-055A RAW SC'!CW49/'Midterm OVPAA-F-INS-055A RAW SC'!CW$17*100)</f>
        <v/>
      </c>
      <c r="DB49" s="133" t="str">
        <f>IF('Midterm OVPAA-F-INS-055A RAW SC'!CX49="","",'Midterm OVPAA-F-INS-055A RAW SC'!CX49/'Midterm OVPAA-F-INS-055A RAW SC'!CX$17*100)</f>
        <v/>
      </c>
      <c r="DC49" s="134" t="str">
        <f t="array" ref="DC49">IF('Midterm OVPAA-F-INS-055A RAW SC'!$G49="","",IF((SUMPRODUCT(--ISBLANK('Midterm OVPAA-F-INS-055A RAW SC'!CO49:CX49))=COLUMNS('Midterm OVPAA-F-INS-055A RAW SC'!CO49:CX49))=TRUE,"",(((COUNTA('Midterm OVPAA-F-INS-055A RAW SC'!$CO$17:$CX$17)+COUNTBLANK('Midterm OVPAA-F-INS-055A RAW SC'!CO49:CX49))-COLUMNS('Midterm OVPAA-F-INS-055A RAW SC'!CO49:CX49))*5+SUM(CS49:DB49))/COUNTA('Midterm OVPAA-F-INS-055A RAW SC'!$CO$17:$CX$17)))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37" t="str">
        <f t="shared" si="2"/>
        <v/>
      </c>
      <c r="DG49" s="138" t="str">
        <f t="shared" si="3"/>
        <v/>
      </c>
      <c r="DH49" s="136" t="str">
        <f t="shared" si="4"/>
        <v/>
      </c>
      <c r="DI49" s="123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IF('Midterm OVPAA-F-INS-055A RAW SC'!H50="","",'Midterm OVPAA-F-INS-055A RAW SC'!H50/'Midterm OVPAA-F-INS-055A RAW SC'!H$17*100)</f>
        <v/>
      </c>
      <c r="I50" s="126" t="str">
        <f>IF('Midterm OVPAA-F-INS-055A RAW SC'!I50="","",'Midterm OVPAA-F-INS-055A RAW SC'!I50/'Midterm OVPAA-F-INS-055A RAW SC'!I$17*100)</f>
        <v/>
      </c>
      <c r="J50" s="126" t="str">
        <f>IF('Midterm OVPAA-F-INS-055A RAW SC'!J50="","",'Midterm OVPAA-F-INS-055A RAW SC'!J50/'Midterm OVPAA-F-INS-055A RAW SC'!J$17*100)</f>
        <v/>
      </c>
      <c r="K50" s="126" t="str">
        <f>IF('Midterm OVPAA-F-INS-055A RAW SC'!K50="","",'Midterm OVPAA-F-INS-055A RAW SC'!K50/'Midterm OVPAA-F-INS-055A RAW SC'!K$17*100)</f>
        <v/>
      </c>
      <c r="L50" s="126" t="str">
        <f>IF('Midterm OVPAA-F-INS-055A RAW SC'!L50="","",'Midterm OVPAA-F-INS-055A RAW SC'!L50/'Midterm OVPAA-F-INS-055A RAW SC'!L$17*100)</f>
        <v/>
      </c>
      <c r="M50" s="126" t="str">
        <f>IF('Midterm OVPAA-F-INS-055A RAW SC'!M50="","",'Midterm OVPAA-F-INS-055A RAW SC'!M50/'Midterm OVPAA-F-INS-055A RAW SC'!M$17*100)</f>
        <v/>
      </c>
      <c r="N50" s="126" t="str">
        <f>IF('Midterm OVPAA-F-INS-055A RAW SC'!N50="","",'Midterm OVPAA-F-INS-055A RAW SC'!N50/'Midterm OVPAA-F-INS-055A RAW SC'!N$17*100)</f>
        <v/>
      </c>
      <c r="O50" s="126" t="str">
        <f>IF('Midterm OVPAA-F-INS-055A RAW SC'!O50="","",'Midterm OVPAA-F-INS-055A RAW SC'!O50/'Midterm OVPAA-F-INS-055A RAW SC'!O$17*100)</f>
        <v/>
      </c>
      <c r="P50" s="126" t="str">
        <f>IF('Midterm OVPAA-F-INS-055A RAW SC'!P50="","",'Midterm OVPAA-F-INS-055A RAW SC'!P50/'Midterm OVPAA-F-INS-055A RAW SC'!P$17*100)</f>
        <v/>
      </c>
      <c r="Q50" s="126" t="str">
        <f>IF('Midterm OVPAA-F-INS-055A RAW SC'!Q50="","",'Midterm OVPAA-F-INS-055A RAW SC'!Q50/'Midterm OVPAA-F-INS-055A RAW SC'!Q$17*100)</f>
        <v/>
      </c>
      <c r="R50" s="126" t="str">
        <f>IF('Midterm OVPAA-F-INS-055A RAW SC'!R50="","",'Midterm OVPAA-F-INS-055A RAW SC'!R50/'Midterm OVPAA-F-INS-055A RAW SC'!R$17*100)</f>
        <v/>
      </c>
      <c r="S50" s="126" t="str">
        <f>IF('Midterm OVPAA-F-INS-055A RAW SC'!S50="","",'Midterm OVPAA-F-INS-055A RAW SC'!S50/'Midterm OVPAA-F-INS-055A RAW SC'!S$17*100)</f>
        <v/>
      </c>
      <c r="T50" s="126" t="str">
        <f>IF('Midterm OVPAA-F-INS-055A RAW SC'!T50="","",'Midterm OVPAA-F-INS-055A RAW SC'!T50/'Midterm OVPAA-F-INS-055A RAW SC'!T$17*100)</f>
        <v/>
      </c>
      <c r="U50" s="126" t="str">
        <f>IF('Midterm OVPAA-F-INS-055A RAW SC'!U50="","",'Midterm OVPAA-F-INS-055A RAW SC'!U50/'Midterm OVPAA-F-INS-055A RAW SC'!U$17*100)</f>
        <v/>
      </c>
      <c r="V50" s="126" t="str">
        <f>IF('Midterm OVPAA-F-INS-055A RAW SC'!V50="","",'Midterm OVPAA-F-INS-055A RAW SC'!V50/'Midterm OVPAA-F-INS-055A RAW SC'!V$17*100)</f>
        <v/>
      </c>
      <c r="W50" s="126" t="str">
        <f>IF('Midterm OVPAA-F-INS-055A RAW SC'!W50="","",'Midterm OVPAA-F-INS-055A RAW SC'!W50/'Midterm OVPAA-F-INS-055A RAW SC'!W$17*100)</f>
        <v/>
      </c>
      <c r="X50" s="126" t="str">
        <f>IF('Midterm OVPAA-F-INS-055A RAW SC'!X50="","",'Midterm OVPAA-F-INS-055A RAW SC'!X50/'Midterm OVPAA-F-INS-055A RAW SC'!X$17*100)</f>
        <v/>
      </c>
      <c r="Y50" s="126" t="str">
        <f>IF('Midterm OVPAA-F-INS-055A RAW SC'!Y50="","",'Midterm OVPAA-F-INS-055A RAW SC'!Y50/'Midterm OVPAA-F-INS-055A RAW SC'!Y$17*100)</f>
        <v/>
      </c>
      <c r="Z50" s="126" t="str">
        <f>IF('Midterm OVPAA-F-INS-055A RAW SC'!Z50="","",'Midterm OVPAA-F-INS-055A RAW SC'!Z50/'Midterm OVPAA-F-INS-055A RAW SC'!Z$17*100)</f>
        <v/>
      </c>
      <c r="AA50" s="126" t="str">
        <f>IF('Midterm OVPAA-F-INS-055A RAW SC'!AA50="","",'Midterm OVPAA-F-INS-055A RAW SC'!AA50/'Midterm OVPAA-F-INS-055A RAW SC'!AA$17*100)</f>
        <v/>
      </c>
      <c r="AB50" s="126" t="str">
        <f>IF('Midterm OVPAA-F-INS-055A RAW SC'!AB50="","",'Midterm OVPAA-F-INS-055A RAW SC'!AB50/'Midterm OVPAA-F-INS-055A RAW SC'!AB$17*100)</f>
        <v/>
      </c>
      <c r="AC50" s="126" t="str">
        <f>IF('Midterm OVPAA-F-INS-055A RAW SC'!AC50="","",'Midterm OVPAA-F-INS-055A RAW SC'!AC50/'Midterm OVPAA-F-INS-055A RAW SC'!AC$17*100)</f>
        <v/>
      </c>
      <c r="AD50" s="126" t="str">
        <f>IF('Midterm OVPAA-F-INS-055A RAW SC'!AD50="","",'Midterm OVPAA-F-INS-055A RAW SC'!AD50/'Midterm OVPAA-F-INS-055A RAW SC'!AD$17*100)</f>
        <v/>
      </c>
      <c r="AE50" s="126" t="str">
        <f>IF('Midterm OVPAA-F-INS-055A RAW SC'!AE50="","",'Midterm OVPAA-F-INS-055A RAW SC'!AE50/'Midterm OVPAA-F-INS-055A RAW SC'!AE$17*100)</f>
        <v/>
      </c>
      <c r="AF50" s="126" t="str">
        <f>IF('Midterm OVPAA-F-INS-055A RAW SC'!AF50="","",'Midterm OVPAA-F-INS-055A RAW SC'!AF50/'Midterm OVPAA-F-INS-055A RAW SC'!AF$17*100)</f>
        <v/>
      </c>
      <c r="AG50" s="126" t="str">
        <f>IF('Midterm OVPAA-F-INS-055A RAW SC'!AG50="","",'Midterm OVPAA-F-INS-055A RAW SC'!AG50/'Midterm OVPAA-F-INS-055A RAW SC'!AG$17*100)</f>
        <v/>
      </c>
      <c r="AH50" s="126" t="str">
        <f>IF('Midterm OVPAA-F-INS-055A RAW SC'!AH50="","",'Midterm OVPAA-F-INS-055A RAW SC'!AH50/'Midterm OVPAA-F-INS-055A RAW SC'!AH$17*100)</f>
        <v/>
      </c>
      <c r="AI50" s="126" t="str">
        <f>IF('Midterm OVPAA-F-INS-055A RAW SC'!AI50="","",'Midterm OVPAA-F-INS-055A RAW SC'!AI50/'Midterm OVPAA-F-INS-055A RAW SC'!AI$17*100)</f>
        <v/>
      </c>
      <c r="AJ50" s="126" t="str">
        <f>IF('Midterm OVPAA-F-INS-055A RAW SC'!AJ50="","",'Midterm OVPAA-F-INS-055A RAW SC'!AJ50/'Midterm OVPAA-F-INS-055A RAW SC'!AJ$17*100)</f>
        <v/>
      </c>
      <c r="AK50" s="126" t="str">
        <f>IF('Midterm OVPAA-F-INS-055A RAW SC'!AK50="","",'Midterm OVPAA-F-INS-055A RAW SC'!AK50/'Midterm OVPAA-F-INS-055A RAW SC'!AK$17*100)</f>
        <v/>
      </c>
      <c r="AL50" s="126" t="str">
        <f>IF('Midterm OVPAA-F-INS-055A RAW SC'!AL50="","",'Midterm OVPAA-F-INS-055A RAW SC'!AL50/'Midterm OVPAA-F-INS-055A RAW SC'!AL$17*100)</f>
        <v/>
      </c>
      <c r="AM50" s="126" t="str">
        <f>IF('Midterm OVPAA-F-INS-055A RAW SC'!AM50="","",'Midterm OVPAA-F-INS-055A RAW SC'!AM50/'Midterm OVPAA-F-INS-055A RAW SC'!AM$17*100)</f>
        <v/>
      </c>
      <c r="AN50" s="126" t="str">
        <f>IF('Midterm OVPAA-F-INS-055A RAW SC'!AN50="","",'Midterm OVPAA-F-INS-055A RAW SC'!AN50/'Midterm OVPAA-F-INS-055A RAW SC'!AN$17*100)</f>
        <v/>
      </c>
      <c r="AO50" s="126" t="str">
        <f>IF('Midterm OVPAA-F-INS-055A RAW SC'!AO50="","",'Midterm OVPAA-F-INS-055A RAW SC'!AO50/'Midterm OVPAA-F-INS-055A RAW SC'!AO$17*100)</f>
        <v/>
      </c>
      <c r="AP50" s="126" t="str">
        <f>IF('Midterm OVPAA-F-INS-055A RAW SC'!AP50="","",'Midterm OVPAA-F-INS-055A RAW SC'!AP50/'Midterm OVPAA-F-INS-055A RAW SC'!AP$17*100)</f>
        <v/>
      </c>
      <c r="AQ50" s="126" t="str">
        <f>IF('Midterm OVPAA-F-INS-055A RAW SC'!AQ50="","",'Midterm OVPAA-F-INS-055A RAW SC'!AQ50/'Midterm OVPAA-F-INS-055A RAW SC'!AQ$17*100)</f>
        <v/>
      </c>
      <c r="AR50" s="126" t="str">
        <f>IF('Midterm OVPAA-F-INS-055A RAW SC'!AR50="","",'Midterm OVPAA-F-INS-055A RAW SC'!AR50/'Midterm OVPAA-F-INS-055A RAW SC'!AR$17*100)</f>
        <v/>
      </c>
      <c r="AS50" s="126" t="str">
        <f>IF('Midterm OVPAA-F-INS-055A RAW SC'!AS50="","",'Midterm OVPAA-F-INS-055A RAW SC'!AS50/'Midterm OVPAA-F-INS-055A RAW SC'!AS$17*100)</f>
        <v/>
      </c>
      <c r="AT50" s="126" t="str">
        <f>IF('Midterm OVPAA-F-INS-055A RAW SC'!AT50="","",'Midterm OVPAA-F-INS-055A RAW SC'!AT50/'Midterm OVPAA-F-INS-055A RAW SC'!AT$17*100)</f>
        <v/>
      </c>
      <c r="AU50" s="126" t="str">
        <f>IF('Midterm OVPAA-F-INS-055A RAW SC'!AU50="","",'Midterm OVPAA-F-INS-055A RAW SC'!AU50/'Midterm OVPAA-F-INS-055A RAW SC'!AU$17*100)</f>
        <v/>
      </c>
      <c r="AV50" s="126" t="str">
        <f>IF('Midterm OVPAA-F-INS-055A RAW SC'!AV50="","",'Midterm OVPAA-F-INS-055A RAW SC'!AV50/'Midterm OVPAA-F-INS-055A RAW SC'!AV$17*100)</f>
        <v/>
      </c>
      <c r="AW50" s="126" t="str">
        <f>IF('Midterm OVPAA-F-INS-055A RAW SC'!AW50="","",'Midterm OVPAA-F-INS-055A RAW SC'!AW50/'Midterm OVPAA-F-INS-055A RAW SC'!AW$17*100)</f>
        <v/>
      </c>
      <c r="AX50" s="126" t="str">
        <f>IF('Midterm OVPAA-F-INS-055A RAW SC'!AX50="","",'Midterm OVPAA-F-INS-055A RAW SC'!AX50/'Midterm OVPAA-F-INS-055A RAW SC'!AX$17*100)</f>
        <v/>
      </c>
      <c r="AY50" s="126" t="str">
        <f>IF('Midterm OVPAA-F-INS-055A RAW SC'!AY50="","",'Midterm OVPAA-F-INS-055A RAW SC'!AY50/'Midterm OVPAA-F-INS-055A RAW SC'!AY$17*100)</f>
        <v/>
      </c>
      <c r="AZ50" s="126" t="str">
        <f>IF('Midterm OVPAA-F-INS-055A RAW SC'!AZ50="","",'Midterm OVPAA-F-INS-055A RAW SC'!AZ50/'Midterm OVPAA-F-INS-055A RAW SC'!AZ$17*100)</f>
        <v/>
      </c>
      <c r="BA50" s="126" t="str">
        <f>IF('Midterm OVPAA-F-INS-055A RAW SC'!BA50="","",'Midterm OVPAA-F-INS-055A RAW SC'!BA50/'Midterm OVPAA-F-INS-055A RAW SC'!BA$17*100)</f>
        <v/>
      </c>
      <c r="BB50" s="126" t="str">
        <f>IF('Midterm OVPAA-F-INS-055A RAW SC'!BB50="","",'Midterm OVPAA-F-INS-055A RAW SC'!BB50/'Midterm OVPAA-F-INS-055A RAW SC'!BB$17*100)</f>
        <v/>
      </c>
      <c r="BC50" s="126" t="str">
        <f>IF('Midterm OVPAA-F-INS-055A RAW SC'!BC50="","",'Midterm OVPAA-F-INS-055A RAW SC'!BC50/'Midterm OVPAA-F-INS-055A RAW SC'!BC$17*100)</f>
        <v/>
      </c>
      <c r="BD50" s="126" t="str">
        <f>IF('Midterm OVPAA-F-INS-055A RAW SC'!BD50="","",'Midterm OVPAA-F-INS-055A RAW SC'!BD50/'Midterm OVPAA-F-INS-055A RAW SC'!BD$17*100)</f>
        <v/>
      </c>
      <c r="BE50" s="126" t="str">
        <f>IF('Midterm OVPAA-F-INS-055A RAW SC'!BE50="","",'Midterm OVPAA-F-INS-055A RAW SC'!BE50/'Midterm OVPAA-F-INS-055A RAW SC'!BE$17*100)</f>
        <v/>
      </c>
      <c r="BF50" s="126" t="str">
        <f>IF('Midterm OVPAA-F-INS-055A RAW SC'!BF50="","",'Midterm OVPAA-F-INS-055A RAW SC'!BF50/'Midterm OVPAA-F-INS-055A RAW SC'!BF$17*100)</f>
        <v/>
      </c>
      <c r="BG50" s="126" t="str">
        <f>IF('Midterm OVPAA-F-INS-055A RAW SC'!BG50="","",'Midterm OVPAA-F-INS-055A RAW SC'!BG50/'Midterm OVPAA-F-INS-055A RAW SC'!BG$17*100)</f>
        <v/>
      </c>
      <c r="BH50" s="126" t="str">
        <f>IF('Midterm OVPAA-F-INS-055A RAW SC'!BH50="","",'Midterm OVPAA-F-INS-055A RAW SC'!BH50/'Midterm OVPAA-F-INS-055A RAW SC'!BH$17*100)</f>
        <v/>
      </c>
      <c r="BI50" s="126" t="str">
        <f>IF('Midterm OVPAA-F-INS-055A RAW SC'!BI50="","",'Midterm OVPAA-F-INS-055A RAW SC'!BI50/'Midterm OVPAA-F-INS-055A RAW SC'!BI$17*100)</f>
        <v/>
      </c>
      <c r="BJ50" s="126" t="str">
        <f>IF('Midterm OVPAA-F-INS-055A RAW SC'!BJ50="","",'Midterm OVPAA-F-INS-055A RAW SC'!BJ50/'Midterm OVPAA-F-INS-055A RAW SC'!BJ$17*100)</f>
        <v/>
      </c>
      <c r="BK50" s="126" t="str">
        <f>IF('Midterm OVPAA-F-INS-055A RAW SC'!BK50="","",'Midterm OVPAA-F-INS-055A RAW SC'!BK50/'Midterm OVPAA-F-INS-055A RAW SC'!BK$17*100)</f>
        <v/>
      </c>
      <c r="BL50" s="126" t="str">
        <f>IF('Midterm OVPAA-F-INS-055A RAW SC'!BL50="","",'Midterm OVPAA-F-INS-055A RAW SC'!BL50/'Midterm OVPAA-F-INS-055A RAW SC'!BL$17*100)</f>
        <v/>
      </c>
      <c r="BM50" s="126" t="str">
        <f>IF('Midterm OVPAA-F-INS-055A RAW SC'!BM50="","",'Midterm OVPAA-F-INS-055A RAW SC'!BM50/'Midterm OVPAA-F-INS-055A RAW SC'!BM$17*100)</f>
        <v/>
      </c>
      <c r="BN50" s="126" t="str">
        <f>IF('Midterm OVPAA-F-INS-055A RAW SC'!BN50="","",'Midterm OVPAA-F-INS-055A RAW SC'!BN50/'Midterm OVPAA-F-INS-055A RAW SC'!BN$17*100)</f>
        <v/>
      </c>
      <c r="BO50" s="126" t="str">
        <f>IF('Midterm OVPAA-F-INS-055A RAW SC'!BO50="","",'Midterm OVPAA-F-INS-055A RAW SC'!BO50/'Midterm OVPAA-F-INS-055A RAW SC'!BO$17*100)</f>
        <v/>
      </c>
      <c r="BP50" s="126" t="str">
        <f>IF('Midterm OVPAA-F-INS-055A RAW SC'!BP50="","",'Midterm OVPAA-F-INS-055A RAW SC'!BP50/'Midterm OVPAA-F-INS-055A RAW SC'!BP$17*100)</f>
        <v/>
      </c>
      <c r="BQ50" s="126" t="str">
        <f>IF('Midterm OVPAA-F-INS-055A RAW SC'!BQ50="","",'Midterm OVPAA-F-INS-055A RAW SC'!BQ50/'Midterm OVPAA-F-INS-055A RAW SC'!BQ$17*100)</f>
        <v/>
      </c>
      <c r="BR50" s="126" t="str">
        <f>IF('Midterm OVPAA-F-INS-055A RAW SC'!BR50="","",'Midterm OVPAA-F-INS-055A RAW SC'!BR50/'Midterm OVPAA-F-INS-055A RAW SC'!BR$17*100)</f>
        <v/>
      </c>
      <c r="BS50" s="126" t="str">
        <f>IF('Midterm OVPAA-F-INS-055A RAW SC'!BS50="","",'Midterm OVPAA-F-INS-055A RAW SC'!BS50/'Midterm OVPAA-F-INS-055A RAW SC'!BS$17*100)</f>
        <v/>
      </c>
      <c r="BT50" s="126" t="str">
        <f>IF('Midterm OVPAA-F-INS-055A RAW SC'!BT50="","",'Midterm OVPAA-F-INS-055A RAW SC'!BT50/'Midterm OVPAA-F-INS-055A RAW SC'!BT$17*100)</f>
        <v/>
      </c>
      <c r="BU50" s="127" t="str">
        <f t="array" ref="BU50">IF('Midterm OVPAA-F-INS-055A RAW SC'!$G50="","",IF((SUMPRODUCT(--ISBLANK('Midterm OVPAA-F-INS-055A RAW SC'!H50:BT50))=COLUMNS('Midterm OVPAA-F-INS-055A RAW SC'!H50:BT50))=TRUE,"",(((COUNTA('Midterm OVPAA-F-INS-055A RAW SC'!$H$17:$BT$17)+COUNTBLANK('Midterm OVPAA-F-INS-055A RAW SC'!H50:BT50))-COLUMNS('Midterm OVPAA-F-INS-055A RAW SC'!H50:BT50))*5+SUM(H50:BT50))/COUNTA('Midterm OVPAA-F-INS-055A RAW SC'!$H$17:$BT$17)))</f>
        <v/>
      </c>
      <c r="BV50" s="128" t="str">
        <f>IF(BU50="","",VLOOKUP(BU50,IF('Midterm OVPAA-F-INS-055A RAW SC'!$V$12=0.5,TRANSMUTATION!$C$4:$D$17,TRANSMUTATION!$G$4:$H$17),2,TRUE))</f>
        <v/>
      </c>
      <c r="BW50" s="129" t="str">
        <f>IF('Midterm OVPAA-F-INS-055A RAW SC'!BU50="","",'Midterm OVPAA-F-INS-055A RAW SC'!BU50/'Midterm OVPAA-F-INS-055A RAW SC'!BU$17*100)</f>
        <v/>
      </c>
      <c r="BX50" s="130" t="str">
        <f>IF('Midterm OVPAA-F-INS-055A RAW SC'!BV50="","",'Midterm OVPAA-F-INS-055A RAW SC'!BV50/'Midterm OVPAA-F-INS-055A RAW SC'!BV$17*100)</f>
        <v/>
      </c>
      <c r="BY50" s="130" t="str">
        <f>IF('Midterm OVPAA-F-INS-055A RAW SC'!BW50="","",'Midterm OVPAA-F-INS-055A RAW SC'!BW50/'Midterm OVPAA-F-INS-055A RAW SC'!BW$17*100)</f>
        <v/>
      </c>
      <c r="BZ50" s="130" t="str">
        <f>IF('Midterm OVPAA-F-INS-055A RAW SC'!BX50="","",'Midterm OVPAA-F-INS-055A RAW SC'!BX50/'Midterm OVPAA-F-INS-055A RAW SC'!BX$17*100)</f>
        <v/>
      </c>
      <c r="CA50" s="130" t="str">
        <f>IF('Midterm OVPAA-F-INS-055A RAW SC'!BY50="","",'Midterm OVPAA-F-INS-055A RAW SC'!BY50/'Midterm OVPAA-F-INS-055A RAW SC'!BY$17*100)</f>
        <v/>
      </c>
      <c r="CB50" s="130" t="str">
        <f>IF('Midterm OVPAA-F-INS-055A RAW SC'!BZ50="","",'Midterm OVPAA-F-INS-055A RAW SC'!BZ50/'Midterm OVPAA-F-INS-055A RAW SC'!BZ$17*100)</f>
        <v/>
      </c>
      <c r="CC50" s="130" t="str">
        <f>IF('Midterm OVPAA-F-INS-055A RAW SC'!CA50="","",'Midterm OVPAA-F-INS-055A RAW SC'!CA50/'Midterm OVPAA-F-INS-055A RAW SC'!CA$17*100)</f>
        <v/>
      </c>
      <c r="CD50" s="130" t="str">
        <f>IF('Midterm OVPAA-F-INS-055A RAW SC'!CB50="","",'Midterm OVPAA-F-INS-055A RAW SC'!CB50/'Midterm OVPAA-F-INS-055A RAW SC'!CB$17*100)</f>
        <v/>
      </c>
      <c r="CE50" s="130" t="str">
        <f>IF('Midterm OVPAA-F-INS-055A RAW SC'!CC50="","",'Midterm OVPAA-F-INS-055A RAW SC'!CC50/'Midterm OVPAA-F-INS-055A RAW SC'!CC$17*100)</f>
        <v/>
      </c>
      <c r="CF50" s="130" t="str">
        <f>IF('Midterm OVPAA-F-INS-055A RAW SC'!CD50="","",'Midterm OVPAA-F-INS-055A RAW SC'!CD50/'Midterm OVPAA-F-INS-055A RAW SC'!CD$17*100)</f>
        <v/>
      </c>
      <c r="CG50" s="130" t="str">
        <f>IF('Midterm OVPAA-F-INS-055A RAW SC'!CE50="","",'Midterm OVPAA-F-INS-055A RAW SC'!CE50/'Midterm OVPAA-F-INS-055A RAW SC'!CE$17*100)</f>
        <v/>
      </c>
      <c r="CH50" s="130" t="str">
        <f>IF('Midterm OVPAA-F-INS-055A RAW SC'!CF50="","",'Midterm OVPAA-F-INS-055A RAW SC'!CF50/'Midterm OVPAA-F-INS-055A RAW SC'!CF$17*100)</f>
        <v/>
      </c>
      <c r="CI50" s="130" t="str">
        <f>IF('Midterm OVPAA-F-INS-055A RAW SC'!CG50="","",'Midterm OVPAA-F-INS-055A RAW SC'!CG50/'Midterm OVPAA-F-INS-055A RAW SC'!CG$17*100)</f>
        <v/>
      </c>
      <c r="CJ50" s="130" t="str">
        <f>IF('Midterm OVPAA-F-INS-055A RAW SC'!CH50="","",'Midterm OVPAA-F-INS-055A RAW SC'!CH50/'Midterm OVPAA-F-INS-055A RAW SC'!CH$17*100)</f>
        <v/>
      </c>
      <c r="CK50" s="130" t="str">
        <f>IF('Midterm OVPAA-F-INS-055A RAW SC'!CI50="","",'Midterm OVPAA-F-INS-055A RAW SC'!CI50/'Midterm OVPAA-F-INS-055A RAW SC'!CI$17*100)</f>
        <v/>
      </c>
      <c r="CL50" s="130" t="str">
        <f>IF('Midterm OVPAA-F-INS-055A RAW SC'!CJ50="","",'Midterm OVPAA-F-INS-055A RAW SC'!CJ50/'Midterm OVPAA-F-INS-055A RAW SC'!CJ$17*100)</f>
        <v/>
      </c>
      <c r="CM50" s="130" t="str">
        <f>IF('Midterm OVPAA-F-INS-055A RAW SC'!CK50="","",'Midterm OVPAA-F-INS-055A RAW SC'!CK50/'Midterm OVPAA-F-INS-055A RAW SC'!CK$17*100)</f>
        <v/>
      </c>
      <c r="CN50" s="130" t="str">
        <f>IF('Midterm OVPAA-F-INS-055A RAW SC'!CL50="","",'Midterm OVPAA-F-INS-055A RAW SC'!CL50/'Midterm OVPAA-F-INS-055A RAW SC'!CL$17*100)</f>
        <v/>
      </c>
      <c r="CO50" s="130" t="str">
        <f>IF('Midterm OVPAA-F-INS-055A RAW SC'!CM50="","",'Midterm OVPAA-F-INS-055A RAW SC'!CM50/'Midterm OVPAA-F-INS-055A RAW SC'!CM$17*100)</f>
        <v/>
      </c>
      <c r="CP50" s="130" t="str">
        <f>IF('Midterm OVPAA-F-INS-055A RAW SC'!CN50="","",'Midterm OVPAA-F-INS-055A RAW SC'!CN50/'Midterm OVPAA-F-INS-055A RAW SC'!CN$17*100)</f>
        <v/>
      </c>
      <c r="CQ50" s="131" t="str">
        <f t="array" ref="CQ50">IF('Midterm OVPAA-F-INS-055A RAW SC'!G50="","",IF((SUMPRODUCT(--ISBLANK('Midterm OVPAA-F-INS-055A RAW SC'!BU50:CN50))=COLUMNS('Midterm OVPAA-F-INS-055A RAW SC'!BU50:CN50))=TRUE,"",(((COUNTA('Midterm OVPAA-F-INS-055A RAW SC'!$BU$17:$CN$17)+COUNTBLANK('Midterm OVPAA-F-INS-055A RAW SC'!BU50:CN50))-COLUMNS('Midterm OVPAA-F-INS-055A RAW SC'!BU50:CN50))*5+SUM(BW50:CP50))/COUNTA('Midterm OVPAA-F-INS-055A RAW SC'!$BU$17:$CN$17)))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IF('Midterm OVPAA-F-INS-055A RAW SC'!CO50="","",'Midterm OVPAA-F-INS-055A RAW SC'!CO50/'Midterm OVPAA-F-INS-055A RAW SC'!CO$17*100)</f>
        <v/>
      </c>
      <c r="CT50" s="133" t="str">
        <f>IF('Midterm OVPAA-F-INS-055A RAW SC'!CP50="","",'Midterm OVPAA-F-INS-055A RAW SC'!CP50/'Midterm OVPAA-F-INS-055A RAW SC'!CP$17*100)</f>
        <v/>
      </c>
      <c r="CU50" s="133" t="str">
        <f>IF('Midterm OVPAA-F-INS-055A RAW SC'!CQ50="","",'Midterm OVPAA-F-INS-055A RAW SC'!CQ50/'Midterm OVPAA-F-INS-055A RAW SC'!CQ$17*100)</f>
        <v/>
      </c>
      <c r="CV50" s="133" t="str">
        <f>IF('Midterm OVPAA-F-INS-055A RAW SC'!CR50="","",'Midterm OVPAA-F-INS-055A RAW SC'!CR50/'Midterm OVPAA-F-INS-055A RAW SC'!CR$17*100)</f>
        <v/>
      </c>
      <c r="CW50" s="133" t="str">
        <f>IF('Midterm OVPAA-F-INS-055A RAW SC'!CS50="","",'Midterm OVPAA-F-INS-055A RAW SC'!CS50/'Midterm OVPAA-F-INS-055A RAW SC'!CS$17*100)</f>
        <v/>
      </c>
      <c r="CX50" s="133" t="str">
        <f>IF('Midterm OVPAA-F-INS-055A RAW SC'!CT50="","",'Midterm OVPAA-F-INS-055A RAW SC'!CT50/'Midterm OVPAA-F-INS-055A RAW SC'!CT$17*100)</f>
        <v/>
      </c>
      <c r="CY50" s="133" t="str">
        <f>IF('Midterm OVPAA-F-INS-055A RAW SC'!CU50="","",'Midterm OVPAA-F-INS-055A RAW SC'!CU50/'Midterm OVPAA-F-INS-055A RAW SC'!CU$17*100)</f>
        <v/>
      </c>
      <c r="CZ50" s="133" t="str">
        <f>IF('Midterm OVPAA-F-INS-055A RAW SC'!CV50="","",'Midterm OVPAA-F-INS-055A RAW SC'!CV50/'Midterm OVPAA-F-INS-055A RAW SC'!CV$17*100)</f>
        <v/>
      </c>
      <c r="DA50" s="133" t="str">
        <f>IF('Midterm OVPAA-F-INS-055A RAW SC'!CW50="","",'Midterm OVPAA-F-INS-055A RAW SC'!CW50/'Midterm OVPAA-F-INS-055A RAW SC'!CW$17*100)</f>
        <v/>
      </c>
      <c r="DB50" s="133" t="str">
        <f>IF('Midterm OVPAA-F-INS-055A RAW SC'!CX50="","",'Midterm OVPAA-F-INS-055A RAW SC'!CX50/'Midterm OVPAA-F-INS-055A RAW SC'!CX$17*100)</f>
        <v/>
      </c>
      <c r="DC50" s="134" t="str">
        <f t="array" ref="DC50">IF('Midterm OVPAA-F-INS-055A RAW SC'!$G50="","",IF((SUMPRODUCT(--ISBLANK('Midterm OVPAA-F-INS-055A RAW SC'!CO50:CX50))=COLUMNS('Midterm OVPAA-F-INS-055A RAW SC'!CO50:CX50))=TRUE,"",(((COUNTA('Midterm OVPAA-F-INS-055A RAW SC'!$CO$17:$CX$17)+COUNTBLANK('Midterm OVPAA-F-INS-055A RAW SC'!CO50:CX50))-COLUMNS('Midterm OVPAA-F-INS-055A RAW SC'!CO50:CX50))*5+SUM(CS50:DB50))/COUNTA('Midterm OVPAA-F-INS-055A RAW SC'!$CO$17:$CX$17)))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37" t="str">
        <f t="shared" si="2"/>
        <v/>
      </c>
      <c r="DG50" s="138" t="str">
        <f t="shared" si="3"/>
        <v/>
      </c>
      <c r="DH50" s="136" t="str">
        <f t="shared" si="4"/>
        <v/>
      </c>
      <c r="DI50" s="123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IF('Midterm OVPAA-F-INS-055A RAW SC'!H51="","",'Midterm OVPAA-F-INS-055A RAW SC'!H51/'Midterm OVPAA-F-INS-055A RAW SC'!H$17*100)</f>
        <v/>
      </c>
      <c r="I51" s="126" t="str">
        <f>IF('Midterm OVPAA-F-INS-055A RAW SC'!I51="","",'Midterm OVPAA-F-INS-055A RAW SC'!I51/'Midterm OVPAA-F-INS-055A RAW SC'!I$17*100)</f>
        <v/>
      </c>
      <c r="J51" s="126" t="str">
        <f>IF('Midterm OVPAA-F-INS-055A RAW SC'!J51="","",'Midterm OVPAA-F-INS-055A RAW SC'!J51/'Midterm OVPAA-F-INS-055A RAW SC'!J$17*100)</f>
        <v/>
      </c>
      <c r="K51" s="126" t="str">
        <f>IF('Midterm OVPAA-F-INS-055A RAW SC'!K51="","",'Midterm OVPAA-F-INS-055A RAW SC'!K51/'Midterm OVPAA-F-INS-055A RAW SC'!K$17*100)</f>
        <v/>
      </c>
      <c r="L51" s="126" t="str">
        <f>IF('Midterm OVPAA-F-INS-055A RAW SC'!L51="","",'Midterm OVPAA-F-INS-055A RAW SC'!L51/'Midterm OVPAA-F-INS-055A RAW SC'!L$17*100)</f>
        <v/>
      </c>
      <c r="M51" s="126" t="str">
        <f>IF('Midterm OVPAA-F-INS-055A RAW SC'!M51="","",'Midterm OVPAA-F-INS-055A RAW SC'!M51/'Midterm OVPAA-F-INS-055A RAW SC'!M$17*100)</f>
        <v/>
      </c>
      <c r="N51" s="126" t="str">
        <f>IF('Midterm OVPAA-F-INS-055A RAW SC'!N51="","",'Midterm OVPAA-F-INS-055A RAW SC'!N51/'Midterm OVPAA-F-INS-055A RAW SC'!N$17*100)</f>
        <v/>
      </c>
      <c r="O51" s="126" t="str">
        <f>IF('Midterm OVPAA-F-INS-055A RAW SC'!O51="","",'Midterm OVPAA-F-INS-055A RAW SC'!O51/'Midterm OVPAA-F-INS-055A RAW SC'!O$17*100)</f>
        <v/>
      </c>
      <c r="P51" s="126" t="str">
        <f>IF('Midterm OVPAA-F-INS-055A RAW SC'!P51="","",'Midterm OVPAA-F-INS-055A RAW SC'!P51/'Midterm OVPAA-F-INS-055A RAW SC'!P$17*100)</f>
        <v/>
      </c>
      <c r="Q51" s="126" t="str">
        <f>IF('Midterm OVPAA-F-INS-055A RAW SC'!Q51="","",'Midterm OVPAA-F-INS-055A RAW SC'!Q51/'Midterm OVPAA-F-INS-055A RAW SC'!Q$17*100)</f>
        <v/>
      </c>
      <c r="R51" s="126" t="str">
        <f>IF('Midterm OVPAA-F-INS-055A RAW SC'!R51="","",'Midterm OVPAA-F-INS-055A RAW SC'!R51/'Midterm OVPAA-F-INS-055A RAW SC'!R$17*100)</f>
        <v/>
      </c>
      <c r="S51" s="126" t="str">
        <f>IF('Midterm OVPAA-F-INS-055A RAW SC'!S51="","",'Midterm OVPAA-F-INS-055A RAW SC'!S51/'Midterm OVPAA-F-INS-055A RAW SC'!S$17*100)</f>
        <v/>
      </c>
      <c r="T51" s="126" t="str">
        <f>IF('Midterm OVPAA-F-INS-055A RAW SC'!T51="","",'Midterm OVPAA-F-INS-055A RAW SC'!T51/'Midterm OVPAA-F-INS-055A RAW SC'!T$17*100)</f>
        <v/>
      </c>
      <c r="U51" s="126" t="str">
        <f>IF('Midterm OVPAA-F-INS-055A RAW SC'!U51="","",'Midterm OVPAA-F-INS-055A RAW SC'!U51/'Midterm OVPAA-F-INS-055A RAW SC'!U$17*100)</f>
        <v/>
      </c>
      <c r="V51" s="126" t="str">
        <f>IF('Midterm OVPAA-F-INS-055A RAW SC'!V51="","",'Midterm OVPAA-F-INS-055A RAW SC'!V51/'Midterm OVPAA-F-INS-055A RAW SC'!V$17*100)</f>
        <v/>
      </c>
      <c r="W51" s="126" t="str">
        <f>IF('Midterm OVPAA-F-INS-055A RAW SC'!W51="","",'Midterm OVPAA-F-INS-055A RAW SC'!W51/'Midterm OVPAA-F-INS-055A RAW SC'!W$17*100)</f>
        <v/>
      </c>
      <c r="X51" s="126" t="str">
        <f>IF('Midterm OVPAA-F-INS-055A RAW SC'!X51="","",'Midterm OVPAA-F-INS-055A RAW SC'!X51/'Midterm OVPAA-F-INS-055A RAW SC'!X$17*100)</f>
        <v/>
      </c>
      <c r="Y51" s="126" t="str">
        <f>IF('Midterm OVPAA-F-INS-055A RAW SC'!Y51="","",'Midterm OVPAA-F-INS-055A RAW SC'!Y51/'Midterm OVPAA-F-INS-055A RAW SC'!Y$17*100)</f>
        <v/>
      </c>
      <c r="Z51" s="126" t="str">
        <f>IF('Midterm OVPAA-F-INS-055A RAW SC'!Z51="","",'Midterm OVPAA-F-INS-055A RAW SC'!Z51/'Midterm OVPAA-F-INS-055A RAW SC'!Z$17*100)</f>
        <v/>
      </c>
      <c r="AA51" s="126" t="str">
        <f>IF('Midterm OVPAA-F-INS-055A RAW SC'!AA51="","",'Midterm OVPAA-F-INS-055A RAW SC'!AA51/'Midterm OVPAA-F-INS-055A RAW SC'!AA$17*100)</f>
        <v/>
      </c>
      <c r="AB51" s="126" t="str">
        <f>IF('Midterm OVPAA-F-INS-055A RAW SC'!AB51="","",'Midterm OVPAA-F-INS-055A RAW SC'!AB51/'Midterm OVPAA-F-INS-055A RAW SC'!AB$17*100)</f>
        <v/>
      </c>
      <c r="AC51" s="126" t="str">
        <f>IF('Midterm OVPAA-F-INS-055A RAW SC'!AC51="","",'Midterm OVPAA-F-INS-055A RAW SC'!AC51/'Midterm OVPAA-F-INS-055A RAW SC'!AC$17*100)</f>
        <v/>
      </c>
      <c r="AD51" s="126" t="str">
        <f>IF('Midterm OVPAA-F-INS-055A RAW SC'!AD51="","",'Midterm OVPAA-F-INS-055A RAW SC'!AD51/'Midterm OVPAA-F-INS-055A RAW SC'!AD$17*100)</f>
        <v/>
      </c>
      <c r="AE51" s="126" t="str">
        <f>IF('Midterm OVPAA-F-INS-055A RAW SC'!AE51="","",'Midterm OVPAA-F-INS-055A RAW SC'!AE51/'Midterm OVPAA-F-INS-055A RAW SC'!AE$17*100)</f>
        <v/>
      </c>
      <c r="AF51" s="126" t="str">
        <f>IF('Midterm OVPAA-F-INS-055A RAW SC'!AF51="","",'Midterm OVPAA-F-INS-055A RAW SC'!AF51/'Midterm OVPAA-F-INS-055A RAW SC'!AF$17*100)</f>
        <v/>
      </c>
      <c r="AG51" s="126" t="str">
        <f>IF('Midterm OVPAA-F-INS-055A RAW SC'!AG51="","",'Midterm OVPAA-F-INS-055A RAW SC'!AG51/'Midterm OVPAA-F-INS-055A RAW SC'!AG$17*100)</f>
        <v/>
      </c>
      <c r="AH51" s="126" t="str">
        <f>IF('Midterm OVPAA-F-INS-055A RAW SC'!AH51="","",'Midterm OVPAA-F-INS-055A RAW SC'!AH51/'Midterm OVPAA-F-INS-055A RAW SC'!AH$17*100)</f>
        <v/>
      </c>
      <c r="AI51" s="126" t="str">
        <f>IF('Midterm OVPAA-F-INS-055A RAW SC'!AI51="","",'Midterm OVPAA-F-INS-055A RAW SC'!AI51/'Midterm OVPAA-F-INS-055A RAW SC'!AI$17*100)</f>
        <v/>
      </c>
      <c r="AJ51" s="126" t="str">
        <f>IF('Midterm OVPAA-F-INS-055A RAW SC'!AJ51="","",'Midterm OVPAA-F-INS-055A RAW SC'!AJ51/'Midterm OVPAA-F-INS-055A RAW SC'!AJ$17*100)</f>
        <v/>
      </c>
      <c r="AK51" s="126" t="str">
        <f>IF('Midterm OVPAA-F-INS-055A RAW SC'!AK51="","",'Midterm OVPAA-F-INS-055A RAW SC'!AK51/'Midterm OVPAA-F-INS-055A RAW SC'!AK$17*100)</f>
        <v/>
      </c>
      <c r="AL51" s="126" t="str">
        <f>IF('Midterm OVPAA-F-INS-055A RAW SC'!AL51="","",'Midterm OVPAA-F-INS-055A RAW SC'!AL51/'Midterm OVPAA-F-INS-055A RAW SC'!AL$17*100)</f>
        <v/>
      </c>
      <c r="AM51" s="126" t="str">
        <f>IF('Midterm OVPAA-F-INS-055A RAW SC'!AM51="","",'Midterm OVPAA-F-INS-055A RAW SC'!AM51/'Midterm OVPAA-F-INS-055A RAW SC'!AM$17*100)</f>
        <v/>
      </c>
      <c r="AN51" s="126" t="str">
        <f>IF('Midterm OVPAA-F-INS-055A RAW SC'!AN51="","",'Midterm OVPAA-F-INS-055A RAW SC'!AN51/'Midterm OVPAA-F-INS-055A RAW SC'!AN$17*100)</f>
        <v/>
      </c>
      <c r="AO51" s="126" t="str">
        <f>IF('Midterm OVPAA-F-INS-055A RAW SC'!AO51="","",'Midterm OVPAA-F-INS-055A RAW SC'!AO51/'Midterm OVPAA-F-INS-055A RAW SC'!AO$17*100)</f>
        <v/>
      </c>
      <c r="AP51" s="126" t="str">
        <f>IF('Midterm OVPAA-F-INS-055A RAW SC'!AP51="","",'Midterm OVPAA-F-INS-055A RAW SC'!AP51/'Midterm OVPAA-F-INS-055A RAW SC'!AP$17*100)</f>
        <v/>
      </c>
      <c r="AQ51" s="126" t="str">
        <f>IF('Midterm OVPAA-F-INS-055A RAW SC'!AQ51="","",'Midterm OVPAA-F-INS-055A RAW SC'!AQ51/'Midterm OVPAA-F-INS-055A RAW SC'!AQ$17*100)</f>
        <v/>
      </c>
      <c r="AR51" s="126" t="str">
        <f>IF('Midterm OVPAA-F-INS-055A RAW SC'!AR51="","",'Midterm OVPAA-F-INS-055A RAW SC'!AR51/'Midterm OVPAA-F-INS-055A RAW SC'!AR$17*100)</f>
        <v/>
      </c>
      <c r="AS51" s="126" t="str">
        <f>IF('Midterm OVPAA-F-INS-055A RAW SC'!AS51="","",'Midterm OVPAA-F-INS-055A RAW SC'!AS51/'Midterm OVPAA-F-INS-055A RAW SC'!AS$17*100)</f>
        <v/>
      </c>
      <c r="AT51" s="126" t="str">
        <f>IF('Midterm OVPAA-F-INS-055A RAW SC'!AT51="","",'Midterm OVPAA-F-INS-055A RAW SC'!AT51/'Midterm OVPAA-F-INS-055A RAW SC'!AT$17*100)</f>
        <v/>
      </c>
      <c r="AU51" s="126" t="str">
        <f>IF('Midterm OVPAA-F-INS-055A RAW SC'!AU51="","",'Midterm OVPAA-F-INS-055A RAW SC'!AU51/'Midterm OVPAA-F-INS-055A RAW SC'!AU$17*100)</f>
        <v/>
      </c>
      <c r="AV51" s="126" t="str">
        <f>IF('Midterm OVPAA-F-INS-055A RAW SC'!AV51="","",'Midterm OVPAA-F-INS-055A RAW SC'!AV51/'Midterm OVPAA-F-INS-055A RAW SC'!AV$17*100)</f>
        <v/>
      </c>
      <c r="AW51" s="126" t="str">
        <f>IF('Midterm OVPAA-F-INS-055A RAW SC'!AW51="","",'Midterm OVPAA-F-INS-055A RAW SC'!AW51/'Midterm OVPAA-F-INS-055A RAW SC'!AW$17*100)</f>
        <v/>
      </c>
      <c r="AX51" s="126" t="str">
        <f>IF('Midterm OVPAA-F-INS-055A RAW SC'!AX51="","",'Midterm OVPAA-F-INS-055A RAW SC'!AX51/'Midterm OVPAA-F-INS-055A RAW SC'!AX$17*100)</f>
        <v/>
      </c>
      <c r="AY51" s="126" t="str">
        <f>IF('Midterm OVPAA-F-INS-055A RAW SC'!AY51="","",'Midterm OVPAA-F-INS-055A RAW SC'!AY51/'Midterm OVPAA-F-INS-055A RAW SC'!AY$17*100)</f>
        <v/>
      </c>
      <c r="AZ51" s="126" t="str">
        <f>IF('Midterm OVPAA-F-INS-055A RAW SC'!AZ51="","",'Midterm OVPAA-F-INS-055A RAW SC'!AZ51/'Midterm OVPAA-F-INS-055A RAW SC'!AZ$17*100)</f>
        <v/>
      </c>
      <c r="BA51" s="126" t="str">
        <f>IF('Midterm OVPAA-F-INS-055A RAW SC'!BA51="","",'Midterm OVPAA-F-INS-055A RAW SC'!BA51/'Midterm OVPAA-F-INS-055A RAW SC'!BA$17*100)</f>
        <v/>
      </c>
      <c r="BB51" s="126" t="str">
        <f>IF('Midterm OVPAA-F-INS-055A RAW SC'!BB51="","",'Midterm OVPAA-F-INS-055A RAW SC'!BB51/'Midterm OVPAA-F-INS-055A RAW SC'!BB$17*100)</f>
        <v/>
      </c>
      <c r="BC51" s="126" t="str">
        <f>IF('Midterm OVPAA-F-INS-055A RAW SC'!BC51="","",'Midterm OVPAA-F-INS-055A RAW SC'!BC51/'Midterm OVPAA-F-INS-055A RAW SC'!BC$17*100)</f>
        <v/>
      </c>
      <c r="BD51" s="126" t="str">
        <f>IF('Midterm OVPAA-F-INS-055A RAW SC'!BD51="","",'Midterm OVPAA-F-INS-055A RAW SC'!BD51/'Midterm OVPAA-F-INS-055A RAW SC'!BD$17*100)</f>
        <v/>
      </c>
      <c r="BE51" s="126" t="str">
        <f>IF('Midterm OVPAA-F-INS-055A RAW SC'!BE51="","",'Midterm OVPAA-F-INS-055A RAW SC'!BE51/'Midterm OVPAA-F-INS-055A RAW SC'!BE$17*100)</f>
        <v/>
      </c>
      <c r="BF51" s="126" t="str">
        <f>IF('Midterm OVPAA-F-INS-055A RAW SC'!BF51="","",'Midterm OVPAA-F-INS-055A RAW SC'!BF51/'Midterm OVPAA-F-INS-055A RAW SC'!BF$17*100)</f>
        <v/>
      </c>
      <c r="BG51" s="126" t="str">
        <f>IF('Midterm OVPAA-F-INS-055A RAW SC'!BG51="","",'Midterm OVPAA-F-INS-055A RAW SC'!BG51/'Midterm OVPAA-F-INS-055A RAW SC'!BG$17*100)</f>
        <v/>
      </c>
      <c r="BH51" s="126" t="str">
        <f>IF('Midterm OVPAA-F-INS-055A RAW SC'!BH51="","",'Midterm OVPAA-F-INS-055A RAW SC'!BH51/'Midterm OVPAA-F-INS-055A RAW SC'!BH$17*100)</f>
        <v/>
      </c>
      <c r="BI51" s="126" t="str">
        <f>IF('Midterm OVPAA-F-INS-055A RAW SC'!BI51="","",'Midterm OVPAA-F-INS-055A RAW SC'!BI51/'Midterm OVPAA-F-INS-055A RAW SC'!BI$17*100)</f>
        <v/>
      </c>
      <c r="BJ51" s="126" t="str">
        <f>IF('Midterm OVPAA-F-INS-055A RAW SC'!BJ51="","",'Midterm OVPAA-F-INS-055A RAW SC'!BJ51/'Midterm OVPAA-F-INS-055A RAW SC'!BJ$17*100)</f>
        <v/>
      </c>
      <c r="BK51" s="126" t="str">
        <f>IF('Midterm OVPAA-F-INS-055A RAW SC'!BK51="","",'Midterm OVPAA-F-INS-055A RAW SC'!BK51/'Midterm OVPAA-F-INS-055A RAW SC'!BK$17*100)</f>
        <v/>
      </c>
      <c r="BL51" s="126" t="str">
        <f>IF('Midterm OVPAA-F-INS-055A RAW SC'!BL51="","",'Midterm OVPAA-F-INS-055A RAW SC'!BL51/'Midterm OVPAA-F-INS-055A RAW SC'!BL$17*100)</f>
        <v/>
      </c>
      <c r="BM51" s="126" t="str">
        <f>IF('Midterm OVPAA-F-INS-055A RAW SC'!BM51="","",'Midterm OVPAA-F-INS-055A RAW SC'!BM51/'Midterm OVPAA-F-INS-055A RAW SC'!BM$17*100)</f>
        <v/>
      </c>
      <c r="BN51" s="126" t="str">
        <f>IF('Midterm OVPAA-F-INS-055A RAW SC'!BN51="","",'Midterm OVPAA-F-INS-055A RAW SC'!BN51/'Midterm OVPAA-F-INS-055A RAW SC'!BN$17*100)</f>
        <v/>
      </c>
      <c r="BO51" s="126" t="str">
        <f>IF('Midterm OVPAA-F-INS-055A RAW SC'!BO51="","",'Midterm OVPAA-F-INS-055A RAW SC'!BO51/'Midterm OVPAA-F-INS-055A RAW SC'!BO$17*100)</f>
        <v/>
      </c>
      <c r="BP51" s="126" t="str">
        <f>IF('Midterm OVPAA-F-INS-055A RAW SC'!BP51="","",'Midterm OVPAA-F-INS-055A RAW SC'!BP51/'Midterm OVPAA-F-INS-055A RAW SC'!BP$17*100)</f>
        <v/>
      </c>
      <c r="BQ51" s="126" t="str">
        <f>IF('Midterm OVPAA-F-INS-055A RAW SC'!BQ51="","",'Midterm OVPAA-F-INS-055A RAW SC'!BQ51/'Midterm OVPAA-F-INS-055A RAW SC'!BQ$17*100)</f>
        <v/>
      </c>
      <c r="BR51" s="126" t="str">
        <f>IF('Midterm OVPAA-F-INS-055A RAW SC'!BR51="","",'Midterm OVPAA-F-INS-055A RAW SC'!BR51/'Midterm OVPAA-F-INS-055A RAW SC'!BR$17*100)</f>
        <v/>
      </c>
      <c r="BS51" s="126" t="str">
        <f>IF('Midterm OVPAA-F-INS-055A RAW SC'!BS51="","",'Midterm OVPAA-F-INS-055A RAW SC'!BS51/'Midterm OVPAA-F-INS-055A RAW SC'!BS$17*100)</f>
        <v/>
      </c>
      <c r="BT51" s="126" t="str">
        <f>IF('Midterm OVPAA-F-INS-055A RAW SC'!BT51="","",'Midterm OVPAA-F-INS-055A RAW SC'!BT51/'Midterm OVPAA-F-INS-055A RAW SC'!BT$17*100)</f>
        <v/>
      </c>
      <c r="BU51" s="127" t="str">
        <f t="array" ref="BU51">IF('Midterm OVPAA-F-INS-055A RAW SC'!$G51="","",IF((SUMPRODUCT(--ISBLANK('Midterm OVPAA-F-INS-055A RAW SC'!H51:BT51))=COLUMNS('Midterm OVPAA-F-INS-055A RAW SC'!H51:BT51))=TRUE,"",(((COUNTA('Midterm OVPAA-F-INS-055A RAW SC'!$H$17:$BT$17)+COUNTBLANK('Midterm OVPAA-F-INS-055A RAW SC'!H51:BT51))-COLUMNS('Midterm OVPAA-F-INS-055A RAW SC'!H51:BT51))*5+SUM(H51:BT51))/COUNTA('Midterm OVPAA-F-INS-055A RAW SC'!$H$17:$BT$17)))</f>
        <v/>
      </c>
      <c r="BV51" s="128" t="str">
        <f>IF(BU51="","",VLOOKUP(BU51,IF('Midterm OVPAA-F-INS-055A RAW SC'!$V$12=0.5,TRANSMUTATION!$C$4:$D$17,TRANSMUTATION!$G$4:$H$17),2,TRUE))</f>
        <v/>
      </c>
      <c r="BW51" s="129" t="str">
        <f>IF('Midterm OVPAA-F-INS-055A RAW SC'!BU51="","",'Midterm OVPAA-F-INS-055A RAW SC'!BU51/'Midterm OVPAA-F-INS-055A RAW SC'!BU$17*100)</f>
        <v/>
      </c>
      <c r="BX51" s="130" t="str">
        <f>IF('Midterm OVPAA-F-INS-055A RAW SC'!BV51="","",'Midterm OVPAA-F-INS-055A RAW SC'!BV51/'Midterm OVPAA-F-INS-055A RAW SC'!BV$17*100)</f>
        <v/>
      </c>
      <c r="BY51" s="130" t="str">
        <f>IF('Midterm OVPAA-F-INS-055A RAW SC'!BW51="","",'Midterm OVPAA-F-INS-055A RAW SC'!BW51/'Midterm OVPAA-F-INS-055A RAW SC'!BW$17*100)</f>
        <v/>
      </c>
      <c r="BZ51" s="130" t="str">
        <f>IF('Midterm OVPAA-F-INS-055A RAW SC'!BX51="","",'Midterm OVPAA-F-INS-055A RAW SC'!BX51/'Midterm OVPAA-F-INS-055A RAW SC'!BX$17*100)</f>
        <v/>
      </c>
      <c r="CA51" s="130" t="str">
        <f>IF('Midterm OVPAA-F-INS-055A RAW SC'!BY51="","",'Midterm OVPAA-F-INS-055A RAW SC'!BY51/'Midterm OVPAA-F-INS-055A RAW SC'!BY$17*100)</f>
        <v/>
      </c>
      <c r="CB51" s="130" t="str">
        <f>IF('Midterm OVPAA-F-INS-055A RAW SC'!BZ51="","",'Midterm OVPAA-F-INS-055A RAW SC'!BZ51/'Midterm OVPAA-F-INS-055A RAW SC'!BZ$17*100)</f>
        <v/>
      </c>
      <c r="CC51" s="130" t="str">
        <f>IF('Midterm OVPAA-F-INS-055A RAW SC'!CA51="","",'Midterm OVPAA-F-INS-055A RAW SC'!CA51/'Midterm OVPAA-F-INS-055A RAW SC'!CA$17*100)</f>
        <v/>
      </c>
      <c r="CD51" s="130" t="str">
        <f>IF('Midterm OVPAA-F-INS-055A RAW SC'!CB51="","",'Midterm OVPAA-F-INS-055A RAW SC'!CB51/'Midterm OVPAA-F-INS-055A RAW SC'!CB$17*100)</f>
        <v/>
      </c>
      <c r="CE51" s="130" t="str">
        <f>IF('Midterm OVPAA-F-INS-055A RAW SC'!CC51="","",'Midterm OVPAA-F-INS-055A RAW SC'!CC51/'Midterm OVPAA-F-INS-055A RAW SC'!CC$17*100)</f>
        <v/>
      </c>
      <c r="CF51" s="130" t="str">
        <f>IF('Midterm OVPAA-F-INS-055A RAW SC'!CD51="","",'Midterm OVPAA-F-INS-055A RAW SC'!CD51/'Midterm OVPAA-F-INS-055A RAW SC'!CD$17*100)</f>
        <v/>
      </c>
      <c r="CG51" s="130" t="str">
        <f>IF('Midterm OVPAA-F-INS-055A RAW SC'!CE51="","",'Midterm OVPAA-F-INS-055A RAW SC'!CE51/'Midterm OVPAA-F-INS-055A RAW SC'!CE$17*100)</f>
        <v/>
      </c>
      <c r="CH51" s="130" t="str">
        <f>IF('Midterm OVPAA-F-INS-055A RAW SC'!CF51="","",'Midterm OVPAA-F-INS-055A RAW SC'!CF51/'Midterm OVPAA-F-INS-055A RAW SC'!CF$17*100)</f>
        <v/>
      </c>
      <c r="CI51" s="130" t="str">
        <f>IF('Midterm OVPAA-F-INS-055A RAW SC'!CG51="","",'Midterm OVPAA-F-INS-055A RAW SC'!CG51/'Midterm OVPAA-F-INS-055A RAW SC'!CG$17*100)</f>
        <v/>
      </c>
      <c r="CJ51" s="130" t="str">
        <f>IF('Midterm OVPAA-F-INS-055A RAW SC'!CH51="","",'Midterm OVPAA-F-INS-055A RAW SC'!CH51/'Midterm OVPAA-F-INS-055A RAW SC'!CH$17*100)</f>
        <v/>
      </c>
      <c r="CK51" s="130" t="str">
        <f>IF('Midterm OVPAA-F-INS-055A RAW SC'!CI51="","",'Midterm OVPAA-F-INS-055A RAW SC'!CI51/'Midterm OVPAA-F-INS-055A RAW SC'!CI$17*100)</f>
        <v/>
      </c>
      <c r="CL51" s="130" t="str">
        <f>IF('Midterm OVPAA-F-INS-055A RAW SC'!CJ51="","",'Midterm OVPAA-F-INS-055A RAW SC'!CJ51/'Midterm OVPAA-F-INS-055A RAW SC'!CJ$17*100)</f>
        <v/>
      </c>
      <c r="CM51" s="130" t="str">
        <f>IF('Midterm OVPAA-F-INS-055A RAW SC'!CK51="","",'Midterm OVPAA-F-INS-055A RAW SC'!CK51/'Midterm OVPAA-F-INS-055A RAW SC'!CK$17*100)</f>
        <v/>
      </c>
      <c r="CN51" s="130" t="str">
        <f>IF('Midterm OVPAA-F-INS-055A RAW SC'!CL51="","",'Midterm OVPAA-F-INS-055A RAW SC'!CL51/'Midterm OVPAA-F-INS-055A RAW SC'!CL$17*100)</f>
        <v/>
      </c>
      <c r="CO51" s="130" t="str">
        <f>IF('Midterm OVPAA-F-INS-055A RAW SC'!CM51="","",'Midterm OVPAA-F-INS-055A RAW SC'!CM51/'Midterm OVPAA-F-INS-055A RAW SC'!CM$17*100)</f>
        <v/>
      </c>
      <c r="CP51" s="130" t="str">
        <f>IF('Midterm OVPAA-F-INS-055A RAW SC'!CN51="","",'Midterm OVPAA-F-INS-055A RAW SC'!CN51/'Midterm OVPAA-F-INS-055A RAW SC'!CN$17*100)</f>
        <v/>
      </c>
      <c r="CQ51" s="131" t="str">
        <f t="array" ref="CQ51">IF('Midterm OVPAA-F-INS-055A RAW SC'!G51="","",IF((SUMPRODUCT(--ISBLANK('Midterm OVPAA-F-INS-055A RAW SC'!BU51:CN51))=COLUMNS('Midterm OVPAA-F-INS-055A RAW SC'!BU51:CN51))=TRUE,"",(((COUNTA('Midterm OVPAA-F-INS-055A RAW SC'!$BU$17:$CN$17)+COUNTBLANK('Midterm OVPAA-F-INS-055A RAW SC'!BU51:CN51))-COLUMNS('Midterm OVPAA-F-INS-055A RAW SC'!BU51:CN51))*5+SUM(BW51:CP51))/COUNTA('Midterm OVPAA-F-INS-055A RAW SC'!$BU$17:$CN$17)))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IF('Midterm OVPAA-F-INS-055A RAW SC'!CO51="","",'Midterm OVPAA-F-INS-055A RAW SC'!CO51/'Midterm OVPAA-F-INS-055A RAW SC'!CO$17*100)</f>
        <v/>
      </c>
      <c r="CT51" s="133" t="str">
        <f>IF('Midterm OVPAA-F-INS-055A RAW SC'!CP51="","",'Midterm OVPAA-F-INS-055A RAW SC'!CP51/'Midterm OVPAA-F-INS-055A RAW SC'!CP$17*100)</f>
        <v/>
      </c>
      <c r="CU51" s="133" t="str">
        <f>IF('Midterm OVPAA-F-INS-055A RAW SC'!CQ51="","",'Midterm OVPAA-F-INS-055A RAW SC'!CQ51/'Midterm OVPAA-F-INS-055A RAW SC'!CQ$17*100)</f>
        <v/>
      </c>
      <c r="CV51" s="133" t="str">
        <f>IF('Midterm OVPAA-F-INS-055A RAW SC'!CR51="","",'Midterm OVPAA-F-INS-055A RAW SC'!CR51/'Midterm OVPAA-F-INS-055A RAW SC'!CR$17*100)</f>
        <v/>
      </c>
      <c r="CW51" s="133" t="str">
        <f>IF('Midterm OVPAA-F-INS-055A RAW SC'!CS51="","",'Midterm OVPAA-F-INS-055A RAW SC'!CS51/'Midterm OVPAA-F-INS-055A RAW SC'!CS$17*100)</f>
        <v/>
      </c>
      <c r="CX51" s="133" t="str">
        <f>IF('Midterm OVPAA-F-INS-055A RAW SC'!CT51="","",'Midterm OVPAA-F-INS-055A RAW SC'!CT51/'Midterm OVPAA-F-INS-055A RAW SC'!CT$17*100)</f>
        <v/>
      </c>
      <c r="CY51" s="133" t="str">
        <f>IF('Midterm OVPAA-F-INS-055A RAW SC'!CU51="","",'Midterm OVPAA-F-INS-055A RAW SC'!CU51/'Midterm OVPAA-F-INS-055A RAW SC'!CU$17*100)</f>
        <v/>
      </c>
      <c r="CZ51" s="133" t="str">
        <f>IF('Midterm OVPAA-F-INS-055A RAW SC'!CV51="","",'Midterm OVPAA-F-INS-055A RAW SC'!CV51/'Midterm OVPAA-F-INS-055A RAW SC'!CV$17*100)</f>
        <v/>
      </c>
      <c r="DA51" s="133" t="str">
        <f>IF('Midterm OVPAA-F-INS-055A RAW SC'!CW51="","",'Midterm OVPAA-F-INS-055A RAW SC'!CW51/'Midterm OVPAA-F-INS-055A RAW SC'!CW$17*100)</f>
        <v/>
      </c>
      <c r="DB51" s="133" t="str">
        <f>IF('Midterm OVPAA-F-INS-055A RAW SC'!CX51="","",'Midterm OVPAA-F-INS-055A RAW SC'!CX51/'Midterm OVPAA-F-INS-055A RAW SC'!CX$17*100)</f>
        <v/>
      </c>
      <c r="DC51" s="134" t="str">
        <f t="array" ref="DC51">IF('Midterm OVPAA-F-INS-055A RAW SC'!$G51="","",IF((SUMPRODUCT(--ISBLANK('Midterm OVPAA-F-INS-055A RAW SC'!CO51:CX51))=COLUMNS('Midterm OVPAA-F-INS-055A RAW SC'!CO51:CX51))=TRUE,"",(((COUNTA('Midterm OVPAA-F-INS-055A RAW SC'!$CO$17:$CX$17)+COUNTBLANK('Midterm OVPAA-F-INS-055A RAW SC'!CO51:CX51))-COLUMNS('Midterm OVPAA-F-INS-055A RAW SC'!CO51:CX51))*5+SUM(CS51:DB51))/COUNTA('Midterm OVPAA-F-INS-055A RAW SC'!$CO$17:$CX$17)))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37" t="str">
        <f t="shared" si="2"/>
        <v/>
      </c>
      <c r="DG51" s="138" t="str">
        <f t="shared" si="3"/>
        <v/>
      </c>
      <c r="DH51" s="136" t="str">
        <f t="shared" si="4"/>
        <v/>
      </c>
      <c r="DI51" s="123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IF('Midterm OVPAA-F-INS-055A RAW SC'!H52="","",'Midterm OVPAA-F-INS-055A RAW SC'!H52/'Midterm OVPAA-F-INS-055A RAW SC'!H$17*100)</f>
        <v/>
      </c>
      <c r="I52" s="126" t="str">
        <f>IF('Midterm OVPAA-F-INS-055A RAW SC'!I52="","",'Midterm OVPAA-F-INS-055A RAW SC'!I52/'Midterm OVPAA-F-INS-055A RAW SC'!I$17*100)</f>
        <v/>
      </c>
      <c r="J52" s="126" t="str">
        <f>IF('Midterm OVPAA-F-INS-055A RAW SC'!J52="","",'Midterm OVPAA-F-INS-055A RAW SC'!J52/'Midterm OVPAA-F-INS-055A RAW SC'!J$17*100)</f>
        <v/>
      </c>
      <c r="K52" s="126" t="str">
        <f>IF('Midterm OVPAA-F-INS-055A RAW SC'!K52="","",'Midterm OVPAA-F-INS-055A RAW SC'!K52/'Midterm OVPAA-F-INS-055A RAW SC'!K$17*100)</f>
        <v/>
      </c>
      <c r="L52" s="126" t="str">
        <f>IF('Midterm OVPAA-F-INS-055A RAW SC'!L52="","",'Midterm OVPAA-F-INS-055A RAW SC'!L52/'Midterm OVPAA-F-INS-055A RAW SC'!L$17*100)</f>
        <v/>
      </c>
      <c r="M52" s="126" t="str">
        <f>IF('Midterm OVPAA-F-INS-055A RAW SC'!M52="","",'Midterm OVPAA-F-INS-055A RAW SC'!M52/'Midterm OVPAA-F-INS-055A RAW SC'!M$17*100)</f>
        <v/>
      </c>
      <c r="N52" s="126" t="str">
        <f>IF('Midterm OVPAA-F-INS-055A RAW SC'!N52="","",'Midterm OVPAA-F-INS-055A RAW SC'!N52/'Midterm OVPAA-F-INS-055A RAW SC'!N$17*100)</f>
        <v/>
      </c>
      <c r="O52" s="126" t="str">
        <f>IF('Midterm OVPAA-F-INS-055A RAW SC'!O52="","",'Midterm OVPAA-F-INS-055A RAW SC'!O52/'Midterm OVPAA-F-INS-055A RAW SC'!O$17*100)</f>
        <v/>
      </c>
      <c r="P52" s="126" t="str">
        <f>IF('Midterm OVPAA-F-INS-055A RAW SC'!P52="","",'Midterm OVPAA-F-INS-055A RAW SC'!P52/'Midterm OVPAA-F-INS-055A RAW SC'!P$17*100)</f>
        <v/>
      </c>
      <c r="Q52" s="126" t="str">
        <f>IF('Midterm OVPAA-F-INS-055A RAW SC'!Q52="","",'Midterm OVPAA-F-INS-055A RAW SC'!Q52/'Midterm OVPAA-F-INS-055A RAW SC'!Q$17*100)</f>
        <v/>
      </c>
      <c r="R52" s="126" t="str">
        <f>IF('Midterm OVPAA-F-INS-055A RAW SC'!R52="","",'Midterm OVPAA-F-INS-055A RAW SC'!R52/'Midterm OVPAA-F-INS-055A RAW SC'!R$17*100)</f>
        <v/>
      </c>
      <c r="S52" s="126" t="str">
        <f>IF('Midterm OVPAA-F-INS-055A RAW SC'!S52="","",'Midterm OVPAA-F-INS-055A RAW SC'!S52/'Midterm OVPAA-F-INS-055A RAW SC'!S$17*100)</f>
        <v/>
      </c>
      <c r="T52" s="126" t="str">
        <f>IF('Midterm OVPAA-F-INS-055A RAW SC'!T52="","",'Midterm OVPAA-F-INS-055A RAW SC'!T52/'Midterm OVPAA-F-INS-055A RAW SC'!T$17*100)</f>
        <v/>
      </c>
      <c r="U52" s="126" t="str">
        <f>IF('Midterm OVPAA-F-INS-055A RAW SC'!U52="","",'Midterm OVPAA-F-INS-055A RAW SC'!U52/'Midterm OVPAA-F-INS-055A RAW SC'!U$17*100)</f>
        <v/>
      </c>
      <c r="V52" s="126" t="str">
        <f>IF('Midterm OVPAA-F-INS-055A RAW SC'!V52="","",'Midterm OVPAA-F-INS-055A RAW SC'!V52/'Midterm OVPAA-F-INS-055A RAW SC'!V$17*100)</f>
        <v/>
      </c>
      <c r="W52" s="126" t="str">
        <f>IF('Midterm OVPAA-F-INS-055A RAW SC'!W52="","",'Midterm OVPAA-F-INS-055A RAW SC'!W52/'Midterm OVPAA-F-INS-055A RAW SC'!W$17*100)</f>
        <v/>
      </c>
      <c r="X52" s="126" t="str">
        <f>IF('Midterm OVPAA-F-INS-055A RAW SC'!X52="","",'Midterm OVPAA-F-INS-055A RAW SC'!X52/'Midterm OVPAA-F-INS-055A RAW SC'!X$17*100)</f>
        <v/>
      </c>
      <c r="Y52" s="126" t="str">
        <f>IF('Midterm OVPAA-F-INS-055A RAW SC'!Y52="","",'Midterm OVPAA-F-INS-055A RAW SC'!Y52/'Midterm OVPAA-F-INS-055A RAW SC'!Y$17*100)</f>
        <v/>
      </c>
      <c r="Z52" s="126" t="str">
        <f>IF('Midterm OVPAA-F-INS-055A RAW SC'!Z52="","",'Midterm OVPAA-F-INS-055A RAW SC'!Z52/'Midterm OVPAA-F-INS-055A RAW SC'!Z$17*100)</f>
        <v/>
      </c>
      <c r="AA52" s="126" t="str">
        <f>IF('Midterm OVPAA-F-INS-055A RAW SC'!AA52="","",'Midterm OVPAA-F-INS-055A RAW SC'!AA52/'Midterm OVPAA-F-INS-055A RAW SC'!AA$17*100)</f>
        <v/>
      </c>
      <c r="AB52" s="126" t="str">
        <f>IF('Midterm OVPAA-F-INS-055A RAW SC'!AB52="","",'Midterm OVPAA-F-INS-055A RAW SC'!AB52/'Midterm OVPAA-F-INS-055A RAW SC'!AB$17*100)</f>
        <v/>
      </c>
      <c r="AC52" s="126" t="str">
        <f>IF('Midterm OVPAA-F-INS-055A RAW SC'!AC52="","",'Midterm OVPAA-F-INS-055A RAW SC'!AC52/'Midterm OVPAA-F-INS-055A RAW SC'!AC$17*100)</f>
        <v/>
      </c>
      <c r="AD52" s="126" t="str">
        <f>IF('Midterm OVPAA-F-INS-055A RAW SC'!AD52="","",'Midterm OVPAA-F-INS-055A RAW SC'!AD52/'Midterm OVPAA-F-INS-055A RAW SC'!AD$17*100)</f>
        <v/>
      </c>
      <c r="AE52" s="126" t="str">
        <f>IF('Midterm OVPAA-F-INS-055A RAW SC'!AE52="","",'Midterm OVPAA-F-INS-055A RAW SC'!AE52/'Midterm OVPAA-F-INS-055A RAW SC'!AE$17*100)</f>
        <v/>
      </c>
      <c r="AF52" s="126" t="str">
        <f>IF('Midterm OVPAA-F-INS-055A RAW SC'!AF52="","",'Midterm OVPAA-F-INS-055A RAW SC'!AF52/'Midterm OVPAA-F-INS-055A RAW SC'!AF$17*100)</f>
        <v/>
      </c>
      <c r="AG52" s="126" t="str">
        <f>IF('Midterm OVPAA-F-INS-055A RAW SC'!AG52="","",'Midterm OVPAA-F-INS-055A RAW SC'!AG52/'Midterm OVPAA-F-INS-055A RAW SC'!AG$17*100)</f>
        <v/>
      </c>
      <c r="AH52" s="126" t="str">
        <f>IF('Midterm OVPAA-F-INS-055A RAW SC'!AH52="","",'Midterm OVPAA-F-INS-055A RAW SC'!AH52/'Midterm OVPAA-F-INS-055A RAW SC'!AH$17*100)</f>
        <v/>
      </c>
      <c r="AI52" s="126" t="str">
        <f>IF('Midterm OVPAA-F-INS-055A RAW SC'!AI52="","",'Midterm OVPAA-F-INS-055A RAW SC'!AI52/'Midterm OVPAA-F-INS-055A RAW SC'!AI$17*100)</f>
        <v/>
      </c>
      <c r="AJ52" s="126" t="str">
        <f>IF('Midterm OVPAA-F-INS-055A RAW SC'!AJ52="","",'Midterm OVPAA-F-INS-055A RAW SC'!AJ52/'Midterm OVPAA-F-INS-055A RAW SC'!AJ$17*100)</f>
        <v/>
      </c>
      <c r="AK52" s="126" t="str">
        <f>IF('Midterm OVPAA-F-INS-055A RAW SC'!AK52="","",'Midterm OVPAA-F-INS-055A RAW SC'!AK52/'Midterm OVPAA-F-INS-055A RAW SC'!AK$17*100)</f>
        <v/>
      </c>
      <c r="AL52" s="126" t="str">
        <f>IF('Midterm OVPAA-F-INS-055A RAW SC'!AL52="","",'Midterm OVPAA-F-INS-055A RAW SC'!AL52/'Midterm OVPAA-F-INS-055A RAW SC'!AL$17*100)</f>
        <v/>
      </c>
      <c r="AM52" s="126" t="str">
        <f>IF('Midterm OVPAA-F-INS-055A RAW SC'!AM52="","",'Midterm OVPAA-F-INS-055A RAW SC'!AM52/'Midterm OVPAA-F-INS-055A RAW SC'!AM$17*100)</f>
        <v/>
      </c>
      <c r="AN52" s="126" t="str">
        <f>IF('Midterm OVPAA-F-INS-055A RAW SC'!AN52="","",'Midterm OVPAA-F-INS-055A RAW SC'!AN52/'Midterm OVPAA-F-INS-055A RAW SC'!AN$17*100)</f>
        <v/>
      </c>
      <c r="AO52" s="126" t="str">
        <f>IF('Midterm OVPAA-F-INS-055A RAW SC'!AO52="","",'Midterm OVPAA-F-INS-055A RAW SC'!AO52/'Midterm OVPAA-F-INS-055A RAW SC'!AO$17*100)</f>
        <v/>
      </c>
      <c r="AP52" s="126" t="str">
        <f>IF('Midterm OVPAA-F-INS-055A RAW SC'!AP52="","",'Midterm OVPAA-F-INS-055A RAW SC'!AP52/'Midterm OVPAA-F-INS-055A RAW SC'!AP$17*100)</f>
        <v/>
      </c>
      <c r="AQ52" s="126" t="str">
        <f>IF('Midterm OVPAA-F-INS-055A RAW SC'!AQ52="","",'Midterm OVPAA-F-INS-055A RAW SC'!AQ52/'Midterm OVPAA-F-INS-055A RAW SC'!AQ$17*100)</f>
        <v/>
      </c>
      <c r="AR52" s="126" t="str">
        <f>IF('Midterm OVPAA-F-INS-055A RAW SC'!AR52="","",'Midterm OVPAA-F-INS-055A RAW SC'!AR52/'Midterm OVPAA-F-INS-055A RAW SC'!AR$17*100)</f>
        <v/>
      </c>
      <c r="AS52" s="126" t="str">
        <f>IF('Midterm OVPAA-F-INS-055A RAW SC'!AS52="","",'Midterm OVPAA-F-INS-055A RAW SC'!AS52/'Midterm OVPAA-F-INS-055A RAW SC'!AS$17*100)</f>
        <v/>
      </c>
      <c r="AT52" s="126" t="str">
        <f>IF('Midterm OVPAA-F-INS-055A RAW SC'!AT52="","",'Midterm OVPAA-F-INS-055A RAW SC'!AT52/'Midterm OVPAA-F-INS-055A RAW SC'!AT$17*100)</f>
        <v/>
      </c>
      <c r="AU52" s="126" t="str">
        <f>IF('Midterm OVPAA-F-INS-055A RAW SC'!AU52="","",'Midterm OVPAA-F-INS-055A RAW SC'!AU52/'Midterm OVPAA-F-INS-055A RAW SC'!AU$17*100)</f>
        <v/>
      </c>
      <c r="AV52" s="126" t="str">
        <f>IF('Midterm OVPAA-F-INS-055A RAW SC'!AV52="","",'Midterm OVPAA-F-INS-055A RAW SC'!AV52/'Midterm OVPAA-F-INS-055A RAW SC'!AV$17*100)</f>
        <v/>
      </c>
      <c r="AW52" s="126" t="str">
        <f>IF('Midterm OVPAA-F-INS-055A RAW SC'!AW52="","",'Midterm OVPAA-F-INS-055A RAW SC'!AW52/'Midterm OVPAA-F-INS-055A RAW SC'!AW$17*100)</f>
        <v/>
      </c>
      <c r="AX52" s="126" t="str">
        <f>IF('Midterm OVPAA-F-INS-055A RAW SC'!AX52="","",'Midterm OVPAA-F-INS-055A RAW SC'!AX52/'Midterm OVPAA-F-INS-055A RAW SC'!AX$17*100)</f>
        <v/>
      </c>
      <c r="AY52" s="126" t="str">
        <f>IF('Midterm OVPAA-F-INS-055A RAW SC'!AY52="","",'Midterm OVPAA-F-INS-055A RAW SC'!AY52/'Midterm OVPAA-F-INS-055A RAW SC'!AY$17*100)</f>
        <v/>
      </c>
      <c r="AZ52" s="126" t="str">
        <f>IF('Midterm OVPAA-F-INS-055A RAW SC'!AZ52="","",'Midterm OVPAA-F-INS-055A RAW SC'!AZ52/'Midterm OVPAA-F-INS-055A RAW SC'!AZ$17*100)</f>
        <v/>
      </c>
      <c r="BA52" s="126" t="str">
        <f>IF('Midterm OVPAA-F-INS-055A RAW SC'!BA52="","",'Midterm OVPAA-F-INS-055A RAW SC'!BA52/'Midterm OVPAA-F-INS-055A RAW SC'!BA$17*100)</f>
        <v/>
      </c>
      <c r="BB52" s="126" t="str">
        <f>IF('Midterm OVPAA-F-INS-055A RAW SC'!BB52="","",'Midterm OVPAA-F-INS-055A RAW SC'!BB52/'Midterm OVPAA-F-INS-055A RAW SC'!BB$17*100)</f>
        <v/>
      </c>
      <c r="BC52" s="126" t="str">
        <f>IF('Midterm OVPAA-F-INS-055A RAW SC'!BC52="","",'Midterm OVPAA-F-INS-055A RAW SC'!BC52/'Midterm OVPAA-F-INS-055A RAW SC'!BC$17*100)</f>
        <v/>
      </c>
      <c r="BD52" s="126" t="str">
        <f>IF('Midterm OVPAA-F-INS-055A RAW SC'!BD52="","",'Midterm OVPAA-F-INS-055A RAW SC'!BD52/'Midterm OVPAA-F-INS-055A RAW SC'!BD$17*100)</f>
        <v/>
      </c>
      <c r="BE52" s="126" t="str">
        <f>IF('Midterm OVPAA-F-INS-055A RAW SC'!BE52="","",'Midterm OVPAA-F-INS-055A RAW SC'!BE52/'Midterm OVPAA-F-INS-055A RAW SC'!BE$17*100)</f>
        <v/>
      </c>
      <c r="BF52" s="126" t="str">
        <f>IF('Midterm OVPAA-F-INS-055A RAW SC'!BF52="","",'Midterm OVPAA-F-INS-055A RAW SC'!BF52/'Midterm OVPAA-F-INS-055A RAW SC'!BF$17*100)</f>
        <v/>
      </c>
      <c r="BG52" s="126" t="str">
        <f>IF('Midterm OVPAA-F-INS-055A RAW SC'!BG52="","",'Midterm OVPAA-F-INS-055A RAW SC'!BG52/'Midterm OVPAA-F-INS-055A RAW SC'!BG$17*100)</f>
        <v/>
      </c>
      <c r="BH52" s="126" t="str">
        <f>IF('Midterm OVPAA-F-INS-055A RAW SC'!BH52="","",'Midterm OVPAA-F-INS-055A RAW SC'!BH52/'Midterm OVPAA-F-INS-055A RAW SC'!BH$17*100)</f>
        <v/>
      </c>
      <c r="BI52" s="126" t="str">
        <f>IF('Midterm OVPAA-F-INS-055A RAW SC'!BI52="","",'Midterm OVPAA-F-INS-055A RAW SC'!BI52/'Midterm OVPAA-F-INS-055A RAW SC'!BI$17*100)</f>
        <v/>
      </c>
      <c r="BJ52" s="126" t="str">
        <f>IF('Midterm OVPAA-F-INS-055A RAW SC'!BJ52="","",'Midterm OVPAA-F-INS-055A RAW SC'!BJ52/'Midterm OVPAA-F-INS-055A RAW SC'!BJ$17*100)</f>
        <v/>
      </c>
      <c r="BK52" s="126" t="str">
        <f>IF('Midterm OVPAA-F-INS-055A RAW SC'!BK52="","",'Midterm OVPAA-F-INS-055A RAW SC'!BK52/'Midterm OVPAA-F-INS-055A RAW SC'!BK$17*100)</f>
        <v/>
      </c>
      <c r="BL52" s="126" t="str">
        <f>IF('Midterm OVPAA-F-INS-055A RAW SC'!BL52="","",'Midterm OVPAA-F-INS-055A RAW SC'!BL52/'Midterm OVPAA-F-INS-055A RAW SC'!BL$17*100)</f>
        <v/>
      </c>
      <c r="BM52" s="126" t="str">
        <f>IF('Midterm OVPAA-F-INS-055A RAW SC'!BM52="","",'Midterm OVPAA-F-INS-055A RAW SC'!BM52/'Midterm OVPAA-F-INS-055A RAW SC'!BM$17*100)</f>
        <v/>
      </c>
      <c r="BN52" s="126" t="str">
        <f>IF('Midterm OVPAA-F-INS-055A RAW SC'!BN52="","",'Midterm OVPAA-F-INS-055A RAW SC'!BN52/'Midterm OVPAA-F-INS-055A RAW SC'!BN$17*100)</f>
        <v/>
      </c>
      <c r="BO52" s="126" t="str">
        <f>IF('Midterm OVPAA-F-INS-055A RAW SC'!BO52="","",'Midterm OVPAA-F-INS-055A RAW SC'!BO52/'Midterm OVPAA-F-INS-055A RAW SC'!BO$17*100)</f>
        <v/>
      </c>
      <c r="BP52" s="126" t="str">
        <f>IF('Midterm OVPAA-F-INS-055A RAW SC'!BP52="","",'Midterm OVPAA-F-INS-055A RAW SC'!BP52/'Midterm OVPAA-F-INS-055A RAW SC'!BP$17*100)</f>
        <v/>
      </c>
      <c r="BQ52" s="126" t="str">
        <f>IF('Midterm OVPAA-F-INS-055A RAW SC'!BQ52="","",'Midterm OVPAA-F-INS-055A RAW SC'!BQ52/'Midterm OVPAA-F-INS-055A RAW SC'!BQ$17*100)</f>
        <v/>
      </c>
      <c r="BR52" s="126" t="str">
        <f>IF('Midterm OVPAA-F-INS-055A RAW SC'!BR52="","",'Midterm OVPAA-F-INS-055A RAW SC'!BR52/'Midterm OVPAA-F-INS-055A RAW SC'!BR$17*100)</f>
        <v/>
      </c>
      <c r="BS52" s="126" t="str">
        <f>IF('Midterm OVPAA-F-INS-055A RAW SC'!BS52="","",'Midterm OVPAA-F-INS-055A RAW SC'!BS52/'Midterm OVPAA-F-INS-055A RAW SC'!BS$17*100)</f>
        <v/>
      </c>
      <c r="BT52" s="126" t="str">
        <f>IF('Midterm OVPAA-F-INS-055A RAW SC'!BT52="","",'Midterm OVPAA-F-INS-055A RAW SC'!BT52/'Midterm OVPAA-F-INS-055A RAW SC'!BT$17*100)</f>
        <v/>
      </c>
      <c r="BU52" s="127" t="str">
        <f t="array" ref="BU52">IF('Midterm OVPAA-F-INS-055A RAW SC'!$G52="","",IF((SUMPRODUCT(--ISBLANK('Midterm OVPAA-F-INS-055A RAW SC'!H52:BT52))=COLUMNS('Midterm OVPAA-F-INS-055A RAW SC'!H52:BT52))=TRUE,"",(((COUNTA('Midterm OVPAA-F-INS-055A RAW SC'!$H$17:$BT$17)+COUNTBLANK('Midterm OVPAA-F-INS-055A RAW SC'!H52:BT52))-COLUMNS('Midterm OVPAA-F-INS-055A RAW SC'!H52:BT52))*5+SUM(H52:BT52))/COUNTA('Midterm OVPAA-F-INS-055A RAW SC'!$H$17:$BT$17)))</f>
        <v/>
      </c>
      <c r="BV52" s="128" t="str">
        <f>IF(BU52="","",VLOOKUP(BU52,IF('Midterm OVPAA-F-INS-055A RAW SC'!$V$12=0.5,TRANSMUTATION!$C$4:$D$17,TRANSMUTATION!$G$4:$H$17),2,TRUE))</f>
        <v/>
      </c>
      <c r="BW52" s="129" t="str">
        <f>IF('Midterm OVPAA-F-INS-055A RAW SC'!BU52="","",'Midterm OVPAA-F-INS-055A RAW SC'!BU52/'Midterm OVPAA-F-INS-055A RAW SC'!BU$17*100)</f>
        <v/>
      </c>
      <c r="BX52" s="130" t="str">
        <f>IF('Midterm OVPAA-F-INS-055A RAW SC'!BV52="","",'Midterm OVPAA-F-INS-055A RAW SC'!BV52/'Midterm OVPAA-F-INS-055A RAW SC'!BV$17*100)</f>
        <v/>
      </c>
      <c r="BY52" s="130" t="str">
        <f>IF('Midterm OVPAA-F-INS-055A RAW SC'!BW52="","",'Midterm OVPAA-F-INS-055A RAW SC'!BW52/'Midterm OVPAA-F-INS-055A RAW SC'!BW$17*100)</f>
        <v/>
      </c>
      <c r="BZ52" s="130" t="str">
        <f>IF('Midterm OVPAA-F-INS-055A RAW SC'!BX52="","",'Midterm OVPAA-F-INS-055A RAW SC'!BX52/'Midterm OVPAA-F-INS-055A RAW SC'!BX$17*100)</f>
        <v/>
      </c>
      <c r="CA52" s="130" t="str">
        <f>IF('Midterm OVPAA-F-INS-055A RAW SC'!BY52="","",'Midterm OVPAA-F-INS-055A RAW SC'!BY52/'Midterm OVPAA-F-INS-055A RAW SC'!BY$17*100)</f>
        <v/>
      </c>
      <c r="CB52" s="130" t="str">
        <f>IF('Midterm OVPAA-F-INS-055A RAW SC'!BZ52="","",'Midterm OVPAA-F-INS-055A RAW SC'!BZ52/'Midterm OVPAA-F-INS-055A RAW SC'!BZ$17*100)</f>
        <v/>
      </c>
      <c r="CC52" s="130" t="str">
        <f>IF('Midterm OVPAA-F-INS-055A RAW SC'!CA52="","",'Midterm OVPAA-F-INS-055A RAW SC'!CA52/'Midterm OVPAA-F-INS-055A RAW SC'!CA$17*100)</f>
        <v/>
      </c>
      <c r="CD52" s="130" t="str">
        <f>IF('Midterm OVPAA-F-INS-055A RAW SC'!CB52="","",'Midterm OVPAA-F-INS-055A RAW SC'!CB52/'Midterm OVPAA-F-INS-055A RAW SC'!CB$17*100)</f>
        <v/>
      </c>
      <c r="CE52" s="130" t="str">
        <f>IF('Midterm OVPAA-F-INS-055A RAW SC'!CC52="","",'Midterm OVPAA-F-INS-055A RAW SC'!CC52/'Midterm OVPAA-F-INS-055A RAW SC'!CC$17*100)</f>
        <v/>
      </c>
      <c r="CF52" s="130" t="str">
        <f>IF('Midterm OVPAA-F-INS-055A RAW SC'!CD52="","",'Midterm OVPAA-F-INS-055A RAW SC'!CD52/'Midterm OVPAA-F-INS-055A RAW SC'!CD$17*100)</f>
        <v/>
      </c>
      <c r="CG52" s="130" t="str">
        <f>IF('Midterm OVPAA-F-INS-055A RAW SC'!CE52="","",'Midterm OVPAA-F-INS-055A RAW SC'!CE52/'Midterm OVPAA-F-INS-055A RAW SC'!CE$17*100)</f>
        <v/>
      </c>
      <c r="CH52" s="130" t="str">
        <f>IF('Midterm OVPAA-F-INS-055A RAW SC'!CF52="","",'Midterm OVPAA-F-INS-055A RAW SC'!CF52/'Midterm OVPAA-F-INS-055A RAW SC'!CF$17*100)</f>
        <v/>
      </c>
      <c r="CI52" s="130" t="str">
        <f>IF('Midterm OVPAA-F-INS-055A RAW SC'!CG52="","",'Midterm OVPAA-F-INS-055A RAW SC'!CG52/'Midterm OVPAA-F-INS-055A RAW SC'!CG$17*100)</f>
        <v/>
      </c>
      <c r="CJ52" s="130" t="str">
        <f>IF('Midterm OVPAA-F-INS-055A RAW SC'!CH52="","",'Midterm OVPAA-F-INS-055A RAW SC'!CH52/'Midterm OVPAA-F-INS-055A RAW SC'!CH$17*100)</f>
        <v/>
      </c>
      <c r="CK52" s="130" t="str">
        <f>IF('Midterm OVPAA-F-INS-055A RAW SC'!CI52="","",'Midterm OVPAA-F-INS-055A RAW SC'!CI52/'Midterm OVPAA-F-INS-055A RAW SC'!CI$17*100)</f>
        <v/>
      </c>
      <c r="CL52" s="130" t="str">
        <f>IF('Midterm OVPAA-F-INS-055A RAW SC'!CJ52="","",'Midterm OVPAA-F-INS-055A RAW SC'!CJ52/'Midterm OVPAA-F-INS-055A RAW SC'!CJ$17*100)</f>
        <v/>
      </c>
      <c r="CM52" s="130" t="str">
        <f>IF('Midterm OVPAA-F-INS-055A RAW SC'!CK52="","",'Midterm OVPAA-F-INS-055A RAW SC'!CK52/'Midterm OVPAA-F-INS-055A RAW SC'!CK$17*100)</f>
        <v/>
      </c>
      <c r="CN52" s="130" t="str">
        <f>IF('Midterm OVPAA-F-INS-055A RAW SC'!CL52="","",'Midterm OVPAA-F-INS-055A RAW SC'!CL52/'Midterm OVPAA-F-INS-055A RAW SC'!CL$17*100)</f>
        <v/>
      </c>
      <c r="CO52" s="130" t="str">
        <f>IF('Midterm OVPAA-F-INS-055A RAW SC'!CM52="","",'Midterm OVPAA-F-INS-055A RAW SC'!CM52/'Midterm OVPAA-F-INS-055A RAW SC'!CM$17*100)</f>
        <v/>
      </c>
      <c r="CP52" s="130" t="str">
        <f>IF('Midterm OVPAA-F-INS-055A RAW SC'!CN52="","",'Midterm OVPAA-F-INS-055A RAW SC'!CN52/'Midterm OVPAA-F-INS-055A RAW SC'!CN$17*100)</f>
        <v/>
      </c>
      <c r="CQ52" s="131" t="str">
        <f t="array" ref="CQ52">IF('Midterm OVPAA-F-INS-055A RAW SC'!G52="","",IF((SUMPRODUCT(--ISBLANK('Midterm OVPAA-F-INS-055A RAW SC'!BU52:CN52))=COLUMNS('Midterm OVPAA-F-INS-055A RAW SC'!BU52:CN52))=TRUE,"",(((COUNTA('Midterm OVPAA-F-INS-055A RAW SC'!$BU$17:$CN$17)+COUNTBLANK('Midterm OVPAA-F-INS-055A RAW SC'!BU52:CN52))-COLUMNS('Midterm OVPAA-F-INS-055A RAW SC'!BU52:CN52))*5+SUM(BW52:CP52))/COUNTA('Midterm OVPAA-F-INS-055A RAW SC'!$BU$17:$CN$17)))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IF('Midterm OVPAA-F-INS-055A RAW SC'!CO52="","",'Midterm OVPAA-F-INS-055A RAW SC'!CO52/'Midterm OVPAA-F-INS-055A RAW SC'!CO$17*100)</f>
        <v/>
      </c>
      <c r="CT52" s="133" t="str">
        <f>IF('Midterm OVPAA-F-INS-055A RAW SC'!CP52="","",'Midterm OVPAA-F-INS-055A RAW SC'!CP52/'Midterm OVPAA-F-INS-055A RAW SC'!CP$17*100)</f>
        <v/>
      </c>
      <c r="CU52" s="133" t="str">
        <f>IF('Midterm OVPAA-F-INS-055A RAW SC'!CQ52="","",'Midterm OVPAA-F-INS-055A RAW SC'!CQ52/'Midterm OVPAA-F-INS-055A RAW SC'!CQ$17*100)</f>
        <v/>
      </c>
      <c r="CV52" s="133" t="str">
        <f>IF('Midterm OVPAA-F-INS-055A RAW SC'!CR52="","",'Midterm OVPAA-F-INS-055A RAW SC'!CR52/'Midterm OVPAA-F-INS-055A RAW SC'!CR$17*100)</f>
        <v/>
      </c>
      <c r="CW52" s="133" t="str">
        <f>IF('Midterm OVPAA-F-INS-055A RAW SC'!CS52="","",'Midterm OVPAA-F-INS-055A RAW SC'!CS52/'Midterm OVPAA-F-INS-055A RAW SC'!CS$17*100)</f>
        <v/>
      </c>
      <c r="CX52" s="133" t="str">
        <f>IF('Midterm OVPAA-F-INS-055A RAW SC'!CT52="","",'Midterm OVPAA-F-INS-055A RAW SC'!CT52/'Midterm OVPAA-F-INS-055A RAW SC'!CT$17*100)</f>
        <v/>
      </c>
      <c r="CY52" s="133" t="str">
        <f>IF('Midterm OVPAA-F-INS-055A RAW SC'!CU52="","",'Midterm OVPAA-F-INS-055A RAW SC'!CU52/'Midterm OVPAA-F-INS-055A RAW SC'!CU$17*100)</f>
        <v/>
      </c>
      <c r="CZ52" s="133" t="str">
        <f>IF('Midterm OVPAA-F-INS-055A RAW SC'!CV52="","",'Midterm OVPAA-F-INS-055A RAW SC'!CV52/'Midterm OVPAA-F-INS-055A RAW SC'!CV$17*100)</f>
        <v/>
      </c>
      <c r="DA52" s="133" t="str">
        <f>IF('Midterm OVPAA-F-INS-055A RAW SC'!CW52="","",'Midterm OVPAA-F-INS-055A RAW SC'!CW52/'Midterm OVPAA-F-INS-055A RAW SC'!CW$17*100)</f>
        <v/>
      </c>
      <c r="DB52" s="133" t="str">
        <f>IF('Midterm OVPAA-F-INS-055A RAW SC'!CX52="","",'Midterm OVPAA-F-INS-055A RAW SC'!CX52/'Midterm OVPAA-F-INS-055A RAW SC'!CX$17*100)</f>
        <v/>
      </c>
      <c r="DC52" s="134" t="str">
        <f t="array" ref="DC52">IF('Midterm OVPAA-F-INS-055A RAW SC'!$G52="","",IF((SUMPRODUCT(--ISBLANK('Midterm OVPAA-F-INS-055A RAW SC'!CO52:CX52))=COLUMNS('Midterm OVPAA-F-INS-055A RAW SC'!CO52:CX52))=TRUE,"",(((COUNTA('Midterm OVPAA-F-INS-055A RAW SC'!$CO$17:$CX$17)+COUNTBLANK('Midterm OVPAA-F-INS-055A RAW SC'!CO52:CX52))-COLUMNS('Midterm OVPAA-F-INS-055A RAW SC'!CO52:CX52))*5+SUM(CS52:DB52))/COUNTA('Midterm OVPAA-F-INS-055A RAW SC'!$CO$17:$CX$17)))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37" t="str">
        <f t="shared" si="2"/>
        <v/>
      </c>
      <c r="DG52" s="138" t="str">
        <f t="shared" si="3"/>
        <v/>
      </c>
      <c r="DH52" s="136" t="str">
        <f t="shared" si="4"/>
        <v/>
      </c>
      <c r="DI52" s="123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IF('Midterm OVPAA-F-INS-055A RAW SC'!H53="","",'Midterm OVPAA-F-INS-055A RAW SC'!H53/'Midterm OVPAA-F-INS-055A RAW SC'!H$17*100)</f>
        <v/>
      </c>
      <c r="I53" s="126" t="str">
        <f>IF('Midterm OVPAA-F-INS-055A RAW SC'!I53="","",'Midterm OVPAA-F-INS-055A RAW SC'!I53/'Midterm OVPAA-F-INS-055A RAW SC'!I$17*100)</f>
        <v/>
      </c>
      <c r="J53" s="126" t="str">
        <f>IF('Midterm OVPAA-F-INS-055A RAW SC'!J53="","",'Midterm OVPAA-F-INS-055A RAW SC'!J53/'Midterm OVPAA-F-INS-055A RAW SC'!J$17*100)</f>
        <v/>
      </c>
      <c r="K53" s="126" t="str">
        <f>IF('Midterm OVPAA-F-INS-055A RAW SC'!K53="","",'Midterm OVPAA-F-INS-055A RAW SC'!K53/'Midterm OVPAA-F-INS-055A RAW SC'!K$17*100)</f>
        <v/>
      </c>
      <c r="L53" s="126" t="str">
        <f>IF('Midterm OVPAA-F-INS-055A RAW SC'!L53="","",'Midterm OVPAA-F-INS-055A RAW SC'!L53/'Midterm OVPAA-F-INS-055A RAW SC'!L$17*100)</f>
        <v/>
      </c>
      <c r="M53" s="126" t="str">
        <f>IF('Midterm OVPAA-F-INS-055A RAW SC'!M53="","",'Midterm OVPAA-F-INS-055A RAW SC'!M53/'Midterm OVPAA-F-INS-055A RAW SC'!M$17*100)</f>
        <v/>
      </c>
      <c r="N53" s="126" t="str">
        <f>IF('Midterm OVPAA-F-INS-055A RAW SC'!N53="","",'Midterm OVPAA-F-INS-055A RAW SC'!N53/'Midterm OVPAA-F-INS-055A RAW SC'!N$17*100)</f>
        <v/>
      </c>
      <c r="O53" s="126" t="str">
        <f>IF('Midterm OVPAA-F-INS-055A RAW SC'!O53="","",'Midterm OVPAA-F-INS-055A RAW SC'!O53/'Midterm OVPAA-F-INS-055A RAW SC'!O$17*100)</f>
        <v/>
      </c>
      <c r="P53" s="126" t="str">
        <f>IF('Midterm OVPAA-F-INS-055A RAW SC'!P53="","",'Midterm OVPAA-F-INS-055A RAW SC'!P53/'Midterm OVPAA-F-INS-055A RAW SC'!P$17*100)</f>
        <v/>
      </c>
      <c r="Q53" s="126" t="str">
        <f>IF('Midterm OVPAA-F-INS-055A RAW SC'!Q53="","",'Midterm OVPAA-F-INS-055A RAW SC'!Q53/'Midterm OVPAA-F-INS-055A RAW SC'!Q$17*100)</f>
        <v/>
      </c>
      <c r="R53" s="126" t="str">
        <f>IF('Midterm OVPAA-F-INS-055A RAW SC'!R53="","",'Midterm OVPAA-F-INS-055A RAW SC'!R53/'Midterm OVPAA-F-INS-055A RAW SC'!R$17*100)</f>
        <v/>
      </c>
      <c r="S53" s="126" t="str">
        <f>IF('Midterm OVPAA-F-INS-055A RAW SC'!S53="","",'Midterm OVPAA-F-INS-055A RAW SC'!S53/'Midterm OVPAA-F-INS-055A RAW SC'!S$17*100)</f>
        <v/>
      </c>
      <c r="T53" s="126" t="str">
        <f>IF('Midterm OVPAA-F-INS-055A RAW SC'!T53="","",'Midterm OVPAA-F-INS-055A RAW SC'!T53/'Midterm OVPAA-F-INS-055A RAW SC'!T$17*100)</f>
        <v/>
      </c>
      <c r="U53" s="126" t="str">
        <f>IF('Midterm OVPAA-F-INS-055A RAW SC'!U53="","",'Midterm OVPAA-F-INS-055A RAW SC'!U53/'Midterm OVPAA-F-INS-055A RAW SC'!U$17*100)</f>
        <v/>
      </c>
      <c r="V53" s="126" t="str">
        <f>IF('Midterm OVPAA-F-INS-055A RAW SC'!V53="","",'Midterm OVPAA-F-INS-055A RAW SC'!V53/'Midterm OVPAA-F-INS-055A RAW SC'!V$17*100)</f>
        <v/>
      </c>
      <c r="W53" s="126" t="str">
        <f>IF('Midterm OVPAA-F-INS-055A RAW SC'!W53="","",'Midterm OVPAA-F-INS-055A RAW SC'!W53/'Midterm OVPAA-F-INS-055A RAW SC'!W$17*100)</f>
        <v/>
      </c>
      <c r="X53" s="126" t="str">
        <f>IF('Midterm OVPAA-F-INS-055A RAW SC'!X53="","",'Midterm OVPAA-F-INS-055A RAW SC'!X53/'Midterm OVPAA-F-INS-055A RAW SC'!X$17*100)</f>
        <v/>
      </c>
      <c r="Y53" s="126" t="str">
        <f>IF('Midterm OVPAA-F-INS-055A RAW SC'!Y53="","",'Midterm OVPAA-F-INS-055A RAW SC'!Y53/'Midterm OVPAA-F-INS-055A RAW SC'!Y$17*100)</f>
        <v/>
      </c>
      <c r="Z53" s="126" t="str">
        <f>IF('Midterm OVPAA-F-INS-055A RAW SC'!Z53="","",'Midterm OVPAA-F-INS-055A RAW SC'!Z53/'Midterm OVPAA-F-INS-055A RAW SC'!Z$17*100)</f>
        <v/>
      </c>
      <c r="AA53" s="126" t="str">
        <f>IF('Midterm OVPAA-F-INS-055A RAW SC'!AA53="","",'Midterm OVPAA-F-INS-055A RAW SC'!AA53/'Midterm OVPAA-F-INS-055A RAW SC'!AA$17*100)</f>
        <v/>
      </c>
      <c r="AB53" s="126" t="str">
        <f>IF('Midterm OVPAA-F-INS-055A RAW SC'!AB53="","",'Midterm OVPAA-F-INS-055A RAW SC'!AB53/'Midterm OVPAA-F-INS-055A RAW SC'!AB$17*100)</f>
        <v/>
      </c>
      <c r="AC53" s="126" t="str">
        <f>IF('Midterm OVPAA-F-INS-055A RAW SC'!AC53="","",'Midterm OVPAA-F-INS-055A RAW SC'!AC53/'Midterm OVPAA-F-INS-055A RAW SC'!AC$17*100)</f>
        <v/>
      </c>
      <c r="AD53" s="126" t="str">
        <f>IF('Midterm OVPAA-F-INS-055A RAW SC'!AD53="","",'Midterm OVPAA-F-INS-055A RAW SC'!AD53/'Midterm OVPAA-F-INS-055A RAW SC'!AD$17*100)</f>
        <v/>
      </c>
      <c r="AE53" s="126" t="str">
        <f>IF('Midterm OVPAA-F-INS-055A RAW SC'!AE53="","",'Midterm OVPAA-F-INS-055A RAW SC'!AE53/'Midterm OVPAA-F-INS-055A RAW SC'!AE$17*100)</f>
        <v/>
      </c>
      <c r="AF53" s="126" t="str">
        <f>IF('Midterm OVPAA-F-INS-055A RAW SC'!AF53="","",'Midterm OVPAA-F-INS-055A RAW SC'!AF53/'Midterm OVPAA-F-INS-055A RAW SC'!AF$17*100)</f>
        <v/>
      </c>
      <c r="AG53" s="126" t="str">
        <f>IF('Midterm OVPAA-F-INS-055A RAW SC'!AG53="","",'Midterm OVPAA-F-INS-055A RAW SC'!AG53/'Midterm OVPAA-F-INS-055A RAW SC'!AG$17*100)</f>
        <v/>
      </c>
      <c r="AH53" s="126" t="str">
        <f>IF('Midterm OVPAA-F-INS-055A RAW SC'!AH53="","",'Midterm OVPAA-F-INS-055A RAW SC'!AH53/'Midterm OVPAA-F-INS-055A RAW SC'!AH$17*100)</f>
        <v/>
      </c>
      <c r="AI53" s="126" t="str">
        <f>IF('Midterm OVPAA-F-INS-055A RAW SC'!AI53="","",'Midterm OVPAA-F-INS-055A RAW SC'!AI53/'Midterm OVPAA-F-INS-055A RAW SC'!AI$17*100)</f>
        <v/>
      </c>
      <c r="AJ53" s="126" t="str">
        <f>IF('Midterm OVPAA-F-INS-055A RAW SC'!AJ53="","",'Midterm OVPAA-F-INS-055A RAW SC'!AJ53/'Midterm OVPAA-F-INS-055A RAW SC'!AJ$17*100)</f>
        <v/>
      </c>
      <c r="AK53" s="126" t="str">
        <f>IF('Midterm OVPAA-F-INS-055A RAW SC'!AK53="","",'Midterm OVPAA-F-INS-055A RAW SC'!AK53/'Midterm OVPAA-F-INS-055A RAW SC'!AK$17*100)</f>
        <v/>
      </c>
      <c r="AL53" s="126" t="str">
        <f>IF('Midterm OVPAA-F-INS-055A RAW SC'!AL53="","",'Midterm OVPAA-F-INS-055A RAW SC'!AL53/'Midterm OVPAA-F-INS-055A RAW SC'!AL$17*100)</f>
        <v/>
      </c>
      <c r="AM53" s="126" t="str">
        <f>IF('Midterm OVPAA-F-INS-055A RAW SC'!AM53="","",'Midterm OVPAA-F-INS-055A RAW SC'!AM53/'Midterm OVPAA-F-INS-055A RAW SC'!AM$17*100)</f>
        <v/>
      </c>
      <c r="AN53" s="126" t="str">
        <f>IF('Midterm OVPAA-F-INS-055A RAW SC'!AN53="","",'Midterm OVPAA-F-INS-055A RAW SC'!AN53/'Midterm OVPAA-F-INS-055A RAW SC'!AN$17*100)</f>
        <v/>
      </c>
      <c r="AO53" s="126" t="str">
        <f>IF('Midterm OVPAA-F-INS-055A RAW SC'!AO53="","",'Midterm OVPAA-F-INS-055A RAW SC'!AO53/'Midterm OVPAA-F-INS-055A RAW SC'!AO$17*100)</f>
        <v/>
      </c>
      <c r="AP53" s="126" t="str">
        <f>IF('Midterm OVPAA-F-INS-055A RAW SC'!AP53="","",'Midterm OVPAA-F-INS-055A RAW SC'!AP53/'Midterm OVPAA-F-INS-055A RAW SC'!AP$17*100)</f>
        <v/>
      </c>
      <c r="AQ53" s="126" t="str">
        <f>IF('Midterm OVPAA-F-INS-055A RAW SC'!AQ53="","",'Midterm OVPAA-F-INS-055A RAW SC'!AQ53/'Midterm OVPAA-F-INS-055A RAW SC'!AQ$17*100)</f>
        <v/>
      </c>
      <c r="AR53" s="126" t="str">
        <f>IF('Midterm OVPAA-F-INS-055A RAW SC'!AR53="","",'Midterm OVPAA-F-INS-055A RAW SC'!AR53/'Midterm OVPAA-F-INS-055A RAW SC'!AR$17*100)</f>
        <v/>
      </c>
      <c r="AS53" s="126" t="str">
        <f>IF('Midterm OVPAA-F-INS-055A RAW SC'!AS53="","",'Midterm OVPAA-F-INS-055A RAW SC'!AS53/'Midterm OVPAA-F-INS-055A RAW SC'!AS$17*100)</f>
        <v/>
      </c>
      <c r="AT53" s="126" t="str">
        <f>IF('Midterm OVPAA-F-INS-055A RAW SC'!AT53="","",'Midterm OVPAA-F-INS-055A RAW SC'!AT53/'Midterm OVPAA-F-INS-055A RAW SC'!AT$17*100)</f>
        <v/>
      </c>
      <c r="AU53" s="126" t="str">
        <f>IF('Midterm OVPAA-F-INS-055A RAW SC'!AU53="","",'Midterm OVPAA-F-INS-055A RAW SC'!AU53/'Midterm OVPAA-F-INS-055A RAW SC'!AU$17*100)</f>
        <v/>
      </c>
      <c r="AV53" s="126" t="str">
        <f>IF('Midterm OVPAA-F-INS-055A RAW SC'!AV53="","",'Midterm OVPAA-F-INS-055A RAW SC'!AV53/'Midterm OVPAA-F-INS-055A RAW SC'!AV$17*100)</f>
        <v/>
      </c>
      <c r="AW53" s="126" t="str">
        <f>IF('Midterm OVPAA-F-INS-055A RAW SC'!AW53="","",'Midterm OVPAA-F-INS-055A RAW SC'!AW53/'Midterm OVPAA-F-INS-055A RAW SC'!AW$17*100)</f>
        <v/>
      </c>
      <c r="AX53" s="126" t="str">
        <f>IF('Midterm OVPAA-F-INS-055A RAW SC'!AX53="","",'Midterm OVPAA-F-INS-055A RAW SC'!AX53/'Midterm OVPAA-F-INS-055A RAW SC'!AX$17*100)</f>
        <v/>
      </c>
      <c r="AY53" s="126" t="str">
        <f>IF('Midterm OVPAA-F-INS-055A RAW SC'!AY53="","",'Midterm OVPAA-F-INS-055A RAW SC'!AY53/'Midterm OVPAA-F-INS-055A RAW SC'!AY$17*100)</f>
        <v/>
      </c>
      <c r="AZ53" s="126" t="str">
        <f>IF('Midterm OVPAA-F-INS-055A RAW SC'!AZ53="","",'Midterm OVPAA-F-INS-055A RAW SC'!AZ53/'Midterm OVPAA-F-INS-055A RAW SC'!AZ$17*100)</f>
        <v/>
      </c>
      <c r="BA53" s="126" t="str">
        <f>IF('Midterm OVPAA-F-INS-055A RAW SC'!BA53="","",'Midterm OVPAA-F-INS-055A RAW SC'!BA53/'Midterm OVPAA-F-INS-055A RAW SC'!BA$17*100)</f>
        <v/>
      </c>
      <c r="BB53" s="126" t="str">
        <f>IF('Midterm OVPAA-F-INS-055A RAW SC'!BB53="","",'Midterm OVPAA-F-INS-055A RAW SC'!BB53/'Midterm OVPAA-F-INS-055A RAW SC'!BB$17*100)</f>
        <v/>
      </c>
      <c r="BC53" s="126" t="str">
        <f>IF('Midterm OVPAA-F-INS-055A RAW SC'!BC53="","",'Midterm OVPAA-F-INS-055A RAW SC'!BC53/'Midterm OVPAA-F-INS-055A RAW SC'!BC$17*100)</f>
        <v/>
      </c>
      <c r="BD53" s="126" t="str">
        <f>IF('Midterm OVPAA-F-INS-055A RAW SC'!BD53="","",'Midterm OVPAA-F-INS-055A RAW SC'!BD53/'Midterm OVPAA-F-INS-055A RAW SC'!BD$17*100)</f>
        <v/>
      </c>
      <c r="BE53" s="126" t="str">
        <f>IF('Midterm OVPAA-F-INS-055A RAW SC'!BE53="","",'Midterm OVPAA-F-INS-055A RAW SC'!BE53/'Midterm OVPAA-F-INS-055A RAW SC'!BE$17*100)</f>
        <v/>
      </c>
      <c r="BF53" s="126" t="str">
        <f>IF('Midterm OVPAA-F-INS-055A RAW SC'!BF53="","",'Midterm OVPAA-F-INS-055A RAW SC'!BF53/'Midterm OVPAA-F-INS-055A RAW SC'!BF$17*100)</f>
        <v/>
      </c>
      <c r="BG53" s="126" t="str">
        <f>IF('Midterm OVPAA-F-INS-055A RAW SC'!BG53="","",'Midterm OVPAA-F-INS-055A RAW SC'!BG53/'Midterm OVPAA-F-INS-055A RAW SC'!BG$17*100)</f>
        <v/>
      </c>
      <c r="BH53" s="126" t="str">
        <f>IF('Midterm OVPAA-F-INS-055A RAW SC'!BH53="","",'Midterm OVPAA-F-INS-055A RAW SC'!BH53/'Midterm OVPAA-F-INS-055A RAW SC'!BH$17*100)</f>
        <v/>
      </c>
      <c r="BI53" s="126" t="str">
        <f>IF('Midterm OVPAA-F-INS-055A RAW SC'!BI53="","",'Midterm OVPAA-F-INS-055A RAW SC'!BI53/'Midterm OVPAA-F-INS-055A RAW SC'!BI$17*100)</f>
        <v/>
      </c>
      <c r="BJ53" s="126" t="str">
        <f>IF('Midterm OVPAA-F-INS-055A RAW SC'!BJ53="","",'Midterm OVPAA-F-INS-055A RAW SC'!BJ53/'Midterm OVPAA-F-INS-055A RAW SC'!BJ$17*100)</f>
        <v/>
      </c>
      <c r="BK53" s="126" t="str">
        <f>IF('Midterm OVPAA-F-INS-055A RAW SC'!BK53="","",'Midterm OVPAA-F-INS-055A RAW SC'!BK53/'Midterm OVPAA-F-INS-055A RAW SC'!BK$17*100)</f>
        <v/>
      </c>
      <c r="BL53" s="126" t="str">
        <f>IF('Midterm OVPAA-F-INS-055A RAW SC'!BL53="","",'Midterm OVPAA-F-INS-055A RAW SC'!BL53/'Midterm OVPAA-F-INS-055A RAW SC'!BL$17*100)</f>
        <v/>
      </c>
      <c r="BM53" s="126" t="str">
        <f>IF('Midterm OVPAA-F-INS-055A RAW SC'!BM53="","",'Midterm OVPAA-F-INS-055A RAW SC'!BM53/'Midterm OVPAA-F-INS-055A RAW SC'!BM$17*100)</f>
        <v/>
      </c>
      <c r="BN53" s="126" t="str">
        <f>IF('Midterm OVPAA-F-INS-055A RAW SC'!BN53="","",'Midterm OVPAA-F-INS-055A RAW SC'!BN53/'Midterm OVPAA-F-INS-055A RAW SC'!BN$17*100)</f>
        <v/>
      </c>
      <c r="BO53" s="126" t="str">
        <f>IF('Midterm OVPAA-F-INS-055A RAW SC'!BO53="","",'Midterm OVPAA-F-INS-055A RAW SC'!BO53/'Midterm OVPAA-F-INS-055A RAW SC'!BO$17*100)</f>
        <v/>
      </c>
      <c r="BP53" s="126" t="str">
        <f>IF('Midterm OVPAA-F-INS-055A RAW SC'!BP53="","",'Midterm OVPAA-F-INS-055A RAW SC'!BP53/'Midterm OVPAA-F-INS-055A RAW SC'!BP$17*100)</f>
        <v/>
      </c>
      <c r="BQ53" s="126" t="str">
        <f>IF('Midterm OVPAA-F-INS-055A RAW SC'!BQ53="","",'Midterm OVPAA-F-INS-055A RAW SC'!BQ53/'Midterm OVPAA-F-INS-055A RAW SC'!BQ$17*100)</f>
        <v/>
      </c>
      <c r="BR53" s="126" t="str">
        <f>IF('Midterm OVPAA-F-INS-055A RAW SC'!BR53="","",'Midterm OVPAA-F-INS-055A RAW SC'!BR53/'Midterm OVPAA-F-INS-055A RAW SC'!BR$17*100)</f>
        <v/>
      </c>
      <c r="BS53" s="126" t="str">
        <f>IF('Midterm OVPAA-F-INS-055A RAW SC'!BS53="","",'Midterm OVPAA-F-INS-055A RAW SC'!BS53/'Midterm OVPAA-F-INS-055A RAW SC'!BS$17*100)</f>
        <v/>
      </c>
      <c r="BT53" s="126" t="str">
        <f>IF('Midterm OVPAA-F-INS-055A RAW SC'!BT53="","",'Midterm OVPAA-F-INS-055A RAW SC'!BT53/'Midterm OVPAA-F-INS-055A RAW SC'!BT$17*100)</f>
        <v/>
      </c>
      <c r="BU53" s="127" t="str">
        <f t="array" ref="BU53">IF('Midterm OVPAA-F-INS-055A RAW SC'!$G53="","",IF((SUMPRODUCT(--ISBLANK('Midterm OVPAA-F-INS-055A RAW SC'!H53:BT53))=COLUMNS('Midterm OVPAA-F-INS-055A RAW SC'!H53:BT53))=TRUE,"",(((COUNTA('Midterm OVPAA-F-INS-055A RAW SC'!$H$17:$BT$17)+COUNTBLANK('Midterm OVPAA-F-INS-055A RAW SC'!H53:BT53))-COLUMNS('Midterm OVPAA-F-INS-055A RAW SC'!H53:BT53))*5+SUM(H53:BT53))/COUNTA('Midterm OVPAA-F-INS-055A RAW SC'!$H$17:$BT$17)))</f>
        <v/>
      </c>
      <c r="BV53" s="128" t="str">
        <f>IF(BU53="","",VLOOKUP(BU53,IF('Midterm OVPAA-F-INS-055A RAW SC'!$V$12=0.5,TRANSMUTATION!$C$4:$D$17,TRANSMUTATION!$G$4:$H$17),2,TRUE))</f>
        <v/>
      </c>
      <c r="BW53" s="129" t="str">
        <f>IF('Midterm OVPAA-F-INS-055A RAW SC'!BU53="","",'Midterm OVPAA-F-INS-055A RAW SC'!BU53/'Midterm OVPAA-F-INS-055A RAW SC'!BU$17*100)</f>
        <v/>
      </c>
      <c r="BX53" s="130" t="str">
        <f>IF('Midterm OVPAA-F-INS-055A RAW SC'!BV53="","",'Midterm OVPAA-F-INS-055A RAW SC'!BV53/'Midterm OVPAA-F-INS-055A RAW SC'!BV$17*100)</f>
        <v/>
      </c>
      <c r="BY53" s="130" t="str">
        <f>IF('Midterm OVPAA-F-INS-055A RAW SC'!BW53="","",'Midterm OVPAA-F-INS-055A RAW SC'!BW53/'Midterm OVPAA-F-INS-055A RAW SC'!BW$17*100)</f>
        <v/>
      </c>
      <c r="BZ53" s="130" t="str">
        <f>IF('Midterm OVPAA-F-INS-055A RAW SC'!BX53="","",'Midterm OVPAA-F-INS-055A RAW SC'!BX53/'Midterm OVPAA-F-INS-055A RAW SC'!BX$17*100)</f>
        <v/>
      </c>
      <c r="CA53" s="130" t="str">
        <f>IF('Midterm OVPAA-F-INS-055A RAW SC'!BY53="","",'Midterm OVPAA-F-INS-055A RAW SC'!BY53/'Midterm OVPAA-F-INS-055A RAW SC'!BY$17*100)</f>
        <v/>
      </c>
      <c r="CB53" s="130" t="str">
        <f>IF('Midterm OVPAA-F-INS-055A RAW SC'!BZ53="","",'Midterm OVPAA-F-INS-055A RAW SC'!BZ53/'Midterm OVPAA-F-INS-055A RAW SC'!BZ$17*100)</f>
        <v/>
      </c>
      <c r="CC53" s="130" t="str">
        <f>IF('Midterm OVPAA-F-INS-055A RAW SC'!CA53="","",'Midterm OVPAA-F-INS-055A RAW SC'!CA53/'Midterm OVPAA-F-INS-055A RAW SC'!CA$17*100)</f>
        <v/>
      </c>
      <c r="CD53" s="130" t="str">
        <f>IF('Midterm OVPAA-F-INS-055A RAW SC'!CB53="","",'Midterm OVPAA-F-INS-055A RAW SC'!CB53/'Midterm OVPAA-F-INS-055A RAW SC'!CB$17*100)</f>
        <v/>
      </c>
      <c r="CE53" s="130" t="str">
        <f>IF('Midterm OVPAA-F-INS-055A RAW SC'!CC53="","",'Midterm OVPAA-F-INS-055A RAW SC'!CC53/'Midterm OVPAA-F-INS-055A RAW SC'!CC$17*100)</f>
        <v/>
      </c>
      <c r="CF53" s="130" t="str">
        <f>IF('Midterm OVPAA-F-INS-055A RAW SC'!CD53="","",'Midterm OVPAA-F-INS-055A RAW SC'!CD53/'Midterm OVPAA-F-INS-055A RAW SC'!CD$17*100)</f>
        <v/>
      </c>
      <c r="CG53" s="130" t="str">
        <f>IF('Midterm OVPAA-F-INS-055A RAW SC'!CE53="","",'Midterm OVPAA-F-INS-055A RAW SC'!CE53/'Midterm OVPAA-F-INS-055A RAW SC'!CE$17*100)</f>
        <v/>
      </c>
      <c r="CH53" s="130" t="str">
        <f>IF('Midterm OVPAA-F-INS-055A RAW SC'!CF53="","",'Midterm OVPAA-F-INS-055A RAW SC'!CF53/'Midterm OVPAA-F-INS-055A RAW SC'!CF$17*100)</f>
        <v/>
      </c>
      <c r="CI53" s="130" t="str">
        <f>IF('Midterm OVPAA-F-INS-055A RAW SC'!CG53="","",'Midterm OVPAA-F-INS-055A RAW SC'!CG53/'Midterm OVPAA-F-INS-055A RAW SC'!CG$17*100)</f>
        <v/>
      </c>
      <c r="CJ53" s="130" t="str">
        <f>IF('Midterm OVPAA-F-INS-055A RAW SC'!CH53="","",'Midterm OVPAA-F-INS-055A RAW SC'!CH53/'Midterm OVPAA-F-INS-055A RAW SC'!CH$17*100)</f>
        <v/>
      </c>
      <c r="CK53" s="130" t="str">
        <f>IF('Midterm OVPAA-F-INS-055A RAW SC'!CI53="","",'Midterm OVPAA-F-INS-055A RAW SC'!CI53/'Midterm OVPAA-F-INS-055A RAW SC'!CI$17*100)</f>
        <v/>
      </c>
      <c r="CL53" s="130" t="str">
        <f>IF('Midterm OVPAA-F-INS-055A RAW SC'!CJ53="","",'Midterm OVPAA-F-INS-055A RAW SC'!CJ53/'Midterm OVPAA-F-INS-055A RAW SC'!CJ$17*100)</f>
        <v/>
      </c>
      <c r="CM53" s="130" t="str">
        <f>IF('Midterm OVPAA-F-INS-055A RAW SC'!CK53="","",'Midterm OVPAA-F-INS-055A RAW SC'!CK53/'Midterm OVPAA-F-INS-055A RAW SC'!CK$17*100)</f>
        <v/>
      </c>
      <c r="CN53" s="130" t="str">
        <f>IF('Midterm OVPAA-F-INS-055A RAW SC'!CL53="","",'Midterm OVPAA-F-INS-055A RAW SC'!CL53/'Midterm OVPAA-F-INS-055A RAW SC'!CL$17*100)</f>
        <v/>
      </c>
      <c r="CO53" s="130" t="str">
        <f>IF('Midterm OVPAA-F-INS-055A RAW SC'!CM53="","",'Midterm OVPAA-F-INS-055A RAW SC'!CM53/'Midterm OVPAA-F-INS-055A RAW SC'!CM$17*100)</f>
        <v/>
      </c>
      <c r="CP53" s="130" t="str">
        <f>IF('Midterm OVPAA-F-INS-055A RAW SC'!CN53="","",'Midterm OVPAA-F-INS-055A RAW SC'!CN53/'Midterm OVPAA-F-INS-055A RAW SC'!CN$17*100)</f>
        <v/>
      </c>
      <c r="CQ53" s="131" t="str">
        <f t="array" ref="CQ53">IF('Midterm OVPAA-F-INS-055A RAW SC'!G53="","",IF((SUMPRODUCT(--ISBLANK('Midterm OVPAA-F-INS-055A RAW SC'!BU53:CN53))=COLUMNS('Midterm OVPAA-F-INS-055A RAW SC'!BU53:CN53))=TRUE,"",(((COUNTA('Midterm OVPAA-F-INS-055A RAW SC'!$BU$17:$CN$17)+COUNTBLANK('Midterm OVPAA-F-INS-055A RAW SC'!BU53:CN53))-COLUMNS('Midterm OVPAA-F-INS-055A RAW SC'!BU53:CN53))*5+SUM(BW53:CP53))/COUNTA('Midterm OVPAA-F-INS-055A RAW SC'!$BU$17:$CN$17)))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IF('Midterm OVPAA-F-INS-055A RAW SC'!CO53="","",'Midterm OVPAA-F-INS-055A RAW SC'!CO53/'Midterm OVPAA-F-INS-055A RAW SC'!CO$17*100)</f>
        <v/>
      </c>
      <c r="CT53" s="133" t="str">
        <f>IF('Midterm OVPAA-F-INS-055A RAW SC'!CP53="","",'Midterm OVPAA-F-INS-055A RAW SC'!CP53/'Midterm OVPAA-F-INS-055A RAW SC'!CP$17*100)</f>
        <v/>
      </c>
      <c r="CU53" s="133" t="str">
        <f>IF('Midterm OVPAA-F-INS-055A RAW SC'!CQ53="","",'Midterm OVPAA-F-INS-055A RAW SC'!CQ53/'Midterm OVPAA-F-INS-055A RAW SC'!CQ$17*100)</f>
        <v/>
      </c>
      <c r="CV53" s="133" t="str">
        <f>IF('Midterm OVPAA-F-INS-055A RAW SC'!CR53="","",'Midterm OVPAA-F-INS-055A RAW SC'!CR53/'Midterm OVPAA-F-INS-055A RAW SC'!CR$17*100)</f>
        <v/>
      </c>
      <c r="CW53" s="133" t="str">
        <f>IF('Midterm OVPAA-F-INS-055A RAW SC'!CS53="","",'Midterm OVPAA-F-INS-055A RAW SC'!CS53/'Midterm OVPAA-F-INS-055A RAW SC'!CS$17*100)</f>
        <v/>
      </c>
      <c r="CX53" s="133" t="str">
        <f>IF('Midterm OVPAA-F-INS-055A RAW SC'!CT53="","",'Midterm OVPAA-F-INS-055A RAW SC'!CT53/'Midterm OVPAA-F-INS-055A RAW SC'!CT$17*100)</f>
        <v/>
      </c>
      <c r="CY53" s="133" t="str">
        <f>IF('Midterm OVPAA-F-INS-055A RAW SC'!CU53="","",'Midterm OVPAA-F-INS-055A RAW SC'!CU53/'Midterm OVPAA-F-INS-055A RAW SC'!CU$17*100)</f>
        <v/>
      </c>
      <c r="CZ53" s="133" t="str">
        <f>IF('Midterm OVPAA-F-INS-055A RAW SC'!CV53="","",'Midterm OVPAA-F-INS-055A RAW SC'!CV53/'Midterm OVPAA-F-INS-055A RAW SC'!CV$17*100)</f>
        <v/>
      </c>
      <c r="DA53" s="133" t="str">
        <f>IF('Midterm OVPAA-F-INS-055A RAW SC'!CW53="","",'Midterm OVPAA-F-INS-055A RAW SC'!CW53/'Midterm OVPAA-F-INS-055A RAW SC'!CW$17*100)</f>
        <v/>
      </c>
      <c r="DB53" s="133" t="str">
        <f>IF('Midterm OVPAA-F-INS-055A RAW SC'!CX53="","",'Midterm OVPAA-F-INS-055A RAW SC'!CX53/'Midterm OVPAA-F-INS-055A RAW SC'!CX$17*100)</f>
        <v/>
      </c>
      <c r="DC53" s="134" t="str">
        <f t="array" ref="DC53">IF('Midterm OVPAA-F-INS-055A RAW SC'!$G53="","",IF((SUMPRODUCT(--ISBLANK('Midterm OVPAA-F-INS-055A RAW SC'!CO53:CX53))=COLUMNS('Midterm OVPAA-F-INS-055A RAW SC'!CO53:CX53))=TRUE,"",(((COUNTA('Midterm OVPAA-F-INS-055A RAW SC'!$CO$17:$CX$17)+COUNTBLANK('Midterm OVPAA-F-INS-055A RAW SC'!CO53:CX53))-COLUMNS('Midterm OVPAA-F-INS-055A RAW SC'!CO53:CX53))*5+SUM(CS53:DB53))/COUNTA('Midterm OVPAA-F-INS-055A RAW SC'!$CO$17:$CX$17)))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37" t="str">
        <f t="shared" si="2"/>
        <v/>
      </c>
      <c r="DG53" s="138" t="str">
        <f t="shared" si="3"/>
        <v/>
      </c>
      <c r="DH53" s="136" t="str">
        <f t="shared" si="4"/>
        <v/>
      </c>
      <c r="DI53" s="123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IF('Midterm OVPAA-F-INS-055A RAW SC'!H54="","",'Midterm OVPAA-F-INS-055A RAW SC'!H54/'Midterm OVPAA-F-INS-055A RAW SC'!H$17*100)</f>
        <v/>
      </c>
      <c r="I54" s="126" t="str">
        <f>IF('Midterm OVPAA-F-INS-055A RAW SC'!I54="","",'Midterm OVPAA-F-INS-055A RAW SC'!I54/'Midterm OVPAA-F-INS-055A RAW SC'!I$17*100)</f>
        <v/>
      </c>
      <c r="J54" s="126" t="str">
        <f>IF('Midterm OVPAA-F-INS-055A RAW SC'!J54="","",'Midterm OVPAA-F-INS-055A RAW SC'!J54/'Midterm OVPAA-F-INS-055A RAW SC'!J$17*100)</f>
        <v/>
      </c>
      <c r="K54" s="126" t="str">
        <f>IF('Midterm OVPAA-F-INS-055A RAW SC'!K54="","",'Midterm OVPAA-F-INS-055A RAW SC'!K54/'Midterm OVPAA-F-INS-055A RAW SC'!K$17*100)</f>
        <v/>
      </c>
      <c r="L54" s="126" t="str">
        <f>IF('Midterm OVPAA-F-INS-055A RAW SC'!L54="","",'Midterm OVPAA-F-INS-055A RAW SC'!L54/'Midterm OVPAA-F-INS-055A RAW SC'!L$17*100)</f>
        <v/>
      </c>
      <c r="M54" s="126" t="str">
        <f>IF('Midterm OVPAA-F-INS-055A RAW SC'!M54="","",'Midterm OVPAA-F-INS-055A RAW SC'!M54/'Midterm OVPAA-F-INS-055A RAW SC'!M$17*100)</f>
        <v/>
      </c>
      <c r="N54" s="126" t="str">
        <f>IF('Midterm OVPAA-F-INS-055A RAW SC'!N54="","",'Midterm OVPAA-F-INS-055A RAW SC'!N54/'Midterm OVPAA-F-INS-055A RAW SC'!N$17*100)</f>
        <v/>
      </c>
      <c r="O54" s="126" t="str">
        <f>IF('Midterm OVPAA-F-INS-055A RAW SC'!O54="","",'Midterm OVPAA-F-INS-055A RAW SC'!O54/'Midterm OVPAA-F-INS-055A RAW SC'!O$17*100)</f>
        <v/>
      </c>
      <c r="P54" s="126" t="str">
        <f>IF('Midterm OVPAA-F-INS-055A RAW SC'!P54="","",'Midterm OVPAA-F-INS-055A RAW SC'!P54/'Midterm OVPAA-F-INS-055A RAW SC'!P$17*100)</f>
        <v/>
      </c>
      <c r="Q54" s="126" t="str">
        <f>IF('Midterm OVPAA-F-INS-055A RAW SC'!Q54="","",'Midterm OVPAA-F-INS-055A RAW SC'!Q54/'Midterm OVPAA-F-INS-055A RAW SC'!Q$17*100)</f>
        <v/>
      </c>
      <c r="R54" s="126" t="str">
        <f>IF('Midterm OVPAA-F-INS-055A RAW SC'!R54="","",'Midterm OVPAA-F-INS-055A RAW SC'!R54/'Midterm OVPAA-F-INS-055A RAW SC'!R$17*100)</f>
        <v/>
      </c>
      <c r="S54" s="126" t="str">
        <f>IF('Midterm OVPAA-F-INS-055A RAW SC'!S54="","",'Midterm OVPAA-F-INS-055A RAW SC'!S54/'Midterm OVPAA-F-INS-055A RAW SC'!S$17*100)</f>
        <v/>
      </c>
      <c r="T54" s="126" t="str">
        <f>IF('Midterm OVPAA-F-INS-055A RAW SC'!T54="","",'Midterm OVPAA-F-INS-055A RAW SC'!T54/'Midterm OVPAA-F-INS-055A RAW SC'!T$17*100)</f>
        <v/>
      </c>
      <c r="U54" s="126" t="str">
        <f>IF('Midterm OVPAA-F-INS-055A RAW SC'!U54="","",'Midterm OVPAA-F-INS-055A RAW SC'!U54/'Midterm OVPAA-F-INS-055A RAW SC'!U$17*100)</f>
        <v/>
      </c>
      <c r="V54" s="126" t="str">
        <f>IF('Midterm OVPAA-F-INS-055A RAW SC'!V54="","",'Midterm OVPAA-F-INS-055A RAW SC'!V54/'Midterm OVPAA-F-INS-055A RAW SC'!V$17*100)</f>
        <v/>
      </c>
      <c r="W54" s="126" t="str">
        <f>IF('Midterm OVPAA-F-INS-055A RAW SC'!W54="","",'Midterm OVPAA-F-INS-055A RAW SC'!W54/'Midterm OVPAA-F-INS-055A RAW SC'!W$17*100)</f>
        <v/>
      </c>
      <c r="X54" s="126" t="str">
        <f>IF('Midterm OVPAA-F-INS-055A RAW SC'!X54="","",'Midterm OVPAA-F-INS-055A RAW SC'!X54/'Midterm OVPAA-F-INS-055A RAW SC'!X$17*100)</f>
        <v/>
      </c>
      <c r="Y54" s="126" t="str">
        <f>IF('Midterm OVPAA-F-INS-055A RAW SC'!Y54="","",'Midterm OVPAA-F-INS-055A RAW SC'!Y54/'Midterm OVPAA-F-INS-055A RAW SC'!Y$17*100)</f>
        <v/>
      </c>
      <c r="Z54" s="126" t="str">
        <f>IF('Midterm OVPAA-F-INS-055A RAW SC'!Z54="","",'Midterm OVPAA-F-INS-055A RAW SC'!Z54/'Midterm OVPAA-F-INS-055A RAW SC'!Z$17*100)</f>
        <v/>
      </c>
      <c r="AA54" s="126" t="str">
        <f>IF('Midterm OVPAA-F-INS-055A RAW SC'!AA54="","",'Midterm OVPAA-F-INS-055A RAW SC'!AA54/'Midterm OVPAA-F-INS-055A RAW SC'!AA$17*100)</f>
        <v/>
      </c>
      <c r="AB54" s="126" t="str">
        <f>IF('Midterm OVPAA-F-INS-055A RAW SC'!AB54="","",'Midterm OVPAA-F-INS-055A RAW SC'!AB54/'Midterm OVPAA-F-INS-055A RAW SC'!AB$17*100)</f>
        <v/>
      </c>
      <c r="AC54" s="126" t="str">
        <f>IF('Midterm OVPAA-F-INS-055A RAW SC'!AC54="","",'Midterm OVPAA-F-INS-055A RAW SC'!AC54/'Midterm OVPAA-F-INS-055A RAW SC'!AC$17*100)</f>
        <v/>
      </c>
      <c r="AD54" s="126" t="str">
        <f>IF('Midterm OVPAA-F-INS-055A RAW SC'!AD54="","",'Midterm OVPAA-F-INS-055A RAW SC'!AD54/'Midterm OVPAA-F-INS-055A RAW SC'!AD$17*100)</f>
        <v/>
      </c>
      <c r="AE54" s="126" t="str">
        <f>IF('Midterm OVPAA-F-INS-055A RAW SC'!AE54="","",'Midterm OVPAA-F-INS-055A RAW SC'!AE54/'Midterm OVPAA-F-INS-055A RAW SC'!AE$17*100)</f>
        <v/>
      </c>
      <c r="AF54" s="126" t="str">
        <f>IF('Midterm OVPAA-F-INS-055A RAW SC'!AF54="","",'Midterm OVPAA-F-INS-055A RAW SC'!AF54/'Midterm OVPAA-F-INS-055A RAW SC'!AF$17*100)</f>
        <v/>
      </c>
      <c r="AG54" s="126" t="str">
        <f>IF('Midterm OVPAA-F-INS-055A RAW SC'!AG54="","",'Midterm OVPAA-F-INS-055A RAW SC'!AG54/'Midterm OVPAA-F-INS-055A RAW SC'!AG$17*100)</f>
        <v/>
      </c>
      <c r="AH54" s="126" t="str">
        <f>IF('Midterm OVPAA-F-INS-055A RAW SC'!AH54="","",'Midterm OVPAA-F-INS-055A RAW SC'!AH54/'Midterm OVPAA-F-INS-055A RAW SC'!AH$17*100)</f>
        <v/>
      </c>
      <c r="AI54" s="126" t="str">
        <f>IF('Midterm OVPAA-F-INS-055A RAW SC'!AI54="","",'Midterm OVPAA-F-INS-055A RAW SC'!AI54/'Midterm OVPAA-F-INS-055A RAW SC'!AI$17*100)</f>
        <v/>
      </c>
      <c r="AJ54" s="126" t="str">
        <f>IF('Midterm OVPAA-F-INS-055A RAW SC'!AJ54="","",'Midterm OVPAA-F-INS-055A RAW SC'!AJ54/'Midterm OVPAA-F-INS-055A RAW SC'!AJ$17*100)</f>
        <v/>
      </c>
      <c r="AK54" s="126" t="str">
        <f>IF('Midterm OVPAA-F-INS-055A RAW SC'!AK54="","",'Midterm OVPAA-F-INS-055A RAW SC'!AK54/'Midterm OVPAA-F-INS-055A RAW SC'!AK$17*100)</f>
        <v/>
      </c>
      <c r="AL54" s="126" t="str">
        <f>IF('Midterm OVPAA-F-INS-055A RAW SC'!AL54="","",'Midterm OVPAA-F-INS-055A RAW SC'!AL54/'Midterm OVPAA-F-INS-055A RAW SC'!AL$17*100)</f>
        <v/>
      </c>
      <c r="AM54" s="126" t="str">
        <f>IF('Midterm OVPAA-F-INS-055A RAW SC'!AM54="","",'Midterm OVPAA-F-INS-055A RAW SC'!AM54/'Midterm OVPAA-F-INS-055A RAW SC'!AM$17*100)</f>
        <v/>
      </c>
      <c r="AN54" s="126" t="str">
        <f>IF('Midterm OVPAA-F-INS-055A RAW SC'!AN54="","",'Midterm OVPAA-F-INS-055A RAW SC'!AN54/'Midterm OVPAA-F-INS-055A RAW SC'!AN$17*100)</f>
        <v/>
      </c>
      <c r="AO54" s="126" t="str">
        <f>IF('Midterm OVPAA-F-INS-055A RAW SC'!AO54="","",'Midterm OVPAA-F-INS-055A RAW SC'!AO54/'Midterm OVPAA-F-INS-055A RAW SC'!AO$17*100)</f>
        <v/>
      </c>
      <c r="AP54" s="126" t="str">
        <f>IF('Midterm OVPAA-F-INS-055A RAW SC'!AP54="","",'Midterm OVPAA-F-INS-055A RAW SC'!AP54/'Midterm OVPAA-F-INS-055A RAW SC'!AP$17*100)</f>
        <v/>
      </c>
      <c r="AQ54" s="126" t="str">
        <f>IF('Midterm OVPAA-F-INS-055A RAW SC'!AQ54="","",'Midterm OVPAA-F-INS-055A RAW SC'!AQ54/'Midterm OVPAA-F-INS-055A RAW SC'!AQ$17*100)</f>
        <v/>
      </c>
      <c r="AR54" s="126" t="str">
        <f>IF('Midterm OVPAA-F-INS-055A RAW SC'!AR54="","",'Midterm OVPAA-F-INS-055A RAW SC'!AR54/'Midterm OVPAA-F-INS-055A RAW SC'!AR$17*100)</f>
        <v/>
      </c>
      <c r="AS54" s="126" t="str">
        <f>IF('Midterm OVPAA-F-INS-055A RAW SC'!AS54="","",'Midterm OVPAA-F-INS-055A RAW SC'!AS54/'Midterm OVPAA-F-INS-055A RAW SC'!AS$17*100)</f>
        <v/>
      </c>
      <c r="AT54" s="126" t="str">
        <f>IF('Midterm OVPAA-F-INS-055A RAW SC'!AT54="","",'Midterm OVPAA-F-INS-055A RAW SC'!AT54/'Midterm OVPAA-F-INS-055A RAW SC'!AT$17*100)</f>
        <v/>
      </c>
      <c r="AU54" s="126" t="str">
        <f>IF('Midterm OVPAA-F-INS-055A RAW SC'!AU54="","",'Midterm OVPAA-F-INS-055A RAW SC'!AU54/'Midterm OVPAA-F-INS-055A RAW SC'!AU$17*100)</f>
        <v/>
      </c>
      <c r="AV54" s="126" t="str">
        <f>IF('Midterm OVPAA-F-INS-055A RAW SC'!AV54="","",'Midterm OVPAA-F-INS-055A RAW SC'!AV54/'Midterm OVPAA-F-INS-055A RAW SC'!AV$17*100)</f>
        <v/>
      </c>
      <c r="AW54" s="126" t="str">
        <f>IF('Midterm OVPAA-F-INS-055A RAW SC'!AW54="","",'Midterm OVPAA-F-INS-055A RAW SC'!AW54/'Midterm OVPAA-F-INS-055A RAW SC'!AW$17*100)</f>
        <v/>
      </c>
      <c r="AX54" s="126" t="str">
        <f>IF('Midterm OVPAA-F-INS-055A RAW SC'!AX54="","",'Midterm OVPAA-F-INS-055A RAW SC'!AX54/'Midterm OVPAA-F-INS-055A RAW SC'!AX$17*100)</f>
        <v/>
      </c>
      <c r="AY54" s="126" t="str">
        <f>IF('Midterm OVPAA-F-INS-055A RAW SC'!AY54="","",'Midterm OVPAA-F-INS-055A RAW SC'!AY54/'Midterm OVPAA-F-INS-055A RAW SC'!AY$17*100)</f>
        <v/>
      </c>
      <c r="AZ54" s="126" t="str">
        <f>IF('Midterm OVPAA-F-INS-055A RAW SC'!AZ54="","",'Midterm OVPAA-F-INS-055A RAW SC'!AZ54/'Midterm OVPAA-F-INS-055A RAW SC'!AZ$17*100)</f>
        <v/>
      </c>
      <c r="BA54" s="126" t="str">
        <f>IF('Midterm OVPAA-F-INS-055A RAW SC'!BA54="","",'Midterm OVPAA-F-INS-055A RAW SC'!BA54/'Midterm OVPAA-F-INS-055A RAW SC'!BA$17*100)</f>
        <v/>
      </c>
      <c r="BB54" s="126" t="str">
        <f>IF('Midterm OVPAA-F-INS-055A RAW SC'!BB54="","",'Midterm OVPAA-F-INS-055A RAW SC'!BB54/'Midterm OVPAA-F-INS-055A RAW SC'!BB$17*100)</f>
        <v/>
      </c>
      <c r="BC54" s="126" t="str">
        <f>IF('Midterm OVPAA-F-INS-055A RAW SC'!BC54="","",'Midterm OVPAA-F-INS-055A RAW SC'!BC54/'Midterm OVPAA-F-INS-055A RAW SC'!BC$17*100)</f>
        <v/>
      </c>
      <c r="BD54" s="126" t="str">
        <f>IF('Midterm OVPAA-F-INS-055A RAW SC'!BD54="","",'Midterm OVPAA-F-INS-055A RAW SC'!BD54/'Midterm OVPAA-F-INS-055A RAW SC'!BD$17*100)</f>
        <v/>
      </c>
      <c r="BE54" s="126" t="str">
        <f>IF('Midterm OVPAA-F-INS-055A RAW SC'!BE54="","",'Midterm OVPAA-F-INS-055A RAW SC'!BE54/'Midterm OVPAA-F-INS-055A RAW SC'!BE$17*100)</f>
        <v/>
      </c>
      <c r="BF54" s="126" t="str">
        <f>IF('Midterm OVPAA-F-INS-055A RAW SC'!BF54="","",'Midterm OVPAA-F-INS-055A RAW SC'!BF54/'Midterm OVPAA-F-INS-055A RAW SC'!BF$17*100)</f>
        <v/>
      </c>
      <c r="BG54" s="126" t="str">
        <f>IF('Midterm OVPAA-F-INS-055A RAW SC'!BG54="","",'Midterm OVPAA-F-INS-055A RAW SC'!BG54/'Midterm OVPAA-F-INS-055A RAW SC'!BG$17*100)</f>
        <v/>
      </c>
      <c r="BH54" s="126" t="str">
        <f>IF('Midterm OVPAA-F-INS-055A RAW SC'!BH54="","",'Midterm OVPAA-F-INS-055A RAW SC'!BH54/'Midterm OVPAA-F-INS-055A RAW SC'!BH$17*100)</f>
        <v/>
      </c>
      <c r="BI54" s="126" t="str">
        <f>IF('Midterm OVPAA-F-INS-055A RAW SC'!BI54="","",'Midterm OVPAA-F-INS-055A RAW SC'!BI54/'Midterm OVPAA-F-INS-055A RAW SC'!BI$17*100)</f>
        <v/>
      </c>
      <c r="BJ54" s="126" t="str">
        <f>IF('Midterm OVPAA-F-INS-055A RAW SC'!BJ54="","",'Midterm OVPAA-F-INS-055A RAW SC'!BJ54/'Midterm OVPAA-F-INS-055A RAW SC'!BJ$17*100)</f>
        <v/>
      </c>
      <c r="BK54" s="126" t="str">
        <f>IF('Midterm OVPAA-F-INS-055A RAW SC'!BK54="","",'Midterm OVPAA-F-INS-055A RAW SC'!BK54/'Midterm OVPAA-F-INS-055A RAW SC'!BK$17*100)</f>
        <v/>
      </c>
      <c r="BL54" s="126" t="str">
        <f>IF('Midterm OVPAA-F-INS-055A RAW SC'!BL54="","",'Midterm OVPAA-F-INS-055A RAW SC'!BL54/'Midterm OVPAA-F-INS-055A RAW SC'!BL$17*100)</f>
        <v/>
      </c>
      <c r="BM54" s="126" t="str">
        <f>IF('Midterm OVPAA-F-INS-055A RAW SC'!BM54="","",'Midterm OVPAA-F-INS-055A RAW SC'!BM54/'Midterm OVPAA-F-INS-055A RAW SC'!BM$17*100)</f>
        <v/>
      </c>
      <c r="BN54" s="126" t="str">
        <f>IF('Midterm OVPAA-F-INS-055A RAW SC'!BN54="","",'Midterm OVPAA-F-INS-055A RAW SC'!BN54/'Midterm OVPAA-F-INS-055A RAW SC'!BN$17*100)</f>
        <v/>
      </c>
      <c r="BO54" s="126" t="str">
        <f>IF('Midterm OVPAA-F-INS-055A RAW SC'!BO54="","",'Midterm OVPAA-F-INS-055A RAW SC'!BO54/'Midterm OVPAA-F-INS-055A RAW SC'!BO$17*100)</f>
        <v/>
      </c>
      <c r="BP54" s="126" t="str">
        <f>IF('Midterm OVPAA-F-INS-055A RAW SC'!BP54="","",'Midterm OVPAA-F-INS-055A RAW SC'!BP54/'Midterm OVPAA-F-INS-055A RAW SC'!BP$17*100)</f>
        <v/>
      </c>
      <c r="BQ54" s="126" t="str">
        <f>IF('Midterm OVPAA-F-INS-055A RAW SC'!BQ54="","",'Midterm OVPAA-F-INS-055A RAW SC'!BQ54/'Midterm OVPAA-F-INS-055A RAW SC'!BQ$17*100)</f>
        <v/>
      </c>
      <c r="BR54" s="126" t="str">
        <f>IF('Midterm OVPAA-F-INS-055A RAW SC'!BR54="","",'Midterm OVPAA-F-INS-055A RAW SC'!BR54/'Midterm OVPAA-F-INS-055A RAW SC'!BR$17*100)</f>
        <v/>
      </c>
      <c r="BS54" s="126" t="str">
        <f>IF('Midterm OVPAA-F-INS-055A RAW SC'!BS54="","",'Midterm OVPAA-F-INS-055A RAW SC'!BS54/'Midterm OVPAA-F-INS-055A RAW SC'!BS$17*100)</f>
        <v/>
      </c>
      <c r="BT54" s="126" t="str">
        <f>IF('Midterm OVPAA-F-INS-055A RAW SC'!BT54="","",'Midterm OVPAA-F-INS-055A RAW SC'!BT54/'Midterm OVPAA-F-INS-055A RAW SC'!BT$17*100)</f>
        <v/>
      </c>
      <c r="BU54" s="127" t="str">
        <f t="array" ref="BU54">IF('Midterm OVPAA-F-INS-055A RAW SC'!$G54="","",IF((SUMPRODUCT(--ISBLANK('Midterm OVPAA-F-INS-055A RAW SC'!H54:BT54))=COLUMNS('Midterm OVPAA-F-INS-055A RAW SC'!H54:BT54))=TRUE,"",(((COUNTA('Midterm OVPAA-F-INS-055A RAW SC'!$H$17:$BT$17)+COUNTBLANK('Midterm OVPAA-F-INS-055A RAW SC'!H54:BT54))-COLUMNS('Midterm OVPAA-F-INS-055A RAW SC'!H54:BT54))*5+SUM(H54:BT54))/COUNTA('Midterm OVPAA-F-INS-055A RAW SC'!$H$17:$BT$17)))</f>
        <v/>
      </c>
      <c r="BV54" s="128" t="str">
        <f>IF(BU54="","",VLOOKUP(BU54,IF('Midterm OVPAA-F-INS-055A RAW SC'!$V$12=0.5,TRANSMUTATION!$C$4:$D$17,TRANSMUTATION!$G$4:$H$17),2,TRUE))</f>
        <v/>
      </c>
      <c r="BW54" s="129" t="str">
        <f>IF('Midterm OVPAA-F-INS-055A RAW SC'!BU54="","",'Midterm OVPAA-F-INS-055A RAW SC'!BU54/'Midterm OVPAA-F-INS-055A RAW SC'!BU$17*100)</f>
        <v/>
      </c>
      <c r="BX54" s="130" t="str">
        <f>IF('Midterm OVPAA-F-INS-055A RAW SC'!BV54="","",'Midterm OVPAA-F-INS-055A RAW SC'!BV54/'Midterm OVPAA-F-INS-055A RAW SC'!BV$17*100)</f>
        <v/>
      </c>
      <c r="BY54" s="130" t="str">
        <f>IF('Midterm OVPAA-F-INS-055A RAW SC'!BW54="","",'Midterm OVPAA-F-INS-055A RAW SC'!BW54/'Midterm OVPAA-F-INS-055A RAW SC'!BW$17*100)</f>
        <v/>
      </c>
      <c r="BZ54" s="130" t="str">
        <f>IF('Midterm OVPAA-F-INS-055A RAW SC'!BX54="","",'Midterm OVPAA-F-INS-055A RAW SC'!BX54/'Midterm OVPAA-F-INS-055A RAW SC'!BX$17*100)</f>
        <v/>
      </c>
      <c r="CA54" s="130" t="str">
        <f>IF('Midterm OVPAA-F-INS-055A RAW SC'!BY54="","",'Midterm OVPAA-F-INS-055A RAW SC'!BY54/'Midterm OVPAA-F-INS-055A RAW SC'!BY$17*100)</f>
        <v/>
      </c>
      <c r="CB54" s="130" t="str">
        <f>IF('Midterm OVPAA-F-INS-055A RAW SC'!BZ54="","",'Midterm OVPAA-F-INS-055A RAW SC'!BZ54/'Midterm OVPAA-F-INS-055A RAW SC'!BZ$17*100)</f>
        <v/>
      </c>
      <c r="CC54" s="130" t="str">
        <f>IF('Midterm OVPAA-F-INS-055A RAW SC'!CA54="","",'Midterm OVPAA-F-INS-055A RAW SC'!CA54/'Midterm OVPAA-F-INS-055A RAW SC'!CA$17*100)</f>
        <v/>
      </c>
      <c r="CD54" s="130" t="str">
        <f>IF('Midterm OVPAA-F-INS-055A RAW SC'!CB54="","",'Midterm OVPAA-F-INS-055A RAW SC'!CB54/'Midterm OVPAA-F-INS-055A RAW SC'!CB$17*100)</f>
        <v/>
      </c>
      <c r="CE54" s="130" t="str">
        <f>IF('Midterm OVPAA-F-INS-055A RAW SC'!CC54="","",'Midterm OVPAA-F-INS-055A RAW SC'!CC54/'Midterm OVPAA-F-INS-055A RAW SC'!CC$17*100)</f>
        <v/>
      </c>
      <c r="CF54" s="130" t="str">
        <f>IF('Midterm OVPAA-F-INS-055A RAW SC'!CD54="","",'Midterm OVPAA-F-INS-055A RAW SC'!CD54/'Midterm OVPAA-F-INS-055A RAW SC'!CD$17*100)</f>
        <v/>
      </c>
      <c r="CG54" s="130" t="str">
        <f>IF('Midterm OVPAA-F-INS-055A RAW SC'!CE54="","",'Midterm OVPAA-F-INS-055A RAW SC'!CE54/'Midterm OVPAA-F-INS-055A RAW SC'!CE$17*100)</f>
        <v/>
      </c>
      <c r="CH54" s="130" t="str">
        <f>IF('Midterm OVPAA-F-INS-055A RAW SC'!CF54="","",'Midterm OVPAA-F-INS-055A RAW SC'!CF54/'Midterm OVPAA-F-INS-055A RAW SC'!CF$17*100)</f>
        <v/>
      </c>
      <c r="CI54" s="130" t="str">
        <f>IF('Midterm OVPAA-F-INS-055A RAW SC'!CG54="","",'Midterm OVPAA-F-INS-055A RAW SC'!CG54/'Midterm OVPAA-F-INS-055A RAW SC'!CG$17*100)</f>
        <v/>
      </c>
      <c r="CJ54" s="130" t="str">
        <f>IF('Midterm OVPAA-F-INS-055A RAW SC'!CH54="","",'Midterm OVPAA-F-INS-055A RAW SC'!CH54/'Midterm OVPAA-F-INS-055A RAW SC'!CH$17*100)</f>
        <v/>
      </c>
      <c r="CK54" s="130" t="str">
        <f>IF('Midterm OVPAA-F-INS-055A RAW SC'!CI54="","",'Midterm OVPAA-F-INS-055A RAW SC'!CI54/'Midterm OVPAA-F-INS-055A RAW SC'!CI$17*100)</f>
        <v/>
      </c>
      <c r="CL54" s="130" t="str">
        <f>IF('Midterm OVPAA-F-INS-055A RAW SC'!CJ54="","",'Midterm OVPAA-F-INS-055A RAW SC'!CJ54/'Midterm OVPAA-F-INS-055A RAW SC'!CJ$17*100)</f>
        <v/>
      </c>
      <c r="CM54" s="130" t="str">
        <f>IF('Midterm OVPAA-F-INS-055A RAW SC'!CK54="","",'Midterm OVPAA-F-INS-055A RAW SC'!CK54/'Midterm OVPAA-F-INS-055A RAW SC'!CK$17*100)</f>
        <v/>
      </c>
      <c r="CN54" s="130" t="str">
        <f>IF('Midterm OVPAA-F-INS-055A RAW SC'!CL54="","",'Midterm OVPAA-F-INS-055A RAW SC'!CL54/'Midterm OVPAA-F-INS-055A RAW SC'!CL$17*100)</f>
        <v/>
      </c>
      <c r="CO54" s="130" t="str">
        <f>IF('Midterm OVPAA-F-INS-055A RAW SC'!CM54="","",'Midterm OVPAA-F-INS-055A RAW SC'!CM54/'Midterm OVPAA-F-INS-055A RAW SC'!CM$17*100)</f>
        <v/>
      </c>
      <c r="CP54" s="130" t="str">
        <f>IF('Midterm OVPAA-F-INS-055A RAW SC'!CN54="","",'Midterm OVPAA-F-INS-055A RAW SC'!CN54/'Midterm OVPAA-F-INS-055A RAW SC'!CN$17*100)</f>
        <v/>
      </c>
      <c r="CQ54" s="131" t="str">
        <f t="array" ref="CQ54">IF('Midterm OVPAA-F-INS-055A RAW SC'!G54="","",IF((SUMPRODUCT(--ISBLANK('Midterm OVPAA-F-INS-055A RAW SC'!BU54:CN54))=COLUMNS('Midterm OVPAA-F-INS-055A RAW SC'!BU54:CN54))=TRUE,"",(((COUNTA('Midterm OVPAA-F-INS-055A RAW SC'!$BU$17:$CN$17)+COUNTBLANK('Midterm OVPAA-F-INS-055A RAW SC'!BU54:CN54))-COLUMNS('Midterm OVPAA-F-INS-055A RAW SC'!BU54:CN54))*5+SUM(BW54:CP54))/COUNTA('Midterm OVPAA-F-INS-055A RAW SC'!$BU$17:$CN$17)))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IF('Midterm OVPAA-F-INS-055A RAW SC'!CO54="","",'Midterm OVPAA-F-INS-055A RAW SC'!CO54/'Midterm OVPAA-F-INS-055A RAW SC'!CO$17*100)</f>
        <v/>
      </c>
      <c r="CT54" s="133" t="str">
        <f>IF('Midterm OVPAA-F-INS-055A RAW SC'!CP54="","",'Midterm OVPAA-F-INS-055A RAW SC'!CP54/'Midterm OVPAA-F-INS-055A RAW SC'!CP$17*100)</f>
        <v/>
      </c>
      <c r="CU54" s="133" t="str">
        <f>IF('Midterm OVPAA-F-INS-055A RAW SC'!CQ54="","",'Midterm OVPAA-F-INS-055A RAW SC'!CQ54/'Midterm OVPAA-F-INS-055A RAW SC'!CQ$17*100)</f>
        <v/>
      </c>
      <c r="CV54" s="133" t="str">
        <f>IF('Midterm OVPAA-F-INS-055A RAW SC'!CR54="","",'Midterm OVPAA-F-INS-055A RAW SC'!CR54/'Midterm OVPAA-F-INS-055A RAW SC'!CR$17*100)</f>
        <v/>
      </c>
      <c r="CW54" s="133" t="str">
        <f>IF('Midterm OVPAA-F-INS-055A RAW SC'!CS54="","",'Midterm OVPAA-F-INS-055A RAW SC'!CS54/'Midterm OVPAA-F-INS-055A RAW SC'!CS$17*100)</f>
        <v/>
      </c>
      <c r="CX54" s="133" t="str">
        <f>IF('Midterm OVPAA-F-INS-055A RAW SC'!CT54="","",'Midterm OVPAA-F-INS-055A RAW SC'!CT54/'Midterm OVPAA-F-INS-055A RAW SC'!CT$17*100)</f>
        <v/>
      </c>
      <c r="CY54" s="133" t="str">
        <f>IF('Midterm OVPAA-F-INS-055A RAW SC'!CU54="","",'Midterm OVPAA-F-INS-055A RAW SC'!CU54/'Midterm OVPAA-F-INS-055A RAW SC'!CU$17*100)</f>
        <v/>
      </c>
      <c r="CZ54" s="133" t="str">
        <f>IF('Midterm OVPAA-F-INS-055A RAW SC'!CV54="","",'Midterm OVPAA-F-INS-055A RAW SC'!CV54/'Midterm OVPAA-F-INS-055A RAW SC'!CV$17*100)</f>
        <v/>
      </c>
      <c r="DA54" s="133" t="str">
        <f>IF('Midterm OVPAA-F-INS-055A RAW SC'!CW54="","",'Midterm OVPAA-F-INS-055A RAW SC'!CW54/'Midterm OVPAA-F-INS-055A RAW SC'!CW$17*100)</f>
        <v/>
      </c>
      <c r="DB54" s="133" t="str">
        <f>IF('Midterm OVPAA-F-INS-055A RAW SC'!CX54="","",'Midterm OVPAA-F-INS-055A RAW SC'!CX54/'Midterm OVPAA-F-INS-055A RAW SC'!CX$17*100)</f>
        <v/>
      </c>
      <c r="DC54" s="134" t="str">
        <f t="array" ref="DC54">IF('Midterm OVPAA-F-INS-055A RAW SC'!$G54="","",IF((SUMPRODUCT(--ISBLANK('Midterm OVPAA-F-INS-055A RAW SC'!CO54:CX54))=COLUMNS('Midterm OVPAA-F-INS-055A RAW SC'!CO54:CX54))=TRUE,"",(((COUNTA('Midterm OVPAA-F-INS-055A RAW SC'!$CO$17:$CX$17)+COUNTBLANK('Midterm OVPAA-F-INS-055A RAW SC'!CO54:CX54))-COLUMNS('Midterm OVPAA-F-INS-055A RAW SC'!CO54:CX54))*5+SUM(CS54:DB54))/COUNTA('Midterm OVPAA-F-INS-055A RAW SC'!$CO$17:$CX$17)))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37" t="str">
        <f t="shared" si="2"/>
        <v/>
      </c>
      <c r="DG54" s="138" t="str">
        <f t="shared" si="3"/>
        <v/>
      </c>
      <c r="DH54" s="136" t="str">
        <f t="shared" si="4"/>
        <v/>
      </c>
      <c r="DI54" s="123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IF('Midterm OVPAA-F-INS-055A RAW SC'!H55="","",'Midterm OVPAA-F-INS-055A RAW SC'!H55/'Midterm OVPAA-F-INS-055A RAW SC'!H$17*100)</f>
        <v/>
      </c>
      <c r="I55" s="126" t="str">
        <f>IF('Midterm OVPAA-F-INS-055A RAW SC'!I55="","",'Midterm OVPAA-F-INS-055A RAW SC'!I55/'Midterm OVPAA-F-INS-055A RAW SC'!I$17*100)</f>
        <v/>
      </c>
      <c r="J55" s="126" t="str">
        <f>IF('Midterm OVPAA-F-INS-055A RAW SC'!J55="","",'Midterm OVPAA-F-INS-055A RAW SC'!J55/'Midterm OVPAA-F-INS-055A RAW SC'!J$17*100)</f>
        <v/>
      </c>
      <c r="K55" s="126" t="str">
        <f>IF('Midterm OVPAA-F-INS-055A RAW SC'!K55="","",'Midterm OVPAA-F-INS-055A RAW SC'!K55/'Midterm OVPAA-F-INS-055A RAW SC'!K$17*100)</f>
        <v/>
      </c>
      <c r="L55" s="126" t="str">
        <f>IF('Midterm OVPAA-F-INS-055A RAW SC'!L55="","",'Midterm OVPAA-F-INS-055A RAW SC'!L55/'Midterm OVPAA-F-INS-055A RAW SC'!L$17*100)</f>
        <v/>
      </c>
      <c r="M55" s="126" t="str">
        <f>IF('Midterm OVPAA-F-INS-055A RAW SC'!M55="","",'Midterm OVPAA-F-INS-055A RAW SC'!M55/'Midterm OVPAA-F-INS-055A RAW SC'!M$17*100)</f>
        <v/>
      </c>
      <c r="N55" s="126" t="str">
        <f>IF('Midterm OVPAA-F-INS-055A RAW SC'!N55="","",'Midterm OVPAA-F-INS-055A RAW SC'!N55/'Midterm OVPAA-F-INS-055A RAW SC'!N$17*100)</f>
        <v/>
      </c>
      <c r="O55" s="126" t="str">
        <f>IF('Midterm OVPAA-F-INS-055A RAW SC'!O55="","",'Midterm OVPAA-F-INS-055A RAW SC'!O55/'Midterm OVPAA-F-INS-055A RAW SC'!O$17*100)</f>
        <v/>
      </c>
      <c r="P55" s="126" t="str">
        <f>IF('Midterm OVPAA-F-INS-055A RAW SC'!P55="","",'Midterm OVPAA-F-INS-055A RAW SC'!P55/'Midterm OVPAA-F-INS-055A RAW SC'!P$17*100)</f>
        <v/>
      </c>
      <c r="Q55" s="126" t="str">
        <f>IF('Midterm OVPAA-F-INS-055A RAW SC'!Q55="","",'Midterm OVPAA-F-INS-055A RAW SC'!Q55/'Midterm OVPAA-F-INS-055A RAW SC'!Q$17*100)</f>
        <v/>
      </c>
      <c r="R55" s="126" t="str">
        <f>IF('Midterm OVPAA-F-INS-055A RAW SC'!R55="","",'Midterm OVPAA-F-INS-055A RAW SC'!R55/'Midterm OVPAA-F-INS-055A RAW SC'!R$17*100)</f>
        <v/>
      </c>
      <c r="S55" s="126" t="str">
        <f>IF('Midterm OVPAA-F-INS-055A RAW SC'!S55="","",'Midterm OVPAA-F-INS-055A RAW SC'!S55/'Midterm OVPAA-F-INS-055A RAW SC'!S$17*100)</f>
        <v/>
      </c>
      <c r="T55" s="126" t="str">
        <f>IF('Midterm OVPAA-F-INS-055A RAW SC'!T55="","",'Midterm OVPAA-F-INS-055A RAW SC'!T55/'Midterm OVPAA-F-INS-055A RAW SC'!T$17*100)</f>
        <v/>
      </c>
      <c r="U55" s="126" t="str">
        <f>IF('Midterm OVPAA-F-INS-055A RAW SC'!U55="","",'Midterm OVPAA-F-INS-055A RAW SC'!U55/'Midterm OVPAA-F-INS-055A RAW SC'!U$17*100)</f>
        <v/>
      </c>
      <c r="V55" s="126" t="str">
        <f>IF('Midterm OVPAA-F-INS-055A RAW SC'!V55="","",'Midterm OVPAA-F-INS-055A RAW SC'!V55/'Midterm OVPAA-F-INS-055A RAW SC'!V$17*100)</f>
        <v/>
      </c>
      <c r="W55" s="126" t="str">
        <f>IF('Midterm OVPAA-F-INS-055A RAW SC'!W55="","",'Midterm OVPAA-F-INS-055A RAW SC'!W55/'Midterm OVPAA-F-INS-055A RAW SC'!W$17*100)</f>
        <v/>
      </c>
      <c r="X55" s="126" t="str">
        <f>IF('Midterm OVPAA-F-INS-055A RAW SC'!X55="","",'Midterm OVPAA-F-INS-055A RAW SC'!X55/'Midterm OVPAA-F-INS-055A RAW SC'!X$17*100)</f>
        <v/>
      </c>
      <c r="Y55" s="126" t="str">
        <f>IF('Midterm OVPAA-F-INS-055A RAW SC'!Y55="","",'Midterm OVPAA-F-INS-055A RAW SC'!Y55/'Midterm OVPAA-F-INS-055A RAW SC'!Y$17*100)</f>
        <v/>
      </c>
      <c r="Z55" s="126" t="str">
        <f>IF('Midterm OVPAA-F-INS-055A RAW SC'!Z55="","",'Midterm OVPAA-F-INS-055A RAW SC'!Z55/'Midterm OVPAA-F-INS-055A RAW SC'!Z$17*100)</f>
        <v/>
      </c>
      <c r="AA55" s="126" t="str">
        <f>IF('Midterm OVPAA-F-INS-055A RAW SC'!AA55="","",'Midterm OVPAA-F-INS-055A RAW SC'!AA55/'Midterm OVPAA-F-INS-055A RAW SC'!AA$17*100)</f>
        <v/>
      </c>
      <c r="AB55" s="126" t="str">
        <f>IF('Midterm OVPAA-F-INS-055A RAW SC'!AB55="","",'Midterm OVPAA-F-INS-055A RAW SC'!AB55/'Midterm OVPAA-F-INS-055A RAW SC'!AB$17*100)</f>
        <v/>
      </c>
      <c r="AC55" s="126" t="str">
        <f>IF('Midterm OVPAA-F-INS-055A RAW SC'!AC55="","",'Midterm OVPAA-F-INS-055A RAW SC'!AC55/'Midterm OVPAA-F-INS-055A RAW SC'!AC$17*100)</f>
        <v/>
      </c>
      <c r="AD55" s="126" t="str">
        <f>IF('Midterm OVPAA-F-INS-055A RAW SC'!AD55="","",'Midterm OVPAA-F-INS-055A RAW SC'!AD55/'Midterm OVPAA-F-INS-055A RAW SC'!AD$17*100)</f>
        <v/>
      </c>
      <c r="AE55" s="126" t="str">
        <f>IF('Midterm OVPAA-F-INS-055A RAW SC'!AE55="","",'Midterm OVPAA-F-INS-055A RAW SC'!AE55/'Midterm OVPAA-F-INS-055A RAW SC'!AE$17*100)</f>
        <v/>
      </c>
      <c r="AF55" s="126" t="str">
        <f>IF('Midterm OVPAA-F-INS-055A RAW SC'!AF55="","",'Midterm OVPAA-F-INS-055A RAW SC'!AF55/'Midterm OVPAA-F-INS-055A RAW SC'!AF$17*100)</f>
        <v/>
      </c>
      <c r="AG55" s="126" t="str">
        <f>IF('Midterm OVPAA-F-INS-055A RAW SC'!AG55="","",'Midterm OVPAA-F-INS-055A RAW SC'!AG55/'Midterm OVPAA-F-INS-055A RAW SC'!AG$17*100)</f>
        <v/>
      </c>
      <c r="AH55" s="126" t="str">
        <f>IF('Midterm OVPAA-F-INS-055A RAW SC'!AH55="","",'Midterm OVPAA-F-INS-055A RAW SC'!AH55/'Midterm OVPAA-F-INS-055A RAW SC'!AH$17*100)</f>
        <v/>
      </c>
      <c r="AI55" s="126" t="str">
        <f>IF('Midterm OVPAA-F-INS-055A RAW SC'!AI55="","",'Midterm OVPAA-F-INS-055A RAW SC'!AI55/'Midterm OVPAA-F-INS-055A RAW SC'!AI$17*100)</f>
        <v/>
      </c>
      <c r="AJ55" s="126" t="str">
        <f>IF('Midterm OVPAA-F-INS-055A RAW SC'!AJ55="","",'Midterm OVPAA-F-INS-055A RAW SC'!AJ55/'Midterm OVPAA-F-INS-055A RAW SC'!AJ$17*100)</f>
        <v/>
      </c>
      <c r="AK55" s="126" t="str">
        <f>IF('Midterm OVPAA-F-INS-055A RAW SC'!AK55="","",'Midterm OVPAA-F-INS-055A RAW SC'!AK55/'Midterm OVPAA-F-INS-055A RAW SC'!AK$17*100)</f>
        <v/>
      </c>
      <c r="AL55" s="126" t="str">
        <f>IF('Midterm OVPAA-F-INS-055A RAW SC'!AL55="","",'Midterm OVPAA-F-INS-055A RAW SC'!AL55/'Midterm OVPAA-F-INS-055A RAW SC'!AL$17*100)</f>
        <v/>
      </c>
      <c r="AM55" s="126" t="str">
        <f>IF('Midterm OVPAA-F-INS-055A RAW SC'!AM55="","",'Midterm OVPAA-F-INS-055A RAW SC'!AM55/'Midterm OVPAA-F-INS-055A RAW SC'!AM$17*100)</f>
        <v/>
      </c>
      <c r="AN55" s="126" t="str">
        <f>IF('Midterm OVPAA-F-INS-055A RAW SC'!AN55="","",'Midterm OVPAA-F-INS-055A RAW SC'!AN55/'Midterm OVPAA-F-INS-055A RAW SC'!AN$17*100)</f>
        <v/>
      </c>
      <c r="AO55" s="126" t="str">
        <f>IF('Midterm OVPAA-F-INS-055A RAW SC'!AO55="","",'Midterm OVPAA-F-INS-055A RAW SC'!AO55/'Midterm OVPAA-F-INS-055A RAW SC'!AO$17*100)</f>
        <v/>
      </c>
      <c r="AP55" s="126" t="str">
        <f>IF('Midterm OVPAA-F-INS-055A RAW SC'!AP55="","",'Midterm OVPAA-F-INS-055A RAW SC'!AP55/'Midterm OVPAA-F-INS-055A RAW SC'!AP$17*100)</f>
        <v/>
      </c>
      <c r="AQ55" s="126" t="str">
        <f>IF('Midterm OVPAA-F-INS-055A RAW SC'!AQ55="","",'Midterm OVPAA-F-INS-055A RAW SC'!AQ55/'Midterm OVPAA-F-INS-055A RAW SC'!AQ$17*100)</f>
        <v/>
      </c>
      <c r="AR55" s="126" t="str">
        <f>IF('Midterm OVPAA-F-INS-055A RAW SC'!AR55="","",'Midterm OVPAA-F-INS-055A RAW SC'!AR55/'Midterm OVPAA-F-INS-055A RAW SC'!AR$17*100)</f>
        <v/>
      </c>
      <c r="AS55" s="126" t="str">
        <f>IF('Midterm OVPAA-F-INS-055A RAW SC'!AS55="","",'Midterm OVPAA-F-INS-055A RAW SC'!AS55/'Midterm OVPAA-F-INS-055A RAW SC'!AS$17*100)</f>
        <v/>
      </c>
      <c r="AT55" s="126" t="str">
        <f>IF('Midterm OVPAA-F-INS-055A RAW SC'!AT55="","",'Midterm OVPAA-F-INS-055A RAW SC'!AT55/'Midterm OVPAA-F-INS-055A RAW SC'!AT$17*100)</f>
        <v/>
      </c>
      <c r="AU55" s="126" t="str">
        <f>IF('Midterm OVPAA-F-INS-055A RAW SC'!AU55="","",'Midterm OVPAA-F-INS-055A RAW SC'!AU55/'Midterm OVPAA-F-INS-055A RAW SC'!AU$17*100)</f>
        <v/>
      </c>
      <c r="AV55" s="126" t="str">
        <f>IF('Midterm OVPAA-F-INS-055A RAW SC'!AV55="","",'Midterm OVPAA-F-INS-055A RAW SC'!AV55/'Midterm OVPAA-F-INS-055A RAW SC'!AV$17*100)</f>
        <v/>
      </c>
      <c r="AW55" s="126" t="str">
        <f>IF('Midterm OVPAA-F-INS-055A RAW SC'!AW55="","",'Midterm OVPAA-F-INS-055A RAW SC'!AW55/'Midterm OVPAA-F-INS-055A RAW SC'!AW$17*100)</f>
        <v/>
      </c>
      <c r="AX55" s="126" t="str">
        <f>IF('Midterm OVPAA-F-INS-055A RAW SC'!AX55="","",'Midterm OVPAA-F-INS-055A RAW SC'!AX55/'Midterm OVPAA-F-INS-055A RAW SC'!AX$17*100)</f>
        <v/>
      </c>
      <c r="AY55" s="126" t="str">
        <f>IF('Midterm OVPAA-F-INS-055A RAW SC'!AY55="","",'Midterm OVPAA-F-INS-055A RAW SC'!AY55/'Midterm OVPAA-F-INS-055A RAW SC'!AY$17*100)</f>
        <v/>
      </c>
      <c r="AZ55" s="126" t="str">
        <f>IF('Midterm OVPAA-F-INS-055A RAW SC'!AZ55="","",'Midterm OVPAA-F-INS-055A RAW SC'!AZ55/'Midterm OVPAA-F-INS-055A RAW SC'!AZ$17*100)</f>
        <v/>
      </c>
      <c r="BA55" s="126" t="str">
        <f>IF('Midterm OVPAA-F-INS-055A RAW SC'!BA55="","",'Midterm OVPAA-F-INS-055A RAW SC'!BA55/'Midterm OVPAA-F-INS-055A RAW SC'!BA$17*100)</f>
        <v/>
      </c>
      <c r="BB55" s="126" t="str">
        <f>IF('Midterm OVPAA-F-INS-055A RAW SC'!BB55="","",'Midterm OVPAA-F-INS-055A RAW SC'!BB55/'Midterm OVPAA-F-INS-055A RAW SC'!BB$17*100)</f>
        <v/>
      </c>
      <c r="BC55" s="126" t="str">
        <f>IF('Midterm OVPAA-F-INS-055A RAW SC'!BC55="","",'Midterm OVPAA-F-INS-055A RAW SC'!BC55/'Midterm OVPAA-F-INS-055A RAW SC'!BC$17*100)</f>
        <v/>
      </c>
      <c r="BD55" s="126" t="str">
        <f>IF('Midterm OVPAA-F-INS-055A RAW SC'!BD55="","",'Midterm OVPAA-F-INS-055A RAW SC'!BD55/'Midterm OVPAA-F-INS-055A RAW SC'!BD$17*100)</f>
        <v/>
      </c>
      <c r="BE55" s="126" t="str">
        <f>IF('Midterm OVPAA-F-INS-055A RAW SC'!BE55="","",'Midterm OVPAA-F-INS-055A RAW SC'!BE55/'Midterm OVPAA-F-INS-055A RAW SC'!BE$17*100)</f>
        <v/>
      </c>
      <c r="BF55" s="126" t="str">
        <f>IF('Midterm OVPAA-F-INS-055A RAW SC'!BF55="","",'Midterm OVPAA-F-INS-055A RAW SC'!BF55/'Midterm OVPAA-F-INS-055A RAW SC'!BF$17*100)</f>
        <v/>
      </c>
      <c r="BG55" s="126" t="str">
        <f>IF('Midterm OVPAA-F-INS-055A RAW SC'!BG55="","",'Midterm OVPAA-F-INS-055A RAW SC'!BG55/'Midterm OVPAA-F-INS-055A RAW SC'!BG$17*100)</f>
        <v/>
      </c>
      <c r="BH55" s="126" t="str">
        <f>IF('Midterm OVPAA-F-INS-055A RAW SC'!BH55="","",'Midterm OVPAA-F-INS-055A RAW SC'!BH55/'Midterm OVPAA-F-INS-055A RAW SC'!BH$17*100)</f>
        <v/>
      </c>
      <c r="BI55" s="126" t="str">
        <f>IF('Midterm OVPAA-F-INS-055A RAW SC'!BI55="","",'Midterm OVPAA-F-INS-055A RAW SC'!BI55/'Midterm OVPAA-F-INS-055A RAW SC'!BI$17*100)</f>
        <v/>
      </c>
      <c r="BJ55" s="126" t="str">
        <f>IF('Midterm OVPAA-F-INS-055A RAW SC'!BJ55="","",'Midterm OVPAA-F-INS-055A RAW SC'!BJ55/'Midterm OVPAA-F-INS-055A RAW SC'!BJ$17*100)</f>
        <v/>
      </c>
      <c r="BK55" s="126" t="str">
        <f>IF('Midterm OVPAA-F-INS-055A RAW SC'!BK55="","",'Midterm OVPAA-F-INS-055A RAW SC'!BK55/'Midterm OVPAA-F-INS-055A RAW SC'!BK$17*100)</f>
        <v/>
      </c>
      <c r="BL55" s="126" t="str">
        <f>IF('Midterm OVPAA-F-INS-055A RAW SC'!BL55="","",'Midterm OVPAA-F-INS-055A RAW SC'!BL55/'Midterm OVPAA-F-INS-055A RAW SC'!BL$17*100)</f>
        <v/>
      </c>
      <c r="BM55" s="126" t="str">
        <f>IF('Midterm OVPAA-F-INS-055A RAW SC'!BM55="","",'Midterm OVPAA-F-INS-055A RAW SC'!BM55/'Midterm OVPAA-F-INS-055A RAW SC'!BM$17*100)</f>
        <v/>
      </c>
      <c r="BN55" s="126" t="str">
        <f>IF('Midterm OVPAA-F-INS-055A RAW SC'!BN55="","",'Midterm OVPAA-F-INS-055A RAW SC'!BN55/'Midterm OVPAA-F-INS-055A RAW SC'!BN$17*100)</f>
        <v/>
      </c>
      <c r="BO55" s="126" t="str">
        <f>IF('Midterm OVPAA-F-INS-055A RAW SC'!BO55="","",'Midterm OVPAA-F-INS-055A RAW SC'!BO55/'Midterm OVPAA-F-INS-055A RAW SC'!BO$17*100)</f>
        <v/>
      </c>
      <c r="BP55" s="126" t="str">
        <f>IF('Midterm OVPAA-F-INS-055A RAW SC'!BP55="","",'Midterm OVPAA-F-INS-055A RAW SC'!BP55/'Midterm OVPAA-F-INS-055A RAW SC'!BP$17*100)</f>
        <v/>
      </c>
      <c r="BQ55" s="126" t="str">
        <f>IF('Midterm OVPAA-F-INS-055A RAW SC'!BQ55="","",'Midterm OVPAA-F-INS-055A RAW SC'!BQ55/'Midterm OVPAA-F-INS-055A RAW SC'!BQ$17*100)</f>
        <v/>
      </c>
      <c r="BR55" s="126" t="str">
        <f>IF('Midterm OVPAA-F-INS-055A RAW SC'!BR55="","",'Midterm OVPAA-F-INS-055A RAW SC'!BR55/'Midterm OVPAA-F-INS-055A RAW SC'!BR$17*100)</f>
        <v/>
      </c>
      <c r="BS55" s="126" t="str">
        <f>IF('Midterm OVPAA-F-INS-055A RAW SC'!BS55="","",'Midterm OVPAA-F-INS-055A RAW SC'!BS55/'Midterm OVPAA-F-INS-055A RAW SC'!BS$17*100)</f>
        <v/>
      </c>
      <c r="BT55" s="126" t="str">
        <f>IF('Midterm OVPAA-F-INS-055A RAW SC'!BT55="","",'Midterm OVPAA-F-INS-055A RAW SC'!BT55/'Midterm OVPAA-F-INS-055A RAW SC'!BT$17*100)</f>
        <v/>
      </c>
      <c r="BU55" s="127" t="str">
        <f t="array" ref="BU55">IF('Midterm OVPAA-F-INS-055A RAW SC'!$G55="","",IF((SUMPRODUCT(--ISBLANK('Midterm OVPAA-F-INS-055A RAW SC'!H55:BT55))=COLUMNS('Midterm OVPAA-F-INS-055A RAW SC'!H55:BT55))=TRUE,"",(((COUNTA('Midterm OVPAA-F-INS-055A RAW SC'!$H$17:$BT$17)+COUNTBLANK('Midterm OVPAA-F-INS-055A RAW SC'!H55:BT55))-COLUMNS('Midterm OVPAA-F-INS-055A RAW SC'!H55:BT55))*5+SUM(H55:BT55))/COUNTA('Midterm OVPAA-F-INS-055A RAW SC'!$H$17:$BT$17)))</f>
        <v/>
      </c>
      <c r="BV55" s="128" t="str">
        <f>IF(BU55="","",VLOOKUP(BU55,IF('Midterm OVPAA-F-INS-055A RAW SC'!$V$12=0.5,TRANSMUTATION!$C$4:$D$17,TRANSMUTATION!$G$4:$H$17),2,TRUE))</f>
        <v/>
      </c>
      <c r="BW55" s="129" t="str">
        <f>IF('Midterm OVPAA-F-INS-055A RAW SC'!BU55="","",'Midterm OVPAA-F-INS-055A RAW SC'!BU55/'Midterm OVPAA-F-INS-055A RAW SC'!BU$17*100)</f>
        <v/>
      </c>
      <c r="BX55" s="130" t="str">
        <f>IF('Midterm OVPAA-F-INS-055A RAW SC'!BV55="","",'Midterm OVPAA-F-INS-055A RAW SC'!BV55/'Midterm OVPAA-F-INS-055A RAW SC'!BV$17*100)</f>
        <v/>
      </c>
      <c r="BY55" s="130" t="str">
        <f>IF('Midterm OVPAA-F-INS-055A RAW SC'!BW55="","",'Midterm OVPAA-F-INS-055A RAW SC'!BW55/'Midterm OVPAA-F-INS-055A RAW SC'!BW$17*100)</f>
        <v/>
      </c>
      <c r="BZ55" s="130" t="str">
        <f>IF('Midterm OVPAA-F-INS-055A RAW SC'!BX55="","",'Midterm OVPAA-F-INS-055A RAW SC'!BX55/'Midterm OVPAA-F-INS-055A RAW SC'!BX$17*100)</f>
        <v/>
      </c>
      <c r="CA55" s="130" t="str">
        <f>IF('Midterm OVPAA-F-INS-055A RAW SC'!BY55="","",'Midterm OVPAA-F-INS-055A RAW SC'!BY55/'Midterm OVPAA-F-INS-055A RAW SC'!BY$17*100)</f>
        <v/>
      </c>
      <c r="CB55" s="130" t="str">
        <f>IF('Midterm OVPAA-F-INS-055A RAW SC'!BZ55="","",'Midterm OVPAA-F-INS-055A RAW SC'!BZ55/'Midterm OVPAA-F-INS-055A RAW SC'!BZ$17*100)</f>
        <v/>
      </c>
      <c r="CC55" s="130" t="str">
        <f>IF('Midterm OVPAA-F-INS-055A RAW SC'!CA55="","",'Midterm OVPAA-F-INS-055A RAW SC'!CA55/'Midterm OVPAA-F-INS-055A RAW SC'!CA$17*100)</f>
        <v/>
      </c>
      <c r="CD55" s="130" t="str">
        <f>IF('Midterm OVPAA-F-INS-055A RAW SC'!CB55="","",'Midterm OVPAA-F-INS-055A RAW SC'!CB55/'Midterm OVPAA-F-INS-055A RAW SC'!CB$17*100)</f>
        <v/>
      </c>
      <c r="CE55" s="130" t="str">
        <f>IF('Midterm OVPAA-F-INS-055A RAW SC'!CC55="","",'Midterm OVPAA-F-INS-055A RAW SC'!CC55/'Midterm OVPAA-F-INS-055A RAW SC'!CC$17*100)</f>
        <v/>
      </c>
      <c r="CF55" s="130" t="str">
        <f>IF('Midterm OVPAA-F-INS-055A RAW SC'!CD55="","",'Midterm OVPAA-F-INS-055A RAW SC'!CD55/'Midterm OVPAA-F-INS-055A RAW SC'!CD$17*100)</f>
        <v/>
      </c>
      <c r="CG55" s="130" t="str">
        <f>IF('Midterm OVPAA-F-INS-055A RAW SC'!CE55="","",'Midterm OVPAA-F-INS-055A RAW SC'!CE55/'Midterm OVPAA-F-INS-055A RAW SC'!CE$17*100)</f>
        <v/>
      </c>
      <c r="CH55" s="130" t="str">
        <f>IF('Midterm OVPAA-F-INS-055A RAW SC'!CF55="","",'Midterm OVPAA-F-INS-055A RAW SC'!CF55/'Midterm OVPAA-F-INS-055A RAW SC'!CF$17*100)</f>
        <v/>
      </c>
      <c r="CI55" s="130" t="str">
        <f>IF('Midterm OVPAA-F-INS-055A RAW SC'!CG55="","",'Midterm OVPAA-F-INS-055A RAW SC'!CG55/'Midterm OVPAA-F-INS-055A RAW SC'!CG$17*100)</f>
        <v/>
      </c>
      <c r="CJ55" s="130" t="str">
        <f>IF('Midterm OVPAA-F-INS-055A RAW SC'!CH55="","",'Midterm OVPAA-F-INS-055A RAW SC'!CH55/'Midterm OVPAA-F-INS-055A RAW SC'!CH$17*100)</f>
        <v/>
      </c>
      <c r="CK55" s="130" t="str">
        <f>IF('Midterm OVPAA-F-INS-055A RAW SC'!CI55="","",'Midterm OVPAA-F-INS-055A RAW SC'!CI55/'Midterm OVPAA-F-INS-055A RAW SC'!CI$17*100)</f>
        <v/>
      </c>
      <c r="CL55" s="130" t="str">
        <f>IF('Midterm OVPAA-F-INS-055A RAW SC'!CJ55="","",'Midterm OVPAA-F-INS-055A RAW SC'!CJ55/'Midterm OVPAA-F-INS-055A RAW SC'!CJ$17*100)</f>
        <v/>
      </c>
      <c r="CM55" s="130" t="str">
        <f>IF('Midterm OVPAA-F-INS-055A RAW SC'!CK55="","",'Midterm OVPAA-F-INS-055A RAW SC'!CK55/'Midterm OVPAA-F-INS-055A RAW SC'!CK$17*100)</f>
        <v/>
      </c>
      <c r="CN55" s="130" t="str">
        <f>IF('Midterm OVPAA-F-INS-055A RAW SC'!CL55="","",'Midterm OVPAA-F-INS-055A RAW SC'!CL55/'Midterm OVPAA-F-INS-055A RAW SC'!CL$17*100)</f>
        <v/>
      </c>
      <c r="CO55" s="130" t="str">
        <f>IF('Midterm OVPAA-F-INS-055A RAW SC'!CM55="","",'Midterm OVPAA-F-INS-055A RAW SC'!CM55/'Midterm OVPAA-F-INS-055A RAW SC'!CM$17*100)</f>
        <v/>
      </c>
      <c r="CP55" s="130" t="str">
        <f>IF('Midterm OVPAA-F-INS-055A RAW SC'!CN55="","",'Midterm OVPAA-F-INS-055A RAW SC'!CN55/'Midterm OVPAA-F-INS-055A RAW SC'!CN$17*100)</f>
        <v/>
      </c>
      <c r="CQ55" s="131" t="str">
        <f t="array" ref="CQ55">IF('Midterm OVPAA-F-INS-055A RAW SC'!G55="","",IF((SUMPRODUCT(--ISBLANK('Midterm OVPAA-F-INS-055A RAW SC'!BU55:CN55))=COLUMNS('Midterm OVPAA-F-INS-055A RAW SC'!BU55:CN55))=TRUE,"",(((COUNTA('Midterm OVPAA-F-INS-055A RAW SC'!$BU$17:$CN$17)+COUNTBLANK('Midterm OVPAA-F-INS-055A RAW SC'!BU55:CN55))-COLUMNS('Midterm OVPAA-F-INS-055A RAW SC'!BU55:CN55))*5+SUM(BW55:CP55))/COUNTA('Midterm OVPAA-F-INS-055A RAW SC'!$BU$17:$CN$17)))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IF('Midterm OVPAA-F-INS-055A RAW SC'!CO55="","",'Midterm OVPAA-F-INS-055A RAW SC'!CO55/'Midterm OVPAA-F-INS-055A RAW SC'!CO$17*100)</f>
        <v/>
      </c>
      <c r="CT55" s="133" t="str">
        <f>IF('Midterm OVPAA-F-INS-055A RAW SC'!CP55="","",'Midterm OVPAA-F-INS-055A RAW SC'!CP55/'Midterm OVPAA-F-INS-055A RAW SC'!CP$17*100)</f>
        <v/>
      </c>
      <c r="CU55" s="133" t="str">
        <f>IF('Midterm OVPAA-F-INS-055A RAW SC'!CQ55="","",'Midterm OVPAA-F-INS-055A RAW SC'!CQ55/'Midterm OVPAA-F-INS-055A RAW SC'!CQ$17*100)</f>
        <v/>
      </c>
      <c r="CV55" s="133" t="str">
        <f>IF('Midterm OVPAA-F-INS-055A RAW SC'!CR55="","",'Midterm OVPAA-F-INS-055A RAW SC'!CR55/'Midterm OVPAA-F-INS-055A RAW SC'!CR$17*100)</f>
        <v/>
      </c>
      <c r="CW55" s="133" t="str">
        <f>IF('Midterm OVPAA-F-INS-055A RAW SC'!CS55="","",'Midterm OVPAA-F-INS-055A RAW SC'!CS55/'Midterm OVPAA-F-INS-055A RAW SC'!CS$17*100)</f>
        <v/>
      </c>
      <c r="CX55" s="133" t="str">
        <f>IF('Midterm OVPAA-F-INS-055A RAW SC'!CT55="","",'Midterm OVPAA-F-INS-055A RAW SC'!CT55/'Midterm OVPAA-F-INS-055A RAW SC'!CT$17*100)</f>
        <v/>
      </c>
      <c r="CY55" s="133" t="str">
        <f>IF('Midterm OVPAA-F-INS-055A RAW SC'!CU55="","",'Midterm OVPAA-F-INS-055A RAW SC'!CU55/'Midterm OVPAA-F-INS-055A RAW SC'!CU$17*100)</f>
        <v/>
      </c>
      <c r="CZ55" s="133" t="str">
        <f>IF('Midterm OVPAA-F-INS-055A RAW SC'!CV55="","",'Midterm OVPAA-F-INS-055A RAW SC'!CV55/'Midterm OVPAA-F-INS-055A RAW SC'!CV$17*100)</f>
        <v/>
      </c>
      <c r="DA55" s="133" t="str">
        <f>IF('Midterm OVPAA-F-INS-055A RAW SC'!CW55="","",'Midterm OVPAA-F-INS-055A RAW SC'!CW55/'Midterm OVPAA-F-INS-055A RAW SC'!CW$17*100)</f>
        <v/>
      </c>
      <c r="DB55" s="133" t="str">
        <f>IF('Midterm OVPAA-F-INS-055A RAW SC'!CX55="","",'Midterm OVPAA-F-INS-055A RAW SC'!CX55/'Midterm OVPAA-F-INS-055A RAW SC'!CX$17*100)</f>
        <v/>
      </c>
      <c r="DC55" s="134" t="str">
        <f t="array" ref="DC55">IF('Midterm OVPAA-F-INS-055A RAW SC'!$G55="","",IF((SUMPRODUCT(--ISBLANK('Midterm OVPAA-F-INS-055A RAW SC'!CO55:CX55))=COLUMNS('Midterm OVPAA-F-INS-055A RAW SC'!CO55:CX55))=TRUE,"",(((COUNTA('Midterm OVPAA-F-INS-055A RAW SC'!$CO$17:$CX$17)+COUNTBLANK('Midterm OVPAA-F-INS-055A RAW SC'!CO55:CX55))-COLUMNS('Midterm OVPAA-F-INS-055A RAW SC'!CO55:CX55))*5+SUM(CS55:DB55))/COUNTA('Midterm OVPAA-F-INS-055A RAW SC'!$CO$17:$CX$17)))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37" t="str">
        <f t="shared" si="2"/>
        <v/>
      </c>
      <c r="DG55" s="138" t="str">
        <f t="shared" si="3"/>
        <v/>
      </c>
      <c r="DH55" s="136" t="str">
        <f t="shared" si="4"/>
        <v/>
      </c>
      <c r="DI55" s="123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IF('Midterm OVPAA-F-INS-055A RAW SC'!H56="","",'Midterm OVPAA-F-INS-055A RAW SC'!H56/'Midterm OVPAA-F-INS-055A RAW SC'!H$17*100)</f>
        <v/>
      </c>
      <c r="I56" s="126" t="str">
        <f>IF('Midterm OVPAA-F-INS-055A RAW SC'!I56="","",'Midterm OVPAA-F-INS-055A RAW SC'!I56/'Midterm OVPAA-F-INS-055A RAW SC'!I$17*100)</f>
        <v/>
      </c>
      <c r="J56" s="126" t="str">
        <f>IF('Midterm OVPAA-F-INS-055A RAW SC'!J56="","",'Midterm OVPAA-F-INS-055A RAW SC'!J56/'Midterm OVPAA-F-INS-055A RAW SC'!J$17*100)</f>
        <v/>
      </c>
      <c r="K56" s="126" t="str">
        <f>IF('Midterm OVPAA-F-INS-055A RAW SC'!K56="","",'Midterm OVPAA-F-INS-055A RAW SC'!K56/'Midterm OVPAA-F-INS-055A RAW SC'!K$17*100)</f>
        <v/>
      </c>
      <c r="L56" s="126" t="str">
        <f>IF('Midterm OVPAA-F-INS-055A RAW SC'!L56="","",'Midterm OVPAA-F-INS-055A RAW SC'!L56/'Midterm OVPAA-F-INS-055A RAW SC'!L$17*100)</f>
        <v/>
      </c>
      <c r="M56" s="126" t="str">
        <f>IF('Midterm OVPAA-F-INS-055A RAW SC'!M56="","",'Midterm OVPAA-F-INS-055A RAW SC'!M56/'Midterm OVPAA-F-INS-055A RAW SC'!M$17*100)</f>
        <v/>
      </c>
      <c r="N56" s="126" t="str">
        <f>IF('Midterm OVPAA-F-INS-055A RAW SC'!N56="","",'Midterm OVPAA-F-INS-055A RAW SC'!N56/'Midterm OVPAA-F-INS-055A RAW SC'!N$17*100)</f>
        <v/>
      </c>
      <c r="O56" s="126" t="str">
        <f>IF('Midterm OVPAA-F-INS-055A RAW SC'!O56="","",'Midterm OVPAA-F-INS-055A RAW SC'!O56/'Midterm OVPAA-F-INS-055A RAW SC'!O$17*100)</f>
        <v/>
      </c>
      <c r="P56" s="126" t="str">
        <f>IF('Midterm OVPAA-F-INS-055A RAW SC'!P56="","",'Midterm OVPAA-F-INS-055A RAW SC'!P56/'Midterm OVPAA-F-INS-055A RAW SC'!P$17*100)</f>
        <v/>
      </c>
      <c r="Q56" s="126" t="str">
        <f>IF('Midterm OVPAA-F-INS-055A RAW SC'!Q56="","",'Midterm OVPAA-F-INS-055A RAW SC'!Q56/'Midterm OVPAA-F-INS-055A RAW SC'!Q$17*100)</f>
        <v/>
      </c>
      <c r="R56" s="126" t="str">
        <f>IF('Midterm OVPAA-F-INS-055A RAW SC'!R56="","",'Midterm OVPAA-F-INS-055A RAW SC'!R56/'Midterm OVPAA-F-INS-055A RAW SC'!R$17*100)</f>
        <v/>
      </c>
      <c r="S56" s="126" t="str">
        <f>IF('Midterm OVPAA-F-INS-055A RAW SC'!S56="","",'Midterm OVPAA-F-INS-055A RAW SC'!S56/'Midterm OVPAA-F-INS-055A RAW SC'!S$17*100)</f>
        <v/>
      </c>
      <c r="T56" s="126" t="str">
        <f>IF('Midterm OVPAA-F-INS-055A RAW SC'!T56="","",'Midterm OVPAA-F-INS-055A RAW SC'!T56/'Midterm OVPAA-F-INS-055A RAW SC'!T$17*100)</f>
        <v/>
      </c>
      <c r="U56" s="126" t="str">
        <f>IF('Midterm OVPAA-F-INS-055A RAW SC'!U56="","",'Midterm OVPAA-F-INS-055A RAW SC'!U56/'Midterm OVPAA-F-INS-055A RAW SC'!U$17*100)</f>
        <v/>
      </c>
      <c r="V56" s="126" t="str">
        <f>IF('Midterm OVPAA-F-INS-055A RAW SC'!V56="","",'Midterm OVPAA-F-INS-055A RAW SC'!V56/'Midterm OVPAA-F-INS-055A RAW SC'!V$17*100)</f>
        <v/>
      </c>
      <c r="W56" s="126" t="str">
        <f>IF('Midterm OVPAA-F-INS-055A RAW SC'!W56="","",'Midterm OVPAA-F-INS-055A RAW SC'!W56/'Midterm OVPAA-F-INS-055A RAW SC'!W$17*100)</f>
        <v/>
      </c>
      <c r="X56" s="126" t="str">
        <f>IF('Midterm OVPAA-F-INS-055A RAW SC'!X56="","",'Midterm OVPAA-F-INS-055A RAW SC'!X56/'Midterm OVPAA-F-INS-055A RAW SC'!X$17*100)</f>
        <v/>
      </c>
      <c r="Y56" s="126" t="str">
        <f>IF('Midterm OVPAA-F-INS-055A RAW SC'!Y56="","",'Midterm OVPAA-F-INS-055A RAW SC'!Y56/'Midterm OVPAA-F-INS-055A RAW SC'!Y$17*100)</f>
        <v/>
      </c>
      <c r="Z56" s="126" t="str">
        <f>IF('Midterm OVPAA-F-INS-055A RAW SC'!Z56="","",'Midterm OVPAA-F-INS-055A RAW SC'!Z56/'Midterm OVPAA-F-INS-055A RAW SC'!Z$17*100)</f>
        <v/>
      </c>
      <c r="AA56" s="126" t="str">
        <f>IF('Midterm OVPAA-F-INS-055A RAW SC'!AA56="","",'Midterm OVPAA-F-INS-055A RAW SC'!AA56/'Midterm OVPAA-F-INS-055A RAW SC'!AA$17*100)</f>
        <v/>
      </c>
      <c r="AB56" s="126" t="str">
        <f>IF('Midterm OVPAA-F-INS-055A RAW SC'!AB56="","",'Midterm OVPAA-F-INS-055A RAW SC'!AB56/'Midterm OVPAA-F-INS-055A RAW SC'!AB$17*100)</f>
        <v/>
      </c>
      <c r="AC56" s="126" t="str">
        <f>IF('Midterm OVPAA-F-INS-055A RAW SC'!AC56="","",'Midterm OVPAA-F-INS-055A RAW SC'!AC56/'Midterm OVPAA-F-INS-055A RAW SC'!AC$17*100)</f>
        <v/>
      </c>
      <c r="AD56" s="126" t="str">
        <f>IF('Midterm OVPAA-F-INS-055A RAW SC'!AD56="","",'Midterm OVPAA-F-INS-055A RAW SC'!AD56/'Midterm OVPAA-F-INS-055A RAW SC'!AD$17*100)</f>
        <v/>
      </c>
      <c r="AE56" s="126" t="str">
        <f>IF('Midterm OVPAA-F-INS-055A RAW SC'!AE56="","",'Midterm OVPAA-F-INS-055A RAW SC'!AE56/'Midterm OVPAA-F-INS-055A RAW SC'!AE$17*100)</f>
        <v/>
      </c>
      <c r="AF56" s="126" t="str">
        <f>IF('Midterm OVPAA-F-INS-055A RAW SC'!AF56="","",'Midterm OVPAA-F-INS-055A RAW SC'!AF56/'Midterm OVPAA-F-INS-055A RAW SC'!AF$17*100)</f>
        <v/>
      </c>
      <c r="AG56" s="126" t="str">
        <f>IF('Midterm OVPAA-F-INS-055A RAW SC'!AG56="","",'Midterm OVPAA-F-INS-055A RAW SC'!AG56/'Midterm OVPAA-F-INS-055A RAW SC'!AG$17*100)</f>
        <v/>
      </c>
      <c r="AH56" s="126" t="str">
        <f>IF('Midterm OVPAA-F-INS-055A RAW SC'!AH56="","",'Midterm OVPAA-F-INS-055A RAW SC'!AH56/'Midterm OVPAA-F-INS-055A RAW SC'!AH$17*100)</f>
        <v/>
      </c>
      <c r="AI56" s="126" t="str">
        <f>IF('Midterm OVPAA-F-INS-055A RAW SC'!AI56="","",'Midterm OVPAA-F-INS-055A RAW SC'!AI56/'Midterm OVPAA-F-INS-055A RAW SC'!AI$17*100)</f>
        <v/>
      </c>
      <c r="AJ56" s="126" t="str">
        <f>IF('Midterm OVPAA-F-INS-055A RAW SC'!AJ56="","",'Midterm OVPAA-F-INS-055A RAW SC'!AJ56/'Midterm OVPAA-F-INS-055A RAW SC'!AJ$17*100)</f>
        <v/>
      </c>
      <c r="AK56" s="126" t="str">
        <f>IF('Midterm OVPAA-F-INS-055A RAW SC'!AK56="","",'Midterm OVPAA-F-INS-055A RAW SC'!AK56/'Midterm OVPAA-F-INS-055A RAW SC'!AK$17*100)</f>
        <v/>
      </c>
      <c r="AL56" s="126" t="str">
        <f>IF('Midterm OVPAA-F-INS-055A RAW SC'!AL56="","",'Midterm OVPAA-F-INS-055A RAW SC'!AL56/'Midterm OVPAA-F-INS-055A RAW SC'!AL$17*100)</f>
        <v/>
      </c>
      <c r="AM56" s="126" t="str">
        <f>IF('Midterm OVPAA-F-INS-055A RAW SC'!AM56="","",'Midterm OVPAA-F-INS-055A RAW SC'!AM56/'Midterm OVPAA-F-INS-055A RAW SC'!AM$17*100)</f>
        <v/>
      </c>
      <c r="AN56" s="126" t="str">
        <f>IF('Midterm OVPAA-F-INS-055A RAW SC'!AN56="","",'Midterm OVPAA-F-INS-055A RAW SC'!AN56/'Midterm OVPAA-F-INS-055A RAW SC'!AN$17*100)</f>
        <v/>
      </c>
      <c r="AO56" s="126" t="str">
        <f>IF('Midterm OVPAA-F-INS-055A RAW SC'!AO56="","",'Midterm OVPAA-F-INS-055A RAW SC'!AO56/'Midterm OVPAA-F-INS-055A RAW SC'!AO$17*100)</f>
        <v/>
      </c>
      <c r="AP56" s="126" t="str">
        <f>IF('Midterm OVPAA-F-INS-055A RAW SC'!AP56="","",'Midterm OVPAA-F-INS-055A RAW SC'!AP56/'Midterm OVPAA-F-INS-055A RAW SC'!AP$17*100)</f>
        <v/>
      </c>
      <c r="AQ56" s="126" t="str">
        <f>IF('Midterm OVPAA-F-INS-055A RAW SC'!AQ56="","",'Midterm OVPAA-F-INS-055A RAW SC'!AQ56/'Midterm OVPAA-F-INS-055A RAW SC'!AQ$17*100)</f>
        <v/>
      </c>
      <c r="AR56" s="126" t="str">
        <f>IF('Midterm OVPAA-F-INS-055A RAW SC'!AR56="","",'Midterm OVPAA-F-INS-055A RAW SC'!AR56/'Midterm OVPAA-F-INS-055A RAW SC'!AR$17*100)</f>
        <v/>
      </c>
      <c r="AS56" s="126" t="str">
        <f>IF('Midterm OVPAA-F-INS-055A RAW SC'!AS56="","",'Midterm OVPAA-F-INS-055A RAW SC'!AS56/'Midterm OVPAA-F-INS-055A RAW SC'!AS$17*100)</f>
        <v/>
      </c>
      <c r="AT56" s="126" t="str">
        <f>IF('Midterm OVPAA-F-INS-055A RAW SC'!AT56="","",'Midterm OVPAA-F-INS-055A RAW SC'!AT56/'Midterm OVPAA-F-INS-055A RAW SC'!AT$17*100)</f>
        <v/>
      </c>
      <c r="AU56" s="126" t="str">
        <f>IF('Midterm OVPAA-F-INS-055A RAW SC'!AU56="","",'Midterm OVPAA-F-INS-055A RAW SC'!AU56/'Midterm OVPAA-F-INS-055A RAW SC'!AU$17*100)</f>
        <v/>
      </c>
      <c r="AV56" s="126" t="str">
        <f>IF('Midterm OVPAA-F-INS-055A RAW SC'!AV56="","",'Midterm OVPAA-F-INS-055A RAW SC'!AV56/'Midterm OVPAA-F-INS-055A RAW SC'!AV$17*100)</f>
        <v/>
      </c>
      <c r="AW56" s="126" t="str">
        <f>IF('Midterm OVPAA-F-INS-055A RAW SC'!AW56="","",'Midterm OVPAA-F-INS-055A RAW SC'!AW56/'Midterm OVPAA-F-INS-055A RAW SC'!AW$17*100)</f>
        <v/>
      </c>
      <c r="AX56" s="126" t="str">
        <f>IF('Midterm OVPAA-F-INS-055A RAW SC'!AX56="","",'Midterm OVPAA-F-INS-055A RAW SC'!AX56/'Midterm OVPAA-F-INS-055A RAW SC'!AX$17*100)</f>
        <v/>
      </c>
      <c r="AY56" s="126" t="str">
        <f>IF('Midterm OVPAA-F-INS-055A RAW SC'!AY56="","",'Midterm OVPAA-F-INS-055A RAW SC'!AY56/'Midterm OVPAA-F-INS-055A RAW SC'!AY$17*100)</f>
        <v/>
      </c>
      <c r="AZ56" s="126" t="str">
        <f>IF('Midterm OVPAA-F-INS-055A RAW SC'!AZ56="","",'Midterm OVPAA-F-INS-055A RAW SC'!AZ56/'Midterm OVPAA-F-INS-055A RAW SC'!AZ$17*100)</f>
        <v/>
      </c>
      <c r="BA56" s="126" t="str">
        <f>IF('Midterm OVPAA-F-INS-055A RAW SC'!BA56="","",'Midterm OVPAA-F-INS-055A RAW SC'!BA56/'Midterm OVPAA-F-INS-055A RAW SC'!BA$17*100)</f>
        <v/>
      </c>
      <c r="BB56" s="126" t="str">
        <f>IF('Midterm OVPAA-F-INS-055A RAW SC'!BB56="","",'Midterm OVPAA-F-INS-055A RAW SC'!BB56/'Midterm OVPAA-F-INS-055A RAW SC'!BB$17*100)</f>
        <v/>
      </c>
      <c r="BC56" s="126" t="str">
        <f>IF('Midterm OVPAA-F-INS-055A RAW SC'!BC56="","",'Midterm OVPAA-F-INS-055A RAW SC'!BC56/'Midterm OVPAA-F-INS-055A RAW SC'!BC$17*100)</f>
        <v/>
      </c>
      <c r="BD56" s="126" t="str">
        <f>IF('Midterm OVPAA-F-INS-055A RAW SC'!BD56="","",'Midterm OVPAA-F-INS-055A RAW SC'!BD56/'Midterm OVPAA-F-INS-055A RAW SC'!BD$17*100)</f>
        <v/>
      </c>
      <c r="BE56" s="126" t="str">
        <f>IF('Midterm OVPAA-F-INS-055A RAW SC'!BE56="","",'Midterm OVPAA-F-INS-055A RAW SC'!BE56/'Midterm OVPAA-F-INS-055A RAW SC'!BE$17*100)</f>
        <v/>
      </c>
      <c r="BF56" s="126" t="str">
        <f>IF('Midterm OVPAA-F-INS-055A RAW SC'!BF56="","",'Midterm OVPAA-F-INS-055A RAW SC'!BF56/'Midterm OVPAA-F-INS-055A RAW SC'!BF$17*100)</f>
        <v/>
      </c>
      <c r="BG56" s="126" t="str">
        <f>IF('Midterm OVPAA-F-INS-055A RAW SC'!BG56="","",'Midterm OVPAA-F-INS-055A RAW SC'!BG56/'Midterm OVPAA-F-INS-055A RAW SC'!BG$17*100)</f>
        <v/>
      </c>
      <c r="BH56" s="126" t="str">
        <f>IF('Midterm OVPAA-F-INS-055A RAW SC'!BH56="","",'Midterm OVPAA-F-INS-055A RAW SC'!BH56/'Midterm OVPAA-F-INS-055A RAW SC'!BH$17*100)</f>
        <v/>
      </c>
      <c r="BI56" s="126" t="str">
        <f>IF('Midterm OVPAA-F-INS-055A RAW SC'!BI56="","",'Midterm OVPAA-F-INS-055A RAW SC'!BI56/'Midterm OVPAA-F-INS-055A RAW SC'!BI$17*100)</f>
        <v/>
      </c>
      <c r="BJ56" s="126" t="str">
        <f>IF('Midterm OVPAA-F-INS-055A RAW SC'!BJ56="","",'Midterm OVPAA-F-INS-055A RAW SC'!BJ56/'Midterm OVPAA-F-INS-055A RAW SC'!BJ$17*100)</f>
        <v/>
      </c>
      <c r="BK56" s="126" t="str">
        <f>IF('Midterm OVPAA-F-INS-055A RAW SC'!BK56="","",'Midterm OVPAA-F-INS-055A RAW SC'!BK56/'Midterm OVPAA-F-INS-055A RAW SC'!BK$17*100)</f>
        <v/>
      </c>
      <c r="BL56" s="126" t="str">
        <f>IF('Midterm OVPAA-F-INS-055A RAW SC'!BL56="","",'Midterm OVPAA-F-INS-055A RAW SC'!BL56/'Midterm OVPAA-F-INS-055A RAW SC'!BL$17*100)</f>
        <v/>
      </c>
      <c r="BM56" s="126" t="str">
        <f>IF('Midterm OVPAA-F-INS-055A RAW SC'!BM56="","",'Midterm OVPAA-F-INS-055A RAW SC'!BM56/'Midterm OVPAA-F-INS-055A RAW SC'!BM$17*100)</f>
        <v/>
      </c>
      <c r="BN56" s="126" t="str">
        <f>IF('Midterm OVPAA-F-INS-055A RAW SC'!BN56="","",'Midterm OVPAA-F-INS-055A RAW SC'!BN56/'Midterm OVPAA-F-INS-055A RAW SC'!BN$17*100)</f>
        <v/>
      </c>
      <c r="BO56" s="126" t="str">
        <f>IF('Midterm OVPAA-F-INS-055A RAW SC'!BO56="","",'Midterm OVPAA-F-INS-055A RAW SC'!BO56/'Midterm OVPAA-F-INS-055A RAW SC'!BO$17*100)</f>
        <v/>
      </c>
      <c r="BP56" s="126" t="str">
        <f>IF('Midterm OVPAA-F-INS-055A RAW SC'!BP56="","",'Midterm OVPAA-F-INS-055A RAW SC'!BP56/'Midterm OVPAA-F-INS-055A RAW SC'!BP$17*100)</f>
        <v/>
      </c>
      <c r="BQ56" s="126" t="str">
        <f>IF('Midterm OVPAA-F-INS-055A RAW SC'!BQ56="","",'Midterm OVPAA-F-INS-055A RAW SC'!BQ56/'Midterm OVPAA-F-INS-055A RAW SC'!BQ$17*100)</f>
        <v/>
      </c>
      <c r="BR56" s="126" t="str">
        <f>IF('Midterm OVPAA-F-INS-055A RAW SC'!BR56="","",'Midterm OVPAA-F-INS-055A RAW SC'!BR56/'Midterm OVPAA-F-INS-055A RAW SC'!BR$17*100)</f>
        <v/>
      </c>
      <c r="BS56" s="126" t="str">
        <f>IF('Midterm OVPAA-F-INS-055A RAW SC'!BS56="","",'Midterm OVPAA-F-INS-055A RAW SC'!BS56/'Midterm OVPAA-F-INS-055A RAW SC'!BS$17*100)</f>
        <v/>
      </c>
      <c r="BT56" s="126" t="str">
        <f>IF('Midterm OVPAA-F-INS-055A RAW SC'!BT56="","",'Midterm OVPAA-F-INS-055A RAW SC'!BT56/'Midterm OVPAA-F-INS-055A RAW SC'!BT$17*100)</f>
        <v/>
      </c>
      <c r="BU56" s="127" t="str">
        <f t="array" ref="BU56">IF('Midterm OVPAA-F-INS-055A RAW SC'!$G56="","",IF((SUMPRODUCT(--ISBLANK('Midterm OVPAA-F-INS-055A RAW SC'!H56:BT56))=COLUMNS('Midterm OVPAA-F-INS-055A RAW SC'!H56:BT56))=TRUE,"",(((COUNTA('Midterm OVPAA-F-INS-055A RAW SC'!$H$17:$BT$17)+COUNTBLANK('Midterm OVPAA-F-INS-055A RAW SC'!H56:BT56))-COLUMNS('Midterm OVPAA-F-INS-055A RAW SC'!H56:BT56))*5+SUM(H56:BT56))/COUNTA('Midterm OVPAA-F-INS-055A RAW SC'!$H$17:$BT$17)))</f>
        <v/>
      </c>
      <c r="BV56" s="128" t="str">
        <f>IF(BU56="","",VLOOKUP(BU56,IF('Midterm OVPAA-F-INS-055A RAW SC'!$V$12=0.5,TRANSMUTATION!$C$4:$D$17,TRANSMUTATION!$G$4:$H$17),2,TRUE))</f>
        <v/>
      </c>
      <c r="BW56" s="129" t="str">
        <f>IF('Midterm OVPAA-F-INS-055A RAW SC'!BU56="","",'Midterm OVPAA-F-INS-055A RAW SC'!BU56/'Midterm OVPAA-F-INS-055A RAW SC'!BU$17*100)</f>
        <v/>
      </c>
      <c r="BX56" s="130" t="str">
        <f>IF('Midterm OVPAA-F-INS-055A RAW SC'!BV56="","",'Midterm OVPAA-F-INS-055A RAW SC'!BV56/'Midterm OVPAA-F-INS-055A RAW SC'!BV$17*100)</f>
        <v/>
      </c>
      <c r="BY56" s="130" t="str">
        <f>IF('Midterm OVPAA-F-INS-055A RAW SC'!BW56="","",'Midterm OVPAA-F-INS-055A RAW SC'!BW56/'Midterm OVPAA-F-INS-055A RAW SC'!BW$17*100)</f>
        <v/>
      </c>
      <c r="BZ56" s="130" t="str">
        <f>IF('Midterm OVPAA-F-INS-055A RAW SC'!BX56="","",'Midterm OVPAA-F-INS-055A RAW SC'!BX56/'Midterm OVPAA-F-INS-055A RAW SC'!BX$17*100)</f>
        <v/>
      </c>
      <c r="CA56" s="130" t="str">
        <f>IF('Midterm OVPAA-F-INS-055A RAW SC'!BY56="","",'Midterm OVPAA-F-INS-055A RAW SC'!BY56/'Midterm OVPAA-F-INS-055A RAW SC'!BY$17*100)</f>
        <v/>
      </c>
      <c r="CB56" s="130" t="str">
        <f>IF('Midterm OVPAA-F-INS-055A RAW SC'!BZ56="","",'Midterm OVPAA-F-INS-055A RAW SC'!BZ56/'Midterm OVPAA-F-INS-055A RAW SC'!BZ$17*100)</f>
        <v/>
      </c>
      <c r="CC56" s="130" t="str">
        <f>IF('Midterm OVPAA-F-INS-055A RAW SC'!CA56="","",'Midterm OVPAA-F-INS-055A RAW SC'!CA56/'Midterm OVPAA-F-INS-055A RAW SC'!CA$17*100)</f>
        <v/>
      </c>
      <c r="CD56" s="130" t="str">
        <f>IF('Midterm OVPAA-F-INS-055A RAW SC'!CB56="","",'Midterm OVPAA-F-INS-055A RAW SC'!CB56/'Midterm OVPAA-F-INS-055A RAW SC'!CB$17*100)</f>
        <v/>
      </c>
      <c r="CE56" s="130" t="str">
        <f>IF('Midterm OVPAA-F-INS-055A RAW SC'!CC56="","",'Midterm OVPAA-F-INS-055A RAW SC'!CC56/'Midterm OVPAA-F-INS-055A RAW SC'!CC$17*100)</f>
        <v/>
      </c>
      <c r="CF56" s="130" t="str">
        <f>IF('Midterm OVPAA-F-INS-055A RAW SC'!CD56="","",'Midterm OVPAA-F-INS-055A RAW SC'!CD56/'Midterm OVPAA-F-INS-055A RAW SC'!CD$17*100)</f>
        <v/>
      </c>
      <c r="CG56" s="130" t="str">
        <f>IF('Midterm OVPAA-F-INS-055A RAW SC'!CE56="","",'Midterm OVPAA-F-INS-055A RAW SC'!CE56/'Midterm OVPAA-F-INS-055A RAW SC'!CE$17*100)</f>
        <v/>
      </c>
      <c r="CH56" s="130" t="str">
        <f>IF('Midterm OVPAA-F-INS-055A RAW SC'!CF56="","",'Midterm OVPAA-F-INS-055A RAW SC'!CF56/'Midterm OVPAA-F-INS-055A RAW SC'!CF$17*100)</f>
        <v/>
      </c>
      <c r="CI56" s="130" t="str">
        <f>IF('Midterm OVPAA-F-INS-055A RAW SC'!CG56="","",'Midterm OVPAA-F-INS-055A RAW SC'!CG56/'Midterm OVPAA-F-INS-055A RAW SC'!CG$17*100)</f>
        <v/>
      </c>
      <c r="CJ56" s="130" t="str">
        <f>IF('Midterm OVPAA-F-INS-055A RAW SC'!CH56="","",'Midterm OVPAA-F-INS-055A RAW SC'!CH56/'Midterm OVPAA-F-INS-055A RAW SC'!CH$17*100)</f>
        <v/>
      </c>
      <c r="CK56" s="130" t="str">
        <f>IF('Midterm OVPAA-F-INS-055A RAW SC'!CI56="","",'Midterm OVPAA-F-INS-055A RAW SC'!CI56/'Midterm OVPAA-F-INS-055A RAW SC'!CI$17*100)</f>
        <v/>
      </c>
      <c r="CL56" s="130" t="str">
        <f>IF('Midterm OVPAA-F-INS-055A RAW SC'!CJ56="","",'Midterm OVPAA-F-INS-055A RAW SC'!CJ56/'Midterm OVPAA-F-INS-055A RAW SC'!CJ$17*100)</f>
        <v/>
      </c>
      <c r="CM56" s="130" t="str">
        <f>IF('Midterm OVPAA-F-INS-055A RAW SC'!CK56="","",'Midterm OVPAA-F-INS-055A RAW SC'!CK56/'Midterm OVPAA-F-INS-055A RAW SC'!CK$17*100)</f>
        <v/>
      </c>
      <c r="CN56" s="130" t="str">
        <f>IF('Midterm OVPAA-F-INS-055A RAW SC'!CL56="","",'Midterm OVPAA-F-INS-055A RAW SC'!CL56/'Midterm OVPAA-F-INS-055A RAW SC'!CL$17*100)</f>
        <v/>
      </c>
      <c r="CO56" s="130" t="str">
        <f>IF('Midterm OVPAA-F-INS-055A RAW SC'!CM56="","",'Midterm OVPAA-F-INS-055A RAW SC'!CM56/'Midterm OVPAA-F-INS-055A RAW SC'!CM$17*100)</f>
        <v/>
      </c>
      <c r="CP56" s="130" t="str">
        <f>IF('Midterm OVPAA-F-INS-055A RAW SC'!CN56="","",'Midterm OVPAA-F-INS-055A RAW SC'!CN56/'Midterm OVPAA-F-INS-055A RAW SC'!CN$17*100)</f>
        <v/>
      </c>
      <c r="CQ56" s="131" t="str">
        <f t="array" ref="CQ56">IF('Midterm OVPAA-F-INS-055A RAW SC'!G56="","",IF((SUMPRODUCT(--ISBLANK('Midterm OVPAA-F-INS-055A RAW SC'!BU56:CN56))=COLUMNS('Midterm OVPAA-F-INS-055A RAW SC'!BU56:CN56))=TRUE,"",(((COUNTA('Midterm OVPAA-F-INS-055A RAW SC'!$BU$17:$CN$17)+COUNTBLANK('Midterm OVPAA-F-INS-055A RAW SC'!BU56:CN56))-COLUMNS('Midterm OVPAA-F-INS-055A RAW SC'!BU56:CN56))*5+SUM(BW56:CP56))/COUNTA('Midterm OVPAA-F-INS-055A RAW SC'!$BU$17:$CN$17)))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IF('Midterm OVPAA-F-INS-055A RAW SC'!CO56="","",'Midterm OVPAA-F-INS-055A RAW SC'!CO56/'Midterm OVPAA-F-INS-055A RAW SC'!CO$17*100)</f>
        <v/>
      </c>
      <c r="CT56" s="133" t="str">
        <f>IF('Midterm OVPAA-F-INS-055A RAW SC'!CP56="","",'Midterm OVPAA-F-INS-055A RAW SC'!CP56/'Midterm OVPAA-F-INS-055A RAW SC'!CP$17*100)</f>
        <v/>
      </c>
      <c r="CU56" s="133" t="str">
        <f>IF('Midterm OVPAA-F-INS-055A RAW SC'!CQ56="","",'Midterm OVPAA-F-INS-055A RAW SC'!CQ56/'Midterm OVPAA-F-INS-055A RAW SC'!CQ$17*100)</f>
        <v/>
      </c>
      <c r="CV56" s="133" t="str">
        <f>IF('Midterm OVPAA-F-INS-055A RAW SC'!CR56="","",'Midterm OVPAA-F-INS-055A RAW SC'!CR56/'Midterm OVPAA-F-INS-055A RAW SC'!CR$17*100)</f>
        <v/>
      </c>
      <c r="CW56" s="133" t="str">
        <f>IF('Midterm OVPAA-F-INS-055A RAW SC'!CS56="","",'Midterm OVPAA-F-INS-055A RAW SC'!CS56/'Midterm OVPAA-F-INS-055A RAW SC'!CS$17*100)</f>
        <v/>
      </c>
      <c r="CX56" s="133" t="str">
        <f>IF('Midterm OVPAA-F-INS-055A RAW SC'!CT56="","",'Midterm OVPAA-F-INS-055A RAW SC'!CT56/'Midterm OVPAA-F-INS-055A RAW SC'!CT$17*100)</f>
        <v/>
      </c>
      <c r="CY56" s="133" t="str">
        <f>IF('Midterm OVPAA-F-INS-055A RAW SC'!CU56="","",'Midterm OVPAA-F-INS-055A RAW SC'!CU56/'Midterm OVPAA-F-INS-055A RAW SC'!CU$17*100)</f>
        <v/>
      </c>
      <c r="CZ56" s="133" t="str">
        <f>IF('Midterm OVPAA-F-INS-055A RAW SC'!CV56="","",'Midterm OVPAA-F-INS-055A RAW SC'!CV56/'Midterm OVPAA-F-INS-055A RAW SC'!CV$17*100)</f>
        <v/>
      </c>
      <c r="DA56" s="133" t="str">
        <f>IF('Midterm OVPAA-F-INS-055A RAW SC'!CW56="","",'Midterm OVPAA-F-INS-055A RAW SC'!CW56/'Midterm OVPAA-F-INS-055A RAW SC'!CW$17*100)</f>
        <v/>
      </c>
      <c r="DB56" s="133" t="str">
        <f>IF('Midterm OVPAA-F-INS-055A RAW SC'!CX56="","",'Midterm OVPAA-F-INS-055A RAW SC'!CX56/'Midterm OVPAA-F-INS-055A RAW SC'!CX$17*100)</f>
        <v/>
      </c>
      <c r="DC56" s="134" t="str">
        <f t="array" ref="DC56">IF('Midterm OVPAA-F-INS-055A RAW SC'!$G56="","",IF((SUMPRODUCT(--ISBLANK('Midterm OVPAA-F-INS-055A RAW SC'!CO56:CX56))=COLUMNS('Midterm OVPAA-F-INS-055A RAW SC'!CO56:CX56))=TRUE,"",(((COUNTA('Midterm OVPAA-F-INS-055A RAW SC'!$CO$17:$CX$17)+COUNTBLANK('Midterm OVPAA-F-INS-055A RAW SC'!CO56:CX56))-COLUMNS('Midterm OVPAA-F-INS-055A RAW SC'!CO56:CX56))*5+SUM(CS56:DB56))/COUNTA('Midterm OVPAA-F-INS-055A RAW SC'!$CO$17:$CX$17)))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37" t="str">
        <f t="shared" si="2"/>
        <v/>
      </c>
      <c r="DG56" s="138" t="str">
        <f t="shared" si="3"/>
        <v/>
      </c>
      <c r="DH56" s="136" t="str">
        <f t="shared" si="4"/>
        <v/>
      </c>
      <c r="DI56" s="123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IF('Midterm OVPAA-F-INS-055A RAW SC'!H57="","",'Midterm OVPAA-F-INS-055A RAW SC'!H57/'Midterm OVPAA-F-INS-055A RAW SC'!H$17*100)</f>
        <v/>
      </c>
      <c r="I57" s="126" t="str">
        <f>IF('Midterm OVPAA-F-INS-055A RAW SC'!I57="","",'Midterm OVPAA-F-INS-055A RAW SC'!I57/'Midterm OVPAA-F-INS-055A RAW SC'!I$17*100)</f>
        <v/>
      </c>
      <c r="J57" s="126" t="str">
        <f>IF('Midterm OVPAA-F-INS-055A RAW SC'!J57="","",'Midterm OVPAA-F-INS-055A RAW SC'!J57/'Midterm OVPAA-F-INS-055A RAW SC'!J$17*100)</f>
        <v/>
      </c>
      <c r="K57" s="126" t="str">
        <f>IF('Midterm OVPAA-F-INS-055A RAW SC'!K57="","",'Midterm OVPAA-F-INS-055A RAW SC'!K57/'Midterm OVPAA-F-INS-055A RAW SC'!K$17*100)</f>
        <v/>
      </c>
      <c r="L57" s="126" t="str">
        <f>IF('Midterm OVPAA-F-INS-055A RAW SC'!L57="","",'Midterm OVPAA-F-INS-055A RAW SC'!L57/'Midterm OVPAA-F-INS-055A RAW SC'!L$17*100)</f>
        <v/>
      </c>
      <c r="M57" s="126" t="str">
        <f>IF('Midterm OVPAA-F-INS-055A RAW SC'!M57="","",'Midterm OVPAA-F-INS-055A RAW SC'!M57/'Midterm OVPAA-F-INS-055A RAW SC'!M$17*100)</f>
        <v/>
      </c>
      <c r="N57" s="126" t="str">
        <f>IF('Midterm OVPAA-F-INS-055A RAW SC'!N57="","",'Midterm OVPAA-F-INS-055A RAW SC'!N57/'Midterm OVPAA-F-INS-055A RAW SC'!N$17*100)</f>
        <v/>
      </c>
      <c r="O57" s="126" t="str">
        <f>IF('Midterm OVPAA-F-INS-055A RAW SC'!O57="","",'Midterm OVPAA-F-INS-055A RAW SC'!O57/'Midterm OVPAA-F-INS-055A RAW SC'!O$17*100)</f>
        <v/>
      </c>
      <c r="P57" s="126" t="str">
        <f>IF('Midterm OVPAA-F-INS-055A RAW SC'!P57="","",'Midterm OVPAA-F-INS-055A RAW SC'!P57/'Midterm OVPAA-F-INS-055A RAW SC'!P$17*100)</f>
        <v/>
      </c>
      <c r="Q57" s="126" t="str">
        <f>IF('Midterm OVPAA-F-INS-055A RAW SC'!Q57="","",'Midterm OVPAA-F-INS-055A RAW SC'!Q57/'Midterm OVPAA-F-INS-055A RAW SC'!Q$17*100)</f>
        <v/>
      </c>
      <c r="R57" s="126" t="str">
        <f>IF('Midterm OVPAA-F-INS-055A RAW SC'!R57="","",'Midterm OVPAA-F-INS-055A RAW SC'!R57/'Midterm OVPAA-F-INS-055A RAW SC'!R$17*100)</f>
        <v/>
      </c>
      <c r="S57" s="126" t="str">
        <f>IF('Midterm OVPAA-F-INS-055A RAW SC'!S57="","",'Midterm OVPAA-F-INS-055A RAW SC'!S57/'Midterm OVPAA-F-INS-055A RAW SC'!S$17*100)</f>
        <v/>
      </c>
      <c r="T57" s="126" t="str">
        <f>IF('Midterm OVPAA-F-INS-055A RAW SC'!T57="","",'Midterm OVPAA-F-INS-055A RAW SC'!T57/'Midterm OVPAA-F-INS-055A RAW SC'!T$17*100)</f>
        <v/>
      </c>
      <c r="U57" s="126" t="str">
        <f>IF('Midterm OVPAA-F-INS-055A RAW SC'!U57="","",'Midterm OVPAA-F-INS-055A RAW SC'!U57/'Midterm OVPAA-F-INS-055A RAW SC'!U$17*100)</f>
        <v/>
      </c>
      <c r="V57" s="126" t="str">
        <f>IF('Midterm OVPAA-F-INS-055A RAW SC'!V57="","",'Midterm OVPAA-F-INS-055A RAW SC'!V57/'Midterm OVPAA-F-INS-055A RAW SC'!V$17*100)</f>
        <v/>
      </c>
      <c r="W57" s="126" t="str">
        <f>IF('Midterm OVPAA-F-INS-055A RAW SC'!W57="","",'Midterm OVPAA-F-INS-055A RAW SC'!W57/'Midterm OVPAA-F-INS-055A RAW SC'!W$17*100)</f>
        <v/>
      </c>
      <c r="X57" s="126" t="str">
        <f>IF('Midterm OVPAA-F-INS-055A RAW SC'!X57="","",'Midterm OVPAA-F-INS-055A RAW SC'!X57/'Midterm OVPAA-F-INS-055A RAW SC'!X$17*100)</f>
        <v/>
      </c>
      <c r="Y57" s="126" t="str">
        <f>IF('Midterm OVPAA-F-INS-055A RAW SC'!Y57="","",'Midterm OVPAA-F-INS-055A RAW SC'!Y57/'Midterm OVPAA-F-INS-055A RAW SC'!Y$17*100)</f>
        <v/>
      </c>
      <c r="Z57" s="126" t="str">
        <f>IF('Midterm OVPAA-F-INS-055A RAW SC'!Z57="","",'Midterm OVPAA-F-INS-055A RAW SC'!Z57/'Midterm OVPAA-F-INS-055A RAW SC'!Z$17*100)</f>
        <v/>
      </c>
      <c r="AA57" s="126" t="str">
        <f>IF('Midterm OVPAA-F-INS-055A RAW SC'!AA57="","",'Midterm OVPAA-F-INS-055A RAW SC'!AA57/'Midterm OVPAA-F-INS-055A RAW SC'!AA$17*100)</f>
        <v/>
      </c>
      <c r="AB57" s="126" t="str">
        <f>IF('Midterm OVPAA-F-INS-055A RAW SC'!AB57="","",'Midterm OVPAA-F-INS-055A RAW SC'!AB57/'Midterm OVPAA-F-INS-055A RAW SC'!AB$17*100)</f>
        <v/>
      </c>
      <c r="AC57" s="126" t="str">
        <f>IF('Midterm OVPAA-F-INS-055A RAW SC'!AC57="","",'Midterm OVPAA-F-INS-055A RAW SC'!AC57/'Midterm OVPAA-F-INS-055A RAW SC'!AC$17*100)</f>
        <v/>
      </c>
      <c r="AD57" s="126" t="str">
        <f>IF('Midterm OVPAA-F-INS-055A RAW SC'!AD57="","",'Midterm OVPAA-F-INS-055A RAW SC'!AD57/'Midterm OVPAA-F-INS-055A RAW SC'!AD$17*100)</f>
        <v/>
      </c>
      <c r="AE57" s="126" t="str">
        <f>IF('Midterm OVPAA-F-INS-055A RAW SC'!AE57="","",'Midterm OVPAA-F-INS-055A RAW SC'!AE57/'Midterm OVPAA-F-INS-055A RAW SC'!AE$17*100)</f>
        <v/>
      </c>
      <c r="AF57" s="126" t="str">
        <f>IF('Midterm OVPAA-F-INS-055A RAW SC'!AF57="","",'Midterm OVPAA-F-INS-055A RAW SC'!AF57/'Midterm OVPAA-F-INS-055A RAW SC'!AF$17*100)</f>
        <v/>
      </c>
      <c r="AG57" s="126" t="str">
        <f>IF('Midterm OVPAA-F-INS-055A RAW SC'!AG57="","",'Midterm OVPAA-F-INS-055A RAW SC'!AG57/'Midterm OVPAA-F-INS-055A RAW SC'!AG$17*100)</f>
        <v/>
      </c>
      <c r="AH57" s="126" t="str">
        <f>IF('Midterm OVPAA-F-INS-055A RAW SC'!AH57="","",'Midterm OVPAA-F-INS-055A RAW SC'!AH57/'Midterm OVPAA-F-INS-055A RAW SC'!AH$17*100)</f>
        <v/>
      </c>
      <c r="AI57" s="126" t="str">
        <f>IF('Midterm OVPAA-F-INS-055A RAW SC'!AI57="","",'Midterm OVPAA-F-INS-055A RAW SC'!AI57/'Midterm OVPAA-F-INS-055A RAW SC'!AI$17*100)</f>
        <v/>
      </c>
      <c r="AJ57" s="126" t="str">
        <f>IF('Midterm OVPAA-F-INS-055A RAW SC'!AJ57="","",'Midterm OVPAA-F-INS-055A RAW SC'!AJ57/'Midterm OVPAA-F-INS-055A RAW SC'!AJ$17*100)</f>
        <v/>
      </c>
      <c r="AK57" s="126" t="str">
        <f>IF('Midterm OVPAA-F-INS-055A RAW SC'!AK57="","",'Midterm OVPAA-F-INS-055A RAW SC'!AK57/'Midterm OVPAA-F-INS-055A RAW SC'!AK$17*100)</f>
        <v/>
      </c>
      <c r="AL57" s="126" t="str">
        <f>IF('Midterm OVPAA-F-INS-055A RAW SC'!AL57="","",'Midterm OVPAA-F-INS-055A RAW SC'!AL57/'Midterm OVPAA-F-INS-055A RAW SC'!AL$17*100)</f>
        <v/>
      </c>
      <c r="AM57" s="126" t="str">
        <f>IF('Midterm OVPAA-F-INS-055A RAW SC'!AM57="","",'Midterm OVPAA-F-INS-055A RAW SC'!AM57/'Midterm OVPAA-F-INS-055A RAW SC'!AM$17*100)</f>
        <v/>
      </c>
      <c r="AN57" s="126" t="str">
        <f>IF('Midterm OVPAA-F-INS-055A RAW SC'!AN57="","",'Midterm OVPAA-F-INS-055A RAW SC'!AN57/'Midterm OVPAA-F-INS-055A RAW SC'!AN$17*100)</f>
        <v/>
      </c>
      <c r="AO57" s="126" t="str">
        <f>IF('Midterm OVPAA-F-INS-055A RAW SC'!AO57="","",'Midterm OVPAA-F-INS-055A RAW SC'!AO57/'Midterm OVPAA-F-INS-055A RAW SC'!AO$17*100)</f>
        <v/>
      </c>
      <c r="AP57" s="126" t="str">
        <f>IF('Midterm OVPAA-F-INS-055A RAW SC'!AP57="","",'Midterm OVPAA-F-INS-055A RAW SC'!AP57/'Midterm OVPAA-F-INS-055A RAW SC'!AP$17*100)</f>
        <v/>
      </c>
      <c r="AQ57" s="126" t="str">
        <f>IF('Midterm OVPAA-F-INS-055A RAW SC'!AQ57="","",'Midterm OVPAA-F-INS-055A RAW SC'!AQ57/'Midterm OVPAA-F-INS-055A RAW SC'!AQ$17*100)</f>
        <v/>
      </c>
      <c r="AR57" s="126" t="str">
        <f>IF('Midterm OVPAA-F-INS-055A RAW SC'!AR57="","",'Midterm OVPAA-F-INS-055A RAW SC'!AR57/'Midterm OVPAA-F-INS-055A RAW SC'!AR$17*100)</f>
        <v/>
      </c>
      <c r="AS57" s="126" t="str">
        <f>IF('Midterm OVPAA-F-INS-055A RAW SC'!AS57="","",'Midterm OVPAA-F-INS-055A RAW SC'!AS57/'Midterm OVPAA-F-INS-055A RAW SC'!AS$17*100)</f>
        <v/>
      </c>
      <c r="AT57" s="126" t="str">
        <f>IF('Midterm OVPAA-F-INS-055A RAW SC'!AT57="","",'Midterm OVPAA-F-INS-055A RAW SC'!AT57/'Midterm OVPAA-F-INS-055A RAW SC'!AT$17*100)</f>
        <v/>
      </c>
      <c r="AU57" s="126" t="str">
        <f>IF('Midterm OVPAA-F-INS-055A RAW SC'!AU57="","",'Midterm OVPAA-F-INS-055A RAW SC'!AU57/'Midterm OVPAA-F-INS-055A RAW SC'!AU$17*100)</f>
        <v/>
      </c>
      <c r="AV57" s="126" t="str">
        <f>IF('Midterm OVPAA-F-INS-055A RAW SC'!AV57="","",'Midterm OVPAA-F-INS-055A RAW SC'!AV57/'Midterm OVPAA-F-INS-055A RAW SC'!AV$17*100)</f>
        <v/>
      </c>
      <c r="AW57" s="126" t="str">
        <f>IF('Midterm OVPAA-F-INS-055A RAW SC'!AW57="","",'Midterm OVPAA-F-INS-055A RAW SC'!AW57/'Midterm OVPAA-F-INS-055A RAW SC'!AW$17*100)</f>
        <v/>
      </c>
      <c r="AX57" s="126" t="str">
        <f>IF('Midterm OVPAA-F-INS-055A RAW SC'!AX57="","",'Midterm OVPAA-F-INS-055A RAW SC'!AX57/'Midterm OVPAA-F-INS-055A RAW SC'!AX$17*100)</f>
        <v/>
      </c>
      <c r="AY57" s="126" t="str">
        <f>IF('Midterm OVPAA-F-INS-055A RAW SC'!AY57="","",'Midterm OVPAA-F-INS-055A RAW SC'!AY57/'Midterm OVPAA-F-INS-055A RAW SC'!AY$17*100)</f>
        <v/>
      </c>
      <c r="AZ57" s="126" t="str">
        <f>IF('Midterm OVPAA-F-INS-055A RAW SC'!AZ57="","",'Midterm OVPAA-F-INS-055A RAW SC'!AZ57/'Midterm OVPAA-F-INS-055A RAW SC'!AZ$17*100)</f>
        <v/>
      </c>
      <c r="BA57" s="126" t="str">
        <f>IF('Midterm OVPAA-F-INS-055A RAW SC'!BA57="","",'Midterm OVPAA-F-INS-055A RAW SC'!BA57/'Midterm OVPAA-F-INS-055A RAW SC'!BA$17*100)</f>
        <v/>
      </c>
      <c r="BB57" s="126" t="str">
        <f>IF('Midterm OVPAA-F-INS-055A RAW SC'!BB57="","",'Midterm OVPAA-F-INS-055A RAW SC'!BB57/'Midterm OVPAA-F-INS-055A RAW SC'!BB$17*100)</f>
        <v/>
      </c>
      <c r="BC57" s="126" t="str">
        <f>IF('Midterm OVPAA-F-INS-055A RAW SC'!BC57="","",'Midterm OVPAA-F-INS-055A RAW SC'!BC57/'Midterm OVPAA-F-INS-055A RAW SC'!BC$17*100)</f>
        <v/>
      </c>
      <c r="BD57" s="126" t="str">
        <f>IF('Midterm OVPAA-F-INS-055A RAW SC'!BD57="","",'Midterm OVPAA-F-INS-055A RAW SC'!BD57/'Midterm OVPAA-F-INS-055A RAW SC'!BD$17*100)</f>
        <v/>
      </c>
      <c r="BE57" s="126" t="str">
        <f>IF('Midterm OVPAA-F-INS-055A RAW SC'!BE57="","",'Midterm OVPAA-F-INS-055A RAW SC'!BE57/'Midterm OVPAA-F-INS-055A RAW SC'!BE$17*100)</f>
        <v/>
      </c>
      <c r="BF57" s="126" t="str">
        <f>IF('Midterm OVPAA-F-INS-055A RAW SC'!BF57="","",'Midterm OVPAA-F-INS-055A RAW SC'!BF57/'Midterm OVPAA-F-INS-055A RAW SC'!BF$17*100)</f>
        <v/>
      </c>
      <c r="BG57" s="126" t="str">
        <f>IF('Midterm OVPAA-F-INS-055A RAW SC'!BG57="","",'Midterm OVPAA-F-INS-055A RAW SC'!BG57/'Midterm OVPAA-F-INS-055A RAW SC'!BG$17*100)</f>
        <v/>
      </c>
      <c r="BH57" s="126" t="str">
        <f>IF('Midterm OVPAA-F-INS-055A RAW SC'!BH57="","",'Midterm OVPAA-F-INS-055A RAW SC'!BH57/'Midterm OVPAA-F-INS-055A RAW SC'!BH$17*100)</f>
        <v/>
      </c>
      <c r="BI57" s="126" t="str">
        <f>IF('Midterm OVPAA-F-INS-055A RAW SC'!BI57="","",'Midterm OVPAA-F-INS-055A RAW SC'!BI57/'Midterm OVPAA-F-INS-055A RAW SC'!BI$17*100)</f>
        <v/>
      </c>
      <c r="BJ57" s="126" t="str">
        <f>IF('Midterm OVPAA-F-INS-055A RAW SC'!BJ57="","",'Midterm OVPAA-F-INS-055A RAW SC'!BJ57/'Midterm OVPAA-F-INS-055A RAW SC'!BJ$17*100)</f>
        <v/>
      </c>
      <c r="BK57" s="126" t="str">
        <f>IF('Midterm OVPAA-F-INS-055A RAW SC'!BK57="","",'Midterm OVPAA-F-INS-055A RAW SC'!BK57/'Midterm OVPAA-F-INS-055A RAW SC'!BK$17*100)</f>
        <v/>
      </c>
      <c r="BL57" s="126" t="str">
        <f>IF('Midterm OVPAA-F-INS-055A RAW SC'!BL57="","",'Midterm OVPAA-F-INS-055A RAW SC'!BL57/'Midterm OVPAA-F-INS-055A RAW SC'!BL$17*100)</f>
        <v/>
      </c>
      <c r="BM57" s="126" t="str">
        <f>IF('Midterm OVPAA-F-INS-055A RAW SC'!BM57="","",'Midterm OVPAA-F-INS-055A RAW SC'!BM57/'Midterm OVPAA-F-INS-055A RAW SC'!BM$17*100)</f>
        <v/>
      </c>
      <c r="BN57" s="126" t="str">
        <f>IF('Midterm OVPAA-F-INS-055A RAW SC'!BN57="","",'Midterm OVPAA-F-INS-055A RAW SC'!BN57/'Midterm OVPAA-F-INS-055A RAW SC'!BN$17*100)</f>
        <v/>
      </c>
      <c r="BO57" s="126" t="str">
        <f>IF('Midterm OVPAA-F-INS-055A RAW SC'!BO57="","",'Midterm OVPAA-F-INS-055A RAW SC'!BO57/'Midterm OVPAA-F-INS-055A RAW SC'!BO$17*100)</f>
        <v/>
      </c>
      <c r="BP57" s="126" t="str">
        <f>IF('Midterm OVPAA-F-INS-055A RAW SC'!BP57="","",'Midterm OVPAA-F-INS-055A RAW SC'!BP57/'Midterm OVPAA-F-INS-055A RAW SC'!BP$17*100)</f>
        <v/>
      </c>
      <c r="BQ57" s="126" t="str">
        <f>IF('Midterm OVPAA-F-INS-055A RAW SC'!BQ57="","",'Midterm OVPAA-F-INS-055A RAW SC'!BQ57/'Midterm OVPAA-F-INS-055A RAW SC'!BQ$17*100)</f>
        <v/>
      </c>
      <c r="BR57" s="126" t="str">
        <f>IF('Midterm OVPAA-F-INS-055A RAW SC'!BR57="","",'Midterm OVPAA-F-INS-055A RAW SC'!BR57/'Midterm OVPAA-F-INS-055A RAW SC'!BR$17*100)</f>
        <v/>
      </c>
      <c r="BS57" s="126" t="str">
        <f>IF('Midterm OVPAA-F-INS-055A RAW SC'!BS57="","",'Midterm OVPAA-F-INS-055A RAW SC'!BS57/'Midterm OVPAA-F-INS-055A RAW SC'!BS$17*100)</f>
        <v/>
      </c>
      <c r="BT57" s="126" t="str">
        <f>IF('Midterm OVPAA-F-INS-055A RAW SC'!BT57="","",'Midterm OVPAA-F-INS-055A RAW SC'!BT57/'Midterm OVPAA-F-INS-055A RAW SC'!BT$17*100)</f>
        <v/>
      </c>
      <c r="BU57" s="127" t="str">
        <f t="array" ref="BU57">IF('Midterm OVPAA-F-INS-055A RAW SC'!$G57="","",IF((SUMPRODUCT(--ISBLANK('Midterm OVPAA-F-INS-055A RAW SC'!H57:BT57))=COLUMNS('Midterm OVPAA-F-INS-055A RAW SC'!H57:BT57))=TRUE,"",(((COUNTA('Midterm OVPAA-F-INS-055A RAW SC'!$H$17:$BT$17)+COUNTBLANK('Midterm OVPAA-F-INS-055A RAW SC'!H57:BT57))-COLUMNS('Midterm OVPAA-F-INS-055A RAW SC'!H57:BT57))*5+SUM(H57:BT57))/COUNTA('Midterm OVPAA-F-INS-055A RAW SC'!$H$17:$BT$17)))</f>
        <v/>
      </c>
      <c r="BV57" s="128" t="str">
        <f>IF(BU57="","",VLOOKUP(BU57,IF('Midterm OVPAA-F-INS-055A RAW SC'!$V$12=0.5,TRANSMUTATION!$C$4:$D$17,TRANSMUTATION!$G$4:$H$17),2,TRUE))</f>
        <v/>
      </c>
      <c r="BW57" s="129" t="str">
        <f>IF('Midterm OVPAA-F-INS-055A RAW SC'!BU57="","",'Midterm OVPAA-F-INS-055A RAW SC'!BU57/'Midterm OVPAA-F-INS-055A RAW SC'!BU$17*100)</f>
        <v/>
      </c>
      <c r="BX57" s="130" t="str">
        <f>IF('Midterm OVPAA-F-INS-055A RAW SC'!BV57="","",'Midterm OVPAA-F-INS-055A RAW SC'!BV57/'Midterm OVPAA-F-INS-055A RAW SC'!BV$17*100)</f>
        <v/>
      </c>
      <c r="BY57" s="130" t="str">
        <f>IF('Midterm OVPAA-F-INS-055A RAW SC'!BW57="","",'Midterm OVPAA-F-INS-055A RAW SC'!BW57/'Midterm OVPAA-F-INS-055A RAW SC'!BW$17*100)</f>
        <v/>
      </c>
      <c r="BZ57" s="130" t="str">
        <f>IF('Midterm OVPAA-F-INS-055A RAW SC'!BX57="","",'Midterm OVPAA-F-INS-055A RAW SC'!BX57/'Midterm OVPAA-F-INS-055A RAW SC'!BX$17*100)</f>
        <v/>
      </c>
      <c r="CA57" s="130" t="str">
        <f>IF('Midterm OVPAA-F-INS-055A RAW SC'!BY57="","",'Midterm OVPAA-F-INS-055A RAW SC'!BY57/'Midterm OVPAA-F-INS-055A RAW SC'!BY$17*100)</f>
        <v/>
      </c>
      <c r="CB57" s="130" t="str">
        <f>IF('Midterm OVPAA-F-INS-055A RAW SC'!BZ57="","",'Midterm OVPAA-F-INS-055A RAW SC'!BZ57/'Midterm OVPAA-F-INS-055A RAW SC'!BZ$17*100)</f>
        <v/>
      </c>
      <c r="CC57" s="130" t="str">
        <f>IF('Midterm OVPAA-F-INS-055A RAW SC'!CA57="","",'Midterm OVPAA-F-INS-055A RAW SC'!CA57/'Midterm OVPAA-F-INS-055A RAW SC'!CA$17*100)</f>
        <v/>
      </c>
      <c r="CD57" s="130" t="str">
        <f>IF('Midterm OVPAA-F-INS-055A RAW SC'!CB57="","",'Midterm OVPAA-F-INS-055A RAW SC'!CB57/'Midterm OVPAA-F-INS-055A RAW SC'!CB$17*100)</f>
        <v/>
      </c>
      <c r="CE57" s="130" t="str">
        <f>IF('Midterm OVPAA-F-INS-055A RAW SC'!CC57="","",'Midterm OVPAA-F-INS-055A RAW SC'!CC57/'Midterm OVPAA-F-INS-055A RAW SC'!CC$17*100)</f>
        <v/>
      </c>
      <c r="CF57" s="130" t="str">
        <f>IF('Midterm OVPAA-F-INS-055A RAW SC'!CD57="","",'Midterm OVPAA-F-INS-055A RAW SC'!CD57/'Midterm OVPAA-F-INS-055A RAW SC'!CD$17*100)</f>
        <v/>
      </c>
      <c r="CG57" s="130" t="str">
        <f>IF('Midterm OVPAA-F-INS-055A RAW SC'!CE57="","",'Midterm OVPAA-F-INS-055A RAW SC'!CE57/'Midterm OVPAA-F-INS-055A RAW SC'!CE$17*100)</f>
        <v/>
      </c>
      <c r="CH57" s="130" t="str">
        <f>IF('Midterm OVPAA-F-INS-055A RAW SC'!CF57="","",'Midterm OVPAA-F-INS-055A RAW SC'!CF57/'Midterm OVPAA-F-INS-055A RAW SC'!CF$17*100)</f>
        <v/>
      </c>
      <c r="CI57" s="130" t="str">
        <f>IF('Midterm OVPAA-F-INS-055A RAW SC'!CG57="","",'Midterm OVPAA-F-INS-055A RAW SC'!CG57/'Midterm OVPAA-F-INS-055A RAW SC'!CG$17*100)</f>
        <v/>
      </c>
      <c r="CJ57" s="130" t="str">
        <f>IF('Midterm OVPAA-F-INS-055A RAW SC'!CH57="","",'Midterm OVPAA-F-INS-055A RAW SC'!CH57/'Midterm OVPAA-F-INS-055A RAW SC'!CH$17*100)</f>
        <v/>
      </c>
      <c r="CK57" s="130" t="str">
        <f>IF('Midterm OVPAA-F-INS-055A RAW SC'!CI57="","",'Midterm OVPAA-F-INS-055A RAW SC'!CI57/'Midterm OVPAA-F-INS-055A RAW SC'!CI$17*100)</f>
        <v/>
      </c>
      <c r="CL57" s="130" t="str">
        <f>IF('Midterm OVPAA-F-INS-055A RAW SC'!CJ57="","",'Midterm OVPAA-F-INS-055A RAW SC'!CJ57/'Midterm OVPAA-F-INS-055A RAW SC'!CJ$17*100)</f>
        <v/>
      </c>
      <c r="CM57" s="130" t="str">
        <f>IF('Midterm OVPAA-F-INS-055A RAW SC'!CK57="","",'Midterm OVPAA-F-INS-055A RAW SC'!CK57/'Midterm OVPAA-F-INS-055A RAW SC'!CK$17*100)</f>
        <v/>
      </c>
      <c r="CN57" s="130" t="str">
        <f>IF('Midterm OVPAA-F-INS-055A RAW SC'!CL57="","",'Midterm OVPAA-F-INS-055A RAW SC'!CL57/'Midterm OVPAA-F-INS-055A RAW SC'!CL$17*100)</f>
        <v/>
      </c>
      <c r="CO57" s="130" t="str">
        <f>IF('Midterm OVPAA-F-INS-055A RAW SC'!CM57="","",'Midterm OVPAA-F-INS-055A RAW SC'!CM57/'Midterm OVPAA-F-INS-055A RAW SC'!CM$17*100)</f>
        <v/>
      </c>
      <c r="CP57" s="130" t="str">
        <f>IF('Midterm OVPAA-F-INS-055A RAW SC'!CN57="","",'Midterm OVPAA-F-INS-055A RAW SC'!CN57/'Midterm OVPAA-F-INS-055A RAW SC'!CN$17*100)</f>
        <v/>
      </c>
      <c r="CQ57" s="131" t="str">
        <f t="array" ref="CQ57">IF('Midterm OVPAA-F-INS-055A RAW SC'!G57="","",IF((SUMPRODUCT(--ISBLANK('Midterm OVPAA-F-INS-055A RAW SC'!BU57:CN57))=COLUMNS('Midterm OVPAA-F-INS-055A RAW SC'!BU57:CN57))=TRUE,"",(((COUNTA('Midterm OVPAA-F-INS-055A RAW SC'!$BU$17:$CN$17)+COUNTBLANK('Midterm OVPAA-F-INS-055A RAW SC'!BU57:CN57))-COLUMNS('Midterm OVPAA-F-INS-055A RAW SC'!BU57:CN57))*5+SUM(BW57:CP57))/COUNTA('Midterm OVPAA-F-INS-055A RAW SC'!$BU$17:$CN$17)))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IF('Midterm OVPAA-F-INS-055A RAW SC'!CO57="","",'Midterm OVPAA-F-INS-055A RAW SC'!CO57/'Midterm OVPAA-F-INS-055A RAW SC'!CO$17*100)</f>
        <v/>
      </c>
      <c r="CT57" s="133" t="str">
        <f>IF('Midterm OVPAA-F-INS-055A RAW SC'!CP57="","",'Midterm OVPAA-F-INS-055A RAW SC'!CP57/'Midterm OVPAA-F-INS-055A RAW SC'!CP$17*100)</f>
        <v/>
      </c>
      <c r="CU57" s="133" t="str">
        <f>IF('Midterm OVPAA-F-INS-055A RAW SC'!CQ57="","",'Midterm OVPAA-F-INS-055A RAW SC'!CQ57/'Midterm OVPAA-F-INS-055A RAW SC'!CQ$17*100)</f>
        <v/>
      </c>
      <c r="CV57" s="133" t="str">
        <f>IF('Midterm OVPAA-F-INS-055A RAW SC'!CR57="","",'Midterm OVPAA-F-INS-055A RAW SC'!CR57/'Midterm OVPAA-F-INS-055A RAW SC'!CR$17*100)</f>
        <v/>
      </c>
      <c r="CW57" s="133" t="str">
        <f>IF('Midterm OVPAA-F-INS-055A RAW SC'!CS57="","",'Midterm OVPAA-F-INS-055A RAW SC'!CS57/'Midterm OVPAA-F-INS-055A RAW SC'!CS$17*100)</f>
        <v/>
      </c>
      <c r="CX57" s="133" t="str">
        <f>IF('Midterm OVPAA-F-INS-055A RAW SC'!CT57="","",'Midterm OVPAA-F-INS-055A RAW SC'!CT57/'Midterm OVPAA-F-INS-055A RAW SC'!CT$17*100)</f>
        <v/>
      </c>
      <c r="CY57" s="133" t="str">
        <f>IF('Midterm OVPAA-F-INS-055A RAW SC'!CU57="","",'Midterm OVPAA-F-INS-055A RAW SC'!CU57/'Midterm OVPAA-F-INS-055A RAW SC'!CU$17*100)</f>
        <v/>
      </c>
      <c r="CZ57" s="133" t="str">
        <f>IF('Midterm OVPAA-F-INS-055A RAW SC'!CV57="","",'Midterm OVPAA-F-INS-055A RAW SC'!CV57/'Midterm OVPAA-F-INS-055A RAW SC'!CV$17*100)</f>
        <v/>
      </c>
      <c r="DA57" s="133" t="str">
        <f>IF('Midterm OVPAA-F-INS-055A RAW SC'!CW57="","",'Midterm OVPAA-F-INS-055A RAW SC'!CW57/'Midterm OVPAA-F-INS-055A RAW SC'!CW$17*100)</f>
        <v/>
      </c>
      <c r="DB57" s="133" t="str">
        <f>IF('Midterm OVPAA-F-INS-055A RAW SC'!CX57="","",'Midterm OVPAA-F-INS-055A RAW SC'!CX57/'Midterm OVPAA-F-INS-055A RAW SC'!CX$17*100)</f>
        <v/>
      </c>
      <c r="DC57" s="134" t="str">
        <f t="array" ref="DC57">IF('Midterm OVPAA-F-INS-055A RAW SC'!$G57="","",IF((SUMPRODUCT(--ISBLANK('Midterm OVPAA-F-INS-055A RAW SC'!CO57:CX57))=COLUMNS('Midterm OVPAA-F-INS-055A RAW SC'!CO57:CX57))=TRUE,"",(((COUNTA('Midterm OVPAA-F-INS-055A RAW SC'!$CO$17:$CX$17)+COUNTBLANK('Midterm OVPAA-F-INS-055A RAW SC'!CO57:CX57))-COLUMNS('Midterm OVPAA-F-INS-055A RAW SC'!CO57:CX57))*5+SUM(CS57:DB57))/COUNTA('Midterm OVPAA-F-INS-055A RAW SC'!$CO$17:$CX$17)))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37" t="str">
        <f t="shared" si="2"/>
        <v/>
      </c>
      <c r="DG57" s="138" t="str">
        <f t="shared" si="3"/>
        <v/>
      </c>
      <c r="DH57" s="136" t="str">
        <f t="shared" si="4"/>
        <v/>
      </c>
      <c r="DI57" s="123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IF('Midterm OVPAA-F-INS-055A RAW SC'!H58="","",'Midterm OVPAA-F-INS-055A RAW SC'!H58/'Midterm OVPAA-F-INS-055A RAW SC'!H$17*100)</f>
        <v/>
      </c>
      <c r="I58" s="126" t="str">
        <f>IF('Midterm OVPAA-F-INS-055A RAW SC'!I58="","",'Midterm OVPAA-F-INS-055A RAW SC'!I58/'Midterm OVPAA-F-INS-055A RAW SC'!I$17*100)</f>
        <v/>
      </c>
      <c r="J58" s="126" t="str">
        <f>IF('Midterm OVPAA-F-INS-055A RAW SC'!J58="","",'Midterm OVPAA-F-INS-055A RAW SC'!J58/'Midterm OVPAA-F-INS-055A RAW SC'!J$17*100)</f>
        <v/>
      </c>
      <c r="K58" s="126" t="str">
        <f>IF('Midterm OVPAA-F-INS-055A RAW SC'!K58="","",'Midterm OVPAA-F-INS-055A RAW SC'!K58/'Midterm OVPAA-F-INS-055A RAW SC'!K$17*100)</f>
        <v/>
      </c>
      <c r="L58" s="126" t="str">
        <f>IF('Midterm OVPAA-F-INS-055A RAW SC'!L58="","",'Midterm OVPAA-F-INS-055A RAW SC'!L58/'Midterm OVPAA-F-INS-055A RAW SC'!L$17*100)</f>
        <v/>
      </c>
      <c r="M58" s="126" t="str">
        <f>IF('Midterm OVPAA-F-INS-055A RAW SC'!M58="","",'Midterm OVPAA-F-INS-055A RAW SC'!M58/'Midterm OVPAA-F-INS-055A RAW SC'!M$17*100)</f>
        <v/>
      </c>
      <c r="N58" s="126" t="str">
        <f>IF('Midterm OVPAA-F-INS-055A RAW SC'!N58="","",'Midterm OVPAA-F-INS-055A RAW SC'!N58/'Midterm OVPAA-F-INS-055A RAW SC'!N$17*100)</f>
        <v/>
      </c>
      <c r="O58" s="126" t="str">
        <f>IF('Midterm OVPAA-F-INS-055A RAW SC'!O58="","",'Midterm OVPAA-F-INS-055A RAW SC'!O58/'Midterm OVPAA-F-INS-055A RAW SC'!O$17*100)</f>
        <v/>
      </c>
      <c r="P58" s="126" t="str">
        <f>IF('Midterm OVPAA-F-INS-055A RAW SC'!P58="","",'Midterm OVPAA-F-INS-055A RAW SC'!P58/'Midterm OVPAA-F-INS-055A RAW SC'!P$17*100)</f>
        <v/>
      </c>
      <c r="Q58" s="126" t="str">
        <f>IF('Midterm OVPAA-F-INS-055A RAW SC'!Q58="","",'Midterm OVPAA-F-INS-055A RAW SC'!Q58/'Midterm OVPAA-F-INS-055A RAW SC'!Q$17*100)</f>
        <v/>
      </c>
      <c r="R58" s="126" t="str">
        <f>IF('Midterm OVPAA-F-INS-055A RAW SC'!R58="","",'Midterm OVPAA-F-INS-055A RAW SC'!R58/'Midterm OVPAA-F-INS-055A RAW SC'!R$17*100)</f>
        <v/>
      </c>
      <c r="S58" s="126" t="str">
        <f>IF('Midterm OVPAA-F-INS-055A RAW SC'!S58="","",'Midterm OVPAA-F-INS-055A RAW SC'!S58/'Midterm OVPAA-F-INS-055A RAW SC'!S$17*100)</f>
        <v/>
      </c>
      <c r="T58" s="126" t="str">
        <f>IF('Midterm OVPAA-F-INS-055A RAW SC'!T58="","",'Midterm OVPAA-F-INS-055A RAW SC'!T58/'Midterm OVPAA-F-INS-055A RAW SC'!T$17*100)</f>
        <v/>
      </c>
      <c r="U58" s="126" t="str">
        <f>IF('Midterm OVPAA-F-INS-055A RAW SC'!U58="","",'Midterm OVPAA-F-INS-055A RAW SC'!U58/'Midterm OVPAA-F-INS-055A RAW SC'!U$17*100)</f>
        <v/>
      </c>
      <c r="V58" s="126" t="str">
        <f>IF('Midterm OVPAA-F-INS-055A RAW SC'!V58="","",'Midterm OVPAA-F-INS-055A RAW SC'!V58/'Midterm OVPAA-F-INS-055A RAW SC'!V$17*100)</f>
        <v/>
      </c>
      <c r="W58" s="126" t="str">
        <f>IF('Midterm OVPAA-F-INS-055A RAW SC'!W58="","",'Midterm OVPAA-F-INS-055A RAW SC'!W58/'Midterm OVPAA-F-INS-055A RAW SC'!W$17*100)</f>
        <v/>
      </c>
      <c r="X58" s="126" t="str">
        <f>IF('Midterm OVPAA-F-INS-055A RAW SC'!X58="","",'Midterm OVPAA-F-INS-055A RAW SC'!X58/'Midterm OVPAA-F-INS-055A RAW SC'!X$17*100)</f>
        <v/>
      </c>
      <c r="Y58" s="126" t="str">
        <f>IF('Midterm OVPAA-F-INS-055A RAW SC'!Y58="","",'Midterm OVPAA-F-INS-055A RAW SC'!Y58/'Midterm OVPAA-F-INS-055A RAW SC'!Y$17*100)</f>
        <v/>
      </c>
      <c r="Z58" s="126" t="str">
        <f>IF('Midterm OVPAA-F-INS-055A RAW SC'!Z58="","",'Midterm OVPAA-F-INS-055A RAW SC'!Z58/'Midterm OVPAA-F-INS-055A RAW SC'!Z$17*100)</f>
        <v/>
      </c>
      <c r="AA58" s="126" t="str">
        <f>IF('Midterm OVPAA-F-INS-055A RAW SC'!AA58="","",'Midterm OVPAA-F-INS-055A RAW SC'!AA58/'Midterm OVPAA-F-INS-055A RAW SC'!AA$17*100)</f>
        <v/>
      </c>
      <c r="AB58" s="126" t="str">
        <f>IF('Midterm OVPAA-F-INS-055A RAW SC'!AB58="","",'Midterm OVPAA-F-INS-055A RAW SC'!AB58/'Midterm OVPAA-F-INS-055A RAW SC'!AB$17*100)</f>
        <v/>
      </c>
      <c r="AC58" s="126" t="str">
        <f>IF('Midterm OVPAA-F-INS-055A RAW SC'!AC58="","",'Midterm OVPAA-F-INS-055A RAW SC'!AC58/'Midterm OVPAA-F-INS-055A RAW SC'!AC$17*100)</f>
        <v/>
      </c>
      <c r="AD58" s="126" t="str">
        <f>IF('Midterm OVPAA-F-INS-055A RAW SC'!AD58="","",'Midterm OVPAA-F-INS-055A RAW SC'!AD58/'Midterm OVPAA-F-INS-055A RAW SC'!AD$17*100)</f>
        <v/>
      </c>
      <c r="AE58" s="126" t="str">
        <f>IF('Midterm OVPAA-F-INS-055A RAW SC'!AE58="","",'Midterm OVPAA-F-INS-055A RAW SC'!AE58/'Midterm OVPAA-F-INS-055A RAW SC'!AE$17*100)</f>
        <v/>
      </c>
      <c r="AF58" s="126" t="str">
        <f>IF('Midterm OVPAA-F-INS-055A RAW SC'!AF58="","",'Midterm OVPAA-F-INS-055A RAW SC'!AF58/'Midterm OVPAA-F-INS-055A RAW SC'!AF$17*100)</f>
        <v/>
      </c>
      <c r="AG58" s="126" t="str">
        <f>IF('Midterm OVPAA-F-INS-055A RAW SC'!AG58="","",'Midterm OVPAA-F-INS-055A RAW SC'!AG58/'Midterm OVPAA-F-INS-055A RAW SC'!AG$17*100)</f>
        <v/>
      </c>
      <c r="AH58" s="126" t="str">
        <f>IF('Midterm OVPAA-F-INS-055A RAW SC'!AH58="","",'Midterm OVPAA-F-INS-055A RAW SC'!AH58/'Midterm OVPAA-F-INS-055A RAW SC'!AH$17*100)</f>
        <v/>
      </c>
      <c r="AI58" s="126" t="str">
        <f>IF('Midterm OVPAA-F-INS-055A RAW SC'!AI58="","",'Midterm OVPAA-F-INS-055A RAW SC'!AI58/'Midterm OVPAA-F-INS-055A RAW SC'!AI$17*100)</f>
        <v/>
      </c>
      <c r="AJ58" s="126" t="str">
        <f>IF('Midterm OVPAA-F-INS-055A RAW SC'!AJ58="","",'Midterm OVPAA-F-INS-055A RAW SC'!AJ58/'Midterm OVPAA-F-INS-055A RAW SC'!AJ$17*100)</f>
        <v/>
      </c>
      <c r="AK58" s="126" t="str">
        <f>IF('Midterm OVPAA-F-INS-055A RAW SC'!AK58="","",'Midterm OVPAA-F-INS-055A RAW SC'!AK58/'Midterm OVPAA-F-INS-055A RAW SC'!AK$17*100)</f>
        <v/>
      </c>
      <c r="AL58" s="126" t="str">
        <f>IF('Midterm OVPAA-F-INS-055A RAW SC'!AL58="","",'Midterm OVPAA-F-INS-055A RAW SC'!AL58/'Midterm OVPAA-F-INS-055A RAW SC'!AL$17*100)</f>
        <v/>
      </c>
      <c r="AM58" s="126" t="str">
        <f>IF('Midterm OVPAA-F-INS-055A RAW SC'!AM58="","",'Midterm OVPAA-F-INS-055A RAW SC'!AM58/'Midterm OVPAA-F-INS-055A RAW SC'!AM$17*100)</f>
        <v/>
      </c>
      <c r="AN58" s="126" t="str">
        <f>IF('Midterm OVPAA-F-INS-055A RAW SC'!AN58="","",'Midterm OVPAA-F-INS-055A RAW SC'!AN58/'Midterm OVPAA-F-INS-055A RAW SC'!AN$17*100)</f>
        <v/>
      </c>
      <c r="AO58" s="126" t="str">
        <f>IF('Midterm OVPAA-F-INS-055A RAW SC'!AO58="","",'Midterm OVPAA-F-INS-055A RAW SC'!AO58/'Midterm OVPAA-F-INS-055A RAW SC'!AO$17*100)</f>
        <v/>
      </c>
      <c r="AP58" s="126" t="str">
        <f>IF('Midterm OVPAA-F-INS-055A RAW SC'!AP58="","",'Midterm OVPAA-F-INS-055A RAW SC'!AP58/'Midterm OVPAA-F-INS-055A RAW SC'!AP$17*100)</f>
        <v/>
      </c>
      <c r="AQ58" s="126" t="str">
        <f>IF('Midterm OVPAA-F-INS-055A RAW SC'!AQ58="","",'Midterm OVPAA-F-INS-055A RAW SC'!AQ58/'Midterm OVPAA-F-INS-055A RAW SC'!AQ$17*100)</f>
        <v/>
      </c>
      <c r="AR58" s="126" t="str">
        <f>IF('Midterm OVPAA-F-INS-055A RAW SC'!AR58="","",'Midterm OVPAA-F-INS-055A RAW SC'!AR58/'Midterm OVPAA-F-INS-055A RAW SC'!AR$17*100)</f>
        <v/>
      </c>
      <c r="AS58" s="126" t="str">
        <f>IF('Midterm OVPAA-F-INS-055A RAW SC'!AS58="","",'Midterm OVPAA-F-INS-055A RAW SC'!AS58/'Midterm OVPAA-F-INS-055A RAW SC'!AS$17*100)</f>
        <v/>
      </c>
      <c r="AT58" s="126" t="str">
        <f>IF('Midterm OVPAA-F-INS-055A RAW SC'!AT58="","",'Midterm OVPAA-F-INS-055A RAW SC'!AT58/'Midterm OVPAA-F-INS-055A RAW SC'!AT$17*100)</f>
        <v/>
      </c>
      <c r="AU58" s="126" t="str">
        <f>IF('Midterm OVPAA-F-INS-055A RAW SC'!AU58="","",'Midterm OVPAA-F-INS-055A RAW SC'!AU58/'Midterm OVPAA-F-INS-055A RAW SC'!AU$17*100)</f>
        <v/>
      </c>
      <c r="AV58" s="126" t="str">
        <f>IF('Midterm OVPAA-F-INS-055A RAW SC'!AV58="","",'Midterm OVPAA-F-INS-055A RAW SC'!AV58/'Midterm OVPAA-F-INS-055A RAW SC'!AV$17*100)</f>
        <v/>
      </c>
      <c r="AW58" s="126" t="str">
        <f>IF('Midterm OVPAA-F-INS-055A RAW SC'!AW58="","",'Midterm OVPAA-F-INS-055A RAW SC'!AW58/'Midterm OVPAA-F-INS-055A RAW SC'!AW$17*100)</f>
        <v/>
      </c>
      <c r="AX58" s="126" t="str">
        <f>IF('Midterm OVPAA-F-INS-055A RAW SC'!AX58="","",'Midterm OVPAA-F-INS-055A RAW SC'!AX58/'Midterm OVPAA-F-INS-055A RAW SC'!AX$17*100)</f>
        <v/>
      </c>
      <c r="AY58" s="126" t="str">
        <f>IF('Midterm OVPAA-F-INS-055A RAW SC'!AY58="","",'Midterm OVPAA-F-INS-055A RAW SC'!AY58/'Midterm OVPAA-F-INS-055A RAW SC'!AY$17*100)</f>
        <v/>
      </c>
      <c r="AZ58" s="126" t="str">
        <f>IF('Midterm OVPAA-F-INS-055A RAW SC'!AZ58="","",'Midterm OVPAA-F-INS-055A RAW SC'!AZ58/'Midterm OVPAA-F-INS-055A RAW SC'!AZ$17*100)</f>
        <v/>
      </c>
      <c r="BA58" s="126" t="str">
        <f>IF('Midterm OVPAA-F-INS-055A RAW SC'!BA58="","",'Midterm OVPAA-F-INS-055A RAW SC'!BA58/'Midterm OVPAA-F-INS-055A RAW SC'!BA$17*100)</f>
        <v/>
      </c>
      <c r="BB58" s="126" t="str">
        <f>IF('Midterm OVPAA-F-INS-055A RAW SC'!BB58="","",'Midterm OVPAA-F-INS-055A RAW SC'!BB58/'Midterm OVPAA-F-INS-055A RAW SC'!BB$17*100)</f>
        <v/>
      </c>
      <c r="BC58" s="126" t="str">
        <f>IF('Midterm OVPAA-F-INS-055A RAW SC'!BC58="","",'Midterm OVPAA-F-INS-055A RAW SC'!BC58/'Midterm OVPAA-F-INS-055A RAW SC'!BC$17*100)</f>
        <v/>
      </c>
      <c r="BD58" s="126" t="str">
        <f>IF('Midterm OVPAA-F-INS-055A RAW SC'!BD58="","",'Midterm OVPAA-F-INS-055A RAW SC'!BD58/'Midterm OVPAA-F-INS-055A RAW SC'!BD$17*100)</f>
        <v/>
      </c>
      <c r="BE58" s="126" t="str">
        <f>IF('Midterm OVPAA-F-INS-055A RAW SC'!BE58="","",'Midterm OVPAA-F-INS-055A RAW SC'!BE58/'Midterm OVPAA-F-INS-055A RAW SC'!BE$17*100)</f>
        <v/>
      </c>
      <c r="BF58" s="126" t="str">
        <f>IF('Midterm OVPAA-F-INS-055A RAW SC'!BF58="","",'Midterm OVPAA-F-INS-055A RAW SC'!BF58/'Midterm OVPAA-F-INS-055A RAW SC'!BF$17*100)</f>
        <v/>
      </c>
      <c r="BG58" s="126" t="str">
        <f>IF('Midterm OVPAA-F-INS-055A RAW SC'!BG58="","",'Midterm OVPAA-F-INS-055A RAW SC'!BG58/'Midterm OVPAA-F-INS-055A RAW SC'!BG$17*100)</f>
        <v/>
      </c>
      <c r="BH58" s="126" t="str">
        <f>IF('Midterm OVPAA-F-INS-055A RAW SC'!BH58="","",'Midterm OVPAA-F-INS-055A RAW SC'!BH58/'Midterm OVPAA-F-INS-055A RAW SC'!BH$17*100)</f>
        <v/>
      </c>
      <c r="BI58" s="126" t="str">
        <f>IF('Midterm OVPAA-F-INS-055A RAW SC'!BI58="","",'Midterm OVPAA-F-INS-055A RAW SC'!BI58/'Midterm OVPAA-F-INS-055A RAW SC'!BI$17*100)</f>
        <v/>
      </c>
      <c r="BJ58" s="126" t="str">
        <f>IF('Midterm OVPAA-F-INS-055A RAW SC'!BJ58="","",'Midterm OVPAA-F-INS-055A RAW SC'!BJ58/'Midterm OVPAA-F-INS-055A RAW SC'!BJ$17*100)</f>
        <v/>
      </c>
      <c r="BK58" s="126" t="str">
        <f>IF('Midterm OVPAA-F-INS-055A RAW SC'!BK58="","",'Midterm OVPAA-F-INS-055A RAW SC'!BK58/'Midterm OVPAA-F-INS-055A RAW SC'!BK$17*100)</f>
        <v/>
      </c>
      <c r="BL58" s="126" t="str">
        <f>IF('Midterm OVPAA-F-INS-055A RAW SC'!BL58="","",'Midterm OVPAA-F-INS-055A RAW SC'!BL58/'Midterm OVPAA-F-INS-055A RAW SC'!BL$17*100)</f>
        <v/>
      </c>
      <c r="BM58" s="126" t="str">
        <f>IF('Midterm OVPAA-F-INS-055A RAW SC'!BM58="","",'Midterm OVPAA-F-INS-055A RAW SC'!BM58/'Midterm OVPAA-F-INS-055A RAW SC'!BM$17*100)</f>
        <v/>
      </c>
      <c r="BN58" s="126" t="str">
        <f>IF('Midterm OVPAA-F-INS-055A RAW SC'!BN58="","",'Midterm OVPAA-F-INS-055A RAW SC'!BN58/'Midterm OVPAA-F-INS-055A RAW SC'!BN$17*100)</f>
        <v/>
      </c>
      <c r="BO58" s="126" t="str">
        <f>IF('Midterm OVPAA-F-INS-055A RAW SC'!BO58="","",'Midterm OVPAA-F-INS-055A RAW SC'!BO58/'Midterm OVPAA-F-INS-055A RAW SC'!BO$17*100)</f>
        <v/>
      </c>
      <c r="BP58" s="126" t="str">
        <f>IF('Midterm OVPAA-F-INS-055A RAW SC'!BP58="","",'Midterm OVPAA-F-INS-055A RAW SC'!BP58/'Midterm OVPAA-F-INS-055A RAW SC'!BP$17*100)</f>
        <v/>
      </c>
      <c r="BQ58" s="126" t="str">
        <f>IF('Midterm OVPAA-F-INS-055A RAW SC'!BQ58="","",'Midterm OVPAA-F-INS-055A RAW SC'!BQ58/'Midterm OVPAA-F-INS-055A RAW SC'!BQ$17*100)</f>
        <v/>
      </c>
      <c r="BR58" s="126" t="str">
        <f>IF('Midterm OVPAA-F-INS-055A RAW SC'!BR58="","",'Midterm OVPAA-F-INS-055A RAW SC'!BR58/'Midterm OVPAA-F-INS-055A RAW SC'!BR$17*100)</f>
        <v/>
      </c>
      <c r="BS58" s="126" t="str">
        <f>IF('Midterm OVPAA-F-INS-055A RAW SC'!BS58="","",'Midterm OVPAA-F-INS-055A RAW SC'!BS58/'Midterm OVPAA-F-INS-055A RAW SC'!BS$17*100)</f>
        <v/>
      </c>
      <c r="BT58" s="126" t="str">
        <f>IF('Midterm OVPAA-F-INS-055A RAW SC'!BT58="","",'Midterm OVPAA-F-INS-055A RAW SC'!BT58/'Midterm OVPAA-F-INS-055A RAW SC'!BT$17*100)</f>
        <v/>
      </c>
      <c r="BU58" s="127" t="str">
        <f t="array" ref="BU58">IF('Midterm OVPAA-F-INS-055A RAW SC'!$G58="","",IF((SUMPRODUCT(--ISBLANK('Midterm OVPAA-F-INS-055A RAW SC'!H58:BT58))=COLUMNS('Midterm OVPAA-F-INS-055A RAW SC'!H58:BT58))=TRUE,"",(((COUNTA('Midterm OVPAA-F-INS-055A RAW SC'!$H$17:$BT$17)+COUNTBLANK('Midterm OVPAA-F-INS-055A RAW SC'!H58:BT58))-COLUMNS('Midterm OVPAA-F-INS-055A RAW SC'!H58:BT58))*5+SUM(H58:BT58))/COUNTA('Midterm OVPAA-F-INS-055A RAW SC'!$H$17:$BT$17)))</f>
        <v/>
      </c>
      <c r="BV58" s="128" t="str">
        <f>IF(BU58="","",VLOOKUP(BU58,IF('Midterm OVPAA-F-INS-055A RAW SC'!$V$12=0.5,TRANSMUTATION!$C$4:$D$17,TRANSMUTATION!$G$4:$H$17),2,TRUE))</f>
        <v/>
      </c>
      <c r="BW58" s="129" t="str">
        <f>IF('Midterm OVPAA-F-INS-055A RAW SC'!BU58="","",'Midterm OVPAA-F-INS-055A RAW SC'!BU58/'Midterm OVPAA-F-INS-055A RAW SC'!BU$17*100)</f>
        <v/>
      </c>
      <c r="BX58" s="130" t="str">
        <f>IF('Midterm OVPAA-F-INS-055A RAW SC'!BV58="","",'Midterm OVPAA-F-INS-055A RAW SC'!BV58/'Midterm OVPAA-F-INS-055A RAW SC'!BV$17*100)</f>
        <v/>
      </c>
      <c r="BY58" s="130" t="str">
        <f>IF('Midterm OVPAA-F-INS-055A RAW SC'!BW58="","",'Midterm OVPAA-F-INS-055A RAW SC'!BW58/'Midterm OVPAA-F-INS-055A RAW SC'!BW$17*100)</f>
        <v/>
      </c>
      <c r="BZ58" s="130" t="str">
        <f>IF('Midterm OVPAA-F-INS-055A RAW SC'!BX58="","",'Midterm OVPAA-F-INS-055A RAW SC'!BX58/'Midterm OVPAA-F-INS-055A RAW SC'!BX$17*100)</f>
        <v/>
      </c>
      <c r="CA58" s="130" t="str">
        <f>IF('Midterm OVPAA-F-INS-055A RAW SC'!BY58="","",'Midterm OVPAA-F-INS-055A RAW SC'!BY58/'Midterm OVPAA-F-INS-055A RAW SC'!BY$17*100)</f>
        <v/>
      </c>
      <c r="CB58" s="130" t="str">
        <f>IF('Midterm OVPAA-F-INS-055A RAW SC'!BZ58="","",'Midterm OVPAA-F-INS-055A RAW SC'!BZ58/'Midterm OVPAA-F-INS-055A RAW SC'!BZ$17*100)</f>
        <v/>
      </c>
      <c r="CC58" s="130" t="str">
        <f>IF('Midterm OVPAA-F-INS-055A RAW SC'!CA58="","",'Midterm OVPAA-F-INS-055A RAW SC'!CA58/'Midterm OVPAA-F-INS-055A RAW SC'!CA$17*100)</f>
        <v/>
      </c>
      <c r="CD58" s="130" t="str">
        <f>IF('Midterm OVPAA-F-INS-055A RAW SC'!CB58="","",'Midterm OVPAA-F-INS-055A RAW SC'!CB58/'Midterm OVPAA-F-INS-055A RAW SC'!CB$17*100)</f>
        <v/>
      </c>
      <c r="CE58" s="130" t="str">
        <f>IF('Midterm OVPAA-F-INS-055A RAW SC'!CC58="","",'Midterm OVPAA-F-INS-055A RAW SC'!CC58/'Midterm OVPAA-F-INS-055A RAW SC'!CC$17*100)</f>
        <v/>
      </c>
      <c r="CF58" s="130" t="str">
        <f>IF('Midterm OVPAA-F-INS-055A RAW SC'!CD58="","",'Midterm OVPAA-F-INS-055A RAW SC'!CD58/'Midterm OVPAA-F-INS-055A RAW SC'!CD$17*100)</f>
        <v/>
      </c>
      <c r="CG58" s="130" t="str">
        <f>IF('Midterm OVPAA-F-INS-055A RAW SC'!CE58="","",'Midterm OVPAA-F-INS-055A RAW SC'!CE58/'Midterm OVPAA-F-INS-055A RAW SC'!CE$17*100)</f>
        <v/>
      </c>
      <c r="CH58" s="130" t="str">
        <f>IF('Midterm OVPAA-F-INS-055A RAW SC'!CF58="","",'Midterm OVPAA-F-INS-055A RAW SC'!CF58/'Midterm OVPAA-F-INS-055A RAW SC'!CF$17*100)</f>
        <v/>
      </c>
      <c r="CI58" s="130" t="str">
        <f>IF('Midterm OVPAA-F-INS-055A RAW SC'!CG58="","",'Midterm OVPAA-F-INS-055A RAW SC'!CG58/'Midterm OVPAA-F-INS-055A RAW SC'!CG$17*100)</f>
        <v/>
      </c>
      <c r="CJ58" s="130" t="str">
        <f>IF('Midterm OVPAA-F-INS-055A RAW SC'!CH58="","",'Midterm OVPAA-F-INS-055A RAW SC'!CH58/'Midterm OVPAA-F-INS-055A RAW SC'!CH$17*100)</f>
        <v/>
      </c>
      <c r="CK58" s="130" t="str">
        <f>IF('Midterm OVPAA-F-INS-055A RAW SC'!CI58="","",'Midterm OVPAA-F-INS-055A RAW SC'!CI58/'Midterm OVPAA-F-INS-055A RAW SC'!CI$17*100)</f>
        <v/>
      </c>
      <c r="CL58" s="130" t="str">
        <f>IF('Midterm OVPAA-F-INS-055A RAW SC'!CJ58="","",'Midterm OVPAA-F-INS-055A RAW SC'!CJ58/'Midterm OVPAA-F-INS-055A RAW SC'!CJ$17*100)</f>
        <v/>
      </c>
      <c r="CM58" s="130" t="str">
        <f>IF('Midterm OVPAA-F-INS-055A RAW SC'!CK58="","",'Midterm OVPAA-F-INS-055A RAW SC'!CK58/'Midterm OVPAA-F-INS-055A RAW SC'!CK$17*100)</f>
        <v/>
      </c>
      <c r="CN58" s="130" t="str">
        <f>IF('Midterm OVPAA-F-INS-055A RAW SC'!CL58="","",'Midterm OVPAA-F-INS-055A RAW SC'!CL58/'Midterm OVPAA-F-INS-055A RAW SC'!CL$17*100)</f>
        <v/>
      </c>
      <c r="CO58" s="130" t="str">
        <f>IF('Midterm OVPAA-F-INS-055A RAW SC'!CM58="","",'Midterm OVPAA-F-INS-055A RAW SC'!CM58/'Midterm OVPAA-F-INS-055A RAW SC'!CM$17*100)</f>
        <v/>
      </c>
      <c r="CP58" s="130" t="str">
        <f>IF('Midterm OVPAA-F-INS-055A RAW SC'!CN58="","",'Midterm OVPAA-F-INS-055A RAW SC'!CN58/'Midterm OVPAA-F-INS-055A RAW SC'!CN$17*100)</f>
        <v/>
      </c>
      <c r="CQ58" s="131" t="str">
        <f t="array" ref="CQ58">IF('Midterm OVPAA-F-INS-055A RAW SC'!G58="","",IF((SUMPRODUCT(--ISBLANK('Midterm OVPAA-F-INS-055A RAW SC'!BU58:CN58))=COLUMNS('Midterm OVPAA-F-INS-055A RAW SC'!BU58:CN58))=TRUE,"",(((COUNTA('Midterm OVPAA-F-INS-055A RAW SC'!$BU$17:$CN$17)+COUNTBLANK('Midterm OVPAA-F-INS-055A RAW SC'!BU58:CN58))-COLUMNS('Midterm OVPAA-F-INS-055A RAW SC'!BU58:CN58))*5+SUM(BW58:CP58))/COUNTA('Midterm OVPAA-F-INS-055A RAW SC'!$BU$17:$CN$17)))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IF('Midterm OVPAA-F-INS-055A RAW SC'!CO58="","",'Midterm OVPAA-F-INS-055A RAW SC'!CO58/'Midterm OVPAA-F-INS-055A RAW SC'!CO$17*100)</f>
        <v/>
      </c>
      <c r="CT58" s="133" t="str">
        <f>IF('Midterm OVPAA-F-INS-055A RAW SC'!CP58="","",'Midterm OVPAA-F-INS-055A RAW SC'!CP58/'Midterm OVPAA-F-INS-055A RAW SC'!CP$17*100)</f>
        <v/>
      </c>
      <c r="CU58" s="133" t="str">
        <f>IF('Midterm OVPAA-F-INS-055A RAW SC'!CQ58="","",'Midterm OVPAA-F-INS-055A RAW SC'!CQ58/'Midterm OVPAA-F-INS-055A RAW SC'!CQ$17*100)</f>
        <v/>
      </c>
      <c r="CV58" s="133" t="str">
        <f>IF('Midterm OVPAA-F-INS-055A RAW SC'!CR58="","",'Midterm OVPAA-F-INS-055A RAW SC'!CR58/'Midterm OVPAA-F-INS-055A RAW SC'!CR$17*100)</f>
        <v/>
      </c>
      <c r="CW58" s="133" t="str">
        <f>IF('Midterm OVPAA-F-INS-055A RAW SC'!CS58="","",'Midterm OVPAA-F-INS-055A RAW SC'!CS58/'Midterm OVPAA-F-INS-055A RAW SC'!CS$17*100)</f>
        <v/>
      </c>
      <c r="CX58" s="133" t="str">
        <f>IF('Midterm OVPAA-F-INS-055A RAW SC'!CT58="","",'Midterm OVPAA-F-INS-055A RAW SC'!CT58/'Midterm OVPAA-F-INS-055A RAW SC'!CT$17*100)</f>
        <v/>
      </c>
      <c r="CY58" s="133" t="str">
        <f>IF('Midterm OVPAA-F-INS-055A RAW SC'!CU58="","",'Midterm OVPAA-F-INS-055A RAW SC'!CU58/'Midterm OVPAA-F-INS-055A RAW SC'!CU$17*100)</f>
        <v/>
      </c>
      <c r="CZ58" s="133" t="str">
        <f>IF('Midterm OVPAA-F-INS-055A RAW SC'!CV58="","",'Midterm OVPAA-F-INS-055A RAW SC'!CV58/'Midterm OVPAA-F-INS-055A RAW SC'!CV$17*100)</f>
        <v/>
      </c>
      <c r="DA58" s="133" t="str">
        <f>IF('Midterm OVPAA-F-INS-055A RAW SC'!CW58="","",'Midterm OVPAA-F-INS-055A RAW SC'!CW58/'Midterm OVPAA-F-INS-055A RAW SC'!CW$17*100)</f>
        <v/>
      </c>
      <c r="DB58" s="133" t="str">
        <f>IF('Midterm OVPAA-F-INS-055A RAW SC'!CX58="","",'Midterm OVPAA-F-INS-055A RAW SC'!CX58/'Midterm OVPAA-F-INS-055A RAW SC'!CX$17*100)</f>
        <v/>
      </c>
      <c r="DC58" s="134" t="str">
        <f t="array" ref="DC58">IF('Midterm OVPAA-F-INS-055A RAW SC'!$G58="","",IF((SUMPRODUCT(--ISBLANK('Midterm OVPAA-F-INS-055A RAW SC'!CO58:CX58))=COLUMNS('Midterm OVPAA-F-INS-055A RAW SC'!CO58:CX58))=TRUE,"",(((COUNTA('Midterm OVPAA-F-INS-055A RAW SC'!$CO$17:$CX$17)+COUNTBLANK('Midterm OVPAA-F-INS-055A RAW SC'!CO58:CX58))-COLUMNS('Midterm OVPAA-F-INS-055A RAW SC'!CO58:CX58))*5+SUM(CS58:DB58))/COUNTA('Midterm OVPAA-F-INS-055A RAW SC'!$CO$17:$CX$17)))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37" t="str">
        <f t="shared" si="2"/>
        <v/>
      </c>
      <c r="DG58" s="138" t="str">
        <f t="shared" si="3"/>
        <v/>
      </c>
      <c r="DH58" s="136" t="str">
        <f t="shared" si="4"/>
        <v/>
      </c>
      <c r="DI58" s="123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IF('Midterm OVPAA-F-INS-055A RAW SC'!H59="","",'Midterm OVPAA-F-INS-055A RAW SC'!H59/'Midterm OVPAA-F-INS-055A RAW SC'!H$17*100)</f>
        <v/>
      </c>
      <c r="I59" s="126" t="str">
        <f>IF('Midterm OVPAA-F-INS-055A RAW SC'!I59="","",'Midterm OVPAA-F-INS-055A RAW SC'!I59/'Midterm OVPAA-F-INS-055A RAW SC'!I$17*100)</f>
        <v/>
      </c>
      <c r="J59" s="126" t="str">
        <f>IF('Midterm OVPAA-F-INS-055A RAW SC'!J59="","",'Midterm OVPAA-F-INS-055A RAW SC'!J59/'Midterm OVPAA-F-INS-055A RAW SC'!J$17*100)</f>
        <v/>
      </c>
      <c r="K59" s="126" t="str">
        <f>IF('Midterm OVPAA-F-INS-055A RAW SC'!K59="","",'Midterm OVPAA-F-INS-055A RAW SC'!K59/'Midterm OVPAA-F-INS-055A RAW SC'!K$17*100)</f>
        <v/>
      </c>
      <c r="L59" s="126" t="str">
        <f>IF('Midterm OVPAA-F-INS-055A RAW SC'!L59="","",'Midterm OVPAA-F-INS-055A RAW SC'!L59/'Midterm OVPAA-F-INS-055A RAW SC'!L$17*100)</f>
        <v/>
      </c>
      <c r="M59" s="126" t="str">
        <f>IF('Midterm OVPAA-F-INS-055A RAW SC'!M59="","",'Midterm OVPAA-F-INS-055A RAW SC'!M59/'Midterm OVPAA-F-INS-055A RAW SC'!M$17*100)</f>
        <v/>
      </c>
      <c r="N59" s="126" t="str">
        <f>IF('Midterm OVPAA-F-INS-055A RAW SC'!N59="","",'Midterm OVPAA-F-INS-055A RAW SC'!N59/'Midterm OVPAA-F-INS-055A RAW SC'!N$17*100)</f>
        <v/>
      </c>
      <c r="O59" s="126" t="str">
        <f>IF('Midterm OVPAA-F-INS-055A RAW SC'!O59="","",'Midterm OVPAA-F-INS-055A RAW SC'!O59/'Midterm OVPAA-F-INS-055A RAW SC'!O$17*100)</f>
        <v/>
      </c>
      <c r="P59" s="126" t="str">
        <f>IF('Midterm OVPAA-F-INS-055A RAW SC'!P59="","",'Midterm OVPAA-F-INS-055A RAW SC'!P59/'Midterm OVPAA-F-INS-055A RAW SC'!P$17*100)</f>
        <v/>
      </c>
      <c r="Q59" s="126" t="str">
        <f>IF('Midterm OVPAA-F-INS-055A RAW SC'!Q59="","",'Midterm OVPAA-F-INS-055A RAW SC'!Q59/'Midterm OVPAA-F-INS-055A RAW SC'!Q$17*100)</f>
        <v/>
      </c>
      <c r="R59" s="126" t="str">
        <f>IF('Midterm OVPAA-F-INS-055A RAW SC'!R59="","",'Midterm OVPAA-F-INS-055A RAW SC'!R59/'Midterm OVPAA-F-INS-055A RAW SC'!R$17*100)</f>
        <v/>
      </c>
      <c r="S59" s="126" t="str">
        <f>IF('Midterm OVPAA-F-INS-055A RAW SC'!S59="","",'Midterm OVPAA-F-INS-055A RAW SC'!S59/'Midterm OVPAA-F-INS-055A RAW SC'!S$17*100)</f>
        <v/>
      </c>
      <c r="T59" s="126" t="str">
        <f>IF('Midterm OVPAA-F-INS-055A RAW SC'!T59="","",'Midterm OVPAA-F-INS-055A RAW SC'!T59/'Midterm OVPAA-F-INS-055A RAW SC'!T$17*100)</f>
        <v/>
      </c>
      <c r="U59" s="126" t="str">
        <f>IF('Midterm OVPAA-F-INS-055A RAW SC'!U59="","",'Midterm OVPAA-F-INS-055A RAW SC'!U59/'Midterm OVPAA-F-INS-055A RAW SC'!U$17*100)</f>
        <v/>
      </c>
      <c r="V59" s="126" t="str">
        <f>IF('Midterm OVPAA-F-INS-055A RAW SC'!V59="","",'Midterm OVPAA-F-INS-055A RAW SC'!V59/'Midterm OVPAA-F-INS-055A RAW SC'!V$17*100)</f>
        <v/>
      </c>
      <c r="W59" s="126" t="str">
        <f>IF('Midterm OVPAA-F-INS-055A RAW SC'!W59="","",'Midterm OVPAA-F-INS-055A RAW SC'!W59/'Midterm OVPAA-F-INS-055A RAW SC'!W$17*100)</f>
        <v/>
      </c>
      <c r="X59" s="126" t="str">
        <f>IF('Midterm OVPAA-F-INS-055A RAW SC'!X59="","",'Midterm OVPAA-F-INS-055A RAW SC'!X59/'Midterm OVPAA-F-INS-055A RAW SC'!X$17*100)</f>
        <v/>
      </c>
      <c r="Y59" s="126" t="str">
        <f>IF('Midterm OVPAA-F-INS-055A RAW SC'!Y59="","",'Midterm OVPAA-F-INS-055A RAW SC'!Y59/'Midterm OVPAA-F-INS-055A RAW SC'!Y$17*100)</f>
        <v/>
      </c>
      <c r="Z59" s="126" t="str">
        <f>IF('Midterm OVPAA-F-INS-055A RAW SC'!Z59="","",'Midterm OVPAA-F-INS-055A RAW SC'!Z59/'Midterm OVPAA-F-INS-055A RAW SC'!Z$17*100)</f>
        <v/>
      </c>
      <c r="AA59" s="126" t="str">
        <f>IF('Midterm OVPAA-F-INS-055A RAW SC'!AA59="","",'Midterm OVPAA-F-INS-055A RAW SC'!AA59/'Midterm OVPAA-F-INS-055A RAW SC'!AA$17*100)</f>
        <v/>
      </c>
      <c r="AB59" s="126" t="str">
        <f>IF('Midterm OVPAA-F-INS-055A RAW SC'!AB59="","",'Midterm OVPAA-F-INS-055A RAW SC'!AB59/'Midterm OVPAA-F-INS-055A RAW SC'!AB$17*100)</f>
        <v/>
      </c>
      <c r="AC59" s="126" t="str">
        <f>IF('Midterm OVPAA-F-INS-055A RAW SC'!AC59="","",'Midterm OVPAA-F-INS-055A RAW SC'!AC59/'Midterm OVPAA-F-INS-055A RAW SC'!AC$17*100)</f>
        <v/>
      </c>
      <c r="AD59" s="126" t="str">
        <f>IF('Midterm OVPAA-F-INS-055A RAW SC'!AD59="","",'Midterm OVPAA-F-INS-055A RAW SC'!AD59/'Midterm OVPAA-F-INS-055A RAW SC'!AD$17*100)</f>
        <v/>
      </c>
      <c r="AE59" s="126" t="str">
        <f>IF('Midterm OVPAA-F-INS-055A RAW SC'!AE59="","",'Midterm OVPAA-F-INS-055A RAW SC'!AE59/'Midterm OVPAA-F-INS-055A RAW SC'!AE$17*100)</f>
        <v/>
      </c>
      <c r="AF59" s="126" t="str">
        <f>IF('Midterm OVPAA-F-INS-055A RAW SC'!AF59="","",'Midterm OVPAA-F-INS-055A RAW SC'!AF59/'Midterm OVPAA-F-INS-055A RAW SC'!AF$17*100)</f>
        <v/>
      </c>
      <c r="AG59" s="126" t="str">
        <f>IF('Midterm OVPAA-F-INS-055A RAW SC'!AG59="","",'Midterm OVPAA-F-INS-055A RAW SC'!AG59/'Midterm OVPAA-F-INS-055A RAW SC'!AG$17*100)</f>
        <v/>
      </c>
      <c r="AH59" s="126" t="str">
        <f>IF('Midterm OVPAA-F-INS-055A RAW SC'!AH59="","",'Midterm OVPAA-F-INS-055A RAW SC'!AH59/'Midterm OVPAA-F-INS-055A RAW SC'!AH$17*100)</f>
        <v/>
      </c>
      <c r="AI59" s="126" t="str">
        <f>IF('Midterm OVPAA-F-INS-055A RAW SC'!AI59="","",'Midterm OVPAA-F-INS-055A RAW SC'!AI59/'Midterm OVPAA-F-INS-055A RAW SC'!AI$17*100)</f>
        <v/>
      </c>
      <c r="AJ59" s="126" t="str">
        <f>IF('Midterm OVPAA-F-INS-055A RAW SC'!AJ59="","",'Midterm OVPAA-F-INS-055A RAW SC'!AJ59/'Midterm OVPAA-F-INS-055A RAW SC'!AJ$17*100)</f>
        <v/>
      </c>
      <c r="AK59" s="126" t="str">
        <f>IF('Midterm OVPAA-F-INS-055A RAW SC'!AK59="","",'Midterm OVPAA-F-INS-055A RAW SC'!AK59/'Midterm OVPAA-F-INS-055A RAW SC'!AK$17*100)</f>
        <v/>
      </c>
      <c r="AL59" s="126" t="str">
        <f>IF('Midterm OVPAA-F-INS-055A RAW SC'!AL59="","",'Midterm OVPAA-F-INS-055A RAW SC'!AL59/'Midterm OVPAA-F-INS-055A RAW SC'!AL$17*100)</f>
        <v/>
      </c>
      <c r="AM59" s="126" t="str">
        <f>IF('Midterm OVPAA-F-INS-055A RAW SC'!AM59="","",'Midterm OVPAA-F-INS-055A RAW SC'!AM59/'Midterm OVPAA-F-INS-055A RAW SC'!AM$17*100)</f>
        <v/>
      </c>
      <c r="AN59" s="126" t="str">
        <f>IF('Midterm OVPAA-F-INS-055A RAW SC'!AN59="","",'Midterm OVPAA-F-INS-055A RAW SC'!AN59/'Midterm OVPAA-F-INS-055A RAW SC'!AN$17*100)</f>
        <v/>
      </c>
      <c r="AO59" s="126" t="str">
        <f>IF('Midterm OVPAA-F-INS-055A RAW SC'!AO59="","",'Midterm OVPAA-F-INS-055A RAW SC'!AO59/'Midterm OVPAA-F-INS-055A RAW SC'!AO$17*100)</f>
        <v/>
      </c>
      <c r="AP59" s="126" t="str">
        <f>IF('Midterm OVPAA-F-INS-055A RAW SC'!AP59="","",'Midterm OVPAA-F-INS-055A RAW SC'!AP59/'Midterm OVPAA-F-INS-055A RAW SC'!AP$17*100)</f>
        <v/>
      </c>
      <c r="AQ59" s="126" t="str">
        <f>IF('Midterm OVPAA-F-INS-055A RAW SC'!AQ59="","",'Midterm OVPAA-F-INS-055A RAW SC'!AQ59/'Midterm OVPAA-F-INS-055A RAW SC'!AQ$17*100)</f>
        <v/>
      </c>
      <c r="AR59" s="126" t="str">
        <f>IF('Midterm OVPAA-F-INS-055A RAW SC'!AR59="","",'Midterm OVPAA-F-INS-055A RAW SC'!AR59/'Midterm OVPAA-F-INS-055A RAW SC'!AR$17*100)</f>
        <v/>
      </c>
      <c r="AS59" s="126" t="str">
        <f>IF('Midterm OVPAA-F-INS-055A RAW SC'!AS59="","",'Midterm OVPAA-F-INS-055A RAW SC'!AS59/'Midterm OVPAA-F-INS-055A RAW SC'!AS$17*100)</f>
        <v/>
      </c>
      <c r="AT59" s="126" t="str">
        <f>IF('Midterm OVPAA-F-INS-055A RAW SC'!AT59="","",'Midterm OVPAA-F-INS-055A RAW SC'!AT59/'Midterm OVPAA-F-INS-055A RAW SC'!AT$17*100)</f>
        <v/>
      </c>
      <c r="AU59" s="126" t="str">
        <f>IF('Midterm OVPAA-F-INS-055A RAW SC'!AU59="","",'Midterm OVPAA-F-INS-055A RAW SC'!AU59/'Midterm OVPAA-F-INS-055A RAW SC'!AU$17*100)</f>
        <v/>
      </c>
      <c r="AV59" s="126" t="str">
        <f>IF('Midterm OVPAA-F-INS-055A RAW SC'!AV59="","",'Midterm OVPAA-F-INS-055A RAW SC'!AV59/'Midterm OVPAA-F-INS-055A RAW SC'!AV$17*100)</f>
        <v/>
      </c>
      <c r="AW59" s="126" t="str">
        <f>IF('Midterm OVPAA-F-INS-055A RAW SC'!AW59="","",'Midterm OVPAA-F-INS-055A RAW SC'!AW59/'Midterm OVPAA-F-INS-055A RAW SC'!AW$17*100)</f>
        <v/>
      </c>
      <c r="AX59" s="126" t="str">
        <f>IF('Midterm OVPAA-F-INS-055A RAW SC'!AX59="","",'Midterm OVPAA-F-INS-055A RAW SC'!AX59/'Midterm OVPAA-F-INS-055A RAW SC'!AX$17*100)</f>
        <v/>
      </c>
      <c r="AY59" s="126" t="str">
        <f>IF('Midterm OVPAA-F-INS-055A RAW SC'!AY59="","",'Midterm OVPAA-F-INS-055A RAW SC'!AY59/'Midterm OVPAA-F-INS-055A RAW SC'!AY$17*100)</f>
        <v/>
      </c>
      <c r="AZ59" s="126" t="str">
        <f>IF('Midterm OVPAA-F-INS-055A RAW SC'!AZ59="","",'Midterm OVPAA-F-INS-055A RAW SC'!AZ59/'Midterm OVPAA-F-INS-055A RAW SC'!AZ$17*100)</f>
        <v/>
      </c>
      <c r="BA59" s="126" t="str">
        <f>IF('Midterm OVPAA-F-INS-055A RAW SC'!BA59="","",'Midterm OVPAA-F-INS-055A RAW SC'!BA59/'Midterm OVPAA-F-INS-055A RAW SC'!BA$17*100)</f>
        <v/>
      </c>
      <c r="BB59" s="126" t="str">
        <f>IF('Midterm OVPAA-F-INS-055A RAW SC'!BB59="","",'Midterm OVPAA-F-INS-055A RAW SC'!BB59/'Midterm OVPAA-F-INS-055A RAW SC'!BB$17*100)</f>
        <v/>
      </c>
      <c r="BC59" s="126" t="str">
        <f>IF('Midterm OVPAA-F-INS-055A RAW SC'!BC59="","",'Midterm OVPAA-F-INS-055A RAW SC'!BC59/'Midterm OVPAA-F-INS-055A RAW SC'!BC$17*100)</f>
        <v/>
      </c>
      <c r="BD59" s="126" t="str">
        <f>IF('Midterm OVPAA-F-INS-055A RAW SC'!BD59="","",'Midterm OVPAA-F-INS-055A RAW SC'!BD59/'Midterm OVPAA-F-INS-055A RAW SC'!BD$17*100)</f>
        <v/>
      </c>
      <c r="BE59" s="126" t="str">
        <f>IF('Midterm OVPAA-F-INS-055A RAW SC'!BE59="","",'Midterm OVPAA-F-INS-055A RAW SC'!BE59/'Midterm OVPAA-F-INS-055A RAW SC'!BE$17*100)</f>
        <v/>
      </c>
      <c r="BF59" s="126" t="str">
        <f>IF('Midterm OVPAA-F-INS-055A RAW SC'!BF59="","",'Midterm OVPAA-F-INS-055A RAW SC'!BF59/'Midterm OVPAA-F-INS-055A RAW SC'!BF$17*100)</f>
        <v/>
      </c>
      <c r="BG59" s="126" t="str">
        <f>IF('Midterm OVPAA-F-INS-055A RAW SC'!BG59="","",'Midterm OVPAA-F-INS-055A RAW SC'!BG59/'Midterm OVPAA-F-INS-055A RAW SC'!BG$17*100)</f>
        <v/>
      </c>
      <c r="BH59" s="126" t="str">
        <f>IF('Midterm OVPAA-F-INS-055A RAW SC'!BH59="","",'Midterm OVPAA-F-INS-055A RAW SC'!BH59/'Midterm OVPAA-F-INS-055A RAW SC'!BH$17*100)</f>
        <v/>
      </c>
      <c r="BI59" s="126" t="str">
        <f>IF('Midterm OVPAA-F-INS-055A RAW SC'!BI59="","",'Midterm OVPAA-F-INS-055A RAW SC'!BI59/'Midterm OVPAA-F-INS-055A RAW SC'!BI$17*100)</f>
        <v/>
      </c>
      <c r="BJ59" s="126" t="str">
        <f>IF('Midterm OVPAA-F-INS-055A RAW SC'!BJ59="","",'Midterm OVPAA-F-INS-055A RAW SC'!BJ59/'Midterm OVPAA-F-INS-055A RAW SC'!BJ$17*100)</f>
        <v/>
      </c>
      <c r="BK59" s="126" t="str">
        <f>IF('Midterm OVPAA-F-INS-055A RAW SC'!BK59="","",'Midterm OVPAA-F-INS-055A RAW SC'!BK59/'Midterm OVPAA-F-INS-055A RAW SC'!BK$17*100)</f>
        <v/>
      </c>
      <c r="BL59" s="126" t="str">
        <f>IF('Midterm OVPAA-F-INS-055A RAW SC'!BL59="","",'Midterm OVPAA-F-INS-055A RAW SC'!BL59/'Midterm OVPAA-F-INS-055A RAW SC'!BL$17*100)</f>
        <v/>
      </c>
      <c r="BM59" s="126" t="str">
        <f>IF('Midterm OVPAA-F-INS-055A RAW SC'!BM59="","",'Midterm OVPAA-F-INS-055A RAW SC'!BM59/'Midterm OVPAA-F-INS-055A RAW SC'!BM$17*100)</f>
        <v/>
      </c>
      <c r="BN59" s="126" t="str">
        <f>IF('Midterm OVPAA-F-INS-055A RAW SC'!BN59="","",'Midterm OVPAA-F-INS-055A RAW SC'!BN59/'Midterm OVPAA-F-INS-055A RAW SC'!BN$17*100)</f>
        <v/>
      </c>
      <c r="BO59" s="126" t="str">
        <f>IF('Midterm OVPAA-F-INS-055A RAW SC'!BO59="","",'Midterm OVPAA-F-INS-055A RAW SC'!BO59/'Midterm OVPAA-F-INS-055A RAW SC'!BO$17*100)</f>
        <v/>
      </c>
      <c r="BP59" s="126" t="str">
        <f>IF('Midterm OVPAA-F-INS-055A RAW SC'!BP59="","",'Midterm OVPAA-F-INS-055A RAW SC'!BP59/'Midterm OVPAA-F-INS-055A RAW SC'!BP$17*100)</f>
        <v/>
      </c>
      <c r="BQ59" s="126" t="str">
        <f>IF('Midterm OVPAA-F-INS-055A RAW SC'!BQ59="","",'Midterm OVPAA-F-INS-055A RAW SC'!BQ59/'Midterm OVPAA-F-INS-055A RAW SC'!BQ$17*100)</f>
        <v/>
      </c>
      <c r="BR59" s="126" t="str">
        <f>IF('Midterm OVPAA-F-INS-055A RAW SC'!BR59="","",'Midterm OVPAA-F-INS-055A RAW SC'!BR59/'Midterm OVPAA-F-INS-055A RAW SC'!BR$17*100)</f>
        <v/>
      </c>
      <c r="BS59" s="126" t="str">
        <f>IF('Midterm OVPAA-F-INS-055A RAW SC'!BS59="","",'Midterm OVPAA-F-INS-055A RAW SC'!BS59/'Midterm OVPAA-F-INS-055A RAW SC'!BS$17*100)</f>
        <v/>
      </c>
      <c r="BT59" s="126" t="str">
        <f>IF('Midterm OVPAA-F-INS-055A RAW SC'!BT59="","",'Midterm OVPAA-F-INS-055A RAW SC'!BT59/'Midterm OVPAA-F-INS-055A RAW SC'!BT$17*100)</f>
        <v/>
      </c>
      <c r="BU59" s="127" t="str">
        <f t="array" ref="BU59">IF('Midterm OVPAA-F-INS-055A RAW SC'!$G59="","",IF((SUMPRODUCT(--ISBLANK('Midterm OVPAA-F-INS-055A RAW SC'!H59:BT59))=COLUMNS('Midterm OVPAA-F-INS-055A RAW SC'!H59:BT59))=TRUE,"",(((COUNTA('Midterm OVPAA-F-INS-055A RAW SC'!$H$17:$BT$17)+COUNTBLANK('Midterm OVPAA-F-INS-055A RAW SC'!H59:BT59))-COLUMNS('Midterm OVPAA-F-INS-055A RAW SC'!H59:BT59))*5+SUM(H59:BT59))/COUNTA('Midterm OVPAA-F-INS-055A RAW SC'!$H$17:$BT$17)))</f>
        <v/>
      </c>
      <c r="BV59" s="128" t="str">
        <f>IF(BU59="","",VLOOKUP(BU59,IF('Midterm OVPAA-F-INS-055A RAW SC'!$V$12=0.5,TRANSMUTATION!$C$4:$D$17,TRANSMUTATION!$G$4:$H$17),2,TRUE))</f>
        <v/>
      </c>
      <c r="BW59" s="129" t="str">
        <f>IF('Midterm OVPAA-F-INS-055A RAW SC'!BU59="","",'Midterm OVPAA-F-INS-055A RAW SC'!BU59/'Midterm OVPAA-F-INS-055A RAW SC'!BU$17*100)</f>
        <v/>
      </c>
      <c r="BX59" s="130" t="str">
        <f>IF('Midterm OVPAA-F-INS-055A RAW SC'!BV59="","",'Midterm OVPAA-F-INS-055A RAW SC'!BV59/'Midterm OVPAA-F-INS-055A RAW SC'!BV$17*100)</f>
        <v/>
      </c>
      <c r="BY59" s="130" t="str">
        <f>IF('Midterm OVPAA-F-INS-055A RAW SC'!BW59="","",'Midterm OVPAA-F-INS-055A RAW SC'!BW59/'Midterm OVPAA-F-INS-055A RAW SC'!BW$17*100)</f>
        <v/>
      </c>
      <c r="BZ59" s="130" t="str">
        <f>IF('Midterm OVPAA-F-INS-055A RAW SC'!BX59="","",'Midterm OVPAA-F-INS-055A RAW SC'!BX59/'Midterm OVPAA-F-INS-055A RAW SC'!BX$17*100)</f>
        <v/>
      </c>
      <c r="CA59" s="130" t="str">
        <f>IF('Midterm OVPAA-F-INS-055A RAW SC'!BY59="","",'Midterm OVPAA-F-INS-055A RAW SC'!BY59/'Midterm OVPAA-F-INS-055A RAW SC'!BY$17*100)</f>
        <v/>
      </c>
      <c r="CB59" s="130" t="str">
        <f>IF('Midterm OVPAA-F-INS-055A RAW SC'!BZ59="","",'Midterm OVPAA-F-INS-055A RAW SC'!BZ59/'Midterm OVPAA-F-INS-055A RAW SC'!BZ$17*100)</f>
        <v/>
      </c>
      <c r="CC59" s="130" t="str">
        <f>IF('Midterm OVPAA-F-INS-055A RAW SC'!CA59="","",'Midterm OVPAA-F-INS-055A RAW SC'!CA59/'Midterm OVPAA-F-INS-055A RAW SC'!CA$17*100)</f>
        <v/>
      </c>
      <c r="CD59" s="130" t="str">
        <f>IF('Midterm OVPAA-F-INS-055A RAW SC'!CB59="","",'Midterm OVPAA-F-INS-055A RAW SC'!CB59/'Midterm OVPAA-F-INS-055A RAW SC'!CB$17*100)</f>
        <v/>
      </c>
      <c r="CE59" s="130" t="str">
        <f>IF('Midterm OVPAA-F-INS-055A RAW SC'!CC59="","",'Midterm OVPAA-F-INS-055A RAW SC'!CC59/'Midterm OVPAA-F-INS-055A RAW SC'!CC$17*100)</f>
        <v/>
      </c>
      <c r="CF59" s="130" t="str">
        <f>IF('Midterm OVPAA-F-INS-055A RAW SC'!CD59="","",'Midterm OVPAA-F-INS-055A RAW SC'!CD59/'Midterm OVPAA-F-INS-055A RAW SC'!CD$17*100)</f>
        <v/>
      </c>
      <c r="CG59" s="130" t="str">
        <f>IF('Midterm OVPAA-F-INS-055A RAW SC'!CE59="","",'Midterm OVPAA-F-INS-055A RAW SC'!CE59/'Midterm OVPAA-F-INS-055A RAW SC'!CE$17*100)</f>
        <v/>
      </c>
      <c r="CH59" s="130" t="str">
        <f>IF('Midterm OVPAA-F-INS-055A RAW SC'!CF59="","",'Midterm OVPAA-F-INS-055A RAW SC'!CF59/'Midterm OVPAA-F-INS-055A RAW SC'!CF$17*100)</f>
        <v/>
      </c>
      <c r="CI59" s="130" t="str">
        <f>IF('Midterm OVPAA-F-INS-055A RAW SC'!CG59="","",'Midterm OVPAA-F-INS-055A RAW SC'!CG59/'Midterm OVPAA-F-INS-055A RAW SC'!CG$17*100)</f>
        <v/>
      </c>
      <c r="CJ59" s="130" t="str">
        <f>IF('Midterm OVPAA-F-INS-055A RAW SC'!CH59="","",'Midterm OVPAA-F-INS-055A RAW SC'!CH59/'Midterm OVPAA-F-INS-055A RAW SC'!CH$17*100)</f>
        <v/>
      </c>
      <c r="CK59" s="130" t="str">
        <f>IF('Midterm OVPAA-F-INS-055A RAW SC'!CI59="","",'Midterm OVPAA-F-INS-055A RAW SC'!CI59/'Midterm OVPAA-F-INS-055A RAW SC'!CI$17*100)</f>
        <v/>
      </c>
      <c r="CL59" s="130" t="str">
        <f>IF('Midterm OVPAA-F-INS-055A RAW SC'!CJ59="","",'Midterm OVPAA-F-INS-055A RAW SC'!CJ59/'Midterm OVPAA-F-INS-055A RAW SC'!CJ$17*100)</f>
        <v/>
      </c>
      <c r="CM59" s="130" t="str">
        <f>IF('Midterm OVPAA-F-INS-055A RAW SC'!CK59="","",'Midterm OVPAA-F-INS-055A RAW SC'!CK59/'Midterm OVPAA-F-INS-055A RAW SC'!CK$17*100)</f>
        <v/>
      </c>
      <c r="CN59" s="130" t="str">
        <f>IF('Midterm OVPAA-F-INS-055A RAW SC'!CL59="","",'Midterm OVPAA-F-INS-055A RAW SC'!CL59/'Midterm OVPAA-F-INS-055A RAW SC'!CL$17*100)</f>
        <v/>
      </c>
      <c r="CO59" s="130" t="str">
        <f>IF('Midterm OVPAA-F-INS-055A RAW SC'!CM59="","",'Midterm OVPAA-F-INS-055A RAW SC'!CM59/'Midterm OVPAA-F-INS-055A RAW SC'!CM$17*100)</f>
        <v/>
      </c>
      <c r="CP59" s="130" t="str">
        <f>IF('Midterm OVPAA-F-INS-055A RAW SC'!CN59="","",'Midterm OVPAA-F-INS-055A RAW SC'!CN59/'Midterm OVPAA-F-INS-055A RAW SC'!CN$17*100)</f>
        <v/>
      </c>
      <c r="CQ59" s="131" t="str">
        <f t="array" ref="CQ59">IF('Midterm OVPAA-F-INS-055A RAW SC'!G59="","",IF((SUMPRODUCT(--ISBLANK('Midterm OVPAA-F-INS-055A RAW SC'!BU59:CN59))=COLUMNS('Midterm OVPAA-F-INS-055A RAW SC'!BU59:CN59))=TRUE,"",(((COUNTA('Midterm OVPAA-F-INS-055A RAW SC'!$BU$17:$CN$17)+COUNTBLANK('Midterm OVPAA-F-INS-055A RAW SC'!BU59:CN59))-COLUMNS('Midterm OVPAA-F-INS-055A RAW SC'!BU59:CN59))*5+SUM(BW59:CP59))/COUNTA('Midterm OVPAA-F-INS-055A RAW SC'!$BU$17:$CN$17)))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IF('Midterm OVPAA-F-INS-055A RAW SC'!CO59="","",'Midterm OVPAA-F-INS-055A RAW SC'!CO59/'Midterm OVPAA-F-INS-055A RAW SC'!CO$17*100)</f>
        <v/>
      </c>
      <c r="CT59" s="133" t="str">
        <f>IF('Midterm OVPAA-F-INS-055A RAW SC'!CP59="","",'Midterm OVPAA-F-INS-055A RAW SC'!CP59/'Midterm OVPAA-F-INS-055A RAW SC'!CP$17*100)</f>
        <v/>
      </c>
      <c r="CU59" s="133" t="str">
        <f>IF('Midterm OVPAA-F-INS-055A RAW SC'!CQ59="","",'Midterm OVPAA-F-INS-055A RAW SC'!CQ59/'Midterm OVPAA-F-INS-055A RAW SC'!CQ$17*100)</f>
        <v/>
      </c>
      <c r="CV59" s="133" t="str">
        <f>IF('Midterm OVPAA-F-INS-055A RAW SC'!CR59="","",'Midterm OVPAA-F-INS-055A RAW SC'!CR59/'Midterm OVPAA-F-INS-055A RAW SC'!CR$17*100)</f>
        <v/>
      </c>
      <c r="CW59" s="133" t="str">
        <f>IF('Midterm OVPAA-F-INS-055A RAW SC'!CS59="","",'Midterm OVPAA-F-INS-055A RAW SC'!CS59/'Midterm OVPAA-F-INS-055A RAW SC'!CS$17*100)</f>
        <v/>
      </c>
      <c r="CX59" s="133" t="str">
        <f>IF('Midterm OVPAA-F-INS-055A RAW SC'!CT59="","",'Midterm OVPAA-F-INS-055A RAW SC'!CT59/'Midterm OVPAA-F-INS-055A RAW SC'!CT$17*100)</f>
        <v/>
      </c>
      <c r="CY59" s="133" t="str">
        <f>IF('Midterm OVPAA-F-INS-055A RAW SC'!CU59="","",'Midterm OVPAA-F-INS-055A RAW SC'!CU59/'Midterm OVPAA-F-INS-055A RAW SC'!CU$17*100)</f>
        <v/>
      </c>
      <c r="CZ59" s="133" t="str">
        <f>IF('Midterm OVPAA-F-INS-055A RAW SC'!CV59="","",'Midterm OVPAA-F-INS-055A RAW SC'!CV59/'Midterm OVPAA-F-INS-055A RAW SC'!CV$17*100)</f>
        <v/>
      </c>
      <c r="DA59" s="133" t="str">
        <f>IF('Midterm OVPAA-F-INS-055A RAW SC'!CW59="","",'Midterm OVPAA-F-INS-055A RAW SC'!CW59/'Midterm OVPAA-F-INS-055A RAW SC'!CW$17*100)</f>
        <v/>
      </c>
      <c r="DB59" s="133" t="str">
        <f>IF('Midterm OVPAA-F-INS-055A RAW SC'!CX59="","",'Midterm OVPAA-F-INS-055A RAW SC'!CX59/'Midterm OVPAA-F-INS-055A RAW SC'!CX$17*100)</f>
        <v/>
      </c>
      <c r="DC59" s="134" t="str">
        <f t="array" ref="DC59">IF('Midterm OVPAA-F-INS-055A RAW SC'!$G59="","",IF((SUMPRODUCT(--ISBLANK('Midterm OVPAA-F-INS-055A RAW SC'!CO59:CX59))=COLUMNS('Midterm OVPAA-F-INS-055A RAW SC'!CO59:CX59))=TRUE,"",(((COUNTA('Midterm OVPAA-F-INS-055A RAW SC'!$CO$17:$CX$17)+COUNTBLANK('Midterm OVPAA-F-INS-055A RAW SC'!CO59:CX59))-COLUMNS('Midterm OVPAA-F-INS-055A RAW SC'!CO59:CX59))*5+SUM(CS59:DB59))/COUNTA('Midterm OVPAA-F-INS-055A RAW SC'!$CO$17:$CX$17)))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37" t="str">
        <f t="shared" si="2"/>
        <v/>
      </c>
      <c r="DG59" s="138" t="str">
        <f t="shared" si="3"/>
        <v/>
      </c>
      <c r="DH59" s="136" t="str">
        <f t="shared" si="4"/>
        <v/>
      </c>
      <c r="DI59" s="123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IF('Midterm OVPAA-F-INS-055A RAW SC'!H60="","",'Midterm OVPAA-F-INS-055A RAW SC'!H60/'Midterm OVPAA-F-INS-055A RAW SC'!H$17*100)</f>
        <v/>
      </c>
      <c r="I60" s="126" t="str">
        <f>IF('Midterm OVPAA-F-INS-055A RAW SC'!I60="","",'Midterm OVPAA-F-INS-055A RAW SC'!I60/'Midterm OVPAA-F-INS-055A RAW SC'!I$17*100)</f>
        <v/>
      </c>
      <c r="J60" s="126" t="str">
        <f>IF('Midterm OVPAA-F-INS-055A RAW SC'!J60="","",'Midterm OVPAA-F-INS-055A RAW SC'!J60/'Midterm OVPAA-F-INS-055A RAW SC'!J$17*100)</f>
        <v/>
      </c>
      <c r="K60" s="126" t="str">
        <f>IF('Midterm OVPAA-F-INS-055A RAW SC'!K60="","",'Midterm OVPAA-F-INS-055A RAW SC'!K60/'Midterm OVPAA-F-INS-055A RAW SC'!K$17*100)</f>
        <v/>
      </c>
      <c r="L60" s="126" t="str">
        <f>IF('Midterm OVPAA-F-INS-055A RAW SC'!L60="","",'Midterm OVPAA-F-INS-055A RAW SC'!L60/'Midterm OVPAA-F-INS-055A RAW SC'!L$17*100)</f>
        <v/>
      </c>
      <c r="M60" s="126" t="str">
        <f>IF('Midterm OVPAA-F-INS-055A RAW SC'!M60="","",'Midterm OVPAA-F-INS-055A RAW SC'!M60/'Midterm OVPAA-F-INS-055A RAW SC'!M$17*100)</f>
        <v/>
      </c>
      <c r="N60" s="126" t="str">
        <f>IF('Midterm OVPAA-F-INS-055A RAW SC'!N60="","",'Midterm OVPAA-F-INS-055A RAW SC'!N60/'Midterm OVPAA-F-INS-055A RAW SC'!N$17*100)</f>
        <v/>
      </c>
      <c r="O60" s="126" t="str">
        <f>IF('Midterm OVPAA-F-INS-055A RAW SC'!O60="","",'Midterm OVPAA-F-INS-055A RAW SC'!O60/'Midterm OVPAA-F-INS-055A RAW SC'!O$17*100)</f>
        <v/>
      </c>
      <c r="P60" s="126" t="str">
        <f>IF('Midterm OVPAA-F-INS-055A RAW SC'!P60="","",'Midterm OVPAA-F-INS-055A RAW SC'!P60/'Midterm OVPAA-F-INS-055A RAW SC'!P$17*100)</f>
        <v/>
      </c>
      <c r="Q60" s="126" t="str">
        <f>IF('Midterm OVPAA-F-INS-055A RAW SC'!Q60="","",'Midterm OVPAA-F-INS-055A RAW SC'!Q60/'Midterm OVPAA-F-INS-055A RAW SC'!Q$17*100)</f>
        <v/>
      </c>
      <c r="R60" s="126" t="str">
        <f>IF('Midterm OVPAA-F-INS-055A RAW SC'!R60="","",'Midterm OVPAA-F-INS-055A RAW SC'!R60/'Midterm OVPAA-F-INS-055A RAW SC'!R$17*100)</f>
        <v/>
      </c>
      <c r="S60" s="126" t="str">
        <f>IF('Midterm OVPAA-F-INS-055A RAW SC'!S60="","",'Midterm OVPAA-F-INS-055A RAW SC'!S60/'Midterm OVPAA-F-INS-055A RAW SC'!S$17*100)</f>
        <v/>
      </c>
      <c r="T60" s="126" t="str">
        <f>IF('Midterm OVPAA-F-INS-055A RAW SC'!T60="","",'Midterm OVPAA-F-INS-055A RAW SC'!T60/'Midterm OVPAA-F-INS-055A RAW SC'!T$17*100)</f>
        <v/>
      </c>
      <c r="U60" s="126" t="str">
        <f>IF('Midterm OVPAA-F-INS-055A RAW SC'!U60="","",'Midterm OVPAA-F-INS-055A RAW SC'!U60/'Midterm OVPAA-F-INS-055A RAW SC'!U$17*100)</f>
        <v/>
      </c>
      <c r="V60" s="126" t="str">
        <f>IF('Midterm OVPAA-F-INS-055A RAW SC'!V60="","",'Midterm OVPAA-F-INS-055A RAW SC'!V60/'Midterm OVPAA-F-INS-055A RAW SC'!V$17*100)</f>
        <v/>
      </c>
      <c r="W60" s="126" t="str">
        <f>IF('Midterm OVPAA-F-INS-055A RAW SC'!W60="","",'Midterm OVPAA-F-INS-055A RAW SC'!W60/'Midterm OVPAA-F-INS-055A RAW SC'!W$17*100)</f>
        <v/>
      </c>
      <c r="X60" s="126" t="str">
        <f>IF('Midterm OVPAA-F-INS-055A RAW SC'!X60="","",'Midterm OVPAA-F-INS-055A RAW SC'!X60/'Midterm OVPAA-F-INS-055A RAW SC'!X$17*100)</f>
        <v/>
      </c>
      <c r="Y60" s="126" t="str">
        <f>IF('Midterm OVPAA-F-INS-055A RAW SC'!Y60="","",'Midterm OVPAA-F-INS-055A RAW SC'!Y60/'Midterm OVPAA-F-INS-055A RAW SC'!Y$17*100)</f>
        <v/>
      </c>
      <c r="Z60" s="126" t="str">
        <f>IF('Midterm OVPAA-F-INS-055A RAW SC'!Z60="","",'Midterm OVPAA-F-INS-055A RAW SC'!Z60/'Midterm OVPAA-F-INS-055A RAW SC'!Z$17*100)</f>
        <v/>
      </c>
      <c r="AA60" s="126" t="str">
        <f>IF('Midterm OVPAA-F-INS-055A RAW SC'!AA60="","",'Midterm OVPAA-F-INS-055A RAW SC'!AA60/'Midterm OVPAA-F-INS-055A RAW SC'!AA$17*100)</f>
        <v/>
      </c>
      <c r="AB60" s="126" t="str">
        <f>IF('Midterm OVPAA-F-INS-055A RAW SC'!AB60="","",'Midterm OVPAA-F-INS-055A RAW SC'!AB60/'Midterm OVPAA-F-INS-055A RAW SC'!AB$17*100)</f>
        <v/>
      </c>
      <c r="AC60" s="126" t="str">
        <f>IF('Midterm OVPAA-F-INS-055A RAW SC'!AC60="","",'Midterm OVPAA-F-INS-055A RAW SC'!AC60/'Midterm OVPAA-F-INS-055A RAW SC'!AC$17*100)</f>
        <v/>
      </c>
      <c r="AD60" s="126" t="str">
        <f>IF('Midterm OVPAA-F-INS-055A RAW SC'!AD60="","",'Midterm OVPAA-F-INS-055A RAW SC'!AD60/'Midterm OVPAA-F-INS-055A RAW SC'!AD$17*100)</f>
        <v/>
      </c>
      <c r="AE60" s="126" t="str">
        <f>IF('Midterm OVPAA-F-INS-055A RAW SC'!AE60="","",'Midterm OVPAA-F-INS-055A RAW SC'!AE60/'Midterm OVPAA-F-INS-055A RAW SC'!AE$17*100)</f>
        <v/>
      </c>
      <c r="AF60" s="126" t="str">
        <f>IF('Midterm OVPAA-F-INS-055A RAW SC'!AF60="","",'Midterm OVPAA-F-INS-055A RAW SC'!AF60/'Midterm OVPAA-F-INS-055A RAW SC'!AF$17*100)</f>
        <v/>
      </c>
      <c r="AG60" s="126" t="str">
        <f>IF('Midterm OVPAA-F-INS-055A RAW SC'!AG60="","",'Midterm OVPAA-F-INS-055A RAW SC'!AG60/'Midterm OVPAA-F-INS-055A RAW SC'!AG$17*100)</f>
        <v/>
      </c>
      <c r="AH60" s="126" t="str">
        <f>IF('Midterm OVPAA-F-INS-055A RAW SC'!AH60="","",'Midterm OVPAA-F-INS-055A RAW SC'!AH60/'Midterm OVPAA-F-INS-055A RAW SC'!AH$17*100)</f>
        <v/>
      </c>
      <c r="AI60" s="126" t="str">
        <f>IF('Midterm OVPAA-F-INS-055A RAW SC'!AI60="","",'Midterm OVPAA-F-INS-055A RAW SC'!AI60/'Midterm OVPAA-F-INS-055A RAW SC'!AI$17*100)</f>
        <v/>
      </c>
      <c r="AJ60" s="126" t="str">
        <f>IF('Midterm OVPAA-F-INS-055A RAW SC'!AJ60="","",'Midterm OVPAA-F-INS-055A RAW SC'!AJ60/'Midterm OVPAA-F-INS-055A RAW SC'!AJ$17*100)</f>
        <v/>
      </c>
      <c r="AK60" s="126" t="str">
        <f>IF('Midterm OVPAA-F-INS-055A RAW SC'!AK60="","",'Midterm OVPAA-F-INS-055A RAW SC'!AK60/'Midterm OVPAA-F-INS-055A RAW SC'!AK$17*100)</f>
        <v/>
      </c>
      <c r="AL60" s="126" t="str">
        <f>IF('Midterm OVPAA-F-INS-055A RAW SC'!AL60="","",'Midterm OVPAA-F-INS-055A RAW SC'!AL60/'Midterm OVPAA-F-INS-055A RAW SC'!AL$17*100)</f>
        <v/>
      </c>
      <c r="AM60" s="126" t="str">
        <f>IF('Midterm OVPAA-F-INS-055A RAW SC'!AM60="","",'Midterm OVPAA-F-INS-055A RAW SC'!AM60/'Midterm OVPAA-F-INS-055A RAW SC'!AM$17*100)</f>
        <v/>
      </c>
      <c r="AN60" s="126" t="str">
        <f>IF('Midterm OVPAA-F-INS-055A RAW SC'!AN60="","",'Midterm OVPAA-F-INS-055A RAW SC'!AN60/'Midterm OVPAA-F-INS-055A RAW SC'!AN$17*100)</f>
        <v/>
      </c>
      <c r="AO60" s="126" t="str">
        <f>IF('Midterm OVPAA-F-INS-055A RAW SC'!AO60="","",'Midterm OVPAA-F-INS-055A RAW SC'!AO60/'Midterm OVPAA-F-INS-055A RAW SC'!AO$17*100)</f>
        <v/>
      </c>
      <c r="AP60" s="126" t="str">
        <f>IF('Midterm OVPAA-F-INS-055A RAW SC'!AP60="","",'Midterm OVPAA-F-INS-055A RAW SC'!AP60/'Midterm OVPAA-F-INS-055A RAW SC'!AP$17*100)</f>
        <v/>
      </c>
      <c r="AQ60" s="126" t="str">
        <f>IF('Midterm OVPAA-F-INS-055A RAW SC'!AQ60="","",'Midterm OVPAA-F-INS-055A RAW SC'!AQ60/'Midterm OVPAA-F-INS-055A RAW SC'!AQ$17*100)</f>
        <v/>
      </c>
      <c r="AR60" s="126" t="str">
        <f>IF('Midterm OVPAA-F-INS-055A RAW SC'!AR60="","",'Midterm OVPAA-F-INS-055A RAW SC'!AR60/'Midterm OVPAA-F-INS-055A RAW SC'!AR$17*100)</f>
        <v/>
      </c>
      <c r="AS60" s="126" t="str">
        <f>IF('Midterm OVPAA-F-INS-055A RAW SC'!AS60="","",'Midterm OVPAA-F-INS-055A RAW SC'!AS60/'Midterm OVPAA-F-INS-055A RAW SC'!AS$17*100)</f>
        <v/>
      </c>
      <c r="AT60" s="126" t="str">
        <f>IF('Midterm OVPAA-F-INS-055A RAW SC'!AT60="","",'Midterm OVPAA-F-INS-055A RAW SC'!AT60/'Midterm OVPAA-F-INS-055A RAW SC'!AT$17*100)</f>
        <v/>
      </c>
      <c r="AU60" s="126" t="str">
        <f>IF('Midterm OVPAA-F-INS-055A RAW SC'!AU60="","",'Midterm OVPAA-F-INS-055A RAW SC'!AU60/'Midterm OVPAA-F-INS-055A RAW SC'!AU$17*100)</f>
        <v/>
      </c>
      <c r="AV60" s="126" t="str">
        <f>IF('Midterm OVPAA-F-INS-055A RAW SC'!AV60="","",'Midterm OVPAA-F-INS-055A RAW SC'!AV60/'Midterm OVPAA-F-INS-055A RAW SC'!AV$17*100)</f>
        <v/>
      </c>
      <c r="AW60" s="126" t="str">
        <f>IF('Midterm OVPAA-F-INS-055A RAW SC'!AW60="","",'Midterm OVPAA-F-INS-055A RAW SC'!AW60/'Midterm OVPAA-F-INS-055A RAW SC'!AW$17*100)</f>
        <v/>
      </c>
      <c r="AX60" s="126" t="str">
        <f>IF('Midterm OVPAA-F-INS-055A RAW SC'!AX60="","",'Midterm OVPAA-F-INS-055A RAW SC'!AX60/'Midterm OVPAA-F-INS-055A RAW SC'!AX$17*100)</f>
        <v/>
      </c>
      <c r="AY60" s="126" t="str">
        <f>IF('Midterm OVPAA-F-INS-055A RAW SC'!AY60="","",'Midterm OVPAA-F-INS-055A RAW SC'!AY60/'Midterm OVPAA-F-INS-055A RAW SC'!AY$17*100)</f>
        <v/>
      </c>
      <c r="AZ60" s="126" t="str">
        <f>IF('Midterm OVPAA-F-INS-055A RAW SC'!AZ60="","",'Midterm OVPAA-F-INS-055A RAW SC'!AZ60/'Midterm OVPAA-F-INS-055A RAW SC'!AZ$17*100)</f>
        <v/>
      </c>
      <c r="BA60" s="126" t="str">
        <f>IF('Midterm OVPAA-F-INS-055A RAW SC'!BA60="","",'Midterm OVPAA-F-INS-055A RAW SC'!BA60/'Midterm OVPAA-F-INS-055A RAW SC'!BA$17*100)</f>
        <v/>
      </c>
      <c r="BB60" s="126" t="str">
        <f>IF('Midterm OVPAA-F-INS-055A RAW SC'!BB60="","",'Midterm OVPAA-F-INS-055A RAW SC'!BB60/'Midterm OVPAA-F-INS-055A RAW SC'!BB$17*100)</f>
        <v/>
      </c>
      <c r="BC60" s="126" t="str">
        <f>IF('Midterm OVPAA-F-INS-055A RAW SC'!BC60="","",'Midterm OVPAA-F-INS-055A RAW SC'!BC60/'Midterm OVPAA-F-INS-055A RAW SC'!BC$17*100)</f>
        <v/>
      </c>
      <c r="BD60" s="126" t="str">
        <f>IF('Midterm OVPAA-F-INS-055A RAW SC'!BD60="","",'Midterm OVPAA-F-INS-055A RAW SC'!BD60/'Midterm OVPAA-F-INS-055A RAW SC'!BD$17*100)</f>
        <v/>
      </c>
      <c r="BE60" s="126" t="str">
        <f>IF('Midterm OVPAA-F-INS-055A RAW SC'!BE60="","",'Midterm OVPAA-F-INS-055A RAW SC'!BE60/'Midterm OVPAA-F-INS-055A RAW SC'!BE$17*100)</f>
        <v/>
      </c>
      <c r="BF60" s="126" t="str">
        <f>IF('Midterm OVPAA-F-INS-055A RAW SC'!BF60="","",'Midterm OVPAA-F-INS-055A RAW SC'!BF60/'Midterm OVPAA-F-INS-055A RAW SC'!BF$17*100)</f>
        <v/>
      </c>
      <c r="BG60" s="126" t="str">
        <f>IF('Midterm OVPAA-F-INS-055A RAW SC'!BG60="","",'Midterm OVPAA-F-INS-055A RAW SC'!BG60/'Midterm OVPAA-F-INS-055A RAW SC'!BG$17*100)</f>
        <v/>
      </c>
      <c r="BH60" s="126" t="str">
        <f>IF('Midterm OVPAA-F-INS-055A RAW SC'!BH60="","",'Midterm OVPAA-F-INS-055A RAW SC'!BH60/'Midterm OVPAA-F-INS-055A RAW SC'!BH$17*100)</f>
        <v/>
      </c>
      <c r="BI60" s="126" t="str">
        <f>IF('Midterm OVPAA-F-INS-055A RAW SC'!BI60="","",'Midterm OVPAA-F-INS-055A RAW SC'!BI60/'Midterm OVPAA-F-INS-055A RAW SC'!BI$17*100)</f>
        <v/>
      </c>
      <c r="BJ60" s="126" t="str">
        <f>IF('Midterm OVPAA-F-INS-055A RAW SC'!BJ60="","",'Midterm OVPAA-F-INS-055A RAW SC'!BJ60/'Midterm OVPAA-F-INS-055A RAW SC'!BJ$17*100)</f>
        <v/>
      </c>
      <c r="BK60" s="126" t="str">
        <f>IF('Midterm OVPAA-F-INS-055A RAW SC'!BK60="","",'Midterm OVPAA-F-INS-055A RAW SC'!BK60/'Midterm OVPAA-F-INS-055A RAW SC'!BK$17*100)</f>
        <v/>
      </c>
      <c r="BL60" s="126" t="str">
        <f>IF('Midterm OVPAA-F-INS-055A RAW SC'!BL60="","",'Midterm OVPAA-F-INS-055A RAW SC'!BL60/'Midterm OVPAA-F-INS-055A RAW SC'!BL$17*100)</f>
        <v/>
      </c>
      <c r="BM60" s="126" t="str">
        <f>IF('Midterm OVPAA-F-INS-055A RAW SC'!BM60="","",'Midterm OVPAA-F-INS-055A RAW SC'!BM60/'Midterm OVPAA-F-INS-055A RAW SC'!BM$17*100)</f>
        <v/>
      </c>
      <c r="BN60" s="126" t="str">
        <f>IF('Midterm OVPAA-F-INS-055A RAW SC'!BN60="","",'Midterm OVPAA-F-INS-055A RAW SC'!BN60/'Midterm OVPAA-F-INS-055A RAW SC'!BN$17*100)</f>
        <v/>
      </c>
      <c r="BO60" s="126" t="str">
        <f>IF('Midterm OVPAA-F-INS-055A RAW SC'!BO60="","",'Midterm OVPAA-F-INS-055A RAW SC'!BO60/'Midterm OVPAA-F-INS-055A RAW SC'!BO$17*100)</f>
        <v/>
      </c>
      <c r="BP60" s="126" t="str">
        <f>IF('Midterm OVPAA-F-INS-055A RAW SC'!BP60="","",'Midterm OVPAA-F-INS-055A RAW SC'!BP60/'Midterm OVPAA-F-INS-055A RAW SC'!BP$17*100)</f>
        <v/>
      </c>
      <c r="BQ60" s="126" t="str">
        <f>IF('Midterm OVPAA-F-INS-055A RAW SC'!BQ60="","",'Midterm OVPAA-F-INS-055A RAW SC'!BQ60/'Midterm OVPAA-F-INS-055A RAW SC'!BQ$17*100)</f>
        <v/>
      </c>
      <c r="BR60" s="126" t="str">
        <f>IF('Midterm OVPAA-F-INS-055A RAW SC'!BR60="","",'Midterm OVPAA-F-INS-055A RAW SC'!BR60/'Midterm OVPAA-F-INS-055A RAW SC'!BR$17*100)</f>
        <v/>
      </c>
      <c r="BS60" s="126" t="str">
        <f>IF('Midterm OVPAA-F-INS-055A RAW SC'!BS60="","",'Midterm OVPAA-F-INS-055A RAW SC'!BS60/'Midterm OVPAA-F-INS-055A RAW SC'!BS$17*100)</f>
        <v/>
      </c>
      <c r="BT60" s="126" t="str">
        <f>IF('Midterm OVPAA-F-INS-055A RAW SC'!BT60="","",'Midterm OVPAA-F-INS-055A RAW SC'!BT60/'Midterm OVPAA-F-INS-055A RAW SC'!BT$17*100)</f>
        <v/>
      </c>
      <c r="BU60" s="127" t="str">
        <f t="array" ref="BU60">IF('Midterm OVPAA-F-INS-055A RAW SC'!$G60="","",IF((SUMPRODUCT(--ISBLANK('Midterm OVPAA-F-INS-055A RAW SC'!H60:BT60))=COLUMNS('Midterm OVPAA-F-INS-055A RAW SC'!H60:BT60))=TRUE,"",(((COUNTA('Midterm OVPAA-F-INS-055A RAW SC'!$H$17:$BT$17)+COUNTBLANK('Midterm OVPAA-F-INS-055A RAW SC'!H60:BT60))-COLUMNS('Midterm OVPAA-F-INS-055A RAW SC'!H60:BT60))*5+SUM(H60:BT60))/COUNTA('Midterm OVPAA-F-INS-055A RAW SC'!$H$17:$BT$17)))</f>
        <v/>
      </c>
      <c r="BV60" s="128" t="str">
        <f>IF(BU60="","",VLOOKUP(BU60,IF('Midterm OVPAA-F-INS-055A RAW SC'!$V$12=0.5,TRANSMUTATION!$C$4:$D$17,TRANSMUTATION!$G$4:$H$17),2,TRUE))</f>
        <v/>
      </c>
      <c r="BW60" s="129" t="str">
        <f>IF('Midterm OVPAA-F-INS-055A RAW SC'!BU60="","",'Midterm OVPAA-F-INS-055A RAW SC'!BU60/'Midterm OVPAA-F-INS-055A RAW SC'!BU$17*100)</f>
        <v/>
      </c>
      <c r="BX60" s="130" t="str">
        <f>IF('Midterm OVPAA-F-INS-055A RAW SC'!BV60="","",'Midterm OVPAA-F-INS-055A RAW SC'!BV60/'Midterm OVPAA-F-INS-055A RAW SC'!BV$17*100)</f>
        <v/>
      </c>
      <c r="BY60" s="130" t="str">
        <f>IF('Midterm OVPAA-F-INS-055A RAW SC'!BW60="","",'Midterm OVPAA-F-INS-055A RAW SC'!BW60/'Midterm OVPAA-F-INS-055A RAW SC'!BW$17*100)</f>
        <v/>
      </c>
      <c r="BZ60" s="130" t="str">
        <f>IF('Midterm OVPAA-F-INS-055A RAW SC'!BX60="","",'Midterm OVPAA-F-INS-055A RAW SC'!BX60/'Midterm OVPAA-F-INS-055A RAW SC'!BX$17*100)</f>
        <v/>
      </c>
      <c r="CA60" s="130" t="str">
        <f>IF('Midterm OVPAA-F-INS-055A RAW SC'!BY60="","",'Midterm OVPAA-F-INS-055A RAW SC'!BY60/'Midterm OVPAA-F-INS-055A RAW SC'!BY$17*100)</f>
        <v/>
      </c>
      <c r="CB60" s="130" t="str">
        <f>IF('Midterm OVPAA-F-INS-055A RAW SC'!BZ60="","",'Midterm OVPAA-F-INS-055A RAW SC'!BZ60/'Midterm OVPAA-F-INS-055A RAW SC'!BZ$17*100)</f>
        <v/>
      </c>
      <c r="CC60" s="130" t="str">
        <f>IF('Midterm OVPAA-F-INS-055A RAW SC'!CA60="","",'Midterm OVPAA-F-INS-055A RAW SC'!CA60/'Midterm OVPAA-F-INS-055A RAW SC'!CA$17*100)</f>
        <v/>
      </c>
      <c r="CD60" s="130" t="str">
        <f>IF('Midterm OVPAA-F-INS-055A RAW SC'!CB60="","",'Midterm OVPAA-F-INS-055A RAW SC'!CB60/'Midterm OVPAA-F-INS-055A RAW SC'!CB$17*100)</f>
        <v/>
      </c>
      <c r="CE60" s="130" t="str">
        <f>IF('Midterm OVPAA-F-INS-055A RAW SC'!CC60="","",'Midterm OVPAA-F-INS-055A RAW SC'!CC60/'Midterm OVPAA-F-INS-055A RAW SC'!CC$17*100)</f>
        <v/>
      </c>
      <c r="CF60" s="130" t="str">
        <f>IF('Midterm OVPAA-F-INS-055A RAW SC'!CD60="","",'Midterm OVPAA-F-INS-055A RAW SC'!CD60/'Midterm OVPAA-F-INS-055A RAW SC'!CD$17*100)</f>
        <v/>
      </c>
      <c r="CG60" s="130" t="str">
        <f>IF('Midterm OVPAA-F-INS-055A RAW SC'!CE60="","",'Midterm OVPAA-F-INS-055A RAW SC'!CE60/'Midterm OVPAA-F-INS-055A RAW SC'!CE$17*100)</f>
        <v/>
      </c>
      <c r="CH60" s="130" t="str">
        <f>IF('Midterm OVPAA-F-INS-055A RAW SC'!CF60="","",'Midterm OVPAA-F-INS-055A RAW SC'!CF60/'Midterm OVPAA-F-INS-055A RAW SC'!CF$17*100)</f>
        <v/>
      </c>
      <c r="CI60" s="130" t="str">
        <f>IF('Midterm OVPAA-F-INS-055A RAW SC'!CG60="","",'Midterm OVPAA-F-INS-055A RAW SC'!CG60/'Midterm OVPAA-F-INS-055A RAW SC'!CG$17*100)</f>
        <v/>
      </c>
      <c r="CJ60" s="130" t="str">
        <f>IF('Midterm OVPAA-F-INS-055A RAW SC'!CH60="","",'Midterm OVPAA-F-INS-055A RAW SC'!CH60/'Midterm OVPAA-F-INS-055A RAW SC'!CH$17*100)</f>
        <v/>
      </c>
      <c r="CK60" s="130" t="str">
        <f>IF('Midterm OVPAA-F-INS-055A RAW SC'!CI60="","",'Midterm OVPAA-F-INS-055A RAW SC'!CI60/'Midterm OVPAA-F-INS-055A RAW SC'!CI$17*100)</f>
        <v/>
      </c>
      <c r="CL60" s="130" t="str">
        <f>IF('Midterm OVPAA-F-INS-055A RAW SC'!CJ60="","",'Midterm OVPAA-F-INS-055A RAW SC'!CJ60/'Midterm OVPAA-F-INS-055A RAW SC'!CJ$17*100)</f>
        <v/>
      </c>
      <c r="CM60" s="130" t="str">
        <f>IF('Midterm OVPAA-F-INS-055A RAW SC'!CK60="","",'Midterm OVPAA-F-INS-055A RAW SC'!CK60/'Midterm OVPAA-F-INS-055A RAW SC'!CK$17*100)</f>
        <v/>
      </c>
      <c r="CN60" s="130" t="str">
        <f>IF('Midterm OVPAA-F-INS-055A RAW SC'!CL60="","",'Midterm OVPAA-F-INS-055A RAW SC'!CL60/'Midterm OVPAA-F-INS-055A RAW SC'!CL$17*100)</f>
        <v/>
      </c>
      <c r="CO60" s="130" t="str">
        <f>IF('Midterm OVPAA-F-INS-055A RAW SC'!CM60="","",'Midterm OVPAA-F-INS-055A RAW SC'!CM60/'Midterm OVPAA-F-INS-055A RAW SC'!CM$17*100)</f>
        <v/>
      </c>
      <c r="CP60" s="130" t="str">
        <f>IF('Midterm OVPAA-F-INS-055A RAW SC'!CN60="","",'Midterm OVPAA-F-INS-055A RAW SC'!CN60/'Midterm OVPAA-F-INS-055A RAW SC'!CN$17*100)</f>
        <v/>
      </c>
      <c r="CQ60" s="131" t="str">
        <f t="array" ref="CQ60">IF('Midterm OVPAA-F-INS-055A RAW SC'!G60="","",IF((SUMPRODUCT(--ISBLANK('Midterm OVPAA-F-INS-055A RAW SC'!BU60:CN60))=COLUMNS('Midterm OVPAA-F-INS-055A RAW SC'!BU60:CN60))=TRUE,"",(((COUNTA('Midterm OVPAA-F-INS-055A RAW SC'!$BU$17:$CN$17)+COUNTBLANK('Midterm OVPAA-F-INS-055A RAW SC'!BU60:CN60))-COLUMNS('Midterm OVPAA-F-INS-055A RAW SC'!BU60:CN60))*5+SUM(BW60:CP60))/COUNTA('Midterm OVPAA-F-INS-055A RAW SC'!$BU$17:$CN$17)))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IF('Midterm OVPAA-F-INS-055A RAW SC'!CO60="","",'Midterm OVPAA-F-INS-055A RAW SC'!CO60/'Midterm OVPAA-F-INS-055A RAW SC'!CO$17*100)</f>
        <v/>
      </c>
      <c r="CT60" s="133" t="str">
        <f>IF('Midterm OVPAA-F-INS-055A RAW SC'!CP60="","",'Midterm OVPAA-F-INS-055A RAW SC'!CP60/'Midterm OVPAA-F-INS-055A RAW SC'!CP$17*100)</f>
        <v/>
      </c>
      <c r="CU60" s="133" t="str">
        <f>IF('Midterm OVPAA-F-INS-055A RAW SC'!CQ60="","",'Midterm OVPAA-F-INS-055A RAW SC'!CQ60/'Midterm OVPAA-F-INS-055A RAW SC'!CQ$17*100)</f>
        <v/>
      </c>
      <c r="CV60" s="133" t="str">
        <f>IF('Midterm OVPAA-F-INS-055A RAW SC'!CR60="","",'Midterm OVPAA-F-INS-055A RAW SC'!CR60/'Midterm OVPAA-F-INS-055A RAW SC'!CR$17*100)</f>
        <v/>
      </c>
      <c r="CW60" s="133" t="str">
        <f>IF('Midterm OVPAA-F-INS-055A RAW SC'!CS60="","",'Midterm OVPAA-F-INS-055A RAW SC'!CS60/'Midterm OVPAA-F-INS-055A RAW SC'!CS$17*100)</f>
        <v/>
      </c>
      <c r="CX60" s="133" t="str">
        <f>IF('Midterm OVPAA-F-INS-055A RAW SC'!CT60="","",'Midterm OVPAA-F-INS-055A RAW SC'!CT60/'Midterm OVPAA-F-INS-055A RAW SC'!CT$17*100)</f>
        <v/>
      </c>
      <c r="CY60" s="133" t="str">
        <f>IF('Midterm OVPAA-F-INS-055A RAW SC'!CU60="","",'Midterm OVPAA-F-INS-055A RAW SC'!CU60/'Midterm OVPAA-F-INS-055A RAW SC'!CU$17*100)</f>
        <v/>
      </c>
      <c r="CZ60" s="133" t="str">
        <f>IF('Midterm OVPAA-F-INS-055A RAW SC'!CV60="","",'Midterm OVPAA-F-INS-055A RAW SC'!CV60/'Midterm OVPAA-F-INS-055A RAW SC'!CV$17*100)</f>
        <v/>
      </c>
      <c r="DA60" s="133" t="str">
        <f>IF('Midterm OVPAA-F-INS-055A RAW SC'!CW60="","",'Midterm OVPAA-F-INS-055A RAW SC'!CW60/'Midterm OVPAA-F-INS-055A RAW SC'!CW$17*100)</f>
        <v/>
      </c>
      <c r="DB60" s="133" t="str">
        <f>IF('Midterm OVPAA-F-INS-055A RAW SC'!CX60="","",'Midterm OVPAA-F-INS-055A RAW SC'!CX60/'Midterm OVPAA-F-INS-055A RAW SC'!CX$17*100)</f>
        <v/>
      </c>
      <c r="DC60" s="134" t="str">
        <f t="array" ref="DC60">IF('Midterm OVPAA-F-INS-055A RAW SC'!$G60="","",IF((SUMPRODUCT(--ISBLANK('Midterm OVPAA-F-INS-055A RAW SC'!CO60:CX60))=COLUMNS('Midterm OVPAA-F-INS-055A RAW SC'!CO60:CX60))=TRUE,"",(((COUNTA('Midterm OVPAA-F-INS-055A RAW SC'!$CO$17:$CX$17)+COUNTBLANK('Midterm OVPAA-F-INS-055A RAW SC'!CO60:CX60))-COLUMNS('Midterm OVPAA-F-INS-055A RAW SC'!CO60:CX60))*5+SUM(CS60:DB60))/COUNTA('Midterm OVPAA-F-INS-055A RAW SC'!$CO$17:$CX$17)))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37" t="str">
        <f t="shared" si="2"/>
        <v/>
      </c>
      <c r="DG60" s="138" t="str">
        <f t="shared" si="3"/>
        <v/>
      </c>
      <c r="DH60" s="136" t="str">
        <f t="shared" si="4"/>
        <v/>
      </c>
      <c r="DI60" s="123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IF('Midterm OVPAA-F-INS-055A RAW SC'!H61="","",'Midterm OVPAA-F-INS-055A RAW SC'!H61/'Midterm OVPAA-F-INS-055A RAW SC'!H$17*100)</f>
        <v/>
      </c>
      <c r="I61" s="126" t="str">
        <f>IF('Midterm OVPAA-F-INS-055A RAW SC'!I61="","",'Midterm OVPAA-F-INS-055A RAW SC'!I61/'Midterm OVPAA-F-INS-055A RAW SC'!I$17*100)</f>
        <v/>
      </c>
      <c r="J61" s="126" t="str">
        <f>IF('Midterm OVPAA-F-INS-055A RAW SC'!J61="","",'Midterm OVPAA-F-INS-055A RAW SC'!J61/'Midterm OVPAA-F-INS-055A RAW SC'!J$17*100)</f>
        <v/>
      </c>
      <c r="K61" s="126" t="str">
        <f>IF('Midterm OVPAA-F-INS-055A RAW SC'!K61="","",'Midterm OVPAA-F-INS-055A RAW SC'!K61/'Midterm OVPAA-F-INS-055A RAW SC'!K$17*100)</f>
        <v/>
      </c>
      <c r="L61" s="126" t="str">
        <f>IF('Midterm OVPAA-F-INS-055A RAW SC'!L61="","",'Midterm OVPAA-F-INS-055A RAW SC'!L61/'Midterm OVPAA-F-INS-055A RAW SC'!L$17*100)</f>
        <v/>
      </c>
      <c r="M61" s="126" t="str">
        <f>IF('Midterm OVPAA-F-INS-055A RAW SC'!M61="","",'Midterm OVPAA-F-INS-055A RAW SC'!M61/'Midterm OVPAA-F-INS-055A RAW SC'!M$17*100)</f>
        <v/>
      </c>
      <c r="N61" s="126" t="str">
        <f>IF('Midterm OVPAA-F-INS-055A RAW SC'!N61="","",'Midterm OVPAA-F-INS-055A RAW SC'!N61/'Midterm OVPAA-F-INS-055A RAW SC'!N$17*100)</f>
        <v/>
      </c>
      <c r="O61" s="126" t="str">
        <f>IF('Midterm OVPAA-F-INS-055A RAW SC'!O61="","",'Midterm OVPAA-F-INS-055A RAW SC'!O61/'Midterm OVPAA-F-INS-055A RAW SC'!O$17*100)</f>
        <v/>
      </c>
      <c r="P61" s="126" t="str">
        <f>IF('Midterm OVPAA-F-INS-055A RAW SC'!P61="","",'Midterm OVPAA-F-INS-055A RAW SC'!P61/'Midterm OVPAA-F-INS-055A RAW SC'!P$17*100)</f>
        <v/>
      </c>
      <c r="Q61" s="126" t="str">
        <f>IF('Midterm OVPAA-F-INS-055A RAW SC'!Q61="","",'Midterm OVPAA-F-INS-055A RAW SC'!Q61/'Midterm OVPAA-F-INS-055A RAW SC'!Q$17*100)</f>
        <v/>
      </c>
      <c r="R61" s="126" t="str">
        <f>IF('Midterm OVPAA-F-INS-055A RAW SC'!R61="","",'Midterm OVPAA-F-INS-055A RAW SC'!R61/'Midterm OVPAA-F-INS-055A RAW SC'!R$17*100)</f>
        <v/>
      </c>
      <c r="S61" s="126" t="str">
        <f>IF('Midterm OVPAA-F-INS-055A RAW SC'!S61="","",'Midterm OVPAA-F-INS-055A RAW SC'!S61/'Midterm OVPAA-F-INS-055A RAW SC'!S$17*100)</f>
        <v/>
      </c>
      <c r="T61" s="126" t="str">
        <f>IF('Midterm OVPAA-F-INS-055A RAW SC'!T61="","",'Midterm OVPAA-F-INS-055A RAW SC'!T61/'Midterm OVPAA-F-INS-055A RAW SC'!T$17*100)</f>
        <v/>
      </c>
      <c r="U61" s="126" t="str">
        <f>IF('Midterm OVPAA-F-INS-055A RAW SC'!U61="","",'Midterm OVPAA-F-INS-055A RAW SC'!U61/'Midterm OVPAA-F-INS-055A RAW SC'!U$17*100)</f>
        <v/>
      </c>
      <c r="V61" s="126" t="str">
        <f>IF('Midterm OVPAA-F-INS-055A RAW SC'!V61="","",'Midterm OVPAA-F-INS-055A RAW SC'!V61/'Midterm OVPAA-F-INS-055A RAW SC'!V$17*100)</f>
        <v/>
      </c>
      <c r="W61" s="126" t="str">
        <f>IF('Midterm OVPAA-F-INS-055A RAW SC'!W61="","",'Midterm OVPAA-F-INS-055A RAW SC'!W61/'Midterm OVPAA-F-INS-055A RAW SC'!W$17*100)</f>
        <v/>
      </c>
      <c r="X61" s="126" t="str">
        <f>IF('Midterm OVPAA-F-INS-055A RAW SC'!X61="","",'Midterm OVPAA-F-INS-055A RAW SC'!X61/'Midterm OVPAA-F-INS-055A RAW SC'!X$17*100)</f>
        <v/>
      </c>
      <c r="Y61" s="126" t="str">
        <f>IF('Midterm OVPAA-F-INS-055A RAW SC'!Y61="","",'Midterm OVPAA-F-INS-055A RAW SC'!Y61/'Midterm OVPAA-F-INS-055A RAW SC'!Y$17*100)</f>
        <v/>
      </c>
      <c r="Z61" s="126" t="str">
        <f>IF('Midterm OVPAA-F-INS-055A RAW SC'!Z61="","",'Midterm OVPAA-F-INS-055A RAW SC'!Z61/'Midterm OVPAA-F-INS-055A RAW SC'!Z$17*100)</f>
        <v/>
      </c>
      <c r="AA61" s="126" t="str">
        <f>IF('Midterm OVPAA-F-INS-055A RAW SC'!AA61="","",'Midterm OVPAA-F-INS-055A RAW SC'!AA61/'Midterm OVPAA-F-INS-055A RAW SC'!AA$17*100)</f>
        <v/>
      </c>
      <c r="AB61" s="126" t="str">
        <f>IF('Midterm OVPAA-F-INS-055A RAW SC'!AB61="","",'Midterm OVPAA-F-INS-055A RAW SC'!AB61/'Midterm OVPAA-F-INS-055A RAW SC'!AB$17*100)</f>
        <v/>
      </c>
      <c r="AC61" s="126" t="str">
        <f>IF('Midterm OVPAA-F-INS-055A RAW SC'!AC61="","",'Midterm OVPAA-F-INS-055A RAW SC'!AC61/'Midterm OVPAA-F-INS-055A RAW SC'!AC$17*100)</f>
        <v/>
      </c>
      <c r="AD61" s="126" t="str">
        <f>IF('Midterm OVPAA-F-INS-055A RAW SC'!AD61="","",'Midterm OVPAA-F-INS-055A RAW SC'!AD61/'Midterm OVPAA-F-INS-055A RAW SC'!AD$17*100)</f>
        <v/>
      </c>
      <c r="AE61" s="126" t="str">
        <f>IF('Midterm OVPAA-F-INS-055A RAW SC'!AE61="","",'Midterm OVPAA-F-INS-055A RAW SC'!AE61/'Midterm OVPAA-F-INS-055A RAW SC'!AE$17*100)</f>
        <v/>
      </c>
      <c r="AF61" s="126" t="str">
        <f>IF('Midterm OVPAA-F-INS-055A RAW SC'!AF61="","",'Midterm OVPAA-F-INS-055A RAW SC'!AF61/'Midterm OVPAA-F-INS-055A RAW SC'!AF$17*100)</f>
        <v/>
      </c>
      <c r="AG61" s="126" t="str">
        <f>IF('Midterm OVPAA-F-INS-055A RAW SC'!AG61="","",'Midterm OVPAA-F-INS-055A RAW SC'!AG61/'Midterm OVPAA-F-INS-055A RAW SC'!AG$17*100)</f>
        <v/>
      </c>
      <c r="AH61" s="126" t="str">
        <f>IF('Midterm OVPAA-F-INS-055A RAW SC'!AH61="","",'Midterm OVPAA-F-INS-055A RAW SC'!AH61/'Midterm OVPAA-F-INS-055A RAW SC'!AH$17*100)</f>
        <v/>
      </c>
      <c r="AI61" s="126" t="str">
        <f>IF('Midterm OVPAA-F-INS-055A RAW SC'!AI61="","",'Midterm OVPAA-F-INS-055A RAW SC'!AI61/'Midterm OVPAA-F-INS-055A RAW SC'!AI$17*100)</f>
        <v/>
      </c>
      <c r="AJ61" s="126" t="str">
        <f>IF('Midterm OVPAA-F-INS-055A RAW SC'!AJ61="","",'Midterm OVPAA-F-INS-055A RAW SC'!AJ61/'Midterm OVPAA-F-INS-055A RAW SC'!AJ$17*100)</f>
        <v/>
      </c>
      <c r="AK61" s="126" t="str">
        <f>IF('Midterm OVPAA-F-INS-055A RAW SC'!AK61="","",'Midterm OVPAA-F-INS-055A RAW SC'!AK61/'Midterm OVPAA-F-INS-055A RAW SC'!AK$17*100)</f>
        <v/>
      </c>
      <c r="AL61" s="126" t="str">
        <f>IF('Midterm OVPAA-F-INS-055A RAW SC'!AL61="","",'Midterm OVPAA-F-INS-055A RAW SC'!AL61/'Midterm OVPAA-F-INS-055A RAW SC'!AL$17*100)</f>
        <v/>
      </c>
      <c r="AM61" s="126" t="str">
        <f>IF('Midterm OVPAA-F-INS-055A RAW SC'!AM61="","",'Midterm OVPAA-F-INS-055A RAW SC'!AM61/'Midterm OVPAA-F-INS-055A RAW SC'!AM$17*100)</f>
        <v/>
      </c>
      <c r="AN61" s="126" t="str">
        <f>IF('Midterm OVPAA-F-INS-055A RAW SC'!AN61="","",'Midterm OVPAA-F-INS-055A RAW SC'!AN61/'Midterm OVPAA-F-INS-055A RAW SC'!AN$17*100)</f>
        <v/>
      </c>
      <c r="AO61" s="126" t="str">
        <f>IF('Midterm OVPAA-F-INS-055A RAW SC'!AO61="","",'Midterm OVPAA-F-INS-055A RAW SC'!AO61/'Midterm OVPAA-F-INS-055A RAW SC'!AO$17*100)</f>
        <v/>
      </c>
      <c r="AP61" s="126" t="str">
        <f>IF('Midterm OVPAA-F-INS-055A RAW SC'!AP61="","",'Midterm OVPAA-F-INS-055A RAW SC'!AP61/'Midterm OVPAA-F-INS-055A RAW SC'!AP$17*100)</f>
        <v/>
      </c>
      <c r="AQ61" s="126" t="str">
        <f>IF('Midterm OVPAA-F-INS-055A RAW SC'!AQ61="","",'Midterm OVPAA-F-INS-055A RAW SC'!AQ61/'Midterm OVPAA-F-INS-055A RAW SC'!AQ$17*100)</f>
        <v/>
      </c>
      <c r="AR61" s="126" t="str">
        <f>IF('Midterm OVPAA-F-INS-055A RAW SC'!AR61="","",'Midterm OVPAA-F-INS-055A RAW SC'!AR61/'Midterm OVPAA-F-INS-055A RAW SC'!AR$17*100)</f>
        <v/>
      </c>
      <c r="AS61" s="126" t="str">
        <f>IF('Midterm OVPAA-F-INS-055A RAW SC'!AS61="","",'Midterm OVPAA-F-INS-055A RAW SC'!AS61/'Midterm OVPAA-F-INS-055A RAW SC'!AS$17*100)</f>
        <v/>
      </c>
      <c r="AT61" s="126" t="str">
        <f>IF('Midterm OVPAA-F-INS-055A RAW SC'!AT61="","",'Midterm OVPAA-F-INS-055A RAW SC'!AT61/'Midterm OVPAA-F-INS-055A RAW SC'!AT$17*100)</f>
        <v/>
      </c>
      <c r="AU61" s="126" t="str">
        <f>IF('Midterm OVPAA-F-INS-055A RAW SC'!AU61="","",'Midterm OVPAA-F-INS-055A RAW SC'!AU61/'Midterm OVPAA-F-INS-055A RAW SC'!AU$17*100)</f>
        <v/>
      </c>
      <c r="AV61" s="126" t="str">
        <f>IF('Midterm OVPAA-F-INS-055A RAW SC'!AV61="","",'Midterm OVPAA-F-INS-055A RAW SC'!AV61/'Midterm OVPAA-F-INS-055A RAW SC'!AV$17*100)</f>
        <v/>
      </c>
      <c r="AW61" s="126" t="str">
        <f>IF('Midterm OVPAA-F-INS-055A RAW SC'!AW61="","",'Midterm OVPAA-F-INS-055A RAW SC'!AW61/'Midterm OVPAA-F-INS-055A RAW SC'!AW$17*100)</f>
        <v/>
      </c>
      <c r="AX61" s="126" t="str">
        <f>IF('Midterm OVPAA-F-INS-055A RAW SC'!AX61="","",'Midterm OVPAA-F-INS-055A RAW SC'!AX61/'Midterm OVPAA-F-INS-055A RAW SC'!AX$17*100)</f>
        <v/>
      </c>
      <c r="AY61" s="126" t="str">
        <f>IF('Midterm OVPAA-F-INS-055A RAW SC'!AY61="","",'Midterm OVPAA-F-INS-055A RAW SC'!AY61/'Midterm OVPAA-F-INS-055A RAW SC'!AY$17*100)</f>
        <v/>
      </c>
      <c r="AZ61" s="126" t="str">
        <f>IF('Midterm OVPAA-F-INS-055A RAW SC'!AZ61="","",'Midterm OVPAA-F-INS-055A RAW SC'!AZ61/'Midterm OVPAA-F-INS-055A RAW SC'!AZ$17*100)</f>
        <v/>
      </c>
      <c r="BA61" s="126" t="str">
        <f>IF('Midterm OVPAA-F-INS-055A RAW SC'!BA61="","",'Midterm OVPAA-F-INS-055A RAW SC'!BA61/'Midterm OVPAA-F-INS-055A RAW SC'!BA$17*100)</f>
        <v/>
      </c>
      <c r="BB61" s="126" t="str">
        <f>IF('Midterm OVPAA-F-INS-055A RAW SC'!BB61="","",'Midterm OVPAA-F-INS-055A RAW SC'!BB61/'Midterm OVPAA-F-INS-055A RAW SC'!BB$17*100)</f>
        <v/>
      </c>
      <c r="BC61" s="126" t="str">
        <f>IF('Midterm OVPAA-F-INS-055A RAW SC'!BC61="","",'Midterm OVPAA-F-INS-055A RAW SC'!BC61/'Midterm OVPAA-F-INS-055A RAW SC'!BC$17*100)</f>
        <v/>
      </c>
      <c r="BD61" s="126" t="str">
        <f>IF('Midterm OVPAA-F-INS-055A RAW SC'!BD61="","",'Midterm OVPAA-F-INS-055A RAW SC'!BD61/'Midterm OVPAA-F-INS-055A RAW SC'!BD$17*100)</f>
        <v/>
      </c>
      <c r="BE61" s="126" t="str">
        <f>IF('Midterm OVPAA-F-INS-055A RAW SC'!BE61="","",'Midterm OVPAA-F-INS-055A RAW SC'!BE61/'Midterm OVPAA-F-INS-055A RAW SC'!BE$17*100)</f>
        <v/>
      </c>
      <c r="BF61" s="126" t="str">
        <f>IF('Midterm OVPAA-F-INS-055A RAW SC'!BF61="","",'Midterm OVPAA-F-INS-055A RAW SC'!BF61/'Midterm OVPAA-F-INS-055A RAW SC'!BF$17*100)</f>
        <v/>
      </c>
      <c r="BG61" s="126" t="str">
        <f>IF('Midterm OVPAA-F-INS-055A RAW SC'!BG61="","",'Midterm OVPAA-F-INS-055A RAW SC'!BG61/'Midterm OVPAA-F-INS-055A RAW SC'!BG$17*100)</f>
        <v/>
      </c>
      <c r="BH61" s="126" t="str">
        <f>IF('Midterm OVPAA-F-INS-055A RAW SC'!BH61="","",'Midterm OVPAA-F-INS-055A RAW SC'!BH61/'Midterm OVPAA-F-INS-055A RAW SC'!BH$17*100)</f>
        <v/>
      </c>
      <c r="BI61" s="126" t="str">
        <f>IF('Midterm OVPAA-F-INS-055A RAW SC'!BI61="","",'Midterm OVPAA-F-INS-055A RAW SC'!BI61/'Midterm OVPAA-F-INS-055A RAW SC'!BI$17*100)</f>
        <v/>
      </c>
      <c r="BJ61" s="126" t="str">
        <f>IF('Midterm OVPAA-F-INS-055A RAW SC'!BJ61="","",'Midterm OVPAA-F-INS-055A RAW SC'!BJ61/'Midterm OVPAA-F-INS-055A RAW SC'!BJ$17*100)</f>
        <v/>
      </c>
      <c r="BK61" s="126" t="str">
        <f>IF('Midterm OVPAA-F-INS-055A RAW SC'!BK61="","",'Midterm OVPAA-F-INS-055A RAW SC'!BK61/'Midterm OVPAA-F-INS-055A RAW SC'!BK$17*100)</f>
        <v/>
      </c>
      <c r="BL61" s="126" t="str">
        <f>IF('Midterm OVPAA-F-INS-055A RAW SC'!BL61="","",'Midterm OVPAA-F-INS-055A RAW SC'!BL61/'Midterm OVPAA-F-INS-055A RAW SC'!BL$17*100)</f>
        <v/>
      </c>
      <c r="BM61" s="126" t="str">
        <f>IF('Midterm OVPAA-F-INS-055A RAW SC'!BM61="","",'Midterm OVPAA-F-INS-055A RAW SC'!BM61/'Midterm OVPAA-F-INS-055A RAW SC'!BM$17*100)</f>
        <v/>
      </c>
      <c r="BN61" s="126" t="str">
        <f>IF('Midterm OVPAA-F-INS-055A RAW SC'!BN61="","",'Midterm OVPAA-F-INS-055A RAW SC'!BN61/'Midterm OVPAA-F-INS-055A RAW SC'!BN$17*100)</f>
        <v/>
      </c>
      <c r="BO61" s="126" t="str">
        <f>IF('Midterm OVPAA-F-INS-055A RAW SC'!BO61="","",'Midterm OVPAA-F-INS-055A RAW SC'!BO61/'Midterm OVPAA-F-INS-055A RAW SC'!BO$17*100)</f>
        <v/>
      </c>
      <c r="BP61" s="126" t="str">
        <f>IF('Midterm OVPAA-F-INS-055A RAW SC'!BP61="","",'Midterm OVPAA-F-INS-055A RAW SC'!BP61/'Midterm OVPAA-F-INS-055A RAW SC'!BP$17*100)</f>
        <v/>
      </c>
      <c r="BQ61" s="126" t="str">
        <f>IF('Midterm OVPAA-F-INS-055A RAW SC'!BQ61="","",'Midterm OVPAA-F-INS-055A RAW SC'!BQ61/'Midterm OVPAA-F-INS-055A RAW SC'!BQ$17*100)</f>
        <v/>
      </c>
      <c r="BR61" s="126" t="str">
        <f>IF('Midterm OVPAA-F-INS-055A RAW SC'!BR61="","",'Midterm OVPAA-F-INS-055A RAW SC'!BR61/'Midterm OVPAA-F-INS-055A RAW SC'!BR$17*100)</f>
        <v/>
      </c>
      <c r="BS61" s="126" t="str">
        <f>IF('Midterm OVPAA-F-INS-055A RAW SC'!BS61="","",'Midterm OVPAA-F-INS-055A RAW SC'!BS61/'Midterm OVPAA-F-INS-055A RAW SC'!BS$17*100)</f>
        <v/>
      </c>
      <c r="BT61" s="126" t="str">
        <f>IF('Midterm OVPAA-F-INS-055A RAW SC'!BT61="","",'Midterm OVPAA-F-INS-055A RAW SC'!BT61/'Midterm OVPAA-F-INS-055A RAW SC'!BT$17*100)</f>
        <v/>
      </c>
      <c r="BU61" s="127" t="str">
        <f t="array" ref="BU61">IF('Midterm OVPAA-F-INS-055A RAW SC'!$G61="","",IF((SUMPRODUCT(--ISBLANK('Midterm OVPAA-F-INS-055A RAW SC'!H61:BT61))=COLUMNS('Midterm OVPAA-F-INS-055A RAW SC'!H61:BT61))=TRUE,"",(((COUNTA('Midterm OVPAA-F-INS-055A RAW SC'!$H$17:$BT$17)+COUNTBLANK('Midterm OVPAA-F-INS-055A RAW SC'!H61:BT61))-COLUMNS('Midterm OVPAA-F-INS-055A RAW SC'!H61:BT61))*5+SUM(H61:BT61))/COUNTA('Midterm OVPAA-F-INS-055A RAW SC'!$H$17:$BT$17)))</f>
        <v/>
      </c>
      <c r="BV61" s="128" t="str">
        <f>IF(BU61="","",VLOOKUP(BU61,IF('Midterm OVPAA-F-INS-055A RAW SC'!$V$12=0.5,TRANSMUTATION!$C$4:$D$17,TRANSMUTATION!$G$4:$H$17),2,TRUE))</f>
        <v/>
      </c>
      <c r="BW61" s="129" t="str">
        <f>IF('Midterm OVPAA-F-INS-055A RAW SC'!BU61="","",'Midterm OVPAA-F-INS-055A RAW SC'!BU61/'Midterm OVPAA-F-INS-055A RAW SC'!BU$17*100)</f>
        <v/>
      </c>
      <c r="BX61" s="130" t="str">
        <f>IF('Midterm OVPAA-F-INS-055A RAW SC'!BV61="","",'Midterm OVPAA-F-INS-055A RAW SC'!BV61/'Midterm OVPAA-F-INS-055A RAW SC'!BV$17*100)</f>
        <v/>
      </c>
      <c r="BY61" s="130" t="str">
        <f>IF('Midterm OVPAA-F-INS-055A RAW SC'!BW61="","",'Midterm OVPAA-F-INS-055A RAW SC'!BW61/'Midterm OVPAA-F-INS-055A RAW SC'!BW$17*100)</f>
        <v/>
      </c>
      <c r="BZ61" s="130" t="str">
        <f>IF('Midterm OVPAA-F-INS-055A RAW SC'!BX61="","",'Midterm OVPAA-F-INS-055A RAW SC'!BX61/'Midterm OVPAA-F-INS-055A RAW SC'!BX$17*100)</f>
        <v/>
      </c>
      <c r="CA61" s="130" t="str">
        <f>IF('Midterm OVPAA-F-INS-055A RAW SC'!BY61="","",'Midterm OVPAA-F-INS-055A RAW SC'!BY61/'Midterm OVPAA-F-INS-055A RAW SC'!BY$17*100)</f>
        <v/>
      </c>
      <c r="CB61" s="130" t="str">
        <f>IF('Midterm OVPAA-F-INS-055A RAW SC'!BZ61="","",'Midterm OVPAA-F-INS-055A RAW SC'!BZ61/'Midterm OVPAA-F-INS-055A RAW SC'!BZ$17*100)</f>
        <v/>
      </c>
      <c r="CC61" s="130" t="str">
        <f>IF('Midterm OVPAA-F-INS-055A RAW SC'!CA61="","",'Midterm OVPAA-F-INS-055A RAW SC'!CA61/'Midterm OVPAA-F-INS-055A RAW SC'!CA$17*100)</f>
        <v/>
      </c>
      <c r="CD61" s="130" t="str">
        <f>IF('Midterm OVPAA-F-INS-055A RAW SC'!CB61="","",'Midterm OVPAA-F-INS-055A RAW SC'!CB61/'Midterm OVPAA-F-INS-055A RAW SC'!CB$17*100)</f>
        <v/>
      </c>
      <c r="CE61" s="130" t="str">
        <f>IF('Midterm OVPAA-F-INS-055A RAW SC'!CC61="","",'Midterm OVPAA-F-INS-055A RAW SC'!CC61/'Midterm OVPAA-F-INS-055A RAW SC'!CC$17*100)</f>
        <v/>
      </c>
      <c r="CF61" s="130" t="str">
        <f>IF('Midterm OVPAA-F-INS-055A RAW SC'!CD61="","",'Midterm OVPAA-F-INS-055A RAW SC'!CD61/'Midterm OVPAA-F-INS-055A RAW SC'!CD$17*100)</f>
        <v/>
      </c>
      <c r="CG61" s="130" t="str">
        <f>IF('Midterm OVPAA-F-INS-055A RAW SC'!CE61="","",'Midterm OVPAA-F-INS-055A RAW SC'!CE61/'Midterm OVPAA-F-INS-055A RAW SC'!CE$17*100)</f>
        <v/>
      </c>
      <c r="CH61" s="130" t="str">
        <f>IF('Midterm OVPAA-F-INS-055A RAW SC'!CF61="","",'Midterm OVPAA-F-INS-055A RAW SC'!CF61/'Midterm OVPAA-F-INS-055A RAW SC'!CF$17*100)</f>
        <v/>
      </c>
      <c r="CI61" s="130" t="str">
        <f>IF('Midterm OVPAA-F-INS-055A RAW SC'!CG61="","",'Midterm OVPAA-F-INS-055A RAW SC'!CG61/'Midterm OVPAA-F-INS-055A RAW SC'!CG$17*100)</f>
        <v/>
      </c>
      <c r="CJ61" s="130" t="str">
        <f>IF('Midterm OVPAA-F-INS-055A RAW SC'!CH61="","",'Midterm OVPAA-F-INS-055A RAW SC'!CH61/'Midterm OVPAA-F-INS-055A RAW SC'!CH$17*100)</f>
        <v/>
      </c>
      <c r="CK61" s="130" t="str">
        <f>IF('Midterm OVPAA-F-INS-055A RAW SC'!CI61="","",'Midterm OVPAA-F-INS-055A RAW SC'!CI61/'Midterm OVPAA-F-INS-055A RAW SC'!CI$17*100)</f>
        <v/>
      </c>
      <c r="CL61" s="130" t="str">
        <f>IF('Midterm OVPAA-F-INS-055A RAW SC'!CJ61="","",'Midterm OVPAA-F-INS-055A RAW SC'!CJ61/'Midterm OVPAA-F-INS-055A RAW SC'!CJ$17*100)</f>
        <v/>
      </c>
      <c r="CM61" s="130" t="str">
        <f>IF('Midterm OVPAA-F-INS-055A RAW SC'!CK61="","",'Midterm OVPAA-F-INS-055A RAW SC'!CK61/'Midterm OVPAA-F-INS-055A RAW SC'!CK$17*100)</f>
        <v/>
      </c>
      <c r="CN61" s="130" t="str">
        <f>IF('Midterm OVPAA-F-INS-055A RAW SC'!CL61="","",'Midterm OVPAA-F-INS-055A RAW SC'!CL61/'Midterm OVPAA-F-INS-055A RAW SC'!CL$17*100)</f>
        <v/>
      </c>
      <c r="CO61" s="130" t="str">
        <f>IF('Midterm OVPAA-F-INS-055A RAW SC'!CM61="","",'Midterm OVPAA-F-INS-055A RAW SC'!CM61/'Midterm OVPAA-F-INS-055A RAW SC'!CM$17*100)</f>
        <v/>
      </c>
      <c r="CP61" s="130" t="str">
        <f>IF('Midterm OVPAA-F-INS-055A RAW SC'!CN61="","",'Midterm OVPAA-F-INS-055A RAW SC'!CN61/'Midterm OVPAA-F-INS-055A RAW SC'!CN$17*100)</f>
        <v/>
      </c>
      <c r="CQ61" s="131" t="str">
        <f t="array" ref="CQ61">IF('Midterm OVPAA-F-INS-055A RAW SC'!G61="","",IF((SUMPRODUCT(--ISBLANK('Midterm OVPAA-F-INS-055A RAW SC'!BU61:CN61))=COLUMNS('Midterm OVPAA-F-INS-055A RAW SC'!BU61:CN61))=TRUE,"",(((COUNTA('Midterm OVPAA-F-INS-055A RAW SC'!$BU$17:$CN$17)+COUNTBLANK('Midterm OVPAA-F-INS-055A RAW SC'!BU61:CN61))-COLUMNS('Midterm OVPAA-F-INS-055A RAW SC'!BU61:CN61))*5+SUM(BW61:CP61))/COUNTA('Midterm OVPAA-F-INS-055A RAW SC'!$BU$17:$CN$17)))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IF('Midterm OVPAA-F-INS-055A RAW SC'!CO61="","",'Midterm OVPAA-F-INS-055A RAW SC'!CO61/'Midterm OVPAA-F-INS-055A RAW SC'!CO$17*100)</f>
        <v/>
      </c>
      <c r="CT61" s="133" t="str">
        <f>IF('Midterm OVPAA-F-INS-055A RAW SC'!CP61="","",'Midterm OVPAA-F-INS-055A RAW SC'!CP61/'Midterm OVPAA-F-INS-055A RAW SC'!CP$17*100)</f>
        <v/>
      </c>
      <c r="CU61" s="133" t="str">
        <f>IF('Midterm OVPAA-F-INS-055A RAW SC'!CQ61="","",'Midterm OVPAA-F-INS-055A RAW SC'!CQ61/'Midterm OVPAA-F-INS-055A RAW SC'!CQ$17*100)</f>
        <v/>
      </c>
      <c r="CV61" s="133" t="str">
        <f>IF('Midterm OVPAA-F-INS-055A RAW SC'!CR61="","",'Midterm OVPAA-F-INS-055A RAW SC'!CR61/'Midterm OVPAA-F-INS-055A RAW SC'!CR$17*100)</f>
        <v/>
      </c>
      <c r="CW61" s="133" t="str">
        <f>IF('Midterm OVPAA-F-INS-055A RAW SC'!CS61="","",'Midterm OVPAA-F-INS-055A RAW SC'!CS61/'Midterm OVPAA-F-INS-055A RAW SC'!CS$17*100)</f>
        <v/>
      </c>
      <c r="CX61" s="133" t="str">
        <f>IF('Midterm OVPAA-F-INS-055A RAW SC'!CT61="","",'Midterm OVPAA-F-INS-055A RAW SC'!CT61/'Midterm OVPAA-F-INS-055A RAW SC'!CT$17*100)</f>
        <v/>
      </c>
      <c r="CY61" s="133" t="str">
        <f>IF('Midterm OVPAA-F-INS-055A RAW SC'!CU61="","",'Midterm OVPAA-F-INS-055A RAW SC'!CU61/'Midterm OVPAA-F-INS-055A RAW SC'!CU$17*100)</f>
        <v/>
      </c>
      <c r="CZ61" s="133" t="str">
        <f>IF('Midterm OVPAA-F-INS-055A RAW SC'!CV61="","",'Midterm OVPAA-F-INS-055A RAW SC'!CV61/'Midterm OVPAA-F-INS-055A RAW SC'!CV$17*100)</f>
        <v/>
      </c>
      <c r="DA61" s="133" t="str">
        <f>IF('Midterm OVPAA-F-INS-055A RAW SC'!CW61="","",'Midterm OVPAA-F-INS-055A RAW SC'!CW61/'Midterm OVPAA-F-INS-055A RAW SC'!CW$17*100)</f>
        <v/>
      </c>
      <c r="DB61" s="133" t="str">
        <f>IF('Midterm OVPAA-F-INS-055A RAW SC'!CX61="","",'Midterm OVPAA-F-INS-055A RAW SC'!CX61/'Midterm OVPAA-F-INS-055A RAW SC'!CX$17*100)</f>
        <v/>
      </c>
      <c r="DC61" s="134" t="str">
        <f t="array" ref="DC61">IF('Midterm OVPAA-F-INS-055A RAW SC'!$G61="","",IF((SUMPRODUCT(--ISBLANK('Midterm OVPAA-F-INS-055A RAW SC'!CO61:CX61))=COLUMNS('Midterm OVPAA-F-INS-055A RAW SC'!CO61:CX61))=TRUE,"",(((COUNTA('Midterm OVPAA-F-INS-055A RAW SC'!$CO$17:$CX$17)+COUNTBLANK('Midterm OVPAA-F-INS-055A RAW SC'!CO61:CX61))-COLUMNS('Midterm OVPAA-F-INS-055A RAW SC'!CO61:CX61))*5+SUM(CS61:DB61))/COUNTA('Midterm OVPAA-F-INS-055A RAW SC'!$CO$17:$CX$17)))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37" t="str">
        <f t="shared" si="2"/>
        <v/>
      </c>
      <c r="DG61" s="138" t="str">
        <f t="shared" si="3"/>
        <v/>
      </c>
      <c r="DH61" s="136" t="str">
        <f t="shared" si="4"/>
        <v/>
      </c>
      <c r="DI61" s="123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IF('Midterm OVPAA-F-INS-055A RAW SC'!H62="","",'Midterm OVPAA-F-INS-055A RAW SC'!H62/'Midterm OVPAA-F-INS-055A RAW SC'!H$17*100)</f>
        <v/>
      </c>
      <c r="I62" s="126" t="str">
        <f>IF('Midterm OVPAA-F-INS-055A RAW SC'!I62="","",'Midterm OVPAA-F-INS-055A RAW SC'!I62/'Midterm OVPAA-F-INS-055A RAW SC'!I$17*100)</f>
        <v/>
      </c>
      <c r="J62" s="126" t="str">
        <f>IF('Midterm OVPAA-F-INS-055A RAW SC'!J62="","",'Midterm OVPAA-F-INS-055A RAW SC'!J62/'Midterm OVPAA-F-INS-055A RAW SC'!J$17*100)</f>
        <v/>
      </c>
      <c r="K62" s="126" t="str">
        <f>IF('Midterm OVPAA-F-INS-055A RAW SC'!K62="","",'Midterm OVPAA-F-INS-055A RAW SC'!K62/'Midterm OVPAA-F-INS-055A RAW SC'!K$17*100)</f>
        <v/>
      </c>
      <c r="L62" s="126" t="str">
        <f>IF('Midterm OVPAA-F-INS-055A RAW SC'!L62="","",'Midterm OVPAA-F-INS-055A RAW SC'!L62/'Midterm OVPAA-F-INS-055A RAW SC'!L$17*100)</f>
        <v/>
      </c>
      <c r="M62" s="126" t="str">
        <f>IF('Midterm OVPAA-F-INS-055A RAW SC'!M62="","",'Midterm OVPAA-F-INS-055A RAW SC'!M62/'Midterm OVPAA-F-INS-055A RAW SC'!M$17*100)</f>
        <v/>
      </c>
      <c r="N62" s="126" t="str">
        <f>IF('Midterm OVPAA-F-INS-055A RAW SC'!N62="","",'Midterm OVPAA-F-INS-055A RAW SC'!N62/'Midterm OVPAA-F-INS-055A RAW SC'!N$17*100)</f>
        <v/>
      </c>
      <c r="O62" s="126" t="str">
        <f>IF('Midterm OVPAA-F-INS-055A RAW SC'!O62="","",'Midterm OVPAA-F-INS-055A RAW SC'!O62/'Midterm OVPAA-F-INS-055A RAW SC'!O$17*100)</f>
        <v/>
      </c>
      <c r="P62" s="126" t="str">
        <f>IF('Midterm OVPAA-F-INS-055A RAW SC'!P62="","",'Midterm OVPAA-F-INS-055A RAW SC'!P62/'Midterm OVPAA-F-INS-055A RAW SC'!P$17*100)</f>
        <v/>
      </c>
      <c r="Q62" s="126" t="str">
        <f>IF('Midterm OVPAA-F-INS-055A RAW SC'!Q62="","",'Midterm OVPAA-F-INS-055A RAW SC'!Q62/'Midterm OVPAA-F-INS-055A RAW SC'!Q$17*100)</f>
        <v/>
      </c>
      <c r="R62" s="126" t="str">
        <f>IF('Midterm OVPAA-F-INS-055A RAW SC'!R62="","",'Midterm OVPAA-F-INS-055A RAW SC'!R62/'Midterm OVPAA-F-INS-055A RAW SC'!R$17*100)</f>
        <v/>
      </c>
      <c r="S62" s="126" t="str">
        <f>IF('Midterm OVPAA-F-INS-055A RAW SC'!S62="","",'Midterm OVPAA-F-INS-055A RAW SC'!S62/'Midterm OVPAA-F-INS-055A RAW SC'!S$17*100)</f>
        <v/>
      </c>
      <c r="T62" s="126" t="str">
        <f>IF('Midterm OVPAA-F-INS-055A RAW SC'!T62="","",'Midterm OVPAA-F-INS-055A RAW SC'!T62/'Midterm OVPAA-F-INS-055A RAW SC'!T$17*100)</f>
        <v/>
      </c>
      <c r="U62" s="126" t="str">
        <f>IF('Midterm OVPAA-F-INS-055A RAW SC'!U62="","",'Midterm OVPAA-F-INS-055A RAW SC'!U62/'Midterm OVPAA-F-INS-055A RAW SC'!U$17*100)</f>
        <v/>
      </c>
      <c r="V62" s="126" t="str">
        <f>IF('Midterm OVPAA-F-INS-055A RAW SC'!V62="","",'Midterm OVPAA-F-INS-055A RAW SC'!V62/'Midterm OVPAA-F-INS-055A RAW SC'!V$17*100)</f>
        <v/>
      </c>
      <c r="W62" s="126" t="str">
        <f>IF('Midterm OVPAA-F-INS-055A RAW SC'!W62="","",'Midterm OVPAA-F-INS-055A RAW SC'!W62/'Midterm OVPAA-F-INS-055A RAW SC'!W$17*100)</f>
        <v/>
      </c>
      <c r="X62" s="126" t="str">
        <f>IF('Midterm OVPAA-F-INS-055A RAW SC'!X62="","",'Midterm OVPAA-F-INS-055A RAW SC'!X62/'Midterm OVPAA-F-INS-055A RAW SC'!X$17*100)</f>
        <v/>
      </c>
      <c r="Y62" s="126" t="str">
        <f>IF('Midterm OVPAA-F-INS-055A RAW SC'!Y62="","",'Midterm OVPAA-F-INS-055A RAW SC'!Y62/'Midterm OVPAA-F-INS-055A RAW SC'!Y$17*100)</f>
        <v/>
      </c>
      <c r="Z62" s="126" t="str">
        <f>IF('Midterm OVPAA-F-INS-055A RAW SC'!Z62="","",'Midterm OVPAA-F-INS-055A RAW SC'!Z62/'Midterm OVPAA-F-INS-055A RAW SC'!Z$17*100)</f>
        <v/>
      </c>
      <c r="AA62" s="126" t="str">
        <f>IF('Midterm OVPAA-F-INS-055A RAW SC'!AA62="","",'Midterm OVPAA-F-INS-055A RAW SC'!AA62/'Midterm OVPAA-F-INS-055A RAW SC'!AA$17*100)</f>
        <v/>
      </c>
      <c r="AB62" s="126" t="str">
        <f>IF('Midterm OVPAA-F-INS-055A RAW SC'!AB62="","",'Midterm OVPAA-F-INS-055A RAW SC'!AB62/'Midterm OVPAA-F-INS-055A RAW SC'!AB$17*100)</f>
        <v/>
      </c>
      <c r="AC62" s="126" t="str">
        <f>IF('Midterm OVPAA-F-INS-055A RAW SC'!AC62="","",'Midterm OVPAA-F-INS-055A RAW SC'!AC62/'Midterm OVPAA-F-INS-055A RAW SC'!AC$17*100)</f>
        <v/>
      </c>
      <c r="AD62" s="126" t="str">
        <f>IF('Midterm OVPAA-F-INS-055A RAW SC'!AD62="","",'Midterm OVPAA-F-INS-055A RAW SC'!AD62/'Midterm OVPAA-F-INS-055A RAW SC'!AD$17*100)</f>
        <v/>
      </c>
      <c r="AE62" s="126" t="str">
        <f>IF('Midterm OVPAA-F-INS-055A RAW SC'!AE62="","",'Midterm OVPAA-F-INS-055A RAW SC'!AE62/'Midterm OVPAA-F-INS-055A RAW SC'!AE$17*100)</f>
        <v/>
      </c>
      <c r="AF62" s="126" t="str">
        <f>IF('Midterm OVPAA-F-INS-055A RAW SC'!AF62="","",'Midterm OVPAA-F-INS-055A RAW SC'!AF62/'Midterm OVPAA-F-INS-055A RAW SC'!AF$17*100)</f>
        <v/>
      </c>
      <c r="AG62" s="126" t="str">
        <f>IF('Midterm OVPAA-F-INS-055A RAW SC'!AG62="","",'Midterm OVPAA-F-INS-055A RAW SC'!AG62/'Midterm OVPAA-F-INS-055A RAW SC'!AG$17*100)</f>
        <v/>
      </c>
      <c r="AH62" s="126" t="str">
        <f>IF('Midterm OVPAA-F-INS-055A RAW SC'!AH62="","",'Midterm OVPAA-F-INS-055A RAW SC'!AH62/'Midterm OVPAA-F-INS-055A RAW SC'!AH$17*100)</f>
        <v/>
      </c>
      <c r="AI62" s="126" t="str">
        <f>IF('Midterm OVPAA-F-INS-055A RAW SC'!AI62="","",'Midterm OVPAA-F-INS-055A RAW SC'!AI62/'Midterm OVPAA-F-INS-055A RAW SC'!AI$17*100)</f>
        <v/>
      </c>
      <c r="AJ62" s="126" t="str">
        <f>IF('Midterm OVPAA-F-INS-055A RAW SC'!AJ62="","",'Midterm OVPAA-F-INS-055A RAW SC'!AJ62/'Midterm OVPAA-F-INS-055A RAW SC'!AJ$17*100)</f>
        <v/>
      </c>
      <c r="AK62" s="126" t="str">
        <f>IF('Midterm OVPAA-F-INS-055A RAW SC'!AK62="","",'Midterm OVPAA-F-INS-055A RAW SC'!AK62/'Midterm OVPAA-F-INS-055A RAW SC'!AK$17*100)</f>
        <v/>
      </c>
      <c r="AL62" s="126" t="str">
        <f>IF('Midterm OVPAA-F-INS-055A RAW SC'!AL62="","",'Midterm OVPAA-F-INS-055A RAW SC'!AL62/'Midterm OVPAA-F-INS-055A RAW SC'!AL$17*100)</f>
        <v/>
      </c>
      <c r="AM62" s="126" t="str">
        <f>IF('Midterm OVPAA-F-INS-055A RAW SC'!AM62="","",'Midterm OVPAA-F-INS-055A RAW SC'!AM62/'Midterm OVPAA-F-INS-055A RAW SC'!AM$17*100)</f>
        <v/>
      </c>
      <c r="AN62" s="126" t="str">
        <f>IF('Midterm OVPAA-F-INS-055A RAW SC'!AN62="","",'Midterm OVPAA-F-INS-055A RAW SC'!AN62/'Midterm OVPAA-F-INS-055A RAW SC'!AN$17*100)</f>
        <v/>
      </c>
      <c r="AO62" s="126" t="str">
        <f>IF('Midterm OVPAA-F-INS-055A RAW SC'!AO62="","",'Midterm OVPAA-F-INS-055A RAW SC'!AO62/'Midterm OVPAA-F-INS-055A RAW SC'!AO$17*100)</f>
        <v/>
      </c>
      <c r="AP62" s="126" t="str">
        <f>IF('Midterm OVPAA-F-INS-055A RAW SC'!AP62="","",'Midterm OVPAA-F-INS-055A RAW SC'!AP62/'Midterm OVPAA-F-INS-055A RAW SC'!AP$17*100)</f>
        <v/>
      </c>
      <c r="AQ62" s="126" t="str">
        <f>IF('Midterm OVPAA-F-INS-055A RAW SC'!AQ62="","",'Midterm OVPAA-F-INS-055A RAW SC'!AQ62/'Midterm OVPAA-F-INS-055A RAW SC'!AQ$17*100)</f>
        <v/>
      </c>
      <c r="AR62" s="126" t="str">
        <f>IF('Midterm OVPAA-F-INS-055A RAW SC'!AR62="","",'Midterm OVPAA-F-INS-055A RAW SC'!AR62/'Midterm OVPAA-F-INS-055A RAW SC'!AR$17*100)</f>
        <v/>
      </c>
      <c r="AS62" s="126" t="str">
        <f>IF('Midterm OVPAA-F-INS-055A RAW SC'!AS62="","",'Midterm OVPAA-F-INS-055A RAW SC'!AS62/'Midterm OVPAA-F-INS-055A RAW SC'!AS$17*100)</f>
        <v/>
      </c>
      <c r="AT62" s="126" t="str">
        <f>IF('Midterm OVPAA-F-INS-055A RAW SC'!AT62="","",'Midterm OVPAA-F-INS-055A RAW SC'!AT62/'Midterm OVPAA-F-INS-055A RAW SC'!AT$17*100)</f>
        <v/>
      </c>
      <c r="AU62" s="126" t="str">
        <f>IF('Midterm OVPAA-F-INS-055A RAW SC'!AU62="","",'Midterm OVPAA-F-INS-055A RAW SC'!AU62/'Midterm OVPAA-F-INS-055A RAW SC'!AU$17*100)</f>
        <v/>
      </c>
      <c r="AV62" s="126" t="str">
        <f>IF('Midterm OVPAA-F-INS-055A RAW SC'!AV62="","",'Midterm OVPAA-F-INS-055A RAW SC'!AV62/'Midterm OVPAA-F-INS-055A RAW SC'!AV$17*100)</f>
        <v/>
      </c>
      <c r="AW62" s="126" t="str">
        <f>IF('Midterm OVPAA-F-INS-055A RAW SC'!AW62="","",'Midterm OVPAA-F-INS-055A RAW SC'!AW62/'Midterm OVPAA-F-INS-055A RAW SC'!AW$17*100)</f>
        <v/>
      </c>
      <c r="AX62" s="126" t="str">
        <f>IF('Midterm OVPAA-F-INS-055A RAW SC'!AX62="","",'Midterm OVPAA-F-INS-055A RAW SC'!AX62/'Midterm OVPAA-F-INS-055A RAW SC'!AX$17*100)</f>
        <v/>
      </c>
      <c r="AY62" s="126" t="str">
        <f>IF('Midterm OVPAA-F-INS-055A RAW SC'!AY62="","",'Midterm OVPAA-F-INS-055A RAW SC'!AY62/'Midterm OVPAA-F-INS-055A RAW SC'!AY$17*100)</f>
        <v/>
      </c>
      <c r="AZ62" s="126" t="str">
        <f>IF('Midterm OVPAA-F-INS-055A RAW SC'!AZ62="","",'Midterm OVPAA-F-INS-055A RAW SC'!AZ62/'Midterm OVPAA-F-INS-055A RAW SC'!AZ$17*100)</f>
        <v/>
      </c>
      <c r="BA62" s="126" t="str">
        <f>IF('Midterm OVPAA-F-INS-055A RAW SC'!BA62="","",'Midterm OVPAA-F-INS-055A RAW SC'!BA62/'Midterm OVPAA-F-INS-055A RAW SC'!BA$17*100)</f>
        <v/>
      </c>
      <c r="BB62" s="126" t="str">
        <f>IF('Midterm OVPAA-F-INS-055A RAW SC'!BB62="","",'Midterm OVPAA-F-INS-055A RAW SC'!BB62/'Midterm OVPAA-F-INS-055A RAW SC'!BB$17*100)</f>
        <v/>
      </c>
      <c r="BC62" s="126" t="str">
        <f>IF('Midterm OVPAA-F-INS-055A RAW SC'!BC62="","",'Midterm OVPAA-F-INS-055A RAW SC'!BC62/'Midterm OVPAA-F-INS-055A RAW SC'!BC$17*100)</f>
        <v/>
      </c>
      <c r="BD62" s="126" t="str">
        <f>IF('Midterm OVPAA-F-INS-055A RAW SC'!BD62="","",'Midterm OVPAA-F-INS-055A RAW SC'!BD62/'Midterm OVPAA-F-INS-055A RAW SC'!BD$17*100)</f>
        <v/>
      </c>
      <c r="BE62" s="126" t="str">
        <f>IF('Midterm OVPAA-F-INS-055A RAW SC'!BE62="","",'Midterm OVPAA-F-INS-055A RAW SC'!BE62/'Midterm OVPAA-F-INS-055A RAW SC'!BE$17*100)</f>
        <v/>
      </c>
      <c r="BF62" s="126" t="str">
        <f>IF('Midterm OVPAA-F-INS-055A RAW SC'!BF62="","",'Midterm OVPAA-F-INS-055A RAW SC'!BF62/'Midterm OVPAA-F-INS-055A RAW SC'!BF$17*100)</f>
        <v/>
      </c>
      <c r="BG62" s="126" t="str">
        <f>IF('Midterm OVPAA-F-INS-055A RAW SC'!BG62="","",'Midterm OVPAA-F-INS-055A RAW SC'!BG62/'Midterm OVPAA-F-INS-055A RAW SC'!BG$17*100)</f>
        <v/>
      </c>
      <c r="BH62" s="126" t="str">
        <f>IF('Midterm OVPAA-F-INS-055A RAW SC'!BH62="","",'Midterm OVPAA-F-INS-055A RAW SC'!BH62/'Midterm OVPAA-F-INS-055A RAW SC'!BH$17*100)</f>
        <v/>
      </c>
      <c r="BI62" s="126" t="str">
        <f>IF('Midterm OVPAA-F-INS-055A RAW SC'!BI62="","",'Midterm OVPAA-F-INS-055A RAW SC'!BI62/'Midterm OVPAA-F-INS-055A RAW SC'!BI$17*100)</f>
        <v/>
      </c>
      <c r="BJ62" s="126" t="str">
        <f>IF('Midterm OVPAA-F-INS-055A RAW SC'!BJ62="","",'Midterm OVPAA-F-INS-055A RAW SC'!BJ62/'Midterm OVPAA-F-INS-055A RAW SC'!BJ$17*100)</f>
        <v/>
      </c>
      <c r="BK62" s="126" t="str">
        <f>IF('Midterm OVPAA-F-INS-055A RAW SC'!BK62="","",'Midterm OVPAA-F-INS-055A RAW SC'!BK62/'Midterm OVPAA-F-INS-055A RAW SC'!BK$17*100)</f>
        <v/>
      </c>
      <c r="BL62" s="126" t="str">
        <f>IF('Midterm OVPAA-F-INS-055A RAW SC'!BL62="","",'Midterm OVPAA-F-INS-055A RAW SC'!BL62/'Midterm OVPAA-F-INS-055A RAW SC'!BL$17*100)</f>
        <v/>
      </c>
      <c r="BM62" s="126" t="str">
        <f>IF('Midterm OVPAA-F-INS-055A RAW SC'!BM62="","",'Midterm OVPAA-F-INS-055A RAW SC'!BM62/'Midterm OVPAA-F-INS-055A RAW SC'!BM$17*100)</f>
        <v/>
      </c>
      <c r="BN62" s="126" t="str">
        <f>IF('Midterm OVPAA-F-INS-055A RAW SC'!BN62="","",'Midterm OVPAA-F-INS-055A RAW SC'!BN62/'Midterm OVPAA-F-INS-055A RAW SC'!BN$17*100)</f>
        <v/>
      </c>
      <c r="BO62" s="126" t="str">
        <f>IF('Midterm OVPAA-F-INS-055A RAW SC'!BO62="","",'Midterm OVPAA-F-INS-055A RAW SC'!BO62/'Midterm OVPAA-F-INS-055A RAW SC'!BO$17*100)</f>
        <v/>
      </c>
      <c r="BP62" s="126" t="str">
        <f>IF('Midterm OVPAA-F-INS-055A RAW SC'!BP62="","",'Midterm OVPAA-F-INS-055A RAW SC'!BP62/'Midterm OVPAA-F-INS-055A RAW SC'!BP$17*100)</f>
        <v/>
      </c>
      <c r="BQ62" s="126" t="str">
        <f>IF('Midterm OVPAA-F-INS-055A RAW SC'!BQ62="","",'Midterm OVPAA-F-INS-055A RAW SC'!BQ62/'Midterm OVPAA-F-INS-055A RAW SC'!BQ$17*100)</f>
        <v/>
      </c>
      <c r="BR62" s="126" t="str">
        <f>IF('Midterm OVPAA-F-INS-055A RAW SC'!BR62="","",'Midterm OVPAA-F-INS-055A RAW SC'!BR62/'Midterm OVPAA-F-INS-055A RAW SC'!BR$17*100)</f>
        <v/>
      </c>
      <c r="BS62" s="126" t="str">
        <f>IF('Midterm OVPAA-F-INS-055A RAW SC'!BS62="","",'Midterm OVPAA-F-INS-055A RAW SC'!BS62/'Midterm OVPAA-F-INS-055A RAW SC'!BS$17*100)</f>
        <v/>
      </c>
      <c r="BT62" s="126" t="str">
        <f>IF('Midterm OVPAA-F-INS-055A RAW SC'!BT62="","",'Midterm OVPAA-F-INS-055A RAW SC'!BT62/'Midterm OVPAA-F-INS-055A RAW SC'!BT$17*100)</f>
        <v/>
      </c>
      <c r="BU62" s="127" t="str">
        <f t="array" ref="BU62">IF('Midterm OVPAA-F-INS-055A RAW SC'!$G62="","",IF((SUMPRODUCT(--ISBLANK('Midterm OVPAA-F-INS-055A RAW SC'!H62:BT62))=COLUMNS('Midterm OVPAA-F-INS-055A RAW SC'!H62:BT62))=TRUE,"",(((COUNTA('Midterm OVPAA-F-INS-055A RAW SC'!$H$17:$BT$17)+COUNTBLANK('Midterm OVPAA-F-INS-055A RAW SC'!H62:BT62))-COLUMNS('Midterm OVPAA-F-INS-055A RAW SC'!H62:BT62))*5+SUM(H62:BT62))/COUNTA('Midterm OVPAA-F-INS-055A RAW SC'!$H$17:$BT$17)))</f>
        <v/>
      </c>
      <c r="BV62" s="128" t="str">
        <f>IF(BU62="","",VLOOKUP(BU62,IF('Midterm OVPAA-F-INS-055A RAW SC'!$V$12=0.5,TRANSMUTATION!$C$4:$D$17,TRANSMUTATION!$G$4:$H$17),2,TRUE))</f>
        <v/>
      </c>
      <c r="BW62" s="129" t="str">
        <f>IF('Midterm OVPAA-F-INS-055A RAW SC'!BU62="","",'Midterm OVPAA-F-INS-055A RAW SC'!BU62/'Midterm OVPAA-F-INS-055A RAW SC'!BU$17*100)</f>
        <v/>
      </c>
      <c r="BX62" s="130" t="str">
        <f>IF('Midterm OVPAA-F-INS-055A RAW SC'!BV62="","",'Midterm OVPAA-F-INS-055A RAW SC'!BV62/'Midterm OVPAA-F-INS-055A RAW SC'!BV$17*100)</f>
        <v/>
      </c>
      <c r="BY62" s="130" t="str">
        <f>IF('Midterm OVPAA-F-INS-055A RAW SC'!BW62="","",'Midterm OVPAA-F-INS-055A RAW SC'!BW62/'Midterm OVPAA-F-INS-055A RAW SC'!BW$17*100)</f>
        <v/>
      </c>
      <c r="BZ62" s="130" t="str">
        <f>IF('Midterm OVPAA-F-INS-055A RAW SC'!BX62="","",'Midterm OVPAA-F-INS-055A RAW SC'!BX62/'Midterm OVPAA-F-INS-055A RAW SC'!BX$17*100)</f>
        <v/>
      </c>
      <c r="CA62" s="130" t="str">
        <f>IF('Midterm OVPAA-F-INS-055A RAW SC'!BY62="","",'Midterm OVPAA-F-INS-055A RAW SC'!BY62/'Midterm OVPAA-F-INS-055A RAW SC'!BY$17*100)</f>
        <v/>
      </c>
      <c r="CB62" s="130" t="str">
        <f>IF('Midterm OVPAA-F-INS-055A RAW SC'!BZ62="","",'Midterm OVPAA-F-INS-055A RAW SC'!BZ62/'Midterm OVPAA-F-INS-055A RAW SC'!BZ$17*100)</f>
        <v/>
      </c>
      <c r="CC62" s="130" t="str">
        <f>IF('Midterm OVPAA-F-INS-055A RAW SC'!CA62="","",'Midterm OVPAA-F-INS-055A RAW SC'!CA62/'Midterm OVPAA-F-INS-055A RAW SC'!CA$17*100)</f>
        <v/>
      </c>
      <c r="CD62" s="130" t="str">
        <f>IF('Midterm OVPAA-F-INS-055A RAW SC'!CB62="","",'Midterm OVPAA-F-INS-055A RAW SC'!CB62/'Midterm OVPAA-F-INS-055A RAW SC'!CB$17*100)</f>
        <v/>
      </c>
      <c r="CE62" s="130" t="str">
        <f>IF('Midterm OVPAA-F-INS-055A RAW SC'!CC62="","",'Midterm OVPAA-F-INS-055A RAW SC'!CC62/'Midterm OVPAA-F-INS-055A RAW SC'!CC$17*100)</f>
        <v/>
      </c>
      <c r="CF62" s="130" t="str">
        <f>IF('Midterm OVPAA-F-INS-055A RAW SC'!CD62="","",'Midterm OVPAA-F-INS-055A RAW SC'!CD62/'Midterm OVPAA-F-INS-055A RAW SC'!CD$17*100)</f>
        <v/>
      </c>
      <c r="CG62" s="130" t="str">
        <f>IF('Midterm OVPAA-F-INS-055A RAW SC'!CE62="","",'Midterm OVPAA-F-INS-055A RAW SC'!CE62/'Midterm OVPAA-F-INS-055A RAW SC'!CE$17*100)</f>
        <v/>
      </c>
      <c r="CH62" s="130" t="str">
        <f>IF('Midterm OVPAA-F-INS-055A RAW SC'!CF62="","",'Midterm OVPAA-F-INS-055A RAW SC'!CF62/'Midterm OVPAA-F-INS-055A RAW SC'!CF$17*100)</f>
        <v/>
      </c>
      <c r="CI62" s="130" t="str">
        <f>IF('Midterm OVPAA-F-INS-055A RAW SC'!CG62="","",'Midterm OVPAA-F-INS-055A RAW SC'!CG62/'Midterm OVPAA-F-INS-055A RAW SC'!CG$17*100)</f>
        <v/>
      </c>
      <c r="CJ62" s="130" t="str">
        <f>IF('Midterm OVPAA-F-INS-055A RAW SC'!CH62="","",'Midterm OVPAA-F-INS-055A RAW SC'!CH62/'Midterm OVPAA-F-INS-055A RAW SC'!CH$17*100)</f>
        <v/>
      </c>
      <c r="CK62" s="130" t="str">
        <f>IF('Midterm OVPAA-F-INS-055A RAW SC'!CI62="","",'Midterm OVPAA-F-INS-055A RAW SC'!CI62/'Midterm OVPAA-F-INS-055A RAW SC'!CI$17*100)</f>
        <v/>
      </c>
      <c r="CL62" s="130" t="str">
        <f>IF('Midterm OVPAA-F-INS-055A RAW SC'!CJ62="","",'Midterm OVPAA-F-INS-055A RAW SC'!CJ62/'Midterm OVPAA-F-INS-055A RAW SC'!CJ$17*100)</f>
        <v/>
      </c>
      <c r="CM62" s="130" t="str">
        <f>IF('Midterm OVPAA-F-INS-055A RAW SC'!CK62="","",'Midterm OVPAA-F-INS-055A RAW SC'!CK62/'Midterm OVPAA-F-INS-055A RAW SC'!CK$17*100)</f>
        <v/>
      </c>
      <c r="CN62" s="130" t="str">
        <f>IF('Midterm OVPAA-F-INS-055A RAW SC'!CL62="","",'Midterm OVPAA-F-INS-055A RAW SC'!CL62/'Midterm OVPAA-F-INS-055A RAW SC'!CL$17*100)</f>
        <v/>
      </c>
      <c r="CO62" s="130" t="str">
        <f>IF('Midterm OVPAA-F-INS-055A RAW SC'!CM62="","",'Midterm OVPAA-F-INS-055A RAW SC'!CM62/'Midterm OVPAA-F-INS-055A RAW SC'!CM$17*100)</f>
        <v/>
      </c>
      <c r="CP62" s="130" t="str">
        <f>IF('Midterm OVPAA-F-INS-055A RAW SC'!CN62="","",'Midterm OVPAA-F-INS-055A RAW SC'!CN62/'Midterm OVPAA-F-INS-055A RAW SC'!CN$17*100)</f>
        <v/>
      </c>
      <c r="CQ62" s="131" t="str">
        <f t="array" ref="CQ62">IF('Midterm OVPAA-F-INS-055A RAW SC'!G62="","",IF((SUMPRODUCT(--ISBLANK('Midterm OVPAA-F-INS-055A RAW SC'!BU62:CN62))=COLUMNS('Midterm OVPAA-F-INS-055A RAW SC'!BU62:CN62))=TRUE,"",(((COUNTA('Midterm OVPAA-F-INS-055A RAW SC'!$BU$17:$CN$17)+COUNTBLANK('Midterm OVPAA-F-INS-055A RAW SC'!BU62:CN62))-COLUMNS('Midterm OVPAA-F-INS-055A RAW SC'!BU62:CN62))*5+SUM(BW62:CP62))/COUNTA('Midterm OVPAA-F-INS-055A RAW SC'!$BU$17:$CN$17)))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IF('Midterm OVPAA-F-INS-055A RAW SC'!CO62="","",'Midterm OVPAA-F-INS-055A RAW SC'!CO62/'Midterm OVPAA-F-INS-055A RAW SC'!CO$17*100)</f>
        <v/>
      </c>
      <c r="CT62" s="133" t="str">
        <f>IF('Midterm OVPAA-F-INS-055A RAW SC'!CP62="","",'Midterm OVPAA-F-INS-055A RAW SC'!CP62/'Midterm OVPAA-F-INS-055A RAW SC'!CP$17*100)</f>
        <v/>
      </c>
      <c r="CU62" s="133" t="str">
        <f>IF('Midterm OVPAA-F-INS-055A RAW SC'!CQ62="","",'Midterm OVPAA-F-INS-055A RAW SC'!CQ62/'Midterm OVPAA-F-INS-055A RAW SC'!CQ$17*100)</f>
        <v/>
      </c>
      <c r="CV62" s="133" t="str">
        <f>IF('Midterm OVPAA-F-INS-055A RAW SC'!CR62="","",'Midterm OVPAA-F-INS-055A RAW SC'!CR62/'Midterm OVPAA-F-INS-055A RAW SC'!CR$17*100)</f>
        <v/>
      </c>
      <c r="CW62" s="133" t="str">
        <f>IF('Midterm OVPAA-F-INS-055A RAW SC'!CS62="","",'Midterm OVPAA-F-INS-055A RAW SC'!CS62/'Midterm OVPAA-F-INS-055A RAW SC'!CS$17*100)</f>
        <v/>
      </c>
      <c r="CX62" s="133" t="str">
        <f>IF('Midterm OVPAA-F-INS-055A RAW SC'!CT62="","",'Midterm OVPAA-F-INS-055A RAW SC'!CT62/'Midterm OVPAA-F-INS-055A RAW SC'!CT$17*100)</f>
        <v/>
      </c>
      <c r="CY62" s="133" t="str">
        <f>IF('Midterm OVPAA-F-INS-055A RAW SC'!CU62="","",'Midterm OVPAA-F-INS-055A RAW SC'!CU62/'Midterm OVPAA-F-INS-055A RAW SC'!CU$17*100)</f>
        <v/>
      </c>
      <c r="CZ62" s="133" t="str">
        <f>IF('Midterm OVPAA-F-INS-055A RAW SC'!CV62="","",'Midterm OVPAA-F-INS-055A RAW SC'!CV62/'Midterm OVPAA-F-INS-055A RAW SC'!CV$17*100)</f>
        <v/>
      </c>
      <c r="DA62" s="133" t="str">
        <f>IF('Midterm OVPAA-F-INS-055A RAW SC'!CW62="","",'Midterm OVPAA-F-INS-055A RAW SC'!CW62/'Midterm OVPAA-F-INS-055A RAW SC'!CW$17*100)</f>
        <v/>
      </c>
      <c r="DB62" s="133" t="str">
        <f>IF('Midterm OVPAA-F-INS-055A RAW SC'!CX62="","",'Midterm OVPAA-F-INS-055A RAW SC'!CX62/'Midterm OVPAA-F-INS-055A RAW SC'!CX$17*100)</f>
        <v/>
      </c>
      <c r="DC62" s="134" t="str">
        <f t="array" ref="DC62">IF('Midterm OVPAA-F-INS-055A RAW SC'!$G62="","",IF((SUMPRODUCT(--ISBLANK('Midterm OVPAA-F-INS-055A RAW SC'!CO62:CX62))=COLUMNS('Midterm OVPAA-F-INS-055A RAW SC'!CO62:CX62))=TRUE,"",(((COUNTA('Midterm OVPAA-F-INS-055A RAW SC'!$CO$17:$CX$17)+COUNTBLANK('Midterm OVPAA-F-INS-055A RAW SC'!CO62:CX62))-COLUMNS('Midterm OVPAA-F-INS-055A RAW SC'!CO62:CX62))*5+SUM(CS62:DB62))/COUNTA('Midterm OVPAA-F-INS-055A RAW SC'!$CO$17:$CX$17)))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37" t="str">
        <f t="shared" si="2"/>
        <v/>
      </c>
      <c r="DG62" s="138" t="str">
        <f t="shared" si="3"/>
        <v/>
      </c>
      <c r="DH62" s="136" t="str">
        <f t="shared" si="4"/>
        <v/>
      </c>
      <c r="DI62" s="123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IF('Midterm OVPAA-F-INS-055A RAW SC'!H63="","",'Midterm OVPAA-F-INS-055A RAW SC'!H63/'Midterm OVPAA-F-INS-055A RAW SC'!H$17*100)</f>
        <v/>
      </c>
      <c r="I63" s="126" t="str">
        <f>IF('Midterm OVPAA-F-INS-055A RAW SC'!I63="","",'Midterm OVPAA-F-INS-055A RAW SC'!I63/'Midterm OVPAA-F-INS-055A RAW SC'!I$17*100)</f>
        <v/>
      </c>
      <c r="J63" s="126" t="str">
        <f>IF('Midterm OVPAA-F-INS-055A RAW SC'!J63="","",'Midterm OVPAA-F-INS-055A RAW SC'!J63/'Midterm OVPAA-F-INS-055A RAW SC'!J$17*100)</f>
        <v/>
      </c>
      <c r="K63" s="126" t="str">
        <f>IF('Midterm OVPAA-F-INS-055A RAW SC'!K63="","",'Midterm OVPAA-F-INS-055A RAW SC'!K63/'Midterm OVPAA-F-INS-055A RAW SC'!K$17*100)</f>
        <v/>
      </c>
      <c r="L63" s="126" t="str">
        <f>IF('Midterm OVPAA-F-INS-055A RAW SC'!L63="","",'Midterm OVPAA-F-INS-055A RAW SC'!L63/'Midterm OVPAA-F-INS-055A RAW SC'!L$17*100)</f>
        <v/>
      </c>
      <c r="M63" s="126" t="str">
        <f>IF('Midterm OVPAA-F-INS-055A RAW SC'!M63="","",'Midterm OVPAA-F-INS-055A RAW SC'!M63/'Midterm OVPAA-F-INS-055A RAW SC'!M$17*100)</f>
        <v/>
      </c>
      <c r="N63" s="126" t="str">
        <f>IF('Midterm OVPAA-F-INS-055A RAW SC'!N63="","",'Midterm OVPAA-F-INS-055A RAW SC'!N63/'Midterm OVPAA-F-INS-055A RAW SC'!N$17*100)</f>
        <v/>
      </c>
      <c r="O63" s="126" t="str">
        <f>IF('Midterm OVPAA-F-INS-055A RAW SC'!O63="","",'Midterm OVPAA-F-INS-055A RAW SC'!O63/'Midterm OVPAA-F-INS-055A RAW SC'!O$17*100)</f>
        <v/>
      </c>
      <c r="P63" s="126" t="str">
        <f>IF('Midterm OVPAA-F-INS-055A RAW SC'!P63="","",'Midterm OVPAA-F-INS-055A RAW SC'!P63/'Midterm OVPAA-F-INS-055A RAW SC'!P$17*100)</f>
        <v/>
      </c>
      <c r="Q63" s="126" t="str">
        <f>IF('Midterm OVPAA-F-INS-055A RAW SC'!Q63="","",'Midterm OVPAA-F-INS-055A RAW SC'!Q63/'Midterm OVPAA-F-INS-055A RAW SC'!Q$17*100)</f>
        <v/>
      </c>
      <c r="R63" s="126" t="str">
        <f>IF('Midterm OVPAA-F-INS-055A RAW SC'!R63="","",'Midterm OVPAA-F-INS-055A RAW SC'!R63/'Midterm OVPAA-F-INS-055A RAW SC'!R$17*100)</f>
        <v/>
      </c>
      <c r="S63" s="126" t="str">
        <f>IF('Midterm OVPAA-F-INS-055A RAW SC'!S63="","",'Midterm OVPAA-F-INS-055A RAW SC'!S63/'Midterm OVPAA-F-INS-055A RAW SC'!S$17*100)</f>
        <v/>
      </c>
      <c r="T63" s="126" t="str">
        <f>IF('Midterm OVPAA-F-INS-055A RAW SC'!T63="","",'Midterm OVPAA-F-INS-055A RAW SC'!T63/'Midterm OVPAA-F-INS-055A RAW SC'!T$17*100)</f>
        <v/>
      </c>
      <c r="U63" s="126" t="str">
        <f>IF('Midterm OVPAA-F-INS-055A RAW SC'!U63="","",'Midterm OVPAA-F-INS-055A RAW SC'!U63/'Midterm OVPAA-F-INS-055A RAW SC'!U$17*100)</f>
        <v/>
      </c>
      <c r="V63" s="126" t="str">
        <f>IF('Midterm OVPAA-F-INS-055A RAW SC'!V63="","",'Midterm OVPAA-F-INS-055A RAW SC'!V63/'Midterm OVPAA-F-INS-055A RAW SC'!V$17*100)</f>
        <v/>
      </c>
      <c r="W63" s="126" t="str">
        <f>IF('Midterm OVPAA-F-INS-055A RAW SC'!W63="","",'Midterm OVPAA-F-INS-055A RAW SC'!W63/'Midterm OVPAA-F-INS-055A RAW SC'!W$17*100)</f>
        <v/>
      </c>
      <c r="X63" s="126" t="str">
        <f>IF('Midterm OVPAA-F-INS-055A RAW SC'!X63="","",'Midterm OVPAA-F-INS-055A RAW SC'!X63/'Midterm OVPAA-F-INS-055A RAW SC'!X$17*100)</f>
        <v/>
      </c>
      <c r="Y63" s="126" t="str">
        <f>IF('Midterm OVPAA-F-INS-055A RAW SC'!Y63="","",'Midterm OVPAA-F-INS-055A RAW SC'!Y63/'Midterm OVPAA-F-INS-055A RAW SC'!Y$17*100)</f>
        <v/>
      </c>
      <c r="Z63" s="126" t="str">
        <f>IF('Midterm OVPAA-F-INS-055A RAW SC'!Z63="","",'Midterm OVPAA-F-INS-055A RAW SC'!Z63/'Midterm OVPAA-F-INS-055A RAW SC'!Z$17*100)</f>
        <v/>
      </c>
      <c r="AA63" s="126" t="str">
        <f>IF('Midterm OVPAA-F-INS-055A RAW SC'!AA63="","",'Midterm OVPAA-F-INS-055A RAW SC'!AA63/'Midterm OVPAA-F-INS-055A RAW SC'!AA$17*100)</f>
        <v/>
      </c>
      <c r="AB63" s="126" t="str">
        <f>IF('Midterm OVPAA-F-INS-055A RAW SC'!AB63="","",'Midterm OVPAA-F-INS-055A RAW SC'!AB63/'Midterm OVPAA-F-INS-055A RAW SC'!AB$17*100)</f>
        <v/>
      </c>
      <c r="AC63" s="126" t="str">
        <f>IF('Midterm OVPAA-F-INS-055A RAW SC'!AC63="","",'Midterm OVPAA-F-INS-055A RAW SC'!AC63/'Midterm OVPAA-F-INS-055A RAW SC'!AC$17*100)</f>
        <v/>
      </c>
      <c r="AD63" s="126" t="str">
        <f>IF('Midterm OVPAA-F-INS-055A RAW SC'!AD63="","",'Midterm OVPAA-F-INS-055A RAW SC'!AD63/'Midterm OVPAA-F-INS-055A RAW SC'!AD$17*100)</f>
        <v/>
      </c>
      <c r="AE63" s="126" t="str">
        <f>IF('Midterm OVPAA-F-INS-055A RAW SC'!AE63="","",'Midterm OVPAA-F-INS-055A RAW SC'!AE63/'Midterm OVPAA-F-INS-055A RAW SC'!AE$17*100)</f>
        <v/>
      </c>
      <c r="AF63" s="126" t="str">
        <f>IF('Midterm OVPAA-F-INS-055A RAW SC'!AF63="","",'Midterm OVPAA-F-INS-055A RAW SC'!AF63/'Midterm OVPAA-F-INS-055A RAW SC'!AF$17*100)</f>
        <v/>
      </c>
      <c r="AG63" s="126" t="str">
        <f>IF('Midterm OVPAA-F-INS-055A RAW SC'!AG63="","",'Midterm OVPAA-F-INS-055A RAW SC'!AG63/'Midterm OVPAA-F-INS-055A RAW SC'!AG$17*100)</f>
        <v/>
      </c>
      <c r="AH63" s="126" t="str">
        <f>IF('Midterm OVPAA-F-INS-055A RAW SC'!AH63="","",'Midterm OVPAA-F-INS-055A RAW SC'!AH63/'Midterm OVPAA-F-INS-055A RAW SC'!AH$17*100)</f>
        <v/>
      </c>
      <c r="AI63" s="126" t="str">
        <f>IF('Midterm OVPAA-F-INS-055A RAW SC'!AI63="","",'Midterm OVPAA-F-INS-055A RAW SC'!AI63/'Midterm OVPAA-F-INS-055A RAW SC'!AI$17*100)</f>
        <v/>
      </c>
      <c r="AJ63" s="126" t="str">
        <f>IF('Midterm OVPAA-F-INS-055A RAW SC'!AJ63="","",'Midterm OVPAA-F-INS-055A RAW SC'!AJ63/'Midterm OVPAA-F-INS-055A RAW SC'!AJ$17*100)</f>
        <v/>
      </c>
      <c r="AK63" s="126" t="str">
        <f>IF('Midterm OVPAA-F-INS-055A RAW SC'!AK63="","",'Midterm OVPAA-F-INS-055A RAW SC'!AK63/'Midterm OVPAA-F-INS-055A RAW SC'!AK$17*100)</f>
        <v/>
      </c>
      <c r="AL63" s="126" t="str">
        <f>IF('Midterm OVPAA-F-INS-055A RAW SC'!AL63="","",'Midterm OVPAA-F-INS-055A RAW SC'!AL63/'Midterm OVPAA-F-INS-055A RAW SC'!AL$17*100)</f>
        <v/>
      </c>
      <c r="AM63" s="126" t="str">
        <f>IF('Midterm OVPAA-F-INS-055A RAW SC'!AM63="","",'Midterm OVPAA-F-INS-055A RAW SC'!AM63/'Midterm OVPAA-F-INS-055A RAW SC'!AM$17*100)</f>
        <v/>
      </c>
      <c r="AN63" s="126" t="str">
        <f>IF('Midterm OVPAA-F-INS-055A RAW SC'!AN63="","",'Midterm OVPAA-F-INS-055A RAW SC'!AN63/'Midterm OVPAA-F-INS-055A RAW SC'!AN$17*100)</f>
        <v/>
      </c>
      <c r="AO63" s="126" t="str">
        <f>IF('Midterm OVPAA-F-INS-055A RAW SC'!AO63="","",'Midterm OVPAA-F-INS-055A RAW SC'!AO63/'Midterm OVPAA-F-INS-055A RAW SC'!AO$17*100)</f>
        <v/>
      </c>
      <c r="AP63" s="126" t="str">
        <f>IF('Midterm OVPAA-F-INS-055A RAW SC'!AP63="","",'Midterm OVPAA-F-INS-055A RAW SC'!AP63/'Midterm OVPAA-F-INS-055A RAW SC'!AP$17*100)</f>
        <v/>
      </c>
      <c r="AQ63" s="126" t="str">
        <f>IF('Midterm OVPAA-F-INS-055A RAW SC'!AQ63="","",'Midterm OVPAA-F-INS-055A RAW SC'!AQ63/'Midterm OVPAA-F-INS-055A RAW SC'!AQ$17*100)</f>
        <v/>
      </c>
      <c r="AR63" s="126" t="str">
        <f>IF('Midterm OVPAA-F-INS-055A RAW SC'!AR63="","",'Midterm OVPAA-F-INS-055A RAW SC'!AR63/'Midterm OVPAA-F-INS-055A RAW SC'!AR$17*100)</f>
        <v/>
      </c>
      <c r="AS63" s="126" t="str">
        <f>IF('Midterm OVPAA-F-INS-055A RAW SC'!AS63="","",'Midterm OVPAA-F-INS-055A RAW SC'!AS63/'Midterm OVPAA-F-INS-055A RAW SC'!AS$17*100)</f>
        <v/>
      </c>
      <c r="AT63" s="126" t="str">
        <f>IF('Midterm OVPAA-F-INS-055A RAW SC'!AT63="","",'Midterm OVPAA-F-INS-055A RAW SC'!AT63/'Midterm OVPAA-F-INS-055A RAW SC'!AT$17*100)</f>
        <v/>
      </c>
      <c r="AU63" s="126" t="str">
        <f>IF('Midterm OVPAA-F-INS-055A RAW SC'!AU63="","",'Midterm OVPAA-F-INS-055A RAW SC'!AU63/'Midterm OVPAA-F-INS-055A RAW SC'!AU$17*100)</f>
        <v/>
      </c>
      <c r="AV63" s="126" t="str">
        <f>IF('Midterm OVPAA-F-INS-055A RAW SC'!AV63="","",'Midterm OVPAA-F-INS-055A RAW SC'!AV63/'Midterm OVPAA-F-INS-055A RAW SC'!AV$17*100)</f>
        <v/>
      </c>
      <c r="AW63" s="126" t="str">
        <f>IF('Midterm OVPAA-F-INS-055A RAW SC'!AW63="","",'Midterm OVPAA-F-INS-055A RAW SC'!AW63/'Midterm OVPAA-F-INS-055A RAW SC'!AW$17*100)</f>
        <v/>
      </c>
      <c r="AX63" s="126" t="str">
        <f>IF('Midterm OVPAA-F-INS-055A RAW SC'!AX63="","",'Midterm OVPAA-F-INS-055A RAW SC'!AX63/'Midterm OVPAA-F-INS-055A RAW SC'!AX$17*100)</f>
        <v/>
      </c>
      <c r="AY63" s="126" t="str">
        <f>IF('Midterm OVPAA-F-INS-055A RAW SC'!AY63="","",'Midterm OVPAA-F-INS-055A RAW SC'!AY63/'Midterm OVPAA-F-INS-055A RAW SC'!AY$17*100)</f>
        <v/>
      </c>
      <c r="AZ63" s="126" t="str">
        <f>IF('Midterm OVPAA-F-INS-055A RAW SC'!AZ63="","",'Midterm OVPAA-F-INS-055A RAW SC'!AZ63/'Midterm OVPAA-F-INS-055A RAW SC'!AZ$17*100)</f>
        <v/>
      </c>
      <c r="BA63" s="126" t="str">
        <f>IF('Midterm OVPAA-F-INS-055A RAW SC'!BA63="","",'Midterm OVPAA-F-INS-055A RAW SC'!BA63/'Midterm OVPAA-F-INS-055A RAW SC'!BA$17*100)</f>
        <v/>
      </c>
      <c r="BB63" s="126" t="str">
        <f>IF('Midterm OVPAA-F-INS-055A RAW SC'!BB63="","",'Midterm OVPAA-F-INS-055A RAW SC'!BB63/'Midterm OVPAA-F-INS-055A RAW SC'!BB$17*100)</f>
        <v/>
      </c>
      <c r="BC63" s="126" t="str">
        <f>IF('Midterm OVPAA-F-INS-055A RAW SC'!BC63="","",'Midterm OVPAA-F-INS-055A RAW SC'!BC63/'Midterm OVPAA-F-INS-055A RAW SC'!BC$17*100)</f>
        <v/>
      </c>
      <c r="BD63" s="126" t="str">
        <f>IF('Midterm OVPAA-F-INS-055A RAW SC'!BD63="","",'Midterm OVPAA-F-INS-055A RAW SC'!BD63/'Midterm OVPAA-F-INS-055A RAW SC'!BD$17*100)</f>
        <v/>
      </c>
      <c r="BE63" s="126" t="str">
        <f>IF('Midterm OVPAA-F-INS-055A RAW SC'!BE63="","",'Midterm OVPAA-F-INS-055A RAW SC'!BE63/'Midterm OVPAA-F-INS-055A RAW SC'!BE$17*100)</f>
        <v/>
      </c>
      <c r="BF63" s="126" t="str">
        <f>IF('Midterm OVPAA-F-INS-055A RAW SC'!BF63="","",'Midterm OVPAA-F-INS-055A RAW SC'!BF63/'Midterm OVPAA-F-INS-055A RAW SC'!BF$17*100)</f>
        <v/>
      </c>
      <c r="BG63" s="126" t="str">
        <f>IF('Midterm OVPAA-F-INS-055A RAW SC'!BG63="","",'Midterm OVPAA-F-INS-055A RAW SC'!BG63/'Midterm OVPAA-F-INS-055A RAW SC'!BG$17*100)</f>
        <v/>
      </c>
      <c r="BH63" s="126" t="str">
        <f>IF('Midterm OVPAA-F-INS-055A RAW SC'!BH63="","",'Midterm OVPAA-F-INS-055A RAW SC'!BH63/'Midterm OVPAA-F-INS-055A RAW SC'!BH$17*100)</f>
        <v/>
      </c>
      <c r="BI63" s="126" t="str">
        <f>IF('Midterm OVPAA-F-INS-055A RAW SC'!BI63="","",'Midterm OVPAA-F-INS-055A RAW SC'!BI63/'Midterm OVPAA-F-INS-055A RAW SC'!BI$17*100)</f>
        <v/>
      </c>
      <c r="BJ63" s="126" t="str">
        <f>IF('Midterm OVPAA-F-INS-055A RAW SC'!BJ63="","",'Midterm OVPAA-F-INS-055A RAW SC'!BJ63/'Midterm OVPAA-F-INS-055A RAW SC'!BJ$17*100)</f>
        <v/>
      </c>
      <c r="BK63" s="126" t="str">
        <f>IF('Midterm OVPAA-F-INS-055A RAW SC'!BK63="","",'Midterm OVPAA-F-INS-055A RAW SC'!BK63/'Midterm OVPAA-F-INS-055A RAW SC'!BK$17*100)</f>
        <v/>
      </c>
      <c r="BL63" s="126" t="str">
        <f>IF('Midterm OVPAA-F-INS-055A RAW SC'!BL63="","",'Midterm OVPAA-F-INS-055A RAW SC'!BL63/'Midterm OVPAA-F-INS-055A RAW SC'!BL$17*100)</f>
        <v/>
      </c>
      <c r="BM63" s="126" t="str">
        <f>IF('Midterm OVPAA-F-INS-055A RAW SC'!BM63="","",'Midterm OVPAA-F-INS-055A RAW SC'!BM63/'Midterm OVPAA-F-INS-055A RAW SC'!BM$17*100)</f>
        <v/>
      </c>
      <c r="BN63" s="126" t="str">
        <f>IF('Midterm OVPAA-F-INS-055A RAW SC'!BN63="","",'Midterm OVPAA-F-INS-055A RAW SC'!BN63/'Midterm OVPAA-F-INS-055A RAW SC'!BN$17*100)</f>
        <v/>
      </c>
      <c r="BO63" s="126" t="str">
        <f>IF('Midterm OVPAA-F-INS-055A RAW SC'!BO63="","",'Midterm OVPAA-F-INS-055A RAW SC'!BO63/'Midterm OVPAA-F-INS-055A RAW SC'!BO$17*100)</f>
        <v/>
      </c>
      <c r="BP63" s="126" t="str">
        <f>IF('Midterm OVPAA-F-INS-055A RAW SC'!BP63="","",'Midterm OVPAA-F-INS-055A RAW SC'!BP63/'Midterm OVPAA-F-INS-055A RAW SC'!BP$17*100)</f>
        <v/>
      </c>
      <c r="BQ63" s="126" t="str">
        <f>IF('Midterm OVPAA-F-INS-055A RAW SC'!BQ63="","",'Midterm OVPAA-F-INS-055A RAW SC'!BQ63/'Midterm OVPAA-F-INS-055A RAW SC'!BQ$17*100)</f>
        <v/>
      </c>
      <c r="BR63" s="126" t="str">
        <f>IF('Midterm OVPAA-F-INS-055A RAW SC'!BR63="","",'Midterm OVPAA-F-INS-055A RAW SC'!BR63/'Midterm OVPAA-F-INS-055A RAW SC'!BR$17*100)</f>
        <v/>
      </c>
      <c r="BS63" s="126" t="str">
        <f>IF('Midterm OVPAA-F-INS-055A RAW SC'!BS63="","",'Midterm OVPAA-F-INS-055A RAW SC'!BS63/'Midterm OVPAA-F-INS-055A RAW SC'!BS$17*100)</f>
        <v/>
      </c>
      <c r="BT63" s="126" t="str">
        <f>IF('Midterm OVPAA-F-INS-055A RAW SC'!BT63="","",'Midterm OVPAA-F-INS-055A RAW SC'!BT63/'Midterm OVPAA-F-INS-055A RAW SC'!BT$17*100)</f>
        <v/>
      </c>
      <c r="BU63" s="127" t="str">
        <f t="array" ref="BU63">IF('Midterm OVPAA-F-INS-055A RAW SC'!$G63="","",IF((SUMPRODUCT(--ISBLANK('Midterm OVPAA-F-INS-055A RAW SC'!H63:BT63))=COLUMNS('Midterm OVPAA-F-INS-055A RAW SC'!H63:BT63))=TRUE,"",(((COUNTA('Midterm OVPAA-F-INS-055A RAW SC'!$H$17:$BT$17)+COUNTBLANK('Midterm OVPAA-F-INS-055A RAW SC'!H63:BT63))-COLUMNS('Midterm OVPAA-F-INS-055A RAW SC'!H63:BT63))*5+SUM(H63:BT63))/COUNTA('Midterm OVPAA-F-INS-055A RAW SC'!$H$17:$BT$17)))</f>
        <v/>
      </c>
      <c r="BV63" s="128" t="str">
        <f>IF(BU63="","",VLOOKUP(BU63,IF('Midterm OVPAA-F-INS-055A RAW SC'!$V$12=0.5,TRANSMUTATION!$C$4:$D$17,TRANSMUTATION!$G$4:$H$17),2,TRUE))</f>
        <v/>
      </c>
      <c r="BW63" s="129" t="str">
        <f>IF('Midterm OVPAA-F-INS-055A RAW SC'!BU63="","",'Midterm OVPAA-F-INS-055A RAW SC'!BU63/'Midterm OVPAA-F-INS-055A RAW SC'!BU$17*100)</f>
        <v/>
      </c>
      <c r="BX63" s="130" t="str">
        <f>IF('Midterm OVPAA-F-INS-055A RAW SC'!BV63="","",'Midterm OVPAA-F-INS-055A RAW SC'!BV63/'Midterm OVPAA-F-INS-055A RAW SC'!BV$17*100)</f>
        <v/>
      </c>
      <c r="BY63" s="130" t="str">
        <f>IF('Midterm OVPAA-F-INS-055A RAW SC'!BW63="","",'Midterm OVPAA-F-INS-055A RAW SC'!BW63/'Midterm OVPAA-F-INS-055A RAW SC'!BW$17*100)</f>
        <v/>
      </c>
      <c r="BZ63" s="130" t="str">
        <f>IF('Midterm OVPAA-F-INS-055A RAW SC'!BX63="","",'Midterm OVPAA-F-INS-055A RAW SC'!BX63/'Midterm OVPAA-F-INS-055A RAW SC'!BX$17*100)</f>
        <v/>
      </c>
      <c r="CA63" s="130" t="str">
        <f>IF('Midterm OVPAA-F-INS-055A RAW SC'!BY63="","",'Midterm OVPAA-F-INS-055A RAW SC'!BY63/'Midterm OVPAA-F-INS-055A RAW SC'!BY$17*100)</f>
        <v/>
      </c>
      <c r="CB63" s="130" t="str">
        <f>IF('Midterm OVPAA-F-INS-055A RAW SC'!BZ63="","",'Midterm OVPAA-F-INS-055A RAW SC'!BZ63/'Midterm OVPAA-F-INS-055A RAW SC'!BZ$17*100)</f>
        <v/>
      </c>
      <c r="CC63" s="130" t="str">
        <f>IF('Midterm OVPAA-F-INS-055A RAW SC'!CA63="","",'Midterm OVPAA-F-INS-055A RAW SC'!CA63/'Midterm OVPAA-F-INS-055A RAW SC'!CA$17*100)</f>
        <v/>
      </c>
      <c r="CD63" s="130" t="str">
        <f>IF('Midterm OVPAA-F-INS-055A RAW SC'!CB63="","",'Midterm OVPAA-F-INS-055A RAW SC'!CB63/'Midterm OVPAA-F-INS-055A RAW SC'!CB$17*100)</f>
        <v/>
      </c>
      <c r="CE63" s="130" t="str">
        <f>IF('Midterm OVPAA-F-INS-055A RAW SC'!CC63="","",'Midterm OVPAA-F-INS-055A RAW SC'!CC63/'Midterm OVPAA-F-INS-055A RAW SC'!CC$17*100)</f>
        <v/>
      </c>
      <c r="CF63" s="130" t="str">
        <f>IF('Midterm OVPAA-F-INS-055A RAW SC'!CD63="","",'Midterm OVPAA-F-INS-055A RAW SC'!CD63/'Midterm OVPAA-F-INS-055A RAW SC'!CD$17*100)</f>
        <v/>
      </c>
      <c r="CG63" s="130" t="str">
        <f>IF('Midterm OVPAA-F-INS-055A RAW SC'!CE63="","",'Midterm OVPAA-F-INS-055A RAW SC'!CE63/'Midterm OVPAA-F-INS-055A RAW SC'!CE$17*100)</f>
        <v/>
      </c>
      <c r="CH63" s="130" t="str">
        <f>IF('Midterm OVPAA-F-INS-055A RAW SC'!CF63="","",'Midterm OVPAA-F-INS-055A RAW SC'!CF63/'Midterm OVPAA-F-INS-055A RAW SC'!CF$17*100)</f>
        <v/>
      </c>
      <c r="CI63" s="130" t="str">
        <f>IF('Midterm OVPAA-F-INS-055A RAW SC'!CG63="","",'Midterm OVPAA-F-INS-055A RAW SC'!CG63/'Midterm OVPAA-F-INS-055A RAW SC'!CG$17*100)</f>
        <v/>
      </c>
      <c r="CJ63" s="130" t="str">
        <f>IF('Midterm OVPAA-F-INS-055A RAW SC'!CH63="","",'Midterm OVPAA-F-INS-055A RAW SC'!CH63/'Midterm OVPAA-F-INS-055A RAW SC'!CH$17*100)</f>
        <v/>
      </c>
      <c r="CK63" s="130" t="str">
        <f>IF('Midterm OVPAA-F-INS-055A RAW SC'!CI63="","",'Midterm OVPAA-F-INS-055A RAW SC'!CI63/'Midterm OVPAA-F-INS-055A RAW SC'!CI$17*100)</f>
        <v/>
      </c>
      <c r="CL63" s="130" t="str">
        <f>IF('Midterm OVPAA-F-INS-055A RAW SC'!CJ63="","",'Midterm OVPAA-F-INS-055A RAW SC'!CJ63/'Midterm OVPAA-F-INS-055A RAW SC'!CJ$17*100)</f>
        <v/>
      </c>
      <c r="CM63" s="130" t="str">
        <f>IF('Midterm OVPAA-F-INS-055A RAW SC'!CK63="","",'Midterm OVPAA-F-INS-055A RAW SC'!CK63/'Midterm OVPAA-F-INS-055A RAW SC'!CK$17*100)</f>
        <v/>
      </c>
      <c r="CN63" s="130" t="str">
        <f>IF('Midterm OVPAA-F-INS-055A RAW SC'!CL63="","",'Midterm OVPAA-F-INS-055A RAW SC'!CL63/'Midterm OVPAA-F-INS-055A RAW SC'!CL$17*100)</f>
        <v/>
      </c>
      <c r="CO63" s="130" t="str">
        <f>IF('Midterm OVPAA-F-INS-055A RAW SC'!CM63="","",'Midterm OVPAA-F-INS-055A RAW SC'!CM63/'Midterm OVPAA-F-INS-055A RAW SC'!CM$17*100)</f>
        <v/>
      </c>
      <c r="CP63" s="130" t="str">
        <f>IF('Midterm OVPAA-F-INS-055A RAW SC'!CN63="","",'Midterm OVPAA-F-INS-055A RAW SC'!CN63/'Midterm OVPAA-F-INS-055A RAW SC'!CN$17*100)</f>
        <v/>
      </c>
      <c r="CQ63" s="131" t="str">
        <f t="array" ref="CQ63">IF('Midterm OVPAA-F-INS-055A RAW SC'!G63="","",IF((SUMPRODUCT(--ISBLANK('Midterm OVPAA-F-INS-055A RAW SC'!BU63:CN63))=COLUMNS('Midterm OVPAA-F-INS-055A RAW SC'!BU63:CN63))=TRUE,"",(((COUNTA('Midterm OVPAA-F-INS-055A RAW SC'!$BU$17:$CN$17)+COUNTBLANK('Midterm OVPAA-F-INS-055A RAW SC'!BU63:CN63))-COLUMNS('Midterm OVPAA-F-INS-055A RAW SC'!BU63:CN63))*5+SUM(BW63:CP63))/COUNTA('Midterm OVPAA-F-INS-055A RAW SC'!$BU$17:$CN$17)))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IF('Midterm OVPAA-F-INS-055A RAW SC'!CO63="","",'Midterm OVPAA-F-INS-055A RAW SC'!CO63/'Midterm OVPAA-F-INS-055A RAW SC'!CO$17*100)</f>
        <v/>
      </c>
      <c r="CT63" s="133" t="str">
        <f>IF('Midterm OVPAA-F-INS-055A RAW SC'!CP63="","",'Midterm OVPAA-F-INS-055A RAW SC'!CP63/'Midterm OVPAA-F-INS-055A RAW SC'!CP$17*100)</f>
        <v/>
      </c>
      <c r="CU63" s="133" t="str">
        <f>IF('Midterm OVPAA-F-INS-055A RAW SC'!CQ63="","",'Midterm OVPAA-F-INS-055A RAW SC'!CQ63/'Midterm OVPAA-F-INS-055A RAW SC'!CQ$17*100)</f>
        <v/>
      </c>
      <c r="CV63" s="133" t="str">
        <f>IF('Midterm OVPAA-F-INS-055A RAW SC'!CR63="","",'Midterm OVPAA-F-INS-055A RAW SC'!CR63/'Midterm OVPAA-F-INS-055A RAW SC'!CR$17*100)</f>
        <v/>
      </c>
      <c r="CW63" s="133" t="str">
        <f>IF('Midterm OVPAA-F-INS-055A RAW SC'!CS63="","",'Midterm OVPAA-F-INS-055A RAW SC'!CS63/'Midterm OVPAA-F-INS-055A RAW SC'!CS$17*100)</f>
        <v/>
      </c>
      <c r="CX63" s="133" t="str">
        <f>IF('Midterm OVPAA-F-INS-055A RAW SC'!CT63="","",'Midterm OVPAA-F-INS-055A RAW SC'!CT63/'Midterm OVPAA-F-INS-055A RAW SC'!CT$17*100)</f>
        <v/>
      </c>
      <c r="CY63" s="133" t="str">
        <f>IF('Midterm OVPAA-F-INS-055A RAW SC'!CU63="","",'Midterm OVPAA-F-INS-055A RAW SC'!CU63/'Midterm OVPAA-F-INS-055A RAW SC'!CU$17*100)</f>
        <v/>
      </c>
      <c r="CZ63" s="133" t="str">
        <f>IF('Midterm OVPAA-F-INS-055A RAW SC'!CV63="","",'Midterm OVPAA-F-INS-055A RAW SC'!CV63/'Midterm OVPAA-F-INS-055A RAW SC'!CV$17*100)</f>
        <v/>
      </c>
      <c r="DA63" s="133" t="str">
        <f>IF('Midterm OVPAA-F-INS-055A RAW SC'!CW63="","",'Midterm OVPAA-F-INS-055A RAW SC'!CW63/'Midterm OVPAA-F-INS-055A RAW SC'!CW$17*100)</f>
        <v/>
      </c>
      <c r="DB63" s="133" t="str">
        <f>IF('Midterm OVPAA-F-INS-055A RAW SC'!CX63="","",'Midterm OVPAA-F-INS-055A RAW SC'!CX63/'Midterm OVPAA-F-INS-055A RAW SC'!CX$17*100)</f>
        <v/>
      </c>
      <c r="DC63" s="134" t="str">
        <f t="array" ref="DC63">IF('Midterm OVPAA-F-INS-055A RAW SC'!$G63="","",IF((SUMPRODUCT(--ISBLANK('Midterm OVPAA-F-INS-055A RAW SC'!CO63:CX63))=COLUMNS('Midterm OVPAA-F-INS-055A RAW SC'!CO63:CX63))=TRUE,"",(((COUNTA('Midterm OVPAA-F-INS-055A RAW SC'!$CO$17:$CX$17)+COUNTBLANK('Midterm OVPAA-F-INS-055A RAW SC'!CO63:CX63))-COLUMNS('Midterm OVPAA-F-INS-055A RAW SC'!CO63:CX63))*5+SUM(CS63:DB63))/COUNTA('Midterm OVPAA-F-INS-055A RAW SC'!$CO$17:$CX$17)))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37" t="str">
        <f t="shared" si="2"/>
        <v/>
      </c>
      <c r="DG63" s="138" t="str">
        <f t="shared" si="3"/>
        <v/>
      </c>
      <c r="DH63" s="136" t="str">
        <f t="shared" si="4"/>
        <v/>
      </c>
      <c r="DI63" s="123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IF('Midterm OVPAA-F-INS-055A RAW SC'!H64="","",'Midterm OVPAA-F-INS-055A RAW SC'!H64/'Midterm OVPAA-F-INS-055A RAW SC'!H$17*100)</f>
        <v/>
      </c>
      <c r="I64" s="126" t="str">
        <f>IF('Midterm OVPAA-F-INS-055A RAW SC'!I64="","",'Midterm OVPAA-F-INS-055A RAW SC'!I64/'Midterm OVPAA-F-INS-055A RAW SC'!I$17*100)</f>
        <v/>
      </c>
      <c r="J64" s="126" t="str">
        <f>IF('Midterm OVPAA-F-INS-055A RAW SC'!J64="","",'Midterm OVPAA-F-INS-055A RAW SC'!J64/'Midterm OVPAA-F-INS-055A RAW SC'!J$17*100)</f>
        <v/>
      </c>
      <c r="K64" s="126" t="str">
        <f>IF('Midterm OVPAA-F-INS-055A RAW SC'!K64="","",'Midterm OVPAA-F-INS-055A RAW SC'!K64/'Midterm OVPAA-F-INS-055A RAW SC'!K$17*100)</f>
        <v/>
      </c>
      <c r="L64" s="126" t="str">
        <f>IF('Midterm OVPAA-F-INS-055A RAW SC'!L64="","",'Midterm OVPAA-F-INS-055A RAW SC'!L64/'Midterm OVPAA-F-INS-055A RAW SC'!L$17*100)</f>
        <v/>
      </c>
      <c r="M64" s="126" t="str">
        <f>IF('Midterm OVPAA-F-INS-055A RAW SC'!M64="","",'Midterm OVPAA-F-INS-055A RAW SC'!M64/'Midterm OVPAA-F-INS-055A RAW SC'!M$17*100)</f>
        <v/>
      </c>
      <c r="N64" s="126" t="str">
        <f>IF('Midterm OVPAA-F-INS-055A RAW SC'!N64="","",'Midterm OVPAA-F-INS-055A RAW SC'!N64/'Midterm OVPAA-F-INS-055A RAW SC'!N$17*100)</f>
        <v/>
      </c>
      <c r="O64" s="126" t="str">
        <f>IF('Midterm OVPAA-F-INS-055A RAW SC'!O64="","",'Midterm OVPAA-F-INS-055A RAW SC'!O64/'Midterm OVPAA-F-INS-055A RAW SC'!O$17*100)</f>
        <v/>
      </c>
      <c r="P64" s="126" t="str">
        <f>IF('Midterm OVPAA-F-INS-055A RAW SC'!P64="","",'Midterm OVPAA-F-INS-055A RAW SC'!P64/'Midterm OVPAA-F-INS-055A RAW SC'!P$17*100)</f>
        <v/>
      </c>
      <c r="Q64" s="126" t="str">
        <f>IF('Midterm OVPAA-F-INS-055A RAW SC'!Q64="","",'Midterm OVPAA-F-INS-055A RAW SC'!Q64/'Midterm OVPAA-F-INS-055A RAW SC'!Q$17*100)</f>
        <v/>
      </c>
      <c r="R64" s="126" t="str">
        <f>IF('Midterm OVPAA-F-INS-055A RAW SC'!R64="","",'Midterm OVPAA-F-INS-055A RAW SC'!R64/'Midterm OVPAA-F-INS-055A RAW SC'!R$17*100)</f>
        <v/>
      </c>
      <c r="S64" s="126" t="str">
        <f>IF('Midterm OVPAA-F-INS-055A RAW SC'!S64="","",'Midterm OVPAA-F-INS-055A RAW SC'!S64/'Midterm OVPAA-F-INS-055A RAW SC'!S$17*100)</f>
        <v/>
      </c>
      <c r="T64" s="126" t="str">
        <f>IF('Midterm OVPAA-F-INS-055A RAW SC'!T64="","",'Midterm OVPAA-F-INS-055A RAW SC'!T64/'Midterm OVPAA-F-INS-055A RAW SC'!T$17*100)</f>
        <v/>
      </c>
      <c r="U64" s="126" t="str">
        <f>IF('Midterm OVPAA-F-INS-055A RAW SC'!U64="","",'Midterm OVPAA-F-INS-055A RAW SC'!U64/'Midterm OVPAA-F-INS-055A RAW SC'!U$17*100)</f>
        <v/>
      </c>
      <c r="V64" s="126" t="str">
        <f>IF('Midterm OVPAA-F-INS-055A RAW SC'!V64="","",'Midterm OVPAA-F-INS-055A RAW SC'!V64/'Midterm OVPAA-F-INS-055A RAW SC'!V$17*100)</f>
        <v/>
      </c>
      <c r="W64" s="126" t="str">
        <f>IF('Midterm OVPAA-F-INS-055A RAW SC'!W64="","",'Midterm OVPAA-F-INS-055A RAW SC'!W64/'Midterm OVPAA-F-INS-055A RAW SC'!W$17*100)</f>
        <v/>
      </c>
      <c r="X64" s="126" t="str">
        <f>IF('Midterm OVPAA-F-INS-055A RAW SC'!X64="","",'Midterm OVPAA-F-INS-055A RAW SC'!X64/'Midterm OVPAA-F-INS-055A RAW SC'!X$17*100)</f>
        <v/>
      </c>
      <c r="Y64" s="126" t="str">
        <f>IF('Midterm OVPAA-F-INS-055A RAW SC'!Y64="","",'Midterm OVPAA-F-INS-055A RAW SC'!Y64/'Midterm OVPAA-F-INS-055A RAW SC'!Y$17*100)</f>
        <v/>
      </c>
      <c r="Z64" s="126" t="str">
        <f>IF('Midterm OVPAA-F-INS-055A RAW SC'!Z64="","",'Midterm OVPAA-F-INS-055A RAW SC'!Z64/'Midterm OVPAA-F-INS-055A RAW SC'!Z$17*100)</f>
        <v/>
      </c>
      <c r="AA64" s="126" t="str">
        <f>IF('Midterm OVPAA-F-INS-055A RAW SC'!AA64="","",'Midterm OVPAA-F-INS-055A RAW SC'!AA64/'Midterm OVPAA-F-INS-055A RAW SC'!AA$17*100)</f>
        <v/>
      </c>
      <c r="AB64" s="126" t="str">
        <f>IF('Midterm OVPAA-F-INS-055A RAW SC'!AB64="","",'Midterm OVPAA-F-INS-055A RAW SC'!AB64/'Midterm OVPAA-F-INS-055A RAW SC'!AB$17*100)</f>
        <v/>
      </c>
      <c r="AC64" s="126" t="str">
        <f>IF('Midterm OVPAA-F-INS-055A RAW SC'!AC64="","",'Midterm OVPAA-F-INS-055A RAW SC'!AC64/'Midterm OVPAA-F-INS-055A RAW SC'!AC$17*100)</f>
        <v/>
      </c>
      <c r="AD64" s="126" t="str">
        <f>IF('Midterm OVPAA-F-INS-055A RAW SC'!AD64="","",'Midterm OVPAA-F-INS-055A RAW SC'!AD64/'Midterm OVPAA-F-INS-055A RAW SC'!AD$17*100)</f>
        <v/>
      </c>
      <c r="AE64" s="126" t="str">
        <f>IF('Midterm OVPAA-F-INS-055A RAW SC'!AE64="","",'Midterm OVPAA-F-INS-055A RAW SC'!AE64/'Midterm OVPAA-F-INS-055A RAW SC'!AE$17*100)</f>
        <v/>
      </c>
      <c r="AF64" s="126" t="str">
        <f>IF('Midterm OVPAA-F-INS-055A RAW SC'!AF64="","",'Midterm OVPAA-F-INS-055A RAW SC'!AF64/'Midterm OVPAA-F-INS-055A RAW SC'!AF$17*100)</f>
        <v/>
      </c>
      <c r="AG64" s="126" t="str">
        <f>IF('Midterm OVPAA-F-INS-055A RAW SC'!AG64="","",'Midterm OVPAA-F-INS-055A RAW SC'!AG64/'Midterm OVPAA-F-INS-055A RAW SC'!AG$17*100)</f>
        <v/>
      </c>
      <c r="AH64" s="126" t="str">
        <f>IF('Midterm OVPAA-F-INS-055A RAW SC'!AH64="","",'Midterm OVPAA-F-INS-055A RAW SC'!AH64/'Midterm OVPAA-F-INS-055A RAW SC'!AH$17*100)</f>
        <v/>
      </c>
      <c r="AI64" s="126" t="str">
        <f>IF('Midterm OVPAA-F-INS-055A RAW SC'!AI64="","",'Midterm OVPAA-F-INS-055A RAW SC'!AI64/'Midterm OVPAA-F-INS-055A RAW SC'!AI$17*100)</f>
        <v/>
      </c>
      <c r="AJ64" s="126" t="str">
        <f>IF('Midterm OVPAA-F-INS-055A RAW SC'!AJ64="","",'Midterm OVPAA-F-INS-055A RAW SC'!AJ64/'Midterm OVPAA-F-INS-055A RAW SC'!AJ$17*100)</f>
        <v/>
      </c>
      <c r="AK64" s="126" t="str">
        <f>IF('Midterm OVPAA-F-INS-055A RAW SC'!AK64="","",'Midterm OVPAA-F-INS-055A RAW SC'!AK64/'Midterm OVPAA-F-INS-055A RAW SC'!AK$17*100)</f>
        <v/>
      </c>
      <c r="AL64" s="126" t="str">
        <f>IF('Midterm OVPAA-F-INS-055A RAW SC'!AL64="","",'Midterm OVPAA-F-INS-055A RAW SC'!AL64/'Midterm OVPAA-F-INS-055A RAW SC'!AL$17*100)</f>
        <v/>
      </c>
      <c r="AM64" s="126" t="str">
        <f>IF('Midterm OVPAA-F-INS-055A RAW SC'!AM64="","",'Midterm OVPAA-F-INS-055A RAW SC'!AM64/'Midterm OVPAA-F-INS-055A RAW SC'!AM$17*100)</f>
        <v/>
      </c>
      <c r="AN64" s="126" t="str">
        <f>IF('Midterm OVPAA-F-INS-055A RAW SC'!AN64="","",'Midterm OVPAA-F-INS-055A RAW SC'!AN64/'Midterm OVPAA-F-INS-055A RAW SC'!AN$17*100)</f>
        <v/>
      </c>
      <c r="AO64" s="126" t="str">
        <f>IF('Midterm OVPAA-F-INS-055A RAW SC'!AO64="","",'Midterm OVPAA-F-INS-055A RAW SC'!AO64/'Midterm OVPAA-F-INS-055A RAW SC'!AO$17*100)</f>
        <v/>
      </c>
      <c r="AP64" s="126" t="str">
        <f>IF('Midterm OVPAA-F-INS-055A RAW SC'!AP64="","",'Midterm OVPAA-F-INS-055A RAW SC'!AP64/'Midterm OVPAA-F-INS-055A RAW SC'!AP$17*100)</f>
        <v/>
      </c>
      <c r="AQ64" s="126" t="str">
        <f>IF('Midterm OVPAA-F-INS-055A RAW SC'!AQ64="","",'Midterm OVPAA-F-INS-055A RAW SC'!AQ64/'Midterm OVPAA-F-INS-055A RAW SC'!AQ$17*100)</f>
        <v/>
      </c>
      <c r="AR64" s="126" t="str">
        <f>IF('Midterm OVPAA-F-INS-055A RAW SC'!AR64="","",'Midterm OVPAA-F-INS-055A RAW SC'!AR64/'Midterm OVPAA-F-INS-055A RAW SC'!AR$17*100)</f>
        <v/>
      </c>
      <c r="AS64" s="126" t="str">
        <f>IF('Midterm OVPAA-F-INS-055A RAW SC'!AS64="","",'Midterm OVPAA-F-INS-055A RAW SC'!AS64/'Midterm OVPAA-F-INS-055A RAW SC'!AS$17*100)</f>
        <v/>
      </c>
      <c r="AT64" s="126" t="str">
        <f>IF('Midterm OVPAA-F-INS-055A RAW SC'!AT64="","",'Midterm OVPAA-F-INS-055A RAW SC'!AT64/'Midterm OVPAA-F-INS-055A RAW SC'!AT$17*100)</f>
        <v/>
      </c>
      <c r="AU64" s="126" t="str">
        <f>IF('Midterm OVPAA-F-INS-055A RAW SC'!AU64="","",'Midterm OVPAA-F-INS-055A RAW SC'!AU64/'Midterm OVPAA-F-INS-055A RAW SC'!AU$17*100)</f>
        <v/>
      </c>
      <c r="AV64" s="126" t="str">
        <f>IF('Midterm OVPAA-F-INS-055A RAW SC'!AV64="","",'Midterm OVPAA-F-INS-055A RAW SC'!AV64/'Midterm OVPAA-F-INS-055A RAW SC'!AV$17*100)</f>
        <v/>
      </c>
      <c r="AW64" s="126" t="str">
        <f>IF('Midterm OVPAA-F-INS-055A RAW SC'!AW64="","",'Midterm OVPAA-F-INS-055A RAW SC'!AW64/'Midterm OVPAA-F-INS-055A RAW SC'!AW$17*100)</f>
        <v/>
      </c>
      <c r="AX64" s="126" t="str">
        <f>IF('Midterm OVPAA-F-INS-055A RAW SC'!AX64="","",'Midterm OVPAA-F-INS-055A RAW SC'!AX64/'Midterm OVPAA-F-INS-055A RAW SC'!AX$17*100)</f>
        <v/>
      </c>
      <c r="AY64" s="126" t="str">
        <f>IF('Midterm OVPAA-F-INS-055A RAW SC'!AY64="","",'Midterm OVPAA-F-INS-055A RAW SC'!AY64/'Midterm OVPAA-F-INS-055A RAW SC'!AY$17*100)</f>
        <v/>
      </c>
      <c r="AZ64" s="126" t="str">
        <f>IF('Midterm OVPAA-F-INS-055A RAW SC'!AZ64="","",'Midterm OVPAA-F-INS-055A RAW SC'!AZ64/'Midterm OVPAA-F-INS-055A RAW SC'!AZ$17*100)</f>
        <v/>
      </c>
      <c r="BA64" s="126" t="str">
        <f>IF('Midterm OVPAA-F-INS-055A RAW SC'!BA64="","",'Midterm OVPAA-F-INS-055A RAW SC'!BA64/'Midterm OVPAA-F-INS-055A RAW SC'!BA$17*100)</f>
        <v/>
      </c>
      <c r="BB64" s="126" t="str">
        <f>IF('Midterm OVPAA-F-INS-055A RAW SC'!BB64="","",'Midterm OVPAA-F-INS-055A RAW SC'!BB64/'Midterm OVPAA-F-INS-055A RAW SC'!BB$17*100)</f>
        <v/>
      </c>
      <c r="BC64" s="126" t="str">
        <f>IF('Midterm OVPAA-F-INS-055A RAW SC'!BC64="","",'Midterm OVPAA-F-INS-055A RAW SC'!BC64/'Midterm OVPAA-F-INS-055A RAW SC'!BC$17*100)</f>
        <v/>
      </c>
      <c r="BD64" s="126" t="str">
        <f>IF('Midterm OVPAA-F-INS-055A RAW SC'!BD64="","",'Midterm OVPAA-F-INS-055A RAW SC'!BD64/'Midterm OVPAA-F-INS-055A RAW SC'!BD$17*100)</f>
        <v/>
      </c>
      <c r="BE64" s="126" t="str">
        <f>IF('Midterm OVPAA-F-INS-055A RAW SC'!BE64="","",'Midterm OVPAA-F-INS-055A RAW SC'!BE64/'Midterm OVPAA-F-INS-055A RAW SC'!BE$17*100)</f>
        <v/>
      </c>
      <c r="BF64" s="126" t="str">
        <f>IF('Midterm OVPAA-F-INS-055A RAW SC'!BF64="","",'Midterm OVPAA-F-INS-055A RAW SC'!BF64/'Midterm OVPAA-F-INS-055A RAW SC'!BF$17*100)</f>
        <v/>
      </c>
      <c r="BG64" s="126" t="str">
        <f>IF('Midterm OVPAA-F-INS-055A RAW SC'!BG64="","",'Midterm OVPAA-F-INS-055A RAW SC'!BG64/'Midterm OVPAA-F-INS-055A RAW SC'!BG$17*100)</f>
        <v/>
      </c>
      <c r="BH64" s="126" t="str">
        <f>IF('Midterm OVPAA-F-INS-055A RAW SC'!BH64="","",'Midterm OVPAA-F-INS-055A RAW SC'!BH64/'Midterm OVPAA-F-INS-055A RAW SC'!BH$17*100)</f>
        <v/>
      </c>
      <c r="BI64" s="126" t="str">
        <f>IF('Midterm OVPAA-F-INS-055A RAW SC'!BI64="","",'Midterm OVPAA-F-INS-055A RAW SC'!BI64/'Midterm OVPAA-F-INS-055A RAW SC'!BI$17*100)</f>
        <v/>
      </c>
      <c r="BJ64" s="126" t="str">
        <f>IF('Midterm OVPAA-F-INS-055A RAW SC'!BJ64="","",'Midterm OVPAA-F-INS-055A RAW SC'!BJ64/'Midterm OVPAA-F-INS-055A RAW SC'!BJ$17*100)</f>
        <v/>
      </c>
      <c r="BK64" s="126" t="str">
        <f>IF('Midterm OVPAA-F-INS-055A RAW SC'!BK64="","",'Midterm OVPAA-F-INS-055A RAW SC'!BK64/'Midterm OVPAA-F-INS-055A RAW SC'!BK$17*100)</f>
        <v/>
      </c>
      <c r="BL64" s="126" t="str">
        <f>IF('Midterm OVPAA-F-INS-055A RAW SC'!BL64="","",'Midterm OVPAA-F-INS-055A RAW SC'!BL64/'Midterm OVPAA-F-INS-055A RAW SC'!BL$17*100)</f>
        <v/>
      </c>
      <c r="BM64" s="126" t="str">
        <f>IF('Midterm OVPAA-F-INS-055A RAW SC'!BM64="","",'Midterm OVPAA-F-INS-055A RAW SC'!BM64/'Midterm OVPAA-F-INS-055A RAW SC'!BM$17*100)</f>
        <v/>
      </c>
      <c r="BN64" s="126" t="str">
        <f>IF('Midterm OVPAA-F-INS-055A RAW SC'!BN64="","",'Midterm OVPAA-F-INS-055A RAW SC'!BN64/'Midterm OVPAA-F-INS-055A RAW SC'!BN$17*100)</f>
        <v/>
      </c>
      <c r="BO64" s="126" t="str">
        <f>IF('Midterm OVPAA-F-INS-055A RAW SC'!BO64="","",'Midterm OVPAA-F-INS-055A RAW SC'!BO64/'Midterm OVPAA-F-INS-055A RAW SC'!BO$17*100)</f>
        <v/>
      </c>
      <c r="BP64" s="126" t="str">
        <f>IF('Midterm OVPAA-F-INS-055A RAW SC'!BP64="","",'Midterm OVPAA-F-INS-055A RAW SC'!BP64/'Midterm OVPAA-F-INS-055A RAW SC'!BP$17*100)</f>
        <v/>
      </c>
      <c r="BQ64" s="126" t="str">
        <f>IF('Midterm OVPAA-F-INS-055A RAW SC'!BQ64="","",'Midterm OVPAA-F-INS-055A RAW SC'!BQ64/'Midterm OVPAA-F-INS-055A RAW SC'!BQ$17*100)</f>
        <v/>
      </c>
      <c r="BR64" s="126" t="str">
        <f>IF('Midterm OVPAA-F-INS-055A RAW SC'!BR64="","",'Midterm OVPAA-F-INS-055A RAW SC'!BR64/'Midterm OVPAA-F-INS-055A RAW SC'!BR$17*100)</f>
        <v/>
      </c>
      <c r="BS64" s="126" t="str">
        <f>IF('Midterm OVPAA-F-INS-055A RAW SC'!BS64="","",'Midterm OVPAA-F-INS-055A RAW SC'!BS64/'Midterm OVPAA-F-INS-055A RAW SC'!BS$17*100)</f>
        <v/>
      </c>
      <c r="BT64" s="126" t="str">
        <f>IF('Midterm OVPAA-F-INS-055A RAW SC'!BT64="","",'Midterm OVPAA-F-INS-055A RAW SC'!BT64/'Midterm OVPAA-F-INS-055A RAW SC'!BT$17*100)</f>
        <v/>
      </c>
      <c r="BU64" s="127" t="str">
        <f t="array" ref="BU64">IF('Midterm OVPAA-F-INS-055A RAW SC'!$G64="","",IF((SUMPRODUCT(--ISBLANK('Midterm OVPAA-F-INS-055A RAW SC'!H64:BT64))=COLUMNS('Midterm OVPAA-F-INS-055A RAW SC'!H64:BT64))=TRUE,"",(((COUNTA('Midterm OVPAA-F-INS-055A RAW SC'!$H$17:$BT$17)+COUNTBLANK('Midterm OVPAA-F-INS-055A RAW SC'!H64:BT64))-COLUMNS('Midterm OVPAA-F-INS-055A RAW SC'!H64:BT64))*5+SUM(H64:BT64))/COUNTA('Midterm OVPAA-F-INS-055A RAW SC'!$H$17:$BT$17)))</f>
        <v/>
      </c>
      <c r="BV64" s="128" t="str">
        <f>IF(BU64="","",VLOOKUP(BU64,IF('Midterm OVPAA-F-INS-055A RAW SC'!$V$12=0.5,TRANSMUTATION!$C$4:$D$17,TRANSMUTATION!$G$4:$H$17),2,TRUE))</f>
        <v/>
      </c>
      <c r="BW64" s="129" t="str">
        <f>IF('Midterm OVPAA-F-INS-055A RAW SC'!BU64="","",'Midterm OVPAA-F-INS-055A RAW SC'!BU64/'Midterm OVPAA-F-INS-055A RAW SC'!BU$17*100)</f>
        <v/>
      </c>
      <c r="BX64" s="130" t="str">
        <f>IF('Midterm OVPAA-F-INS-055A RAW SC'!BV64="","",'Midterm OVPAA-F-INS-055A RAW SC'!BV64/'Midterm OVPAA-F-INS-055A RAW SC'!BV$17*100)</f>
        <v/>
      </c>
      <c r="BY64" s="130" t="str">
        <f>IF('Midterm OVPAA-F-INS-055A RAW SC'!BW64="","",'Midterm OVPAA-F-INS-055A RAW SC'!BW64/'Midterm OVPAA-F-INS-055A RAW SC'!BW$17*100)</f>
        <v/>
      </c>
      <c r="BZ64" s="130" t="str">
        <f>IF('Midterm OVPAA-F-INS-055A RAW SC'!BX64="","",'Midterm OVPAA-F-INS-055A RAW SC'!BX64/'Midterm OVPAA-F-INS-055A RAW SC'!BX$17*100)</f>
        <v/>
      </c>
      <c r="CA64" s="130" t="str">
        <f>IF('Midterm OVPAA-F-INS-055A RAW SC'!BY64="","",'Midterm OVPAA-F-INS-055A RAW SC'!BY64/'Midterm OVPAA-F-INS-055A RAW SC'!BY$17*100)</f>
        <v/>
      </c>
      <c r="CB64" s="130" t="str">
        <f>IF('Midterm OVPAA-F-INS-055A RAW SC'!BZ64="","",'Midterm OVPAA-F-INS-055A RAW SC'!BZ64/'Midterm OVPAA-F-INS-055A RAW SC'!BZ$17*100)</f>
        <v/>
      </c>
      <c r="CC64" s="130" t="str">
        <f>IF('Midterm OVPAA-F-INS-055A RAW SC'!CA64="","",'Midterm OVPAA-F-INS-055A RAW SC'!CA64/'Midterm OVPAA-F-INS-055A RAW SC'!CA$17*100)</f>
        <v/>
      </c>
      <c r="CD64" s="130" t="str">
        <f>IF('Midterm OVPAA-F-INS-055A RAW SC'!CB64="","",'Midterm OVPAA-F-INS-055A RAW SC'!CB64/'Midterm OVPAA-F-INS-055A RAW SC'!CB$17*100)</f>
        <v/>
      </c>
      <c r="CE64" s="130" t="str">
        <f>IF('Midterm OVPAA-F-INS-055A RAW SC'!CC64="","",'Midterm OVPAA-F-INS-055A RAW SC'!CC64/'Midterm OVPAA-F-INS-055A RAW SC'!CC$17*100)</f>
        <v/>
      </c>
      <c r="CF64" s="130" t="str">
        <f>IF('Midterm OVPAA-F-INS-055A RAW SC'!CD64="","",'Midterm OVPAA-F-INS-055A RAW SC'!CD64/'Midterm OVPAA-F-INS-055A RAW SC'!CD$17*100)</f>
        <v/>
      </c>
      <c r="CG64" s="130" t="str">
        <f>IF('Midterm OVPAA-F-INS-055A RAW SC'!CE64="","",'Midterm OVPAA-F-INS-055A RAW SC'!CE64/'Midterm OVPAA-F-INS-055A RAW SC'!CE$17*100)</f>
        <v/>
      </c>
      <c r="CH64" s="130" t="str">
        <f>IF('Midterm OVPAA-F-INS-055A RAW SC'!CF64="","",'Midterm OVPAA-F-INS-055A RAW SC'!CF64/'Midterm OVPAA-F-INS-055A RAW SC'!CF$17*100)</f>
        <v/>
      </c>
      <c r="CI64" s="130" t="str">
        <f>IF('Midterm OVPAA-F-INS-055A RAW SC'!CG64="","",'Midterm OVPAA-F-INS-055A RAW SC'!CG64/'Midterm OVPAA-F-INS-055A RAW SC'!CG$17*100)</f>
        <v/>
      </c>
      <c r="CJ64" s="130" t="str">
        <f>IF('Midterm OVPAA-F-INS-055A RAW SC'!CH64="","",'Midterm OVPAA-F-INS-055A RAW SC'!CH64/'Midterm OVPAA-F-INS-055A RAW SC'!CH$17*100)</f>
        <v/>
      </c>
      <c r="CK64" s="130" t="str">
        <f>IF('Midterm OVPAA-F-INS-055A RAW SC'!CI64="","",'Midterm OVPAA-F-INS-055A RAW SC'!CI64/'Midterm OVPAA-F-INS-055A RAW SC'!CI$17*100)</f>
        <v/>
      </c>
      <c r="CL64" s="130" t="str">
        <f>IF('Midterm OVPAA-F-INS-055A RAW SC'!CJ64="","",'Midterm OVPAA-F-INS-055A RAW SC'!CJ64/'Midterm OVPAA-F-INS-055A RAW SC'!CJ$17*100)</f>
        <v/>
      </c>
      <c r="CM64" s="130" t="str">
        <f>IF('Midterm OVPAA-F-INS-055A RAW SC'!CK64="","",'Midterm OVPAA-F-INS-055A RAW SC'!CK64/'Midterm OVPAA-F-INS-055A RAW SC'!CK$17*100)</f>
        <v/>
      </c>
      <c r="CN64" s="130" t="str">
        <f>IF('Midterm OVPAA-F-INS-055A RAW SC'!CL64="","",'Midterm OVPAA-F-INS-055A RAW SC'!CL64/'Midterm OVPAA-F-INS-055A RAW SC'!CL$17*100)</f>
        <v/>
      </c>
      <c r="CO64" s="130" t="str">
        <f>IF('Midterm OVPAA-F-INS-055A RAW SC'!CM64="","",'Midterm OVPAA-F-INS-055A RAW SC'!CM64/'Midterm OVPAA-F-INS-055A RAW SC'!CM$17*100)</f>
        <v/>
      </c>
      <c r="CP64" s="130" t="str">
        <f>IF('Midterm OVPAA-F-INS-055A RAW SC'!CN64="","",'Midterm OVPAA-F-INS-055A RAW SC'!CN64/'Midterm OVPAA-F-INS-055A RAW SC'!CN$17*100)</f>
        <v/>
      </c>
      <c r="CQ64" s="131" t="str">
        <f t="array" ref="CQ64">IF('Midterm OVPAA-F-INS-055A RAW SC'!G64="","",IF((SUMPRODUCT(--ISBLANK('Midterm OVPAA-F-INS-055A RAW SC'!BU64:CN64))=COLUMNS('Midterm OVPAA-F-INS-055A RAW SC'!BU64:CN64))=TRUE,"",(((COUNTA('Midterm OVPAA-F-INS-055A RAW SC'!$BU$17:$CN$17)+COUNTBLANK('Midterm OVPAA-F-INS-055A RAW SC'!BU64:CN64))-COLUMNS('Midterm OVPAA-F-INS-055A RAW SC'!BU64:CN64))*5+SUM(BW64:CP64))/COUNTA('Midterm OVPAA-F-INS-055A RAW SC'!$BU$17:$CN$17)))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IF('Midterm OVPAA-F-INS-055A RAW SC'!CO64="","",'Midterm OVPAA-F-INS-055A RAW SC'!CO64/'Midterm OVPAA-F-INS-055A RAW SC'!CO$17*100)</f>
        <v/>
      </c>
      <c r="CT64" s="133" t="str">
        <f>IF('Midterm OVPAA-F-INS-055A RAW SC'!CP64="","",'Midterm OVPAA-F-INS-055A RAW SC'!CP64/'Midterm OVPAA-F-INS-055A RAW SC'!CP$17*100)</f>
        <v/>
      </c>
      <c r="CU64" s="133" t="str">
        <f>IF('Midterm OVPAA-F-INS-055A RAW SC'!CQ64="","",'Midterm OVPAA-F-INS-055A RAW SC'!CQ64/'Midterm OVPAA-F-INS-055A RAW SC'!CQ$17*100)</f>
        <v/>
      </c>
      <c r="CV64" s="133" t="str">
        <f>IF('Midterm OVPAA-F-INS-055A RAW SC'!CR64="","",'Midterm OVPAA-F-INS-055A RAW SC'!CR64/'Midterm OVPAA-F-INS-055A RAW SC'!CR$17*100)</f>
        <v/>
      </c>
      <c r="CW64" s="133" t="str">
        <f>IF('Midterm OVPAA-F-INS-055A RAW SC'!CS64="","",'Midterm OVPAA-F-INS-055A RAW SC'!CS64/'Midterm OVPAA-F-INS-055A RAW SC'!CS$17*100)</f>
        <v/>
      </c>
      <c r="CX64" s="133" t="str">
        <f>IF('Midterm OVPAA-F-INS-055A RAW SC'!CT64="","",'Midterm OVPAA-F-INS-055A RAW SC'!CT64/'Midterm OVPAA-F-INS-055A RAW SC'!CT$17*100)</f>
        <v/>
      </c>
      <c r="CY64" s="133" t="str">
        <f>IF('Midterm OVPAA-F-INS-055A RAW SC'!CU64="","",'Midterm OVPAA-F-INS-055A RAW SC'!CU64/'Midterm OVPAA-F-INS-055A RAW SC'!CU$17*100)</f>
        <v/>
      </c>
      <c r="CZ64" s="133" t="str">
        <f>IF('Midterm OVPAA-F-INS-055A RAW SC'!CV64="","",'Midterm OVPAA-F-INS-055A RAW SC'!CV64/'Midterm OVPAA-F-INS-055A RAW SC'!CV$17*100)</f>
        <v/>
      </c>
      <c r="DA64" s="133" t="str">
        <f>IF('Midterm OVPAA-F-INS-055A RAW SC'!CW64="","",'Midterm OVPAA-F-INS-055A RAW SC'!CW64/'Midterm OVPAA-F-INS-055A RAW SC'!CW$17*100)</f>
        <v/>
      </c>
      <c r="DB64" s="133" t="str">
        <f>IF('Midterm OVPAA-F-INS-055A RAW SC'!CX64="","",'Midterm OVPAA-F-INS-055A RAW SC'!CX64/'Midterm OVPAA-F-INS-055A RAW SC'!CX$17*100)</f>
        <v/>
      </c>
      <c r="DC64" s="134" t="str">
        <f t="array" ref="DC64">IF('Midterm OVPAA-F-INS-055A RAW SC'!$G64="","",IF((SUMPRODUCT(--ISBLANK('Midterm OVPAA-F-INS-055A RAW SC'!CO64:CX64))=COLUMNS('Midterm OVPAA-F-INS-055A RAW SC'!CO64:CX64))=TRUE,"",(((COUNTA('Midterm OVPAA-F-INS-055A RAW SC'!$CO$17:$CX$17)+COUNTBLANK('Midterm OVPAA-F-INS-055A RAW SC'!CO64:CX64))-COLUMNS('Midterm OVPAA-F-INS-055A RAW SC'!CO64:CX64))*5+SUM(CS64:DB64))/COUNTA('Midterm OVPAA-F-INS-055A RAW SC'!$CO$17:$CX$17)))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37" t="str">
        <f t="shared" si="2"/>
        <v/>
      </c>
      <c r="DG64" s="138" t="str">
        <f t="shared" si="3"/>
        <v/>
      </c>
      <c r="DH64" s="136" t="str">
        <f t="shared" si="4"/>
        <v/>
      </c>
      <c r="DI64" s="123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IF('Midterm OVPAA-F-INS-055A RAW SC'!H65="","",'Midterm OVPAA-F-INS-055A RAW SC'!H65/'Midterm OVPAA-F-INS-055A RAW SC'!H$17*100)</f>
        <v/>
      </c>
      <c r="I65" s="126" t="str">
        <f>IF('Midterm OVPAA-F-INS-055A RAW SC'!I65="","",'Midterm OVPAA-F-INS-055A RAW SC'!I65/'Midterm OVPAA-F-INS-055A RAW SC'!I$17*100)</f>
        <v/>
      </c>
      <c r="J65" s="126" t="str">
        <f>IF('Midterm OVPAA-F-INS-055A RAW SC'!J65="","",'Midterm OVPAA-F-INS-055A RAW SC'!J65/'Midterm OVPAA-F-INS-055A RAW SC'!J$17*100)</f>
        <v/>
      </c>
      <c r="K65" s="126" t="str">
        <f>IF('Midterm OVPAA-F-INS-055A RAW SC'!K65="","",'Midterm OVPAA-F-INS-055A RAW SC'!K65/'Midterm OVPAA-F-INS-055A RAW SC'!K$17*100)</f>
        <v/>
      </c>
      <c r="L65" s="126" t="str">
        <f>IF('Midterm OVPAA-F-INS-055A RAW SC'!L65="","",'Midterm OVPAA-F-INS-055A RAW SC'!L65/'Midterm OVPAA-F-INS-055A RAW SC'!L$17*100)</f>
        <v/>
      </c>
      <c r="M65" s="126" t="str">
        <f>IF('Midterm OVPAA-F-INS-055A RAW SC'!M65="","",'Midterm OVPAA-F-INS-055A RAW SC'!M65/'Midterm OVPAA-F-INS-055A RAW SC'!M$17*100)</f>
        <v/>
      </c>
      <c r="N65" s="126" t="str">
        <f>IF('Midterm OVPAA-F-INS-055A RAW SC'!N65="","",'Midterm OVPAA-F-INS-055A RAW SC'!N65/'Midterm OVPAA-F-INS-055A RAW SC'!N$17*100)</f>
        <v/>
      </c>
      <c r="O65" s="126" t="str">
        <f>IF('Midterm OVPAA-F-INS-055A RAW SC'!O65="","",'Midterm OVPAA-F-INS-055A RAW SC'!O65/'Midterm OVPAA-F-INS-055A RAW SC'!O$17*100)</f>
        <v/>
      </c>
      <c r="P65" s="126" t="str">
        <f>IF('Midterm OVPAA-F-INS-055A RAW SC'!P65="","",'Midterm OVPAA-F-INS-055A RAW SC'!P65/'Midterm OVPAA-F-INS-055A RAW SC'!P$17*100)</f>
        <v/>
      </c>
      <c r="Q65" s="126" t="str">
        <f>IF('Midterm OVPAA-F-INS-055A RAW SC'!Q65="","",'Midterm OVPAA-F-INS-055A RAW SC'!Q65/'Midterm OVPAA-F-INS-055A RAW SC'!Q$17*100)</f>
        <v/>
      </c>
      <c r="R65" s="126" t="str">
        <f>IF('Midterm OVPAA-F-INS-055A RAW SC'!R65="","",'Midterm OVPAA-F-INS-055A RAW SC'!R65/'Midterm OVPAA-F-INS-055A RAW SC'!R$17*100)</f>
        <v/>
      </c>
      <c r="S65" s="126" t="str">
        <f>IF('Midterm OVPAA-F-INS-055A RAW SC'!S65="","",'Midterm OVPAA-F-INS-055A RAW SC'!S65/'Midterm OVPAA-F-INS-055A RAW SC'!S$17*100)</f>
        <v/>
      </c>
      <c r="T65" s="126" t="str">
        <f>IF('Midterm OVPAA-F-INS-055A RAW SC'!T65="","",'Midterm OVPAA-F-INS-055A RAW SC'!T65/'Midterm OVPAA-F-INS-055A RAW SC'!T$17*100)</f>
        <v/>
      </c>
      <c r="U65" s="126" t="str">
        <f>IF('Midterm OVPAA-F-INS-055A RAW SC'!U65="","",'Midterm OVPAA-F-INS-055A RAW SC'!U65/'Midterm OVPAA-F-INS-055A RAW SC'!U$17*100)</f>
        <v/>
      </c>
      <c r="V65" s="126" t="str">
        <f>IF('Midterm OVPAA-F-INS-055A RAW SC'!V65="","",'Midterm OVPAA-F-INS-055A RAW SC'!V65/'Midterm OVPAA-F-INS-055A RAW SC'!V$17*100)</f>
        <v/>
      </c>
      <c r="W65" s="126" t="str">
        <f>IF('Midterm OVPAA-F-INS-055A RAW SC'!W65="","",'Midterm OVPAA-F-INS-055A RAW SC'!W65/'Midterm OVPAA-F-INS-055A RAW SC'!W$17*100)</f>
        <v/>
      </c>
      <c r="X65" s="126" t="str">
        <f>IF('Midterm OVPAA-F-INS-055A RAW SC'!X65="","",'Midterm OVPAA-F-INS-055A RAW SC'!X65/'Midterm OVPAA-F-INS-055A RAW SC'!X$17*100)</f>
        <v/>
      </c>
      <c r="Y65" s="126" t="str">
        <f>IF('Midterm OVPAA-F-INS-055A RAW SC'!Y65="","",'Midterm OVPAA-F-INS-055A RAW SC'!Y65/'Midterm OVPAA-F-INS-055A RAW SC'!Y$17*100)</f>
        <v/>
      </c>
      <c r="Z65" s="126" t="str">
        <f>IF('Midterm OVPAA-F-INS-055A RAW SC'!Z65="","",'Midterm OVPAA-F-INS-055A RAW SC'!Z65/'Midterm OVPAA-F-INS-055A RAW SC'!Z$17*100)</f>
        <v/>
      </c>
      <c r="AA65" s="126" t="str">
        <f>IF('Midterm OVPAA-F-INS-055A RAW SC'!AA65="","",'Midterm OVPAA-F-INS-055A RAW SC'!AA65/'Midterm OVPAA-F-INS-055A RAW SC'!AA$17*100)</f>
        <v/>
      </c>
      <c r="AB65" s="126" t="str">
        <f>IF('Midterm OVPAA-F-INS-055A RAW SC'!AB65="","",'Midterm OVPAA-F-INS-055A RAW SC'!AB65/'Midterm OVPAA-F-INS-055A RAW SC'!AB$17*100)</f>
        <v/>
      </c>
      <c r="AC65" s="126" t="str">
        <f>IF('Midterm OVPAA-F-INS-055A RAW SC'!AC65="","",'Midterm OVPAA-F-INS-055A RAW SC'!AC65/'Midterm OVPAA-F-INS-055A RAW SC'!AC$17*100)</f>
        <v/>
      </c>
      <c r="AD65" s="126" t="str">
        <f>IF('Midterm OVPAA-F-INS-055A RAW SC'!AD65="","",'Midterm OVPAA-F-INS-055A RAW SC'!AD65/'Midterm OVPAA-F-INS-055A RAW SC'!AD$17*100)</f>
        <v/>
      </c>
      <c r="AE65" s="126" t="str">
        <f>IF('Midterm OVPAA-F-INS-055A RAW SC'!AE65="","",'Midterm OVPAA-F-INS-055A RAW SC'!AE65/'Midterm OVPAA-F-INS-055A RAW SC'!AE$17*100)</f>
        <v/>
      </c>
      <c r="AF65" s="126" t="str">
        <f>IF('Midterm OVPAA-F-INS-055A RAW SC'!AF65="","",'Midterm OVPAA-F-INS-055A RAW SC'!AF65/'Midterm OVPAA-F-INS-055A RAW SC'!AF$17*100)</f>
        <v/>
      </c>
      <c r="AG65" s="126" t="str">
        <f>IF('Midterm OVPAA-F-INS-055A RAW SC'!AG65="","",'Midterm OVPAA-F-INS-055A RAW SC'!AG65/'Midterm OVPAA-F-INS-055A RAW SC'!AG$17*100)</f>
        <v/>
      </c>
      <c r="AH65" s="126" t="str">
        <f>IF('Midterm OVPAA-F-INS-055A RAW SC'!AH65="","",'Midterm OVPAA-F-INS-055A RAW SC'!AH65/'Midterm OVPAA-F-INS-055A RAW SC'!AH$17*100)</f>
        <v/>
      </c>
      <c r="AI65" s="126" t="str">
        <f>IF('Midterm OVPAA-F-INS-055A RAW SC'!AI65="","",'Midterm OVPAA-F-INS-055A RAW SC'!AI65/'Midterm OVPAA-F-INS-055A RAW SC'!AI$17*100)</f>
        <v/>
      </c>
      <c r="AJ65" s="126" t="str">
        <f>IF('Midterm OVPAA-F-INS-055A RAW SC'!AJ65="","",'Midterm OVPAA-F-INS-055A RAW SC'!AJ65/'Midterm OVPAA-F-INS-055A RAW SC'!AJ$17*100)</f>
        <v/>
      </c>
      <c r="AK65" s="126" t="str">
        <f>IF('Midterm OVPAA-F-INS-055A RAW SC'!AK65="","",'Midterm OVPAA-F-INS-055A RAW SC'!AK65/'Midterm OVPAA-F-INS-055A RAW SC'!AK$17*100)</f>
        <v/>
      </c>
      <c r="AL65" s="126" t="str">
        <f>IF('Midterm OVPAA-F-INS-055A RAW SC'!AL65="","",'Midterm OVPAA-F-INS-055A RAW SC'!AL65/'Midterm OVPAA-F-INS-055A RAW SC'!AL$17*100)</f>
        <v/>
      </c>
      <c r="AM65" s="126" t="str">
        <f>IF('Midterm OVPAA-F-INS-055A RAW SC'!AM65="","",'Midterm OVPAA-F-INS-055A RAW SC'!AM65/'Midterm OVPAA-F-INS-055A RAW SC'!AM$17*100)</f>
        <v/>
      </c>
      <c r="AN65" s="126" t="str">
        <f>IF('Midterm OVPAA-F-INS-055A RAW SC'!AN65="","",'Midterm OVPAA-F-INS-055A RAW SC'!AN65/'Midterm OVPAA-F-INS-055A RAW SC'!AN$17*100)</f>
        <v/>
      </c>
      <c r="AO65" s="126" t="str">
        <f>IF('Midterm OVPAA-F-INS-055A RAW SC'!AO65="","",'Midterm OVPAA-F-INS-055A RAW SC'!AO65/'Midterm OVPAA-F-INS-055A RAW SC'!AO$17*100)</f>
        <v/>
      </c>
      <c r="AP65" s="126" t="str">
        <f>IF('Midterm OVPAA-F-INS-055A RAW SC'!AP65="","",'Midterm OVPAA-F-INS-055A RAW SC'!AP65/'Midterm OVPAA-F-INS-055A RAW SC'!AP$17*100)</f>
        <v/>
      </c>
      <c r="AQ65" s="126" t="str">
        <f>IF('Midterm OVPAA-F-INS-055A RAW SC'!AQ65="","",'Midterm OVPAA-F-INS-055A RAW SC'!AQ65/'Midterm OVPAA-F-INS-055A RAW SC'!AQ$17*100)</f>
        <v/>
      </c>
      <c r="AR65" s="126" t="str">
        <f>IF('Midterm OVPAA-F-INS-055A RAW SC'!AR65="","",'Midterm OVPAA-F-INS-055A RAW SC'!AR65/'Midterm OVPAA-F-INS-055A RAW SC'!AR$17*100)</f>
        <v/>
      </c>
      <c r="AS65" s="126" t="str">
        <f>IF('Midterm OVPAA-F-INS-055A RAW SC'!AS65="","",'Midterm OVPAA-F-INS-055A RAW SC'!AS65/'Midterm OVPAA-F-INS-055A RAW SC'!AS$17*100)</f>
        <v/>
      </c>
      <c r="AT65" s="126" t="str">
        <f>IF('Midterm OVPAA-F-INS-055A RAW SC'!AT65="","",'Midterm OVPAA-F-INS-055A RAW SC'!AT65/'Midterm OVPAA-F-INS-055A RAW SC'!AT$17*100)</f>
        <v/>
      </c>
      <c r="AU65" s="126" t="str">
        <f>IF('Midterm OVPAA-F-INS-055A RAW SC'!AU65="","",'Midterm OVPAA-F-INS-055A RAW SC'!AU65/'Midterm OVPAA-F-INS-055A RAW SC'!AU$17*100)</f>
        <v/>
      </c>
      <c r="AV65" s="126" t="str">
        <f>IF('Midterm OVPAA-F-INS-055A RAW SC'!AV65="","",'Midterm OVPAA-F-INS-055A RAW SC'!AV65/'Midterm OVPAA-F-INS-055A RAW SC'!AV$17*100)</f>
        <v/>
      </c>
      <c r="AW65" s="126" t="str">
        <f>IF('Midterm OVPAA-F-INS-055A RAW SC'!AW65="","",'Midterm OVPAA-F-INS-055A RAW SC'!AW65/'Midterm OVPAA-F-INS-055A RAW SC'!AW$17*100)</f>
        <v/>
      </c>
      <c r="AX65" s="126" t="str">
        <f>IF('Midterm OVPAA-F-INS-055A RAW SC'!AX65="","",'Midterm OVPAA-F-INS-055A RAW SC'!AX65/'Midterm OVPAA-F-INS-055A RAW SC'!AX$17*100)</f>
        <v/>
      </c>
      <c r="AY65" s="126" t="str">
        <f>IF('Midterm OVPAA-F-INS-055A RAW SC'!AY65="","",'Midterm OVPAA-F-INS-055A RAW SC'!AY65/'Midterm OVPAA-F-INS-055A RAW SC'!AY$17*100)</f>
        <v/>
      </c>
      <c r="AZ65" s="126" t="str">
        <f>IF('Midterm OVPAA-F-INS-055A RAW SC'!AZ65="","",'Midterm OVPAA-F-INS-055A RAW SC'!AZ65/'Midterm OVPAA-F-INS-055A RAW SC'!AZ$17*100)</f>
        <v/>
      </c>
      <c r="BA65" s="126" t="str">
        <f>IF('Midterm OVPAA-F-INS-055A RAW SC'!BA65="","",'Midterm OVPAA-F-INS-055A RAW SC'!BA65/'Midterm OVPAA-F-INS-055A RAW SC'!BA$17*100)</f>
        <v/>
      </c>
      <c r="BB65" s="126" t="str">
        <f>IF('Midterm OVPAA-F-INS-055A RAW SC'!BB65="","",'Midterm OVPAA-F-INS-055A RAW SC'!BB65/'Midterm OVPAA-F-INS-055A RAW SC'!BB$17*100)</f>
        <v/>
      </c>
      <c r="BC65" s="126" t="str">
        <f>IF('Midterm OVPAA-F-INS-055A RAW SC'!BC65="","",'Midterm OVPAA-F-INS-055A RAW SC'!BC65/'Midterm OVPAA-F-INS-055A RAW SC'!BC$17*100)</f>
        <v/>
      </c>
      <c r="BD65" s="126" t="str">
        <f>IF('Midterm OVPAA-F-INS-055A RAW SC'!BD65="","",'Midterm OVPAA-F-INS-055A RAW SC'!BD65/'Midterm OVPAA-F-INS-055A RAW SC'!BD$17*100)</f>
        <v/>
      </c>
      <c r="BE65" s="126" t="str">
        <f>IF('Midterm OVPAA-F-INS-055A RAW SC'!BE65="","",'Midterm OVPAA-F-INS-055A RAW SC'!BE65/'Midterm OVPAA-F-INS-055A RAW SC'!BE$17*100)</f>
        <v/>
      </c>
      <c r="BF65" s="126" t="str">
        <f>IF('Midterm OVPAA-F-INS-055A RAW SC'!BF65="","",'Midterm OVPAA-F-INS-055A RAW SC'!BF65/'Midterm OVPAA-F-INS-055A RAW SC'!BF$17*100)</f>
        <v/>
      </c>
      <c r="BG65" s="126" t="str">
        <f>IF('Midterm OVPAA-F-INS-055A RAW SC'!BG65="","",'Midterm OVPAA-F-INS-055A RAW SC'!BG65/'Midterm OVPAA-F-INS-055A RAW SC'!BG$17*100)</f>
        <v/>
      </c>
      <c r="BH65" s="126" t="str">
        <f>IF('Midterm OVPAA-F-INS-055A RAW SC'!BH65="","",'Midterm OVPAA-F-INS-055A RAW SC'!BH65/'Midterm OVPAA-F-INS-055A RAW SC'!BH$17*100)</f>
        <v/>
      </c>
      <c r="BI65" s="126" t="str">
        <f>IF('Midterm OVPAA-F-INS-055A RAW SC'!BI65="","",'Midterm OVPAA-F-INS-055A RAW SC'!BI65/'Midterm OVPAA-F-INS-055A RAW SC'!BI$17*100)</f>
        <v/>
      </c>
      <c r="BJ65" s="126" t="str">
        <f>IF('Midterm OVPAA-F-INS-055A RAW SC'!BJ65="","",'Midterm OVPAA-F-INS-055A RAW SC'!BJ65/'Midterm OVPAA-F-INS-055A RAW SC'!BJ$17*100)</f>
        <v/>
      </c>
      <c r="BK65" s="126" t="str">
        <f>IF('Midterm OVPAA-F-INS-055A RAW SC'!BK65="","",'Midterm OVPAA-F-INS-055A RAW SC'!BK65/'Midterm OVPAA-F-INS-055A RAW SC'!BK$17*100)</f>
        <v/>
      </c>
      <c r="BL65" s="126" t="str">
        <f>IF('Midterm OVPAA-F-INS-055A RAW SC'!BL65="","",'Midterm OVPAA-F-INS-055A RAW SC'!BL65/'Midterm OVPAA-F-INS-055A RAW SC'!BL$17*100)</f>
        <v/>
      </c>
      <c r="BM65" s="126" t="str">
        <f>IF('Midterm OVPAA-F-INS-055A RAW SC'!BM65="","",'Midterm OVPAA-F-INS-055A RAW SC'!BM65/'Midterm OVPAA-F-INS-055A RAW SC'!BM$17*100)</f>
        <v/>
      </c>
      <c r="BN65" s="126" t="str">
        <f>IF('Midterm OVPAA-F-INS-055A RAW SC'!BN65="","",'Midterm OVPAA-F-INS-055A RAW SC'!BN65/'Midterm OVPAA-F-INS-055A RAW SC'!BN$17*100)</f>
        <v/>
      </c>
      <c r="BO65" s="126" t="str">
        <f>IF('Midterm OVPAA-F-INS-055A RAW SC'!BO65="","",'Midterm OVPAA-F-INS-055A RAW SC'!BO65/'Midterm OVPAA-F-INS-055A RAW SC'!BO$17*100)</f>
        <v/>
      </c>
      <c r="BP65" s="126" t="str">
        <f>IF('Midterm OVPAA-F-INS-055A RAW SC'!BP65="","",'Midterm OVPAA-F-INS-055A RAW SC'!BP65/'Midterm OVPAA-F-INS-055A RAW SC'!BP$17*100)</f>
        <v/>
      </c>
      <c r="BQ65" s="126" t="str">
        <f>IF('Midterm OVPAA-F-INS-055A RAW SC'!BQ65="","",'Midterm OVPAA-F-INS-055A RAW SC'!BQ65/'Midterm OVPAA-F-INS-055A RAW SC'!BQ$17*100)</f>
        <v/>
      </c>
      <c r="BR65" s="126" t="str">
        <f>IF('Midterm OVPAA-F-INS-055A RAW SC'!BR65="","",'Midterm OVPAA-F-INS-055A RAW SC'!BR65/'Midterm OVPAA-F-INS-055A RAW SC'!BR$17*100)</f>
        <v/>
      </c>
      <c r="BS65" s="126" t="str">
        <f>IF('Midterm OVPAA-F-INS-055A RAW SC'!BS65="","",'Midterm OVPAA-F-INS-055A RAW SC'!BS65/'Midterm OVPAA-F-INS-055A RAW SC'!BS$17*100)</f>
        <v/>
      </c>
      <c r="BT65" s="126" t="str">
        <f>IF('Midterm OVPAA-F-INS-055A RAW SC'!BT65="","",'Midterm OVPAA-F-INS-055A RAW SC'!BT65/'Midterm OVPAA-F-INS-055A RAW SC'!BT$17*100)</f>
        <v/>
      </c>
      <c r="BU65" s="127" t="str">
        <f t="array" ref="BU65">IF('Midterm OVPAA-F-INS-055A RAW SC'!$G65="","",IF((SUMPRODUCT(--ISBLANK('Midterm OVPAA-F-INS-055A RAW SC'!H65:BT65))=COLUMNS('Midterm OVPAA-F-INS-055A RAW SC'!H65:BT65))=TRUE,"",(((COUNTA('Midterm OVPAA-F-INS-055A RAW SC'!$H$17:$BT$17)+COUNTBLANK('Midterm OVPAA-F-INS-055A RAW SC'!H65:BT65))-COLUMNS('Midterm OVPAA-F-INS-055A RAW SC'!H65:BT65))*5+SUM(H65:BT65))/COUNTA('Midterm OVPAA-F-INS-055A RAW SC'!$H$17:$BT$17)))</f>
        <v/>
      </c>
      <c r="BV65" s="128" t="str">
        <f>IF(BU65="","",VLOOKUP(BU65,IF('Midterm OVPAA-F-INS-055A RAW SC'!$V$12=0.5,TRANSMUTATION!$C$4:$D$17,TRANSMUTATION!$G$4:$H$17),2,TRUE))</f>
        <v/>
      </c>
      <c r="BW65" s="129" t="str">
        <f>IF('Midterm OVPAA-F-INS-055A RAW SC'!BU65="","",'Midterm OVPAA-F-INS-055A RAW SC'!BU65/'Midterm OVPAA-F-INS-055A RAW SC'!BU$17*100)</f>
        <v/>
      </c>
      <c r="BX65" s="130" t="str">
        <f>IF('Midterm OVPAA-F-INS-055A RAW SC'!BV65="","",'Midterm OVPAA-F-INS-055A RAW SC'!BV65/'Midterm OVPAA-F-INS-055A RAW SC'!BV$17*100)</f>
        <v/>
      </c>
      <c r="BY65" s="130" t="str">
        <f>IF('Midterm OVPAA-F-INS-055A RAW SC'!BW65="","",'Midterm OVPAA-F-INS-055A RAW SC'!BW65/'Midterm OVPAA-F-INS-055A RAW SC'!BW$17*100)</f>
        <v/>
      </c>
      <c r="BZ65" s="130" t="str">
        <f>IF('Midterm OVPAA-F-INS-055A RAW SC'!BX65="","",'Midterm OVPAA-F-INS-055A RAW SC'!BX65/'Midterm OVPAA-F-INS-055A RAW SC'!BX$17*100)</f>
        <v/>
      </c>
      <c r="CA65" s="130" t="str">
        <f>IF('Midterm OVPAA-F-INS-055A RAW SC'!BY65="","",'Midterm OVPAA-F-INS-055A RAW SC'!BY65/'Midterm OVPAA-F-INS-055A RAW SC'!BY$17*100)</f>
        <v/>
      </c>
      <c r="CB65" s="130" t="str">
        <f>IF('Midterm OVPAA-F-INS-055A RAW SC'!BZ65="","",'Midterm OVPAA-F-INS-055A RAW SC'!BZ65/'Midterm OVPAA-F-INS-055A RAW SC'!BZ$17*100)</f>
        <v/>
      </c>
      <c r="CC65" s="130" t="str">
        <f>IF('Midterm OVPAA-F-INS-055A RAW SC'!CA65="","",'Midterm OVPAA-F-INS-055A RAW SC'!CA65/'Midterm OVPAA-F-INS-055A RAW SC'!CA$17*100)</f>
        <v/>
      </c>
      <c r="CD65" s="130" t="str">
        <f>IF('Midterm OVPAA-F-INS-055A RAW SC'!CB65="","",'Midterm OVPAA-F-INS-055A RAW SC'!CB65/'Midterm OVPAA-F-INS-055A RAW SC'!CB$17*100)</f>
        <v/>
      </c>
      <c r="CE65" s="130" t="str">
        <f>IF('Midterm OVPAA-F-INS-055A RAW SC'!CC65="","",'Midterm OVPAA-F-INS-055A RAW SC'!CC65/'Midterm OVPAA-F-INS-055A RAW SC'!CC$17*100)</f>
        <v/>
      </c>
      <c r="CF65" s="130" t="str">
        <f>IF('Midterm OVPAA-F-INS-055A RAW SC'!CD65="","",'Midterm OVPAA-F-INS-055A RAW SC'!CD65/'Midterm OVPAA-F-INS-055A RAW SC'!CD$17*100)</f>
        <v/>
      </c>
      <c r="CG65" s="130" t="str">
        <f>IF('Midterm OVPAA-F-INS-055A RAW SC'!CE65="","",'Midterm OVPAA-F-INS-055A RAW SC'!CE65/'Midterm OVPAA-F-INS-055A RAW SC'!CE$17*100)</f>
        <v/>
      </c>
      <c r="CH65" s="130" t="str">
        <f>IF('Midterm OVPAA-F-INS-055A RAW SC'!CF65="","",'Midterm OVPAA-F-INS-055A RAW SC'!CF65/'Midterm OVPAA-F-INS-055A RAW SC'!CF$17*100)</f>
        <v/>
      </c>
      <c r="CI65" s="130" t="str">
        <f>IF('Midterm OVPAA-F-INS-055A RAW SC'!CG65="","",'Midterm OVPAA-F-INS-055A RAW SC'!CG65/'Midterm OVPAA-F-INS-055A RAW SC'!CG$17*100)</f>
        <v/>
      </c>
      <c r="CJ65" s="130" t="str">
        <f>IF('Midterm OVPAA-F-INS-055A RAW SC'!CH65="","",'Midterm OVPAA-F-INS-055A RAW SC'!CH65/'Midterm OVPAA-F-INS-055A RAW SC'!CH$17*100)</f>
        <v/>
      </c>
      <c r="CK65" s="130" t="str">
        <f>IF('Midterm OVPAA-F-INS-055A RAW SC'!CI65="","",'Midterm OVPAA-F-INS-055A RAW SC'!CI65/'Midterm OVPAA-F-INS-055A RAW SC'!CI$17*100)</f>
        <v/>
      </c>
      <c r="CL65" s="130" t="str">
        <f>IF('Midterm OVPAA-F-INS-055A RAW SC'!CJ65="","",'Midterm OVPAA-F-INS-055A RAW SC'!CJ65/'Midterm OVPAA-F-INS-055A RAW SC'!CJ$17*100)</f>
        <v/>
      </c>
      <c r="CM65" s="130" t="str">
        <f>IF('Midterm OVPAA-F-INS-055A RAW SC'!CK65="","",'Midterm OVPAA-F-INS-055A RAW SC'!CK65/'Midterm OVPAA-F-INS-055A RAW SC'!CK$17*100)</f>
        <v/>
      </c>
      <c r="CN65" s="130" t="str">
        <f>IF('Midterm OVPAA-F-INS-055A RAW SC'!CL65="","",'Midterm OVPAA-F-INS-055A RAW SC'!CL65/'Midterm OVPAA-F-INS-055A RAW SC'!CL$17*100)</f>
        <v/>
      </c>
      <c r="CO65" s="130" t="str">
        <f>IF('Midterm OVPAA-F-INS-055A RAW SC'!CM65="","",'Midterm OVPAA-F-INS-055A RAW SC'!CM65/'Midterm OVPAA-F-INS-055A RAW SC'!CM$17*100)</f>
        <v/>
      </c>
      <c r="CP65" s="130" t="str">
        <f>IF('Midterm OVPAA-F-INS-055A RAW SC'!CN65="","",'Midterm OVPAA-F-INS-055A RAW SC'!CN65/'Midterm OVPAA-F-INS-055A RAW SC'!CN$17*100)</f>
        <v/>
      </c>
      <c r="CQ65" s="131" t="str">
        <f t="array" ref="CQ65">IF('Midterm OVPAA-F-INS-055A RAW SC'!G65="","",IF((SUMPRODUCT(--ISBLANK('Midterm OVPAA-F-INS-055A RAW SC'!BU65:CN65))=COLUMNS('Midterm OVPAA-F-INS-055A RAW SC'!BU65:CN65))=TRUE,"",(((COUNTA('Midterm OVPAA-F-INS-055A RAW SC'!$BU$17:$CN$17)+COUNTBLANK('Midterm OVPAA-F-INS-055A RAW SC'!BU65:CN65))-COLUMNS('Midterm OVPAA-F-INS-055A RAW SC'!BU65:CN65))*5+SUM(BW65:CP65))/COUNTA('Midterm OVPAA-F-INS-055A RAW SC'!$BU$17:$CN$17)))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IF('Midterm OVPAA-F-INS-055A RAW SC'!CO65="","",'Midterm OVPAA-F-INS-055A RAW SC'!CO65/'Midterm OVPAA-F-INS-055A RAW SC'!CO$17*100)</f>
        <v/>
      </c>
      <c r="CT65" s="133" t="str">
        <f>IF('Midterm OVPAA-F-INS-055A RAW SC'!CP65="","",'Midterm OVPAA-F-INS-055A RAW SC'!CP65/'Midterm OVPAA-F-INS-055A RAW SC'!CP$17*100)</f>
        <v/>
      </c>
      <c r="CU65" s="133" t="str">
        <f>IF('Midterm OVPAA-F-INS-055A RAW SC'!CQ65="","",'Midterm OVPAA-F-INS-055A RAW SC'!CQ65/'Midterm OVPAA-F-INS-055A RAW SC'!CQ$17*100)</f>
        <v/>
      </c>
      <c r="CV65" s="133" t="str">
        <f>IF('Midterm OVPAA-F-INS-055A RAW SC'!CR65="","",'Midterm OVPAA-F-INS-055A RAW SC'!CR65/'Midterm OVPAA-F-INS-055A RAW SC'!CR$17*100)</f>
        <v/>
      </c>
      <c r="CW65" s="133" t="str">
        <f>IF('Midterm OVPAA-F-INS-055A RAW SC'!CS65="","",'Midterm OVPAA-F-INS-055A RAW SC'!CS65/'Midterm OVPAA-F-INS-055A RAW SC'!CS$17*100)</f>
        <v/>
      </c>
      <c r="CX65" s="133" t="str">
        <f>IF('Midterm OVPAA-F-INS-055A RAW SC'!CT65="","",'Midterm OVPAA-F-INS-055A RAW SC'!CT65/'Midterm OVPAA-F-INS-055A RAW SC'!CT$17*100)</f>
        <v/>
      </c>
      <c r="CY65" s="133" t="str">
        <f>IF('Midterm OVPAA-F-INS-055A RAW SC'!CU65="","",'Midterm OVPAA-F-INS-055A RAW SC'!CU65/'Midterm OVPAA-F-INS-055A RAW SC'!CU$17*100)</f>
        <v/>
      </c>
      <c r="CZ65" s="133" t="str">
        <f>IF('Midterm OVPAA-F-INS-055A RAW SC'!CV65="","",'Midterm OVPAA-F-INS-055A RAW SC'!CV65/'Midterm OVPAA-F-INS-055A RAW SC'!CV$17*100)</f>
        <v/>
      </c>
      <c r="DA65" s="133" t="str">
        <f>IF('Midterm OVPAA-F-INS-055A RAW SC'!CW65="","",'Midterm OVPAA-F-INS-055A RAW SC'!CW65/'Midterm OVPAA-F-INS-055A RAW SC'!CW$17*100)</f>
        <v/>
      </c>
      <c r="DB65" s="133" t="str">
        <f>IF('Midterm OVPAA-F-INS-055A RAW SC'!CX65="","",'Midterm OVPAA-F-INS-055A RAW SC'!CX65/'Midterm OVPAA-F-INS-055A RAW SC'!CX$17*100)</f>
        <v/>
      </c>
      <c r="DC65" s="134" t="str">
        <f t="array" ref="DC65">IF('Midterm OVPAA-F-INS-055A RAW SC'!$G65="","",IF((SUMPRODUCT(--ISBLANK('Midterm OVPAA-F-INS-055A RAW SC'!CO65:CX65))=COLUMNS('Midterm OVPAA-F-INS-055A RAW SC'!CO65:CX65))=TRUE,"",(((COUNTA('Midterm OVPAA-F-INS-055A RAW SC'!$CO$17:$CX$17)+COUNTBLANK('Midterm OVPAA-F-INS-055A RAW SC'!CO65:CX65))-COLUMNS('Midterm OVPAA-F-INS-055A RAW SC'!CO65:CX65))*5+SUM(CS65:DB65))/COUNTA('Midterm OVPAA-F-INS-055A RAW SC'!$CO$17:$CX$17)))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37" t="str">
        <f t="shared" si="2"/>
        <v/>
      </c>
      <c r="DG65" s="138" t="str">
        <f t="shared" si="3"/>
        <v/>
      </c>
      <c r="DH65" s="136" t="str">
        <f t="shared" si="4"/>
        <v/>
      </c>
      <c r="DI65" s="123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IF('Midterm OVPAA-F-INS-055A RAW SC'!H66="","",'Midterm OVPAA-F-INS-055A RAW SC'!H66/'Midterm OVPAA-F-INS-055A RAW SC'!H$17*100)</f>
        <v/>
      </c>
      <c r="I66" s="126" t="str">
        <f>IF('Midterm OVPAA-F-INS-055A RAW SC'!I66="","",'Midterm OVPAA-F-INS-055A RAW SC'!I66/'Midterm OVPAA-F-INS-055A RAW SC'!I$17*100)</f>
        <v/>
      </c>
      <c r="J66" s="126" t="str">
        <f>IF('Midterm OVPAA-F-INS-055A RAW SC'!J66="","",'Midterm OVPAA-F-INS-055A RAW SC'!J66/'Midterm OVPAA-F-INS-055A RAW SC'!J$17*100)</f>
        <v/>
      </c>
      <c r="K66" s="126" t="str">
        <f>IF('Midterm OVPAA-F-INS-055A RAW SC'!K66="","",'Midterm OVPAA-F-INS-055A RAW SC'!K66/'Midterm OVPAA-F-INS-055A RAW SC'!K$17*100)</f>
        <v/>
      </c>
      <c r="L66" s="126" t="str">
        <f>IF('Midterm OVPAA-F-INS-055A RAW SC'!L66="","",'Midterm OVPAA-F-INS-055A RAW SC'!L66/'Midterm OVPAA-F-INS-055A RAW SC'!L$17*100)</f>
        <v/>
      </c>
      <c r="M66" s="126" t="str">
        <f>IF('Midterm OVPAA-F-INS-055A RAW SC'!M66="","",'Midterm OVPAA-F-INS-055A RAW SC'!M66/'Midterm OVPAA-F-INS-055A RAW SC'!M$17*100)</f>
        <v/>
      </c>
      <c r="N66" s="126" t="str">
        <f>IF('Midterm OVPAA-F-INS-055A RAW SC'!N66="","",'Midterm OVPAA-F-INS-055A RAW SC'!N66/'Midterm OVPAA-F-INS-055A RAW SC'!N$17*100)</f>
        <v/>
      </c>
      <c r="O66" s="126" t="str">
        <f>IF('Midterm OVPAA-F-INS-055A RAW SC'!O66="","",'Midterm OVPAA-F-INS-055A RAW SC'!O66/'Midterm OVPAA-F-INS-055A RAW SC'!O$17*100)</f>
        <v/>
      </c>
      <c r="P66" s="126" t="str">
        <f>IF('Midterm OVPAA-F-INS-055A RAW SC'!P66="","",'Midterm OVPAA-F-INS-055A RAW SC'!P66/'Midterm OVPAA-F-INS-055A RAW SC'!P$17*100)</f>
        <v/>
      </c>
      <c r="Q66" s="126" t="str">
        <f>IF('Midterm OVPAA-F-INS-055A RAW SC'!Q66="","",'Midterm OVPAA-F-INS-055A RAW SC'!Q66/'Midterm OVPAA-F-INS-055A RAW SC'!Q$17*100)</f>
        <v/>
      </c>
      <c r="R66" s="126" t="str">
        <f>IF('Midterm OVPAA-F-INS-055A RAW SC'!R66="","",'Midterm OVPAA-F-INS-055A RAW SC'!R66/'Midterm OVPAA-F-INS-055A RAW SC'!R$17*100)</f>
        <v/>
      </c>
      <c r="S66" s="126" t="str">
        <f>IF('Midterm OVPAA-F-INS-055A RAW SC'!S66="","",'Midterm OVPAA-F-INS-055A RAW SC'!S66/'Midterm OVPAA-F-INS-055A RAW SC'!S$17*100)</f>
        <v/>
      </c>
      <c r="T66" s="126" t="str">
        <f>IF('Midterm OVPAA-F-INS-055A RAW SC'!T66="","",'Midterm OVPAA-F-INS-055A RAW SC'!T66/'Midterm OVPAA-F-INS-055A RAW SC'!T$17*100)</f>
        <v/>
      </c>
      <c r="U66" s="126" t="str">
        <f>IF('Midterm OVPAA-F-INS-055A RAW SC'!U66="","",'Midterm OVPAA-F-INS-055A RAW SC'!U66/'Midterm OVPAA-F-INS-055A RAW SC'!U$17*100)</f>
        <v/>
      </c>
      <c r="V66" s="126" t="str">
        <f>IF('Midterm OVPAA-F-INS-055A RAW SC'!V66="","",'Midterm OVPAA-F-INS-055A RAW SC'!V66/'Midterm OVPAA-F-INS-055A RAW SC'!V$17*100)</f>
        <v/>
      </c>
      <c r="W66" s="126" t="str">
        <f>IF('Midterm OVPAA-F-INS-055A RAW SC'!W66="","",'Midterm OVPAA-F-INS-055A RAW SC'!W66/'Midterm OVPAA-F-INS-055A RAW SC'!W$17*100)</f>
        <v/>
      </c>
      <c r="X66" s="126" t="str">
        <f>IF('Midterm OVPAA-F-INS-055A RAW SC'!X66="","",'Midterm OVPAA-F-INS-055A RAW SC'!X66/'Midterm OVPAA-F-INS-055A RAW SC'!X$17*100)</f>
        <v/>
      </c>
      <c r="Y66" s="126" t="str">
        <f>IF('Midterm OVPAA-F-INS-055A RAW SC'!Y66="","",'Midterm OVPAA-F-INS-055A RAW SC'!Y66/'Midterm OVPAA-F-INS-055A RAW SC'!Y$17*100)</f>
        <v/>
      </c>
      <c r="Z66" s="126" t="str">
        <f>IF('Midterm OVPAA-F-INS-055A RAW SC'!Z66="","",'Midterm OVPAA-F-INS-055A RAW SC'!Z66/'Midterm OVPAA-F-INS-055A RAW SC'!Z$17*100)</f>
        <v/>
      </c>
      <c r="AA66" s="126" t="str">
        <f>IF('Midterm OVPAA-F-INS-055A RAW SC'!AA66="","",'Midterm OVPAA-F-INS-055A RAW SC'!AA66/'Midterm OVPAA-F-INS-055A RAW SC'!AA$17*100)</f>
        <v/>
      </c>
      <c r="AB66" s="126" t="str">
        <f>IF('Midterm OVPAA-F-INS-055A RAW SC'!AB66="","",'Midterm OVPAA-F-INS-055A RAW SC'!AB66/'Midterm OVPAA-F-INS-055A RAW SC'!AB$17*100)</f>
        <v/>
      </c>
      <c r="AC66" s="126" t="str">
        <f>IF('Midterm OVPAA-F-INS-055A RAW SC'!AC66="","",'Midterm OVPAA-F-INS-055A RAW SC'!AC66/'Midterm OVPAA-F-INS-055A RAW SC'!AC$17*100)</f>
        <v/>
      </c>
      <c r="AD66" s="126" t="str">
        <f>IF('Midterm OVPAA-F-INS-055A RAW SC'!AD66="","",'Midterm OVPAA-F-INS-055A RAW SC'!AD66/'Midterm OVPAA-F-INS-055A RAW SC'!AD$17*100)</f>
        <v/>
      </c>
      <c r="AE66" s="126" t="str">
        <f>IF('Midterm OVPAA-F-INS-055A RAW SC'!AE66="","",'Midterm OVPAA-F-INS-055A RAW SC'!AE66/'Midterm OVPAA-F-INS-055A RAW SC'!AE$17*100)</f>
        <v/>
      </c>
      <c r="AF66" s="126" t="str">
        <f>IF('Midterm OVPAA-F-INS-055A RAW SC'!AF66="","",'Midterm OVPAA-F-INS-055A RAW SC'!AF66/'Midterm OVPAA-F-INS-055A RAW SC'!AF$17*100)</f>
        <v/>
      </c>
      <c r="AG66" s="126" t="str">
        <f>IF('Midterm OVPAA-F-INS-055A RAW SC'!AG66="","",'Midterm OVPAA-F-INS-055A RAW SC'!AG66/'Midterm OVPAA-F-INS-055A RAW SC'!AG$17*100)</f>
        <v/>
      </c>
      <c r="AH66" s="126" t="str">
        <f>IF('Midterm OVPAA-F-INS-055A RAW SC'!AH66="","",'Midterm OVPAA-F-INS-055A RAW SC'!AH66/'Midterm OVPAA-F-INS-055A RAW SC'!AH$17*100)</f>
        <v/>
      </c>
      <c r="AI66" s="126" t="str">
        <f>IF('Midterm OVPAA-F-INS-055A RAW SC'!AI66="","",'Midterm OVPAA-F-INS-055A RAW SC'!AI66/'Midterm OVPAA-F-INS-055A RAW SC'!AI$17*100)</f>
        <v/>
      </c>
      <c r="AJ66" s="126" t="str">
        <f>IF('Midterm OVPAA-F-INS-055A RAW SC'!AJ66="","",'Midterm OVPAA-F-INS-055A RAW SC'!AJ66/'Midterm OVPAA-F-INS-055A RAW SC'!AJ$17*100)</f>
        <v/>
      </c>
      <c r="AK66" s="126" t="str">
        <f>IF('Midterm OVPAA-F-INS-055A RAW SC'!AK66="","",'Midterm OVPAA-F-INS-055A RAW SC'!AK66/'Midterm OVPAA-F-INS-055A RAW SC'!AK$17*100)</f>
        <v/>
      </c>
      <c r="AL66" s="126" t="str">
        <f>IF('Midterm OVPAA-F-INS-055A RAW SC'!AL66="","",'Midterm OVPAA-F-INS-055A RAW SC'!AL66/'Midterm OVPAA-F-INS-055A RAW SC'!AL$17*100)</f>
        <v/>
      </c>
      <c r="AM66" s="126" t="str">
        <f>IF('Midterm OVPAA-F-INS-055A RAW SC'!AM66="","",'Midterm OVPAA-F-INS-055A RAW SC'!AM66/'Midterm OVPAA-F-INS-055A RAW SC'!AM$17*100)</f>
        <v/>
      </c>
      <c r="AN66" s="126" t="str">
        <f>IF('Midterm OVPAA-F-INS-055A RAW SC'!AN66="","",'Midterm OVPAA-F-INS-055A RAW SC'!AN66/'Midterm OVPAA-F-INS-055A RAW SC'!AN$17*100)</f>
        <v/>
      </c>
      <c r="AO66" s="126" t="str">
        <f>IF('Midterm OVPAA-F-INS-055A RAW SC'!AO66="","",'Midterm OVPAA-F-INS-055A RAW SC'!AO66/'Midterm OVPAA-F-INS-055A RAW SC'!AO$17*100)</f>
        <v/>
      </c>
      <c r="AP66" s="126" t="str">
        <f>IF('Midterm OVPAA-F-INS-055A RAW SC'!AP66="","",'Midterm OVPAA-F-INS-055A RAW SC'!AP66/'Midterm OVPAA-F-INS-055A RAW SC'!AP$17*100)</f>
        <v/>
      </c>
      <c r="AQ66" s="126" t="str">
        <f>IF('Midterm OVPAA-F-INS-055A RAW SC'!AQ66="","",'Midterm OVPAA-F-INS-055A RAW SC'!AQ66/'Midterm OVPAA-F-INS-055A RAW SC'!AQ$17*100)</f>
        <v/>
      </c>
      <c r="AR66" s="126" t="str">
        <f>IF('Midterm OVPAA-F-INS-055A RAW SC'!AR66="","",'Midterm OVPAA-F-INS-055A RAW SC'!AR66/'Midterm OVPAA-F-INS-055A RAW SC'!AR$17*100)</f>
        <v/>
      </c>
      <c r="AS66" s="126" t="str">
        <f>IF('Midterm OVPAA-F-INS-055A RAW SC'!AS66="","",'Midterm OVPAA-F-INS-055A RAW SC'!AS66/'Midterm OVPAA-F-INS-055A RAW SC'!AS$17*100)</f>
        <v/>
      </c>
      <c r="AT66" s="126" t="str">
        <f>IF('Midterm OVPAA-F-INS-055A RAW SC'!AT66="","",'Midterm OVPAA-F-INS-055A RAW SC'!AT66/'Midterm OVPAA-F-INS-055A RAW SC'!AT$17*100)</f>
        <v/>
      </c>
      <c r="AU66" s="126" t="str">
        <f>IF('Midterm OVPAA-F-INS-055A RAW SC'!AU66="","",'Midterm OVPAA-F-INS-055A RAW SC'!AU66/'Midterm OVPAA-F-INS-055A RAW SC'!AU$17*100)</f>
        <v/>
      </c>
      <c r="AV66" s="126" t="str">
        <f>IF('Midterm OVPAA-F-INS-055A RAW SC'!AV66="","",'Midterm OVPAA-F-INS-055A RAW SC'!AV66/'Midterm OVPAA-F-INS-055A RAW SC'!AV$17*100)</f>
        <v/>
      </c>
      <c r="AW66" s="126" t="str">
        <f>IF('Midterm OVPAA-F-INS-055A RAW SC'!AW66="","",'Midterm OVPAA-F-INS-055A RAW SC'!AW66/'Midterm OVPAA-F-INS-055A RAW SC'!AW$17*100)</f>
        <v/>
      </c>
      <c r="AX66" s="126" t="str">
        <f>IF('Midterm OVPAA-F-INS-055A RAW SC'!AX66="","",'Midterm OVPAA-F-INS-055A RAW SC'!AX66/'Midterm OVPAA-F-INS-055A RAW SC'!AX$17*100)</f>
        <v/>
      </c>
      <c r="AY66" s="126" t="str">
        <f>IF('Midterm OVPAA-F-INS-055A RAW SC'!AY66="","",'Midterm OVPAA-F-INS-055A RAW SC'!AY66/'Midterm OVPAA-F-INS-055A RAW SC'!AY$17*100)</f>
        <v/>
      </c>
      <c r="AZ66" s="126" t="str">
        <f>IF('Midterm OVPAA-F-INS-055A RAW SC'!AZ66="","",'Midterm OVPAA-F-INS-055A RAW SC'!AZ66/'Midterm OVPAA-F-INS-055A RAW SC'!AZ$17*100)</f>
        <v/>
      </c>
      <c r="BA66" s="126" t="str">
        <f>IF('Midterm OVPAA-F-INS-055A RAW SC'!BA66="","",'Midterm OVPAA-F-INS-055A RAW SC'!BA66/'Midterm OVPAA-F-INS-055A RAW SC'!BA$17*100)</f>
        <v/>
      </c>
      <c r="BB66" s="126" t="str">
        <f>IF('Midterm OVPAA-F-INS-055A RAW SC'!BB66="","",'Midterm OVPAA-F-INS-055A RAW SC'!BB66/'Midterm OVPAA-F-INS-055A RAW SC'!BB$17*100)</f>
        <v/>
      </c>
      <c r="BC66" s="126" t="str">
        <f>IF('Midterm OVPAA-F-INS-055A RAW SC'!BC66="","",'Midterm OVPAA-F-INS-055A RAW SC'!BC66/'Midterm OVPAA-F-INS-055A RAW SC'!BC$17*100)</f>
        <v/>
      </c>
      <c r="BD66" s="126" t="str">
        <f>IF('Midterm OVPAA-F-INS-055A RAW SC'!BD66="","",'Midterm OVPAA-F-INS-055A RAW SC'!BD66/'Midterm OVPAA-F-INS-055A RAW SC'!BD$17*100)</f>
        <v/>
      </c>
      <c r="BE66" s="126" t="str">
        <f>IF('Midterm OVPAA-F-INS-055A RAW SC'!BE66="","",'Midterm OVPAA-F-INS-055A RAW SC'!BE66/'Midterm OVPAA-F-INS-055A RAW SC'!BE$17*100)</f>
        <v/>
      </c>
      <c r="BF66" s="126" t="str">
        <f>IF('Midterm OVPAA-F-INS-055A RAW SC'!BF66="","",'Midterm OVPAA-F-INS-055A RAW SC'!BF66/'Midterm OVPAA-F-INS-055A RAW SC'!BF$17*100)</f>
        <v/>
      </c>
      <c r="BG66" s="126" t="str">
        <f>IF('Midterm OVPAA-F-INS-055A RAW SC'!BG66="","",'Midterm OVPAA-F-INS-055A RAW SC'!BG66/'Midterm OVPAA-F-INS-055A RAW SC'!BG$17*100)</f>
        <v/>
      </c>
      <c r="BH66" s="126" t="str">
        <f>IF('Midterm OVPAA-F-INS-055A RAW SC'!BH66="","",'Midterm OVPAA-F-INS-055A RAW SC'!BH66/'Midterm OVPAA-F-INS-055A RAW SC'!BH$17*100)</f>
        <v/>
      </c>
      <c r="BI66" s="126" t="str">
        <f>IF('Midterm OVPAA-F-INS-055A RAW SC'!BI66="","",'Midterm OVPAA-F-INS-055A RAW SC'!BI66/'Midterm OVPAA-F-INS-055A RAW SC'!BI$17*100)</f>
        <v/>
      </c>
      <c r="BJ66" s="126" t="str">
        <f>IF('Midterm OVPAA-F-INS-055A RAW SC'!BJ66="","",'Midterm OVPAA-F-INS-055A RAW SC'!BJ66/'Midterm OVPAA-F-INS-055A RAW SC'!BJ$17*100)</f>
        <v/>
      </c>
      <c r="BK66" s="126" t="str">
        <f>IF('Midterm OVPAA-F-INS-055A RAW SC'!BK66="","",'Midterm OVPAA-F-INS-055A RAW SC'!BK66/'Midterm OVPAA-F-INS-055A RAW SC'!BK$17*100)</f>
        <v/>
      </c>
      <c r="BL66" s="126" t="str">
        <f>IF('Midterm OVPAA-F-INS-055A RAW SC'!BL66="","",'Midterm OVPAA-F-INS-055A RAW SC'!BL66/'Midterm OVPAA-F-INS-055A RAW SC'!BL$17*100)</f>
        <v/>
      </c>
      <c r="BM66" s="126" t="str">
        <f>IF('Midterm OVPAA-F-INS-055A RAW SC'!BM66="","",'Midterm OVPAA-F-INS-055A RAW SC'!BM66/'Midterm OVPAA-F-INS-055A RAW SC'!BM$17*100)</f>
        <v/>
      </c>
      <c r="BN66" s="126" t="str">
        <f>IF('Midterm OVPAA-F-INS-055A RAW SC'!BN66="","",'Midterm OVPAA-F-INS-055A RAW SC'!BN66/'Midterm OVPAA-F-INS-055A RAW SC'!BN$17*100)</f>
        <v/>
      </c>
      <c r="BO66" s="126" t="str">
        <f>IF('Midterm OVPAA-F-INS-055A RAW SC'!BO66="","",'Midterm OVPAA-F-INS-055A RAW SC'!BO66/'Midterm OVPAA-F-INS-055A RAW SC'!BO$17*100)</f>
        <v/>
      </c>
      <c r="BP66" s="126" t="str">
        <f>IF('Midterm OVPAA-F-INS-055A RAW SC'!BP66="","",'Midterm OVPAA-F-INS-055A RAW SC'!BP66/'Midterm OVPAA-F-INS-055A RAW SC'!BP$17*100)</f>
        <v/>
      </c>
      <c r="BQ66" s="126" t="str">
        <f>IF('Midterm OVPAA-F-INS-055A RAW SC'!BQ66="","",'Midterm OVPAA-F-INS-055A RAW SC'!BQ66/'Midterm OVPAA-F-INS-055A RAW SC'!BQ$17*100)</f>
        <v/>
      </c>
      <c r="BR66" s="126" t="str">
        <f>IF('Midterm OVPAA-F-INS-055A RAW SC'!BR66="","",'Midterm OVPAA-F-INS-055A RAW SC'!BR66/'Midterm OVPAA-F-INS-055A RAW SC'!BR$17*100)</f>
        <v/>
      </c>
      <c r="BS66" s="126" t="str">
        <f>IF('Midterm OVPAA-F-INS-055A RAW SC'!BS66="","",'Midterm OVPAA-F-INS-055A RAW SC'!BS66/'Midterm OVPAA-F-INS-055A RAW SC'!BS$17*100)</f>
        <v/>
      </c>
      <c r="BT66" s="126" t="str">
        <f>IF('Midterm OVPAA-F-INS-055A RAW SC'!BT66="","",'Midterm OVPAA-F-INS-055A RAW SC'!BT66/'Midterm OVPAA-F-INS-055A RAW SC'!BT$17*100)</f>
        <v/>
      </c>
      <c r="BU66" s="127" t="str">
        <f t="array" ref="BU66">IF('Midterm OVPAA-F-INS-055A RAW SC'!$G66="","",IF((SUMPRODUCT(--ISBLANK('Midterm OVPAA-F-INS-055A RAW SC'!H66:BT66))=COLUMNS('Midterm OVPAA-F-INS-055A RAW SC'!H66:BT66))=TRUE,"",(((COUNTA('Midterm OVPAA-F-INS-055A RAW SC'!$H$17:$BT$17)+COUNTBLANK('Midterm OVPAA-F-INS-055A RAW SC'!H66:BT66))-COLUMNS('Midterm OVPAA-F-INS-055A RAW SC'!H66:BT66))*5+SUM(H66:BT66))/COUNTA('Midterm OVPAA-F-INS-055A RAW SC'!$H$17:$BT$17)))</f>
        <v/>
      </c>
      <c r="BV66" s="128" t="str">
        <f>IF(BU66="","",VLOOKUP(BU66,IF('Midterm OVPAA-F-INS-055A RAW SC'!$V$12=0.5,TRANSMUTATION!$C$4:$D$17,TRANSMUTATION!$G$4:$H$17),2,TRUE))</f>
        <v/>
      </c>
      <c r="BW66" s="129" t="str">
        <f>IF('Midterm OVPAA-F-INS-055A RAW SC'!BU66="","",'Midterm OVPAA-F-INS-055A RAW SC'!BU66/'Midterm OVPAA-F-INS-055A RAW SC'!BU$17*100)</f>
        <v/>
      </c>
      <c r="BX66" s="130" t="str">
        <f>IF('Midterm OVPAA-F-INS-055A RAW SC'!BV66="","",'Midterm OVPAA-F-INS-055A RAW SC'!BV66/'Midterm OVPAA-F-INS-055A RAW SC'!BV$17*100)</f>
        <v/>
      </c>
      <c r="BY66" s="130" t="str">
        <f>IF('Midterm OVPAA-F-INS-055A RAW SC'!BW66="","",'Midterm OVPAA-F-INS-055A RAW SC'!BW66/'Midterm OVPAA-F-INS-055A RAW SC'!BW$17*100)</f>
        <v/>
      </c>
      <c r="BZ66" s="130" t="str">
        <f>IF('Midterm OVPAA-F-INS-055A RAW SC'!BX66="","",'Midterm OVPAA-F-INS-055A RAW SC'!BX66/'Midterm OVPAA-F-INS-055A RAW SC'!BX$17*100)</f>
        <v/>
      </c>
      <c r="CA66" s="130" t="str">
        <f>IF('Midterm OVPAA-F-INS-055A RAW SC'!BY66="","",'Midterm OVPAA-F-INS-055A RAW SC'!BY66/'Midterm OVPAA-F-INS-055A RAW SC'!BY$17*100)</f>
        <v/>
      </c>
      <c r="CB66" s="130" t="str">
        <f>IF('Midterm OVPAA-F-INS-055A RAW SC'!BZ66="","",'Midterm OVPAA-F-INS-055A RAW SC'!BZ66/'Midterm OVPAA-F-INS-055A RAW SC'!BZ$17*100)</f>
        <v/>
      </c>
      <c r="CC66" s="130" t="str">
        <f>IF('Midterm OVPAA-F-INS-055A RAW SC'!CA66="","",'Midterm OVPAA-F-INS-055A RAW SC'!CA66/'Midterm OVPAA-F-INS-055A RAW SC'!CA$17*100)</f>
        <v/>
      </c>
      <c r="CD66" s="130" t="str">
        <f>IF('Midterm OVPAA-F-INS-055A RAW SC'!CB66="","",'Midterm OVPAA-F-INS-055A RAW SC'!CB66/'Midterm OVPAA-F-INS-055A RAW SC'!CB$17*100)</f>
        <v/>
      </c>
      <c r="CE66" s="130" t="str">
        <f>IF('Midterm OVPAA-F-INS-055A RAW SC'!CC66="","",'Midterm OVPAA-F-INS-055A RAW SC'!CC66/'Midterm OVPAA-F-INS-055A RAW SC'!CC$17*100)</f>
        <v/>
      </c>
      <c r="CF66" s="130" t="str">
        <f>IF('Midterm OVPAA-F-INS-055A RAW SC'!CD66="","",'Midterm OVPAA-F-INS-055A RAW SC'!CD66/'Midterm OVPAA-F-INS-055A RAW SC'!CD$17*100)</f>
        <v/>
      </c>
      <c r="CG66" s="130" t="str">
        <f>IF('Midterm OVPAA-F-INS-055A RAW SC'!CE66="","",'Midterm OVPAA-F-INS-055A RAW SC'!CE66/'Midterm OVPAA-F-INS-055A RAW SC'!CE$17*100)</f>
        <v/>
      </c>
      <c r="CH66" s="130" t="str">
        <f>IF('Midterm OVPAA-F-INS-055A RAW SC'!CF66="","",'Midterm OVPAA-F-INS-055A RAW SC'!CF66/'Midterm OVPAA-F-INS-055A RAW SC'!CF$17*100)</f>
        <v/>
      </c>
      <c r="CI66" s="130" t="str">
        <f>IF('Midterm OVPAA-F-INS-055A RAW SC'!CG66="","",'Midterm OVPAA-F-INS-055A RAW SC'!CG66/'Midterm OVPAA-F-INS-055A RAW SC'!CG$17*100)</f>
        <v/>
      </c>
      <c r="CJ66" s="130" t="str">
        <f>IF('Midterm OVPAA-F-INS-055A RAW SC'!CH66="","",'Midterm OVPAA-F-INS-055A RAW SC'!CH66/'Midterm OVPAA-F-INS-055A RAW SC'!CH$17*100)</f>
        <v/>
      </c>
      <c r="CK66" s="130" t="str">
        <f>IF('Midterm OVPAA-F-INS-055A RAW SC'!CI66="","",'Midterm OVPAA-F-INS-055A RAW SC'!CI66/'Midterm OVPAA-F-INS-055A RAW SC'!CI$17*100)</f>
        <v/>
      </c>
      <c r="CL66" s="130" t="str">
        <f>IF('Midterm OVPAA-F-INS-055A RAW SC'!CJ66="","",'Midterm OVPAA-F-INS-055A RAW SC'!CJ66/'Midterm OVPAA-F-INS-055A RAW SC'!CJ$17*100)</f>
        <v/>
      </c>
      <c r="CM66" s="130" t="str">
        <f>IF('Midterm OVPAA-F-INS-055A RAW SC'!CK66="","",'Midterm OVPAA-F-INS-055A RAW SC'!CK66/'Midterm OVPAA-F-INS-055A RAW SC'!CK$17*100)</f>
        <v/>
      </c>
      <c r="CN66" s="130" t="str">
        <f>IF('Midterm OVPAA-F-INS-055A RAW SC'!CL66="","",'Midterm OVPAA-F-INS-055A RAW SC'!CL66/'Midterm OVPAA-F-INS-055A RAW SC'!CL$17*100)</f>
        <v/>
      </c>
      <c r="CO66" s="130" t="str">
        <f>IF('Midterm OVPAA-F-INS-055A RAW SC'!CM66="","",'Midterm OVPAA-F-INS-055A RAW SC'!CM66/'Midterm OVPAA-F-INS-055A RAW SC'!CM$17*100)</f>
        <v/>
      </c>
      <c r="CP66" s="130" t="str">
        <f>IF('Midterm OVPAA-F-INS-055A RAW SC'!CN66="","",'Midterm OVPAA-F-INS-055A RAW SC'!CN66/'Midterm OVPAA-F-INS-055A RAW SC'!CN$17*100)</f>
        <v/>
      </c>
      <c r="CQ66" s="131" t="str">
        <f t="array" ref="CQ66">IF('Midterm OVPAA-F-INS-055A RAW SC'!G66="","",IF((SUMPRODUCT(--ISBLANK('Midterm OVPAA-F-INS-055A RAW SC'!BU66:CN66))=COLUMNS('Midterm OVPAA-F-INS-055A RAW SC'!BU66:CN66))=TRUE,"",(((COUNTA('Midterm OVPAA-F-INS-055A RAW SC'!$BU$17:$CN$17)+COUNTBLANK('Midterm OVPAA-F-INS-055A RAW SC'!BU66:CN66))-COLUMNS('Midterm OVPAA-F-INS-055A RAW SC'!BU66:CN66))*5+SUM(BW66:CP66))/COUNTA('Midterm OVPAA-F-INS-055A RAW SC'!$BU$17:$CN$17)))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IF('Midterm OVPAA-F-INS-055A RAW SC'!CO66="","",'Midterm OVPAA-F-INS-055A RAW SC'!CO66/'Midterm OVPAA-F-INS-055A RAW SC'!CO$17*100)</f>
        <v/>
      </c>
      <c r="CT66" s="133" t="str">
        <f>IF('Midterm OVPAA-F-INS-055A RAW SC'!CP66="","",'Midterm OVPAA-F-INS-055A RAW SC'!CP66/'Midterm OVPAA-F-INS-055A RAW SC'!CP$17*100)</f>
        <v/>
      </c>
      <c r="CU66" s="133" t="str">
        <f>IF('Midterm OVPAA-F-INS-055A RAW SC'!CQ66="","",'Midterm OVPAA-F-INS-055A RAW SC'!CQ66/'Midterm OVPAA-F-INS-055A RAW SC'!CQ$17*100)</f>
        <v/>
      </c>
      <c r="CV66" s="133" t="str">
        <f>IF('Midterm OVPAA-F-INS-055A RAW SC'!CR66="","",'Midterm OVPAA-F-INS-055A RAW SC'!CR66/'Midterm OVPAA-F-INS-055A RAW SC'!CR$17*100)</f>
        <v/>
      </c>
      <c r="CW66" s="133" t="str">
        <f>IF('Midterm OVPAA-F-INS-055A RAW SC'!CS66="","",'Midterm OVPAA-F-INS-055A RAW SC'!CS66/'Midterm OVPAA-F-INS-055A RAW SC'!CS$17*100)</f>
        <v/>
      </c>
      <c r="CX66" s="133" t="str">
        <f>IF('Midterm OVPAA-F-INS-055A RAW SC'!CT66="","",'Midterm OVPAA-F-INS-055A RAW SC'!CT66/'Midterm OVPAA-F-INS-055A RAW SC'!CT$17*100)</f>
        <v/>
      </c>
      <c r="CY66" s="133" t="str">
        <f>IF('Midterm OVPAA-F-INS-055A RAW SC'!CU66="","",'Midterm OVPAA-F-INS-055A RAW SC'!CU66/'Midterm OVPAA-F-INS-055A RAW SC'!CU$17*100)</f>
        <v/>
      </c>
      <c r="CZ66" s="133" t="str">
        <f>IF('Midterm OVPAA-F-INS-055A RAW SC'!CV66="","",'Midterm OVPAA-F-INS-055A RAW SC'!CV66/'Midterm OVPAA-F-INS-055A RAW SC'!CV$17*100)</f>
        <v/>
      </c>
      <c r="DA66" s="133" t="str">
        <f>IF('Midterm OVPAA-F-INS-055A RAW SC'!CW66="","",'Midterm OVPAA-F-INS-055A RAW SC'!CW66/'Midterm OVPAA-F-INS-055A RAW SC'!CW$17*100)</f>
        <v/>
      </c>
      <c r="DB66" s="133" t="str">
        <f>IF('Midterm OVPAA-F-INS-055A RAW SC'!CX66="","",'Midterm OVPAA-F-INS-055A RAW SC'!CX66/'Midterm OVPAA-F-INS-055A RAW SC'!CX$17*100)</f>
        <v/>
      </c>
      <c r="DC66" s="134" t="str">
        <f t="array" ref="DC66">IF('Midterm OVPAA-F-INS-055A RAW SC'!$G66="","",IF((SUMPRODUCT(--ISBLANK('Midterm OVPAA-F-INS-055A RAW SC'!CO66:CX66))=COLUMNS('Midterm OVPAA-F-INS-055A RAW SC'!CO66:CX66))=TRUE,"",(((COUNTA('Midterm OVPAA-F-INS-055A RAW SC'!$CO$17:$CX$17)+COUNTBLANK('Midterm OVPAA-F-INS-055A RAW SC'!CO66:CX66))-COLUMNS('Midterm OVPAA-F-INS-055A RAW SC'!CO66:CX66))*5+SUM(CS66:DB66))/COUNTA('Midterm OVPAA-F-INS-055A RAW SC'!$CO$17:$CX$17)))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37" t="str">
        <f t="shared" si="2"/>
        <v/>
      </c>
      <c r="DG66" s="138" t="str">
        <f t="shared" si="3"/>
        <v/>
      </c>
      <c r="DH66" s="136" t="str">
        <f t="shared" si="4"/>
        <v/>
      </c>
      <c r="DI66" s="123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IF('Midterm OVPAA-F-INS-055A RAW SC'!H67="","",'Midterm OVPAA-F-INS-055A RAW SC'!H67/'Midterm OVPAA-F-INS-055A RAW SC'!H$17*100)</f>
        <v/>
      </c>
      <c r="I67" s="126" t="str">
        <f>IF('Midterm OVPAA-F-INS-055A RAW SC'!I67="","",'Midterm OVPAA-F-INS-055A RAW SC'!I67/'Midterm OVPAA-F-INS-055A RAW SC'!I$17*100)</f>
        <v/>
      </c>
      <c r="J67" s="126" t="str">
        <f>IF('Midterm OVPAA-F-INS-055A RAW SC'!J67="","",'Midterm OVPAA-F-INS-055A RAW SC'!J67/'Midterm OVPAA-F-INS-055A RAW SC'!J$17*100)</f>
        <v/>
      </c>
      <c r="K67" s="126" t="str">
        <f>IF('Midterm OVPAA-F-INS-055A RAW SC'!K67="","",'Midterm OVPAA-F-INS-055A RAW SC'!K67/'Midterm OVPAA-F-INS-055A RAW SC'!K$17*100)</f>
        <v/>
      </c>
      <c r="L67" s="126" t="str">
        <f>IF('Midterm OVPAA-F-INS-055A RAW SC'!L67="","",'Midterm OVPAA-F-INS-055A RAW SC'!L67/'Midterm OVPAA-F-INS-055A RAW SC'!L$17*100)</f>
        <v/>
      </c>
      <c r="M67" s="126" t="str">
        <f>IF('Midterm OVPAA-F-INS-055A RAW SC'!M67="","",'Midterm OVPAA-F-INS-055A RAW SC'!M67/'Midterm OVPAA-F-INS-055A RAW SC'!M$17*100)</f>
        <v/>
      </c>
      <c r="N67" s="126" t="str">
        <f>IF('Midterm OVPAA-F-INS-055A RAW SC'!N67="","",'Midterm OVPAA-F-INS-055A RAW SC'!N67/'Midterm OVPAA-F-INS-055A RAW SC'!N$17*100)</f>
        <v/>
      </c>
      <c r="O67" s="126" t="str">
        <f>IF('Midterm OVPAA-F-INS-055A RAW SC'!O67="","",'Midterm OVPAA-F-INS-055A RAW SC'!O67/'Midterm OVPAA-F-INS-055A RAW SC'!O$17*100)</f>
        <v/>
      </c>
      <c r="P67" s="126" t="str">
        <f>IF('Midterm OVPAA-F-INS-055A RAW SC'!P67="","",'Midterm OVPAA-F-INS-055A RAW SC'!P67/'Midterm OVPAA-F-INS-055A RAW SC'!P$17*100)</f>
        <v/>
      </c>
      <c r="Q67" s="126" t="str">
        <f>IF('Midterm OVPAA-F-INS-055A RAW SC'!Q67="","",'Midterm OVPAA-F-INS-055A RAW SC'!Q67/'Midterm OVPAA-F-INS-055A RAW SC'!Q$17*100)</f>
        <v/>
      </c>
      <c r="R67" s="126" t="str">
        <f>IF('Midterm OVPAA-F-INS-055A RAW SC'!R67="","",'Midterm OVPAA-F-INS-055A RAW SC'!R67/'Midterm OVPAA-F-INS-055A RAW SC'!R$17*100)</f>
        <v/>
      </c>
      <c r="S67" s="126" t="str">
        <f>IF('Midterm OVPAA-F-INS-055A RAW SC'!S67="","",'Midterm OVPAA-F-INS-055A RAW SC'!S67/'Midterm OVPAA-F-INS-055A RAW SC'!S$17*100)</f>
        <v/>
      </c>
      <c r="T67" s="126" t="str">
        <f>IF('Midterm OVPAA-F-INS-055A RAW SC'!T67="","",'Midterm OVPAA-F-INS-055A RAW SC'!T67/'Midterm OVPAA-F-INS-055A RAW SC'!T$17*100)</f>
        <v/>
      </c>
      <c r="U67" s="126" t="str">
        <f>IF('Midterm OVPAA-F-INS-055A RAW SC'!U67="","",'Midterm OVPAA-F-INS-055A RAW SC'!U67/'Midterm OVPAA-F-INS-055A RAW SC'!U$17*100)</f>
        <v/>
      </c>
      <c r="V67" s="126" t="str">
        <f>IF('Midterm OVPAA-F-INS-055A RAW SC'!V67="","",'Midterm OVPAA-F-INS-055A RAW SC'!V67/'Midterm OVPAA-F-INS-055A RAW SC'!V$17*100)</f>
        <v/>
      </c>
      <c r="W67" s="126" t="str">
        <f>IF('Midterm OVPAA-F-INS-055A RAW SC'!W67="","",'Midterm OVPAA-F-INS-055A RAW SC'!W67/'Midterm OVPAA-F-INS-055A RAW SC'!W$17*100)</f>
        <v/>
      </c>
      <c r="X67" s="126" t="str">
        <f>IF('Midterm OVPAA-F-INS-055A RAW SC'!X67="","",'Midterm OVPAA-F-INS-055A RAW SC'!X67/'Midterm OVPAA-F-INS-055A RAW SC'!X$17*100)</f>
        <v/>
      </c>
      <c r="Y67" s="126" t="str">
        <f>IF('Midterm OVPAA-F-INS-055A RAW SC'!Y67="","",'Midterm OVPAA-F-INS-055A RAW SC'!Y67/'Midterm OVPAA-F-INS-055A RAW SC'!Y$17*100)</f>
        <v/>
      </c>
      <c r="Z67" s="126" t="str">
        <f>IF('Midterm OVPAA-F-INS-055A RAW SC'!Z67="","",'Midterm OVPAA-F-INS-055A RAW SC'!Z67/'Midterm OVPAA-F-INS-055A RAW SC'!Z$17*100)</f>
        <v/>
      </c>
      <c r="AA67" s="126" t="str">
        <f>IF('Midterm OVPAA-F-INS-055A RAW SC'!AA67="","",'Midterm OVPAA-F-INS-055A RAW SC'!AA67/'Midterm OVPAA-F-INS-055A RAW SC'!AA$17*100)</f>
        <v/>
      </c>
      <c r="AB67" s="126" t="str">
        <f>IF('Midterm OVPAA-F-INS-055A RAW SC'!AB67="","",'Midterm OVPAA-F-INS-055A RAW SC'!AB67/'Midterm OVPAA-F-INS-055A RAW SC'!AB$17*100)</f>
        <v/>
      </c>
      <c r="AC67" s="126" t="str">
        <f>IF('Midterm OVPAA-F-INS-055A RAW SC'!AC67="","",'Midterm OVPAA-F-INS-055A RAW SC'!AC67/'Midterm OVPAA-F-INS-055A RAW SC'!AC$17*100)</f>
        <v/>
      </c>
      <c r="AD67" s="126" t="str">
        <f>IF('Midterm OVPAA-F-INS-055A RAW SC'!AD67="","",'Midterm OVPAA-F-INS-055A RAW SC'!AD67/'Midterm OVPAA-F-INS-055A RAW SC'!AD$17*100)</f>
        <v/>
      </c>
      <c r="AE67" s="126" t="str">
        <f>IF('Midterm OVPAA-F-INS-055A RAW SC'!AE67="","",'Midterm OVPAA-F-INS-055A RAW SC'!AE67/'Midterm OVPAA-F-INS-055A RAW SC'!AE$17*100)</f>
        <v/>
      </c>
      <c r="AF67" s="126" t="str">
        <f>IF('Midterm OVPAA-F-INS-055A RAW SC'!AF67="","",'Midterm OVPAA-F-INS-055A RAW SC'!AF67/'Midterm OVPAA-F-INS-055A RAW SC'!AF$17*100)</f>
        <v/>
      </c>
      <c r="AG67" s="126" t="str">
        <f>IF('Midterm OVPAA-F-INS-055A RAW SC'!AG67="","",'Midterm OVPAA-F-INS-055A RAW SC'!AG67/'Midterm OVPAA-F-INS-055A RAW SC'!AG$17*100)</f>
        <v/>
      </c>
      <c r="AH67" s="126" t="str">
        <f>IF('Midterm OVPAA-F-INS-055A RAW SC'!AH67="","",'Midterm OVPAA-F-INS-055A RAW SC'!AH67/'Midterm OVPAA-F-INS-055A RAW SC'!AH$17*100)</f>
        <v/>
      </c>
      <c r="AI67" s="126" t="str">
        <f>IF('Midterm OVPAA-F-INS-055A RAW SC'!AI67="","",'Midterm OVPAA-F-INS-055A RAW SC'!AI67/'Midterm OVPAA-F-INS-055A RAW SC'!AI$17*100)</f>
        <v/>
      </c>
      <c r="AJ67" s="126" t="str">
        <f>IF('Midterm OVPAA-F-INS-055A RAW SC'!AJ67="","",'Midterm OVPAA-F-INS-055A RAW SC'!AJ67/'Midterm OVPAA-F-INS-055A RAW SC'!AJ$17*100)</f>
        <v/>
      </c>
      <c r="AK67" s="126" t="str">
        <f>IF('Midterm OVPAA-F-INS-055A RAW SC'!AK67="","",'Midterm OVPAA-F-INS-055A RAW SC'!AK67/'Midterm OVPAA-F-INS-055A RAW SC'!AK$17*100)</f>
        <v/>
      </c>
      <c r="AL67" s="126" t="str">
        <f>IF('Midterm OVPAA-F-INS-055A RAW SC'!AL67="","",'Midterm OVPAA-F-INS-055A RAW SC'!AL67/'Midterm OVPAA-F-INS-055A RAW SC'!AL$17*100)</f>
        <v/>
      </c>
      <c r="AM67" s="126" t="str">
        <f>IF('Midterm OVPAA-F-INS-055A RAW SC'!AM67="","",'Midterm OVPAA-F-INS-055A RAW SC'!AM67/'Midterm OVPAA-F-INS-055A RAW SC'!AM$17*100)</f>
        <v/>
      </c>
      <c r="AN67" s="126" t="str">
        <f>IF('Midterm OVPAA-F-INS-055A RAW SC'!AN67="","",'Midterm OVPAA-F-INS-055A RAW SC'!AN67/'Midterm OVPAA-F-INS-055A RAW SC'!AN$17*100)</f>
        <v/>
      </c>
      <c r="AO67" s="126" t="str">
        <f>IF('Midterm OVPAA-F-INS-055A RAW SC'!AO67="","",'Midterm OVPAA-F-INS-055A RAW SC'!AO67/'Midterm OVPAA-F-INS-055A RAW SC'!AO$17*100)</f>
        <v/>
      </c>
      <c r="AP67" s="126" t="str">
        <f>IF('Midterm OVPAA-F-INS-055A RAW SC'!AP67="","",'Midterm OVPAA-F-INS-055A RAW SC'!AP67/'Midterm OVPAA-F-INS-055A RAW SC'!AP$17*100)</f>
        <v/>
      </c>
      <c r="AQ67" s="126" t="str">
        <f>IF('Midterm OVPAA-F-INS-055A RAW SC'!AQ67="","",'Midterm OVPAA-F-INS-055A RAW SC'!AQ67/'Midterm OVPAA-F-INS-055A RAW SC'!AQ$17*100)</f>
        <v/>
      </c>
      <c r="AR67" s="126" t="str">
        <f>IF('Midterm OVPAA-F-INS-055A RAW SC'!AR67="","",'Midterm OVPAA-F-INS-055A RAW SC'!AR67/'Midterm OVPAA-F-INS-055A RAW SC'!AR$17*100)</f>
        <v/>
      </c>
      <c r="AS67" s="126" t="str">
        <f>IF('Midterm OVPAA-F-INS-055A RAW SC'!AS67="","",'Midterm OVPAA-F-INS-055A RAW SC'!AS67/'Midterm OVPAA-F-INS-055A RAW SC'!AS$17*100)</f>
        <v/>
      </c>
      <c r="AT67" s="126" t="str">
        <f>IF('Midterm OVPAA-F-INS-055A RAW SC'!AT67="","",'Midterm OVPAA-F-INS-055A RAW SC'!AT67/'Midterm OVPAA-F-INS-055A RAW SC'!AT$17*100)</f>
        <v/>
      </c>
      <c r="AU67" s="126" t="str">
        <f>IF('Midterm OVPAA-F-INS-055A RAW SC'!AU67="","",'Midterm OVPAA-F-INS-055A RAW SC'!AU67/'Midterm OVPAA-F-INS-055A RAW SC'!AU$17*100)</f>
        <v/>
      </c>
      <c r="AV67" s="126" t="str">
        <f>IF('Midterm OVPAA-F-INS-055A RAW SC'!AV67="","",'Midterm OVPAA-F-INS-055A RAW SC'!AV67/'Midterm OVPAA-F-INS-055A RAW SC'!AV$17*100)</f>
        <v/>
      </c>
      <c r="AW67" s="126" t="str">
        <f>IF('Midterm OVPAA-F-INS-055A RAW SC'!AW67="","",'Midterm OVPAA-F-INS-055A RAW SC'!AW67/'Midterm OVPAA-F-INS-055A RAW SC'!AW$17*100)</f>
        <v/>
      </c>
      <c r="AX67" s="126" t="str">
        <f>IF('Midterm OVPAA-F-INS-055A RAW SC'!AX67="","",'Midterm OVPAA-F-INS-055A RAW SC'!AX67/'Midterm OVPAA-F-INS-055A RAW SC'!AX$17*100)</f>
        <v/>
      </c>
      <c r="AY67" s="126" t="str">
        <f>IF('Midterm OVPAA-F-INS-055A RAW SC'!AY67="","",'Midterm OVPAA-F-INS-055A RAW SC'!AY67/'Midterm OVPAA-F-INS-055A RAW SC'!AY$17*100)</f>
        <v/>
      </c>
      <c r="AZ67" s="126" t="str">
        <f>IF('Midterm OVPAA-F-INS-055A RAW SC'!AZ67="","",'Midterm OVPAA-F-INS-055A RAW SC'!AZ67/'Midterm OVPAA-F-INS-055A RAW SC'!AZ$17*100)</f>
        <v/>
      </c>
      <c r="BA67" s="126" t="str">
        <f>IF('Midterm OVPAA-F-INS-055A RAW SC'!BA67="","",'Midterm OVPAA-F-INS-055A RAW SC'!BA67/'Midterm OVPAA-F-INS-055A RAW SC'!BA$17*100)</f>
        <v/>
      </c>
      <c r="BB67" s="126" t="str">
        <f>IF('Midterm OVPAA-F-INS-055A RAW SC'!BB67="","",'Midterm OVPAA-F-INS-055A RAW SC'!BB67/'Midterm OVPAA-F-INS-055A RAW SC'!BB$17*100)</f>
        <v/>
      </c>
      <c r="BC67" s="126" t="str">
        <f>IF('Midterm OVPAA-F-INS-055A RAW SC'!BC67="","",'Midterm OVPAA-F-INS-055A RAW SC'!BC67/'Midterm OVPAA-F-INS-055A RAW SC'!BC$17*100)</f>
        <v/>
      </c>
      <c r="BD67" s="126" t="str">
        <f>IF('Midterm OVPAA-F-INS-055A RAW SC'!BD67="","",'Midterm OVPAA-F-INS-055A RAW SC'!BD67/'Midterm OVPAA-F-INS-055A RAW SC'!BD$17*100)</f>
        <v/>
      </c>
      <c r="BE67" s="126" t="str">
        <f>IF('Midterm OVPAA-F-INS-055A RAW SC'!BE67="","",'Midterm OVPAA-F-INS-055A RAW SC'!BE67/'Midterm OVPAA-F-INS-055A RAW SC'!BE$17*100)</f>
        <v/>
      </c>
      <c r="BF67" s="126" t="str">
        <f>IF('Midterm OVPAA-F-INS-055A RAW SC'!BF67="","",'Midterm OVPAA-F-INS-055A RAW SC'!BF67/'Midterm OVPAA-F-INS-055A RAW SC'!BF$17*100)</f>
        <v/>
      </c>
      <c r="BG67" s="126" t="str">
        <f>IF('Midterm OVPAA-F-INS-055A RAW SC'!BG67="","",'Midterm OVPAA-F-INS-055A RAW SC'!BG67/'Midterm OVPAA-F-INS-055A RAW SC'!BG$17*100)</f>
        <v/>
      </c>
      <c r="BH67" s="126" t="str">
        <f>IF('Midterm OVPAA-F-INS-055A RAW SC'!BH67="","",'Midterm OVPAA-F-INS-055A RAW SC'!BH67/'Midterm OVPAA-F-INS-055A RAW SC'!BH$17*100)</f>
        <v/>
      </c>
      <c r="BI67" s="126" t="str">
        <f>IF('Midterm OVPAA-F-INS-055A RAW SC'!BI67="","",'Midterm OVPAA-F-INS-055A RAW SC'!BI67/'Midterm OVPAA-F-INS-055A RAW SC'!BI$17*100)</f>
        <v/>
      </c>
      <c r="BJ67" s="126" t="str">
        <f>IF('Midterm OVPAA-F-INS-055A RAW SC'!BJ67="","",'Midterm OVPAA-F-INS-055A RAW SC'!BJ67/'Midterm OVPAA-F-INS-055A RAW SC'!BJ$17*100)</f>
        <v/>
      </c>
      <c r="BK67" s="126" t="str">
        <f>IF('Midterm OVPAA-F-INS-055A RAW SC'!BK67="","",'Midterm OVPAA-F-INS-055A RAW SC'!BK67/'Midterm OVPAA-F-INS-055A RAW SC'!BK$17*100)</f>
        <v/>
      </c>
      <c r="BL67" s="126" t="str">
        <f>IF('Midterm OVPAA-F-INS-055A RAW SC'!BL67="","",'Midterm OVPAA-F-INS-055A RAW SC'!BL67/'Midterm OVPAA-F-INS-055A RAW SC'!BL$17*100)</f>
        <v/>
      </c>
      <c r="BM67" s="126" t="str">
        <f>IF('Midterm OVPAA-F-INS-055A RAW SC'!BM67="","",'Midterm OVPAA-F-INS-055A RAW SC'!BM67/'Midterm OVPAA-F-INS-055A RAW SC'!BM$17*100)</f>
        <v/>
      </c>
      <c r="BN67" s="126" t="str">
        <f>IF('Midterm OVPAA-F-INS-055A RAW SC'!BN67="","",'Midterm OVPAA-F-INS-055A RAW SC'!BN67/'Midterm OVPAA-F-INS-055A RAW SC'!BN$17*100)</f>
        <v/>
      </c>
      <c r="BO67" s="126" t="str">
        <f>IF('Midterm OVPAA-F-INS-055A RAW SC'!BO67="","",'Midterm OVPAA-F-INS-055A RAW SC'!BO67/'Midterm OVPAA-F-INS-055A RAW SC'!BO$17*100)</f>
        <v/>
      </c>
      <c r="BP67" s="126" t="str">
        <f>IF('Midterm OVPAA-F-INS-055A RAW SC'!BP67="","",'Midterm OVPAA-F-INS-055A RAW SC'!BP67/'Midterm OVPAA-F-INS-055A RAW SC'!BP$17*100)</f>
        <v/>
      </c>
      <c r="BQ67" s="126" t="str">
        <f>IF('Midterm OVPAA-F-INS-055A RAW SC'!BQ67="","",'Midterm OVPAA-F-INS-055A RAW SC'!BQ67/'Midterm OVPAA-F-INS-055A RAW SC'!BQ$17*100)</f>
        <v/>
      </c>
      <c r="BR67" s="126" t="str">
        <f>IF('Midterm OVPAA-F-INS-055A RAW SC'!BR67="","",'Midterm OVPAA-F-INS-055A RAW SC'!BR67/'Midterm OVPAA-F-INS-055A RAW SC'!BR$17*100)</f>
        <v/>
      </c>
      <c r="BS67" s="126" t="str">
        <f>IF('Midterm OVPAA-F-INS-055A RAW SC'!BS67="","",'Midterm OVPAA-F-INS-055A RAW SC'!BS67/'Midterm OVPAA-F-INS-055A RAW SC'!BS$17*100)</f>
        <v/>
      </c>
      <c r="BT67" s="126" t="str">
        <f>IF('Midterm OVPAA-F-INS-055A RAW SC'!BT67="","",'Midterm OVPAA-F-INS-055A RAW SC'!BT67/'Midterm OVPAA-F-INS-055A RAW SC'!BT$17*100)</f>
        <v/>
      </c>
      <c r="BU67" s="127" t="str">
        <f t="array" ref="BU67">IF('Midterm OVPAA-F-INS-055A RAW SC'!$G67="","",IF((SUMPRODUCT(--ISBLANK('Midterm OVPAA-F-INS-055A RAW SC'!H67:BT67))=COLUMNS('Midterm OVPAA-F-INS-055A RAW SC'!H67:BT67))=TRUE,"",(((COUNTA('Midterm OVPAA-F-INS-055A RAW SC'!$H$17:$BT$17)+COUNTBLANK('Midterm OVPAA-F-INS-055A RAW SC'!H67:BT67))-COLUMNS('Midterm OVPAA-F-INS-055A RAW SC'!H67:BT67))*5+SUM(H67:BT67))/COUNTA('Midterm OVPAA-F-INS-055A RAW SC'!$H$17:$BT$17)))</f>
        <v/>
      </c>
      <c r="BV67" s="128" t="str">
        <f>IF(BU67="","",VLOOKUP(BU67,IF('Midterm OVPAA-F-INS-055A RAW SC'!$V$12=0.5,TRANSMUTATION!$C$4:$D$17,TRANSMUTATION!$G$4:$H$17),2,TRUE))</f>
        <v/>
      </c>
      <c r="BW67" s="129" t="str">
        <f>IF('Midterm OVPAA-F-INS-055A RAW SC'!BU67="","",'Midterm OVPAA-F-INS-055A RAW SC'!BU67/'Midterm OVPAA-F-INS-055A RAW SC'!BU$17*100)</f>
        <v/>
      </c>
      <c r="BX67" s="130" t="str">
        <f>IF('Midterm OVPAA-F-INS-055A RAW SC'!BV67="","",'Midterm OVPAA-F-INS-055A RAW SC'!BV67/'Midterm OVPAA-F-INS-055A RAW SC'!BV$17*100)</f>
        <v/>
      </c>
      <c r="BY67" s="130" t="str">
        <f>IF('Midterm OVPAA-F-INS-055A RAW SC'!BW67="","",'Midterm OVPAA-F-INS-055A RAW SC'!BW67/'Midterm OVPAA-F-INS-055A RAW SC'!BW$17*100)</f>
        <v/>
      </c>
      <c r="BZ67" s="130" t="str">
        <f>IF('Midterm OVPAA-F-INS-055A RAW SC'!BX67="","",'Midterm OVPAA-F-INS-055A RAW SC'!BX67/'Midterm OVPAA-F-INS-055A RAW SC'!BX$17*100)</f>
        <v/>
      </c>
      <c r="CA67" s="130" t="str">
        <f>IF('Midterm OVPAA-F-INS-055A RAW SC'!BY67="","",'Midterm OVPAA-F-INS-055A RAW SC'!BY67/'Midterm OVPAA-F-INS-055A RAW SC'!BY$17*100)</f>
        <v/>
      </c>
      <c r="CB67" s="130" t="str">
        <f>IF('Midterm OVPAA-F-INS-055A RAW SC'!BZ67="","",'Midterm OVPAA-F-INS-055A RAW SC'!BZ67/'Midterm OVPAA-F-INS-055A RAW SC'!BZ$17*100)</f>
        <v/>
      </c>
      <c r="CC67" s="130" t="str">
        <f>IF('Midterm OVPAA-F-INS-055A RAW SC'!CA67="","",'Midterm OVPAA-F-INS-055A RAW SC'!CA67/'Midterm OVPAA-F-INS-055A RAW SC'!CA$17*100)</f>
        <v/>
      </c>
      <c r="CD67" s="130" t="str">
        <f>IF('Midterm OVPAA-F-INS-055A RAW SC'!CB67="","",'Midterm OVPAA-F-INS-055A RAW SC'!CB67/'Midterm OVPAA-F-INS-055A RAW SC'!CB$17*100)</f>
        <v/>
      </c>
      <c r="CE67" s="130" t="str">
        <f>IF('Midterm OVPAA-F-INS-055A RAW SC'!CC67="","",'Midterm OVPAA-F-INS-055A RAW SC'!CC67/'Midterm OVPAA-F-INS-055A RAW SC'!CC$17*100)</f>
        <v/>
      </c>
      <c r="CF67" s="130" t="str">
        <f>IF('Midterm OVPAA-F-INS-055A RAW SC'!CD67="","",'Midterm OVPAA-F-INS-055A RAW SC'!CD67/'Midterm OVPAA-F-INS-055A RAW SC'!CD$17*100)</f>
        <v/>
      </c>
      <c r="CG67" s="130" t="str">
        <f>IF('Midterm OVPAA-F-INS-055A RAW SC'!CE67="","",'Midterm OVPAA-F-INS-055A RAW SC'!CE67/'Midterm OVPAA-F-INS-055A RAW SC'!CE$17*100)</f>
        <v/>
      </c>
      <c r="CH67" s="130" t="str">
        <f>IF('Midterm OVPAA-F-INS-055A RAW SC'!CF67="","",'Midterm OVPAA-F-INS-055A RAW SC'!CF67/'Midterm OVPAA-F-INS-055A RAW SC'!CF$17*100)</f>
        <v/>
      </c>
      <c r="CI67" s="130" t="str">
        <f>IF('Midterm OVPAA-F-INS-055A RAW SC'!CG67="","",'Midterm OVPAA-F-INS-055A RAW SC'!CG67/'Midterm OVPAA-F-INS-055A RAW SC'!CG$17*100)</f>
        <v/>
      </c>
      <c r="CJ67" s="130" t="str">
        <f>IF('Midterm OVPAA-F-INS-055A RAW SC'!CH67="","",'Midterm OVPAA-F-INS-055A RAW SC'!CH67/'Midterm OVPAA-F-INS-055A RAW SC'!CH$17*100)</f>
        <v/>
      </c>
      <c r="CK67" s="130" t="str">
        <f>IF('Midterm OVPAA-F-INS-055A RAW SC'!CI67="","",'Midterm OVPAA-F-INS-055A RAW SC'!CI67/'Midterm OVPAA-F-INS-055A RAW SC'!CI$17*100)</f>
        <v/>
      </c>
      <c r="CL67" s="130" t="str">
        <f>IF('Midterm OVPAA-F-INS-055A RAW SC'!CJ67="","",'Midterm OVPAA-F-INS-055A RAW SC'!CJ67/'Midterm OVPAA-F-INS-055A RAW SC'!CJ$17*100)</f>
        <v/>
      </c>
      <c r="CM67" s="130" t="str">
        <f>IF('Midterm OVPAA-F-INS-055A RAW SC'!CK67="","",'Midterm OVPAA-F-INS-055A RAW SC'!CK67/'Midterm OVPAA-F-INS-055A RAW SC'!CK$17*100)</f>
        <v/>
      </c>
      <c r="CN67" s="130" t="str">
        <f>IF('Midterm OVPAA-F-INS-055A RAW SC'!CL67="","",'Midterm OVPAA-F-INS-055A RAW SC'!CL67/'Midterm OVPAA-F-INS-055A RAW SC'!CL$17*100)</f>
        <v/>
      </c>
      <c r="CO67" s="130" t="str">
        <f>IF('Midterm OVPAA-F-INS-055A RAW SC'!CM67="","",'Midterm OVPAA-F-INS-055A RAW SC'!CM67/'Midterm OVPAA-F-INS-055A RAW SC'!CM$17*100)</f>
        <v/>
      </c>
      <c r="CP67" s="130" t="str">
        <f>IF('Midterm OVPAA-F-INS-055A RAW SC'!CN67="","",'Midterm OVPAA-F-INS-055A RAW SC'!CN67/'Midterm OVPAA-F-INS-055A RAW SC'!CN$17*100)</f>
        <v/>
      </c>
      <c r="CQ67" s="131" t="str">
        <f t="array" ref="CQ67">IF('Midterm OVPAA-F-INS-055A RAW SC'!G67="","",IF((SUMPRODUCT(--ISBLANK('Midterm OVPAA-F-INS-055A RAW SC'!BU67:CN67))=COLUMNS('Midterm OVPAA-F-INS-055A RAW SC'!BU67:CN67))=TRUE,"",(((COUNTA('Midterm OVPAA-F-INS-055A RAW SC'!$BU$17:$CN$17)+COUNTBLANK('Midterm OVPAA-F-INS-055A RAW SC'!BU67:CN67))-COLUMNS('Midterm OVPAA-F-INS-055A RAW SC'!BU67:CN67))*5+SUM(BW67:CP67))/COUNTA('Midterm OVPAA-F-INS-055A RAW SC'!$BU$17:$CN$17)))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IF('Midterm OVPAA-F-INS-055A RAW SC'!CO67="","",'Midterm OVPAA-F-INS-055A RAW SC'!CO67/'Midterm OVPAA-F-INS-055A RAW SC'!CO$17*100)</f>
        <v/>
      </c>
      <c r="CT67" s="133" t="str">
        <f>IF('Midterm OVPAA-F-INS-055A RAW SC'!CP67="","",'Midterm OVPAA-F-INS-055A RAW SC'!CP67/'Midterm OVPAA-F-INS-055A RAW SC'!CP$17*100)</f>
        <v/>
      </c>
      <c r="CU67" s="133" t="str">
        <f>IF('Midterm OVPAA-F-INS-055A RAW SC'!CQ67="","",'Midterm OVPAA-F-INS-055A RAW SC'!CQ67/'Midterm OVPAA-F-INS-055A RAW SC'!CQ$17*100)</f>
        <v/>
      </c>
      <c r="CV67" s="133" t="str">
        <f>IF('Midterm OVPAA-F-INS-055A RAW SC'!CR67="","",'Midterm OVPAA-F-INS-055A RAW SC'!CR67/'Midterm OVPAA-F-INS-055A RAW SC'!CR$17*100)</f>
        <v/>
      </c>
      <c r="CW67" s="133" t="str">
        <f>IF('Midterm OVPAA-F-INS-055A RAW SC'!CS67="","",'Midterm OVPAA-F-INS-055A RAW SC'!CS67/'Midterm OVPAA-F-INS-055A RAW SC'!CS$17*100)</f>
        <v/>
      </c>
      <c r="CX67" s="133" t="str">
        <f>IF('Midterm OVPAA-F-INS-055A RAW SC'!CT67="","",'Midterm OVPAA-F-INS-055A RAW SC'!CT67/'Midterm OVPAA-F-INS-055A RAW SC'!CT$17*100)</f>
        <v/>
      </c>
      <c r="CY67" s="133" t="str">
        <f>IF('Midterm OVPAA-F-INS-055A RAW SC'!CU67="","",'Midterm OVPAA-F-INS-055A RAW SC'!CU67/'Midterm OVPAA-F-INS-055A RAW SC'!CU$17*100)</f>
        <v/>
      </c>
      <c r="CZ67" s="133" t="str">
        <f>IF('Midterm OVPAA-F-INS-055A RAW SC'!CV67="","",'Midterm OVPAA-F-INS-055A RAW SC'!CV67/'Midterm OVPAA-F-INS-055A RAW SC'!CV$17*100)</f>
        <v/>
      </c>
      <c r="DA67" s="133" t="str">
        <f>IF('Midterm OVPAA-F-INS-055A RAW SC'!CW67="","",'Midterm OVPAA-F-INS-055A RAW SC'!CW67/'Midterm OVPAA-F-INS-055A RAW SC'!CW$17*100)</f>
        <v/>
      </c>
      <c r="DB67" s="133" t="str">
        <f>IF('Midterm OVPAA-F-INS-055A RAW SC'!CX67="","",'Midterm OVPAA-F-INS-055A RAW SC'!CX67/'Midterm OVPAA-F-INS-055A RAW SC'!CX$17*100)</f>
        <v/>
      </c>
      <c r="DC67" s="134" t="str">
        <f t="array" ref="DC67">IF('Midterm OVPAA-F-INS-055A RAW SC'!$G67="","",IF((SUMPRODUCT(--ISBLANK('Midterm OVPAA-F-INS-055A RAW SC'!CO67:CX67))=COLUMNS('Midterm OVPAA-F-INS-055A RAW SC'!CO67:CX67))=TRUE,"",(((COUNTA('Midterm OVPAA-F-INS-055A RAW SC'!$CO$17:$CX$17)+COUNTBLANK('Midterm OVPAA-F-INS-055A RAW SC'!CO67:CX67))-COLUMNS('Midterm OVPAA-F-INS-055A RAW SC'!CO67:CX67))*5+SUM(CS67:DB67))/COUNTA('Midterm OVPAA-F-INS-055A RAW SC'!$CO$17:$CX$17)))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37" t="str">
        <f t="shared" si="2"/>
        <v/>
      </c>
      <c r="DG67" s="138" t="str">
        <f t="shared" si="3"/>
        <v/>
      </c>
      <c r="DH67" s="136" t="str">
        <f t="shared" si="4"/>
        <v/>
      </c>
      <c r="DI67" s="123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IF('Midterm OVPAA-F-INS-055A RAW SC'!H68="","",'Midterm OVPAA-F-INS-055A RAW SC'!H68/'Midterm OVPAA-F-INS-055A RAW SC'!H$17*100)</f>
        <v/>
      </c>
      <c r="I68" s="126" t="str">
        <f>IF('Midterm OVPAA-F-INS-055A RAW SC'!I68="","",'Midterm OVPAA-F-INS-055A RAW SC'!I68/'Midterm OVPAA-F-INS-055A RAW SC'!I$17*100)</f>
        <v/>
      </c>
      <c r="J68" s="126" t="str">
        <f>IF('Midterm OVPAA-F-INS-055A RAW SC'!J68="","",'Midterm OVPAA-F-INS-055A RAW SC'!J68/'Midterm OVPAA-F-INS-055A RAW SC'!J$17*100)</f>
        <v/>
      </c>
      <c r="K68" s="126" t="str">
        <f>IF('Midterm OVPAA-F-INS-055A RAW SC'!K68="","",'Midterm OVPAA-F-INS-055A RAW SC'!K68/'Midterm OVPAA-F-INS-055A RAW SC'!K$17*100)</f>
        <v/>
      </c>
      <c r="L68" s="126" t="str">
        <f>IF('Midterm OVPAA-F-INS-055A RAW SC'!L68="","",'Midterm OVPAA-F-INS-055A RAW SC'!L68/'Midterm OVPAA-F-INS-055A RAW SC'!L$17*100)</f>
        <v/>
      </c>
      <c r="M68" s="126" t="str">
        <f>IF('Midterm OVPAA-F-INS-055A RAW SC'!M68="","",'Midterm OVPAA-F-INS-055A RAW SC'!M68/'Midterm OVPAA-F-INS-055A RAW SC'!M$17*100)</f>
        <v/>
      </c>
      <c r="N68" s="126" t="str">
        <f>IF('Midterm OVPAA-F-INS-055A RAW SC'!N68="","",'Midterm OVPAA-F-INS-055A RAW SC'!N68/'Midterm OVPAA-F-INS-055A RAW SC'!N$17*100)</f>
        <v/>
      </c>
      <c r="O68" s="126" t="str">
        <f>IF('Midterm OVPAA-F-INS-055A RAW SC'!O68="","",'Midterm OVPAA-F-INS-055A RAW SC'!O68/'Midterm OVPAA-F-INS-055A RAW SC'!O$17*100)</f>
        <v/>
      </c>
      <c r="P68" s="126" t="str">
        <f>IF('Midterm OVPAA-F-INS-055A RAW SC'!P68="","",'Midterm OVPAA-F-INS-055A RAW SC'!P68/'Midterm OVPAA-F-INS-055A RAW SC'!P$17*100)</f>
        <v/>
      </c>
      <c r="Q68" s="126" t="str">
        <f>IF('Midterm OVPAA-F-INS-055A RAW SC'!Q68="","",'Midterm OVPAA-F-INS-055A RAW SC'!Q68/'Midterm OVPAA-F-INS-055A RAW SC'!Q$17*100)</f>
        <v/>
      </c>
      <c r="R68" s="126" t="str">
        <f>IF('Midterm OVPAA-F-INS-055A RAW SC'!R68="","",'Midterm OVPAA-F-INS-055A RAW SC'!R68/'Midterm OVPAA-F-INS-055A RAW SC'!R$17*100)</f>
        <v/>
      </c>
      <c r="S68" s="126" t="str">
        <f>IF('Midterm OVPAA-F-INS-055A RAW SC'!S68="","",'Midterm OVPAA-F-INS-055A RAW SC'!S68/'Midterm OVPAA-F-INS-055A RAW SC'!S$17*100)</f>
        <v/>
      </c>
      <c r="T68" s="126" t="str">
        <f>IF('Midterm OVPAA-F-INS-055A RAW SC'!T68="","",'Midterm OVPAA-F-INS-055A RAW SC'!T68/'Midterm OVPAA-F-INS-055A RAW SC'!T$17*100)</f>
        <v/>
      </c>
      <c r="U68" s="126" t="str">
        <f>IF('Midterm OVPAA-F-INS-055A RAW SC'!U68="","",'Midterm OVPAA-F-INS-055A RAW SC'!U68/'Midterm OVPAA-F-INS-055A RAW SC'!U$17*100)</f>
        <v/>
      </c>
      <c r="V68" s="126" t="str">
        <f>IF('Midterm OVPAA-F-INS-055A RAW SC'!V68="","",'Midterm OVPAA-F-INS-055A RAW SC'!V68/'Midterm OVPAA-F-INS-055A RAW SC'!V$17*100)</f>
        <v/>
      </c>
      <c r="W68" s="126" t="str">
        <f>IF('Midterm OVPAA-F-INS-055A RAW SC'!W68="","",'Midterm OVPAA-F-INS-055A RAW SC'!W68/'Midterm OVPAA-F-INS-055A RAW SC'!W$17*100)</f>
        <v/>
      </c>
      <c r="X68" s="126" t="str">
        <f>IF('Midterm OVPAA-F-INS-055A RAW SC'!X68="","",'Midterm OVPAA-F-INS-055A RAW SC'!X68/'Midterm OVPAA-F-INS-055A RAW SC'!X$17*100)</f>
        <v/>
      </c>
      <c r="Y68" s="126" t="str">
        <f>IF('Midterm OVPAA-F-INS-055A RAW SC'!Y68="","",'Midterm OVPAA-F-INS-055A RAW SC'!Y68/'Midterm OVPAA-F-INS-055A RAW SC'!Y$17*100)</f>
        <v/>
      </c>
      <c r="Z68" s="126" t="str">
        <f>IF('Midterm OVPAA-F-INS-055A RAW SC'!Z68="","",'Midterm OVPAA-F-INS-055A RAW SC'!Z68/'Midterm OVPAA-F-INS-055A RAW SC'!Z$17*100)</f>
        <v/>
      </c>
      <c r="AA68" s="126" t="str">
        <f>IF('Midterm OVPAA-F-INS-055A RAW SC'!AA68="","",'Midterm OVPAA-F-INS-055A RAW SC'!AA68/'Midterm OVPAA-F-INS-055A RAW SC'!AA$17*100)</f>
        <v/>
      </c>
      <c r="AB68" s="126" t="str">
        <f>IF('Midterm OVPAA-F-INS-055A RAW SC'!AB68="","",'Midterm OVPAA-F-INS-055A RAW SC'!AB68/'Midterm OVPAA-F-INS-055A RAW SC'!AB$17*100)</f>
        <v/>
      </c>
      <c r="AC68" s="126" t="str">
        <f>IF('Midterm OVPAA-F-INS-055A RAW SC'!AC68="","",'Midterm OVPAA-F-INS-055A RAW SC'!AC68/'Midterm OVPAA-F-INS-055A RAW SC'!AC$17*100)</f>
        <v/>
      </c>
      <c r="AD68" s="126" t="str">
        <f>IF('Midterm OVPAA-F-INS-055A RAW SC'!AD68="","",'Midterm OVPAA-F-INS-055A RAW SC'!AD68/'Midterm OVPAA-F-INS-055A RAW SC'!AD$17*100)</f>
        <v/>
      </c>
      <c r="AE68" s="126" t="str">
        <f>IF('Midterm OVPAA-F-INS-055A RAW SC'!AE68="","",'Midterm OVPAA-F-INS-055A RAW SC'!AE68/'Midterm OVPAA-F-INS-055A RAW SC'!AE$17*100)</f>
        <v/>
      </c>
      <c r="AF68" s="126" t="str">
        <f>IF('Midterm OVPAA-F-INS-055A RAW SC'!AF68="","",'Midterm OVPAA-F-INS-055A RAW SC'!AF68/'Midterm OVPAA-F-INS-055A RAW SC'!AF$17*100)</f>
        <v/>
      </c>
      <c r="AG68" s="126" t="str">
        <f>IF('Midterm OVPAA-F-INS-055A RAW SC'!AG68="","",'Midterm OVPAA-F-INS-055A RAW SC'!AG68/'Midterm OVPAA-F-INS-055A RAW SC'!AG$17*100)</f>
        <v/>
      </c>
      <c r="AH68" s="126" t="str">
        <f>IF('Midterm OVPAA-F-INS-055A RAW SC'!AH68="","",'Midterm OVPAA-F-INS-055A RAW SC'!AH68/'Midterm OVPAA-F-INS-055A RAW SC'!AH$17*100)</f>
        <v/>
      </c>
      <c r="AI68" s="126" t="str">
        <f>IF('Midterm OVPAA-F-INS-055A RAW SC'!AI68="","",'Midterm OVPAA-F-INS-055A RAW SC'!AI68/'Midterm OVPAA-F-INS-055A RAW SC'!AI$17*100)</f>
        <v/>
      </c>
      <c r="AJ68" s="126" t="str">
        <f>IF('Midterm OVPAA-F-INS-055A RAW SC'!AJ68="","",'Midterm OVPAA-F-INS-055A RAW SC'!AJ68/'Midterm OVPAA-F-INS-055A RAW SC'!AJ$17*100)</f>
        <v/>
      </c>
      <c r="AK68" s="126" t="str">
        <f>IF('Midterm OVPAA-F-INS-055A RAW SC'!AK68="","",'Midterm OVPAA-F-INS-055A RAW SC'!AK68/'Midterm OVPAA-F-INS-055A RAW SC'!AK$17*100)</f>
        <v/>
      </c>
      <c r="AL68" s="126" t="str">
        <f>IF('Midterm OVPAA-F-INS-055A RAW SC'!AL68="","",'Midterm OVPAA-F-INS-055A RAW SC'!AL68/'Midterm OVPAA-F-INS-055A RAW SC'!AL$17*100)</f>
        <v/>
      </c>
      <c r="AM68" s="126" t="str">
        <f>IF('Midterm OVPAA-F-INS-055A RAW SC'!AM68="","",'Midterm OVPAA-F-INS-055A RAW SC'!AM68/'Midterm OVPAA-F-INS-055A RAW SC'!AM$17*100)</f>
        <v/>
      </c>
      <c r="AN68" s="126" t="str">
        <f>IF('Midterm OVPAA-F-INS-055A RAW SC'!AN68="","",'Midterm OVPAA-F-INS-055A RAW SC'!AN68/'Midterm OVPAA-F-INS-055A RAW SC'!AN$17*100)</f>
        <v/>
      </c>
      <c r="AO68" s="126" t="str">
        <f>IF('Midterm OVPAA-F-INS-055A RAW SC'!AO68="","",'Midterm OVPAA-F-INS-055A RAW SC'!AO68/'Midterm OVPAA-F-INS-055A RAW SC'!AO$17*100)</f>
        <v/>
      </c>
      <c r="AP68" s="126" t="str">
        <f>IF('Midterm OVPAA-F-INS-055A RAW SC'!AP68="","",'Midterm OVPAA-F-INS-055A RAW SC'!AP68/'Midterm OVPAA-F-INS-055A RAW SC'!AP$17*100)</f>
        <v/>
      </c>
      <c r="AQ68" s="126" t="str">
        <f>IF('Midterm OVPAA-F-INS-055A RAW SC'!AQ68="","",'Midterm OVPAA-F-INS-055A RAW SC'!AQ68/'Midterm OVPAA-F-INS-055A RAW SC'!AQ$17*100)</f>
        <v/>
      </c>
      <c r="AR68" s="126" t="str">
        <f>IF('Midterm OVPAA-F-INS-055A RAW SC'!AR68="","",'Midterm OVPAA-F-INS-055A RAW SC'!AR68/'Midterm OVPAA-F-INS-055A RAW SC'!AR$17*100)</f>
        <v/>
      </c>
      <c r="AS68" s="126" t="str">
        <f>IF('Midterm OVPAA-F-INS-055A RAW SC'!AS68="","",'Midterm OVPAA-F-INS-055A RAW SC'!AS68/'Midterm OVPAA-F-INS-055A RAW SC'!AS$17*100)</f>
        <v/>
      </c>
      <c r="AT68" s="126" t="str">
        <f>IF('Midterm OVPAA-F-INS-055A RAW SC'!AT68="","",'Midterm OVPAA-F-INS-055A RAW SC'!AT68/'Midterm OVPAA-F-INS-055A RAW SC'!AT$17*100)</f>
        <v/>
      </c>
      <c r="AU68" s="126" t="str">
        <f>IF('Midterm OVPAA-F-INS-055A RAW SC'!AU68="","",'Midterm OVPAA-F-INS-055A RAW SC'!AU68/'Midterm OVPAA-F-INS-055A RAW SC'!AU$17*100)</f>
        <v/>
      </c>
      <c r="AV68" s="126" t="str">
        <f>IF('Midterm OVPAA-F-INS-055A RAW SC'!AV68="","",'Midterm OVPAA-F-INS-055A RAW SC'!AV68/'Midterm OVPAA-F-INS-055A RAW SC'!AV$17*100)</f>
        <v/>
      </c>
      <c r="AW68" s="126" t="str">
        <f>IF('Midterm OVPAA-F-INS-055A RAW SC'!AW68="","",'Midterm OVPAA-F-INS-055A RAW SC'!AW68/'Midterm OVPAA-F-INS-055A RAW SC'!AW$17*100)</f>
        <v/>
      </c>
      <c r="AX68" s="126" t="str">
        <f>IF('Midterm OVPAA-F-INS-055A RAW SC'!AX68="","",'Midterm OVPAA-F-INS-055A RAW SC'!AX68/'Midterm OVPAA-F-INS-055A RAW SC'!AX$17*100)</f>
        <v/>
      </c>
      <c r="AY68" s="126" t="str">
        <f>IF('Midterm OVPAA-F-INS-055A RAW SC'!AY68="","",'Midterm OVPAA-F-INS-055A RAW SC'!AY68/'Midterm OVPAA-F-INS-055A RAW SC'!AY$17*100)</f>
        <v/>
      </c>
      <c r="AZ68" s="126" t="str">
        <f>IF('Midterm OVPAA-F-INS-055A RAW SC'!AZ68="","",'Midterm OVPAA-F-INS-055A RAW SC'!AZ68/'Midterm OVPAA-F-INS-055A RAW SC'!AZ$17*100)</f>
        <v/>
      </c>
      <c r="BA68" s="126" t="str">
        <f>IF('Midterm OVPAA-F-INS-055A RAW SC'!BA68="","",'Midterm OVPAA-F-INS-055A RAW SC'!BA68/'Midterm OVPAA-F-INS-055A RAW SC'!BA$17*100)</f>
        <v/>
      </c>
      <c r="BB68" s="126" t="str">
        <f>IF('Midterm OVPAA-F-INS-055A RAW SC'!BB68="","",'Midterm OVPAA-F-INS-055A RAW SC'!BB68/'Midterm OVPAA-F-INS-055A RAW SC'!BB$17*100)</f>
        <v/>
      </c>
      <c r="BC68" s="126" t="str">
        <f>IF('Midterm OVPAA-F-INS-055A RAW SC'!BC68="","",'Midterm OVPAA-F-INS-055A RAW SC'!BC68/'Midterm OVPAA-F-INS-055A RAW SC'!BC$17*100)</f>
        <v/>
      </c>
      <c r="BD68" s="126" t="str">
        <f>IF('Midterm OVPAA-F-INS-055A RAW SC'!BD68="","",'Midterm OVPAA-F-INS-055A RAW SC'!BD68/'Midterm OVPAA-F-INS-055A RAW SC'!BD$17*100)</f>
        <v/>
      </c>
      <c r="BE68" s="126" t="str">
        <f>IF('Midterm OVPAA-F-INS-055A RAW SC'!BE68="","",'Midterm OVPAA-F-INS-055A RAW SC'!BE68/'Midterm OVPAA-F-INS-055A RAW SC'!BE$17*100)</f>
        <v/>
      </c>
      <c r="BF68" s="126" t="str">
        <f>IF('Midterm OVPAA-F-INS-055A RAW SC'!BF68="","",'Midterm OVPAA-F-INS-055A RAW SC'!BF68/'Midterm OVPAA-F-INS-055A RAW SC'!BF$17*100)</f>
        <v/>
      </c>
      <c r="BG68" s="126" t="str">
        <f>IF('Midterm OVPAA-F-INS-055A RAW SC'!BG68="","",'Midterm OVPAA-F-INS-055A RAW SC'!BG68/'Midterm OVPAA-F-INS-055A RAW SC'!BG$17*100)</f>
        <v/>
      </c>
      <c r="BH68" s="126" t="str">
        <f>IF('Midterm OVPAA-F-INS-055A RAW SC'!BH68="","",'Midterm OVPAA-F-INS-055A RAW SC'!BH68/'Midterm OVPAA-F-INS-055A RAW SC'!BH$17*100)</f>
        <v/>
      </c>
      <c r="BI68" s="126" t="str">
        <f>IF('Midterm OVPAA-F-INS-055A RAW SC'!BI68="","",'Midterm OVPAA-F-INS-055A RAW SC'!BI68/'Midterm OVPAA-F-INS-055A RAW SC'!BI$17*100)</f>
        <v/>
      </c>
      <c r="BJ68" s="126" t="str">
        <f>IF('Midterm OVPAA-F-INS-055A RAW SC'!BJ68="","",'Midterm OVPAA-F-INS-055A RAW SC'!BJ68/'Midterm OVPAA-F-INS-055A RAW SC'!BJ$17*100)</f>
        <v/>
      </c>
      <c r="BK68" s="126" t="str">
        <f>IF('Midterm OVPAA-F-INS-055A RAW SC'!BK68="","",'Midterm OVPAA-F-INS-055A RAW SC'!BK68/'Midterm OVPAA-F-INS-055A RAW SC'!BK$17*100)</f>
        <v/>
      </c>
      <c r="BL68" s="126" t="str">
        <f>IF('Midterm OVPAA-F-INS-055A RAW SC'!BL68="","",'Midterm OVPAA-F-INS-055A RAW SC'!BL68/'Midterm OVPAA-F-INS-055A RAW SC'!BL$17*100)</f>
        <v/>
      </c>
      <c r="BM68" s="126" t="str">
        <f>IF('Midterm OVPAA-F-INS-055A RAW SC'!BM68="","",'Midterm OVPAA-F-INS-055A RAW SC'!BM68/'Midterm OVPAA-F-INS-055A RAW SC'!BM$17*100)</f>
        <v/>
      </c>
      <c r="BN68" s="126" t="str">
        <f>IF('Midterm OVPAA-F-INS-055A RAW SC'!BN68="","",'Midterm OVPAA-F-INS-055A RAW SC'!BN68/'Midterm OVPAA-F-INS-055A RAW SC'!BN$17*100)</f>
        <v/>
      </c>
      <c r="BO68" s="126" t="str">
        <f>IF('Midterm OVPAA-F-INS-055A RAW SC'!BO68="","",'Midterm OVPAA-F-INS-055A RAW SC'!BO68/'Midterm OVPAA-F-INS-055A RAW SC'!BO$17*100)</f>
        <v/>
      </c>
      <c r="BP68" s="126" t="str">
        <f>IF('Midterm OVPAA-F-INS-055A RAW SC'!BP68="","",'Midterm OVPAA-F-INS-055A RAW SC'!BP68/'Midterm OVPAA-F-INS-055A RAW SC'!BP$17*100)</f>
        <v/>
      </c>
      <c r="BQ68" s="126" t="str">
        <f>IF('Midterm OVPAA-F-INS-055A RAW SC'!BQ68="","",'Midterm OVPAA-F-INS-055A RAW SC'!BQ68/'Midterm OVPAA-F-INS-055A RAW SC'!BQ$17*100)</f>
        <v/>
      </c>
      <c r="BR68" s="126" t="str">
        <f>IF('Midterm OVPAA-F-INS-055A RAW SC'!BR68="","",'Midterm OVPAA-F-INS-055A RAW SC'!BR68/'Midterm OVPAA-F-INS-055A RAW SC'!BR$17*100)</f>
        <v/>
      </c>
      <c r="BS68" s="126" t="str">
        <f>IF('Midterm OVPAA-F-INS-055A RAW SC'!BS68="","",'Midterm OVPAA-F-INS-055A RAW SC'!BS68/'Midterm OVPAA-F-INS-055A RAW SC'!BS$17*100)</f>
        <v/>
      </c>
      <c r="BT68" s="126" t="str">
        <f>IF('Midterm OVPAA-F-INS-055A RAW SC'!BT68="","",'Midterm OVPAA-F-INS-055A RAW SC'!BT68/'Midterm OVPAA-F-INS-055A RAW SC'!BT$17*100)</f>
        <v/>
      </c>
      <c r="BU68" s="127" t="str">
        <f t="array" ref="BU68">IF('Midterm OVPAA-F-INS-055A RAW SC'!$G68="","",IF((SUMPRODUCT(--ISBLANK('Midterm OVPAA-F-INS-055A RAW SC'!H68:BT68))=COLUMNS('Midterm OVPAA-F-INS-055A RAW SC'!H68:BT68))=TRUE,"",(((COUNTA('Midterm OVPAA-F-INS-055A RAW SC'!$H$17:$BT$17)+COUNTBLANK('Midterm OVPAA-F-INS-055A RAW SC'!H68:BT68))-COLUMNS('Midterm OVPAA-F-INS-055A RAW SC'!H68:BT68))*5+SUM(H68:BT68))/COUNTA('Midterm OVPAA-F-INS-055A RAW SC'!$H$17:$BT$17)))</f>
        <v/>
      </c>
      <c r="BV68" s="128" t="str">
        <f>IF(BU68="","",VLOOKUP(BU68,IF('Midterm OVPAA-F-INS-055A RAW SC'!$V$12=0.5,TRANSMUTATION!$C$4:$D$17,TRANSMUTATION!$G$4:$H$17),2,TRUE))</f>
        <v/>
      </c>
      <c r="BW68" s="129" t="str">
        <f>IF('Midterm OVPAA-F-INS-055A RAW SC'!BU68="","",'Midterm OVPAA-F-INS-055A RAW SC'!BU68/'Midterm OVPAA-F-INS-055A RAW SC'!BU$17*100)</f>
        <v/>
      </c>
      <c r="BX68" s="130" t="str">
        <f>IF('Midterm OVPAA-F-INS-055A RAW SC'!BV68="","",'Midterm OVPAA-F-INS-055A RAW SC'!BV68/'Midterm OVPAA-F-INS-055A RAW SC'!BV$17*100)</f>
        <v/>
      </c>
      <c r="BY68" s="130" t="str">
        <f>IF('Midterm OVPAA-F-INS-055A RAW SC'!BW68="","",'Midterm OVPAA-F-INS-055A RAW SC'!BW68/'Midterm OVPAA-F-INS-055A RAW SC'!BW$17*100)</f>
        <v/>
      </c>
      <c r="BZ68" s="130" t="str">
        <f>IF('Midterm OVPAA-F-INS-055A RAW SC'!BX68="","",'Midterm OVPAA-F-INS-055A RAW SC'!BX68/'Midterm OVPAA-F-INS-055A RAW SC'!BX$17*100)</f>
        <v/>
      </c>
      <c r="CA68" s="130" t="str">
        <f>IF('Midterm OVPAA-F-INS-055A RAW SC'!BY68="","",'Midterm OVPAA-F-INS-055A RAW SC'!BY68/'Midterm OVPAA-F-INS-055A RAW SC'!BY$17*100)</f>
        <v/>
      </c>
      <c r="CB68" s="130" t="str">
        <f>IF('Midterm OVPAA-F-INS-055A RAW SC'!BZ68="","",'Midterm OVPAA-F-INS-055A RAW SC'!BZ68/'Midterm OVPAA-F-INS-055A RAW SC'!BZ$17*100)</f>
        <v/>
      </c>
      <c r="CC68" s="130" t="str">
        <f>IF('Midterm OVPAA-F-INS-055A RAW SC'!CA68="","",'Midterm OVPAA-F-INS-055A RAW SC'!CA68/'Midterm OVPAA-F-INS-055A RAW SC'!CA$17*100)</f>
        <v/>
      </c>
      <c r="CD68" s="130" t="str">
        <f>IF('Midterm OVPAA-F-INS-055A RAW SC'!CB68="","",'Midterm OVPAA-F-INS-055A RAW SC'!CB68/'Midterm OVPAA-F-INS-055A RAW SC'!CB$17*100)</f>
        <v/>
      </c>
      <c r="CE68" s="130" t="str">
        <f>IF('Midterm OVPAA-F-INS-055A RAW SC'!CC68="","",'Midterm OVPAA-F-INS-055A RAW SC'!CC68/'Midterm OVPAA-F-INS-055A RAW SC'!CC$17*100)</f>
        <v/>
      </c>
      <c r="CF68" s="130" t="str">
        <f>IF('Midterm OVPAA-F-INS-055A RAW SC'!CD68="","",'Midterm OVPAA-F-INS-055A RAW SC'!CD68/'Midterm OVPAA-F-INS-055A RAW SC'!CD$17*100)</f>
        <v/>
      </c>
      <c r="CG68" s="130" t="str">
        <f>IF('Midterm OVPAA-F-INS-055A RAW SC'!CE68="","",'Midterm OVPAA-F-INS-055A RAW SC'!CE68/'Midterm OVPAA-F-INS-055A RAW SC'!CE$17*100)</f>
        <v/>
      </c>
      <c r="CH68" s="130" t="str">
        <f>IF('Midterm OVPAA-F-INS-055A RAW SC'!CF68="","",'Midterm OVPAA-F-INS-055A RAW SC'!CF68/'Midterm OVPAA-F-INS-055A RAW SC'!CF$17*100)</f>
        <v/>
      </c>
      <c r="CI68" s="130" t="str">
        <f>IF('Midterm OVPAA-F-INS-055A RAW SC'!CG68="","",'Midterm OVPAA-F-INS-055A RAW SC'!CG68/'Midterm OVPAA-F-INS-055A RAW SC'!CG$17*100)</f>
        <v/>
      </c>
      <c r="CJ68" s="130" t="str">
        <f>IF('Midterm OVPAA-F-INS-055A RAW SC'!CH68="","",'Midterm OVPAA-F-INS-055A RAW SC'!CH68/'Midterm OVPAA-F-INS-055A RAW SC'!CH$17*100)</f>
        <v/>
      </c>
      <c r="CK68" s="130" t="str">
        <f>IF('Midterm OVPAA-F-INS-055A RAW SC'!CI68="","",'Midterm OVPAA-F-INS-055A RAW SC'!CI68/'Midterm OVPAA-F-INS-055A RAW SC'!CI$17*100)</f>
        <v/>
      </c>
      <c r="CL68" s="130" t="str">
        <f>IF('Midterm OVPAA-F-INS-055A RAW SC'!CJ68="","",'Midterm OVPAA-F-INS-055A RAW SC'!CJ68/'Midterm OVPAA-F-INS-055A RAW SC'!CJ$17*100)</f>
        <v/>
      </c>
      <c r="CM68" s="130" t="str">
        <f>IF('Midterm OVPAA-F-INS-055A RAW SC'!CK68="","",'Midterm OVPAA-F-INS-055A RAW SC'!CK68/'Midterm OVPAA-F-INS-055A RAW SC'!CK$17*100)</f>
        <v/>
      </c>
      <c r="CN68" s="130" t="str">
        <f>IF('Midterm OVPAA-F-INS-055A RAW SC'!CL68="","",'Midterm OVPAA-F-INS-055A RAW SC'!CL68/'Midterm OVPAA-F-INS-055A RAW SC'!CL$17*100)</f>
        <v/>
      </c>
      <c r="CO68" s="130" t="str">
        <f>IF('Midterm OVPAA-F-INS-055A RAW SC'!CM68="","",'Midterm OVPAA-F-INS-055A RAW SC'!CM68/'Midterm OVPAA-F-INS-055A RAW SC'!CM$17*100)</f>
        <v/>
      </c>
      <c r="CP68" s="130" t="str">
        <f>IF('Midterm OVPAA-F-INS-055A RAW SC'!CN68="","",'Midterm OVPAA-F-INS-055A RAW SC'!CN68/'Midterm OVPAA-F-INS-055A RAW SC'!CN$17*100)</f>
        <v/>
      </c>
      <c r="CQ68" s="131" t="str">
        <f t="array" ref="CQ68">IF('Midterm OVPAA-F-INS-055A RAW SC'!G68="","",IF((SUMPRODUCT(--ISBLANK('Midterm OVPAA-F-INS-055A RAW SC'!BU68:CN68))=COLUMNS('Midterm OVPAA-F-INS-055A RAW SC'!BU68:CN68))=TRUE,"",(((COUNTA('Midterm OVPAA-F-INS-055A RAW SC'!$BU$17:$CN$17)+COUNTBLANK('Midterm OVPAA-F-INS-055A RAW SC'!BU68:CN68))-COLUMNS('Midterm OVPAA-F-INS-055A RAW SC'!BU68:CN68))*5+SUM(BW68:CP68))/COUNTA('Midterm OVPAA-F-INS-055A RAW SC'!$BU$17:$CN$17)))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IF('Midterm OVPAA-F-INS-055A RAW SC'!CO68="","",'Midterm OVPAA-F-INS-055A RAW SC'!CO68/'Midterm OVPAA-F-INS-055A RAW SC'!CO$17*100)</f>
        <v/>
      </c>
      <c r="CT68" s="133" t="str">
        <f>IF('Midterm OVPAA-F-INS-055A RAW SC'!CP68="","",'Midterm OVPAA-F-INS-055A RAW SC'!CP68/'Midterm OVPAA-F-INS-055A RAW SC'!CP$17*100)</f>
        <v/>
      </c>
      <c r="CU68" s="133" t="str">
        <f>IF('Midterm OVPAA-F-INS-055A RAW SC'!CQ68="","",'Midterm OVPAA-F-INS-055A RAW SC'!CQ68/'Midterm OVPAA-F-INS-055A RAW SC'!CQ$17*100)</f>
        <v/>
      </c>
      <c r="CV68" s="133" t="str">
        <f>IF('Midterm OVPAA-F-INS-055A RAW SC'!CR68="","",'Midterm OVPAA-F-INS-055A RAW SC'!CR68/'Midterm OVPAA-F-INS-055A RAW SC'!CR$17*100)</f>
        <v/>
      </c>
      <c r="CW68" s="133" t="str">
        <f>IF('Midterm OVPAA-F-INS-055A RAW SC'!CS68="","",'Midterm OVPAA-F-INS-055A RAW SC'!CS68/'Midterm OVPAA-F-INS-055A RAW SC'!CS$17*100)</f>
        <v/>
      </c>
      <c r="CX68" s="133" t="str">
        <f>IF('Midterm OVPAA-F-INS-055A RAW SC'!CT68="","",'Midterm OVPAA-F-INS-055A RAW SC'!CT68/'Midterm OVPAA-F-INS-055A RAW SC'!CT$17*100)</f>
        <v/>
      </c>
      <c r="CY68" s="133" t="str">
        <f>IF('Midterm OVPAA-F-INS-055A RAW SC'!CU68="","",'Midterm OVPAA-F-INS-055A RAW SC'!CU68/'Midterm OVPAA-F-INS-055A RAW SC'!CU$17*100)</f>
        <v/>
      </c>
      <c r="CZ68" s="133" t="str">
        <f>IF('Midterm OVPAA-F-INS-055A RAW SC'!CV68="","",'Midterm OVPAA-F-INS-055A RAW SC'!CV68/'Midterm OVPAA-F-INS-055A RAW SC'!CV$17*100)</f>
        <v/>
      </c>
      <c r="DA68" s="133" t="str">
        <f>IF('Midterm OVPAA-F-INS-055A RAW SC'!CW68="","",'Midterm OVPAA-F-INS-055A RAW SC'!CW68/'Midterm OVPAA-F-INS-055A RAW SC'!CW$17*100)</f>
        <v/>
      </c>
      <c r="DB68" s="133" t="str">
        <f>IF('Midterm OVPAA-F-INS-055A RAW SC'!CX68="","",'Midterm OVPAA-F-INS-055A RAW SC'!CX68/'Midterm OVPAA-F-INS-055A RAW SC'!CX$17*100)</f>
        <v/>
      </c>
      <c r="DC68" s="134" t="str">
        <f t="array" ref="DC68">IF('Midterm OVPAA-F-INS-055A RAW SC'!$G68="","",IF((SUMPRODUCT(--ISBLANK('Midterm OVPAA-F-INS-055A RAW SC'!CO68:CX68))=COLUMNS('Midterm OVPAA-F-INS-055A RAW SC'!CO68:CX68))=TRUE,"",(((COUNTA('Midterm OVPAA-F-INS-055A RAW SC'!$CO$17:$CX$17)+COUNTBLANK('Midterm OVPAA-F-INS-055A RAW SC'!CO68:CX68))-COLUMNS('Midterm OVPAA-F-INS-055A RAW SC'!CO68:CX68))*5+SUM(CS68:DB68))/COUNTA('Midterm OVPAA-F-INS-055A RAW SC'!$CO$17:$CX$17)))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37" t="str">
        <f t="shared" si="2"/>
        <v/>
      </c>
      <c r="DG68" s="138" t="str">
        <f t="shared" si="3"/>
        <v/>
      </c>
      <c r="DH68" s="136" t="str">
        <f t="shared" si="4"/>
        <v/>
      </c>
      <c r="DI68" s="123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IF('Midterm OVPAA-F-INS-055A RAW SC'!H69="","",'Midterm OVPAA-F-INS-055A RAW SC'!H69/'Midterm OVPAA-F-INS-055A RAW SC'!H$17*100)</f>
        <v/>
      </c>
      <c r="I69" s="126" t="str">
        <f>IF('Midterm OVPAA-F-INS-055A RAW SC'!I69="","",'Midterm OVPAA-F-INS-055A RAW SC'!I69/'Midterm OVPAA-F-INS-055A RAW SC'!I$17*100)</f>
        <v/>
      </c>
      <c r="J69" s="126" t="str">
        <f>IF('Midterm OVPAA-F-INS-055A RAW SC'!J69="","",'Midterm OVPAA-F-INS-055A RAW SC'!J69/'Midterm OVPAA-F-INS-055A RAW SC'!J$17*100)</f>
        <v/>
      </c>
      <c r="K69" s="126" t="str">
        <f>IF('Midterm OVPAA-F-INS-055A RAW SC'!K69="","",'Midterm OVPAA-F-INS-055A RAW SC'!K69/'Midterm OVPAA-F-INS-055A RAW SC'!K$17*100)</f>
        <v/>
      </c>
      <c r="L69" s="126" t="str">
        <f>IF('Midterm OVPAA-F-INS-055A RAW SC'!L69="","",'Midterm OVPAA-F-INS-055A RAW SC'!L69/'Midterm OVPAA-F-INS-055A RAW SC'!L$17*100)</f>
        <v/>
      </c>
      <c r="M69" s="126" t="str">
        <f>IF('Midterm OVPAA-F-INS-055A RAW SC'!M69="","",'Midterm OVPAA-F-INS-055A RAW SC'!M69/'Midterm OVPAA-F-INS-055A RAW SC'!M$17*100)</f>
        <v/>
      </c>
      <c r="N69" s="126" t="str">
        <f>IF('Midterm OVPAA-F-INS-055A RAW SC'!N69="","",'Midterm OVPAA-F-INS-055A RAW SC'!N69/'Midterm OVPAA-F-INS-055A RAW SC'!N$17*100)</f>
        <v/>
      </c>
      <c r="O69" s="126" t="str">
        <f>IF('Midterm OVPAA-F-INS-055A RAW SC'!O69="","",'Midterm OVPAA-F-INS-055A RAW SC'!O69/'Midterm OVPAA-F-INS-055A RAW SC'!O$17*100)</f>
        <v/>
      </c>
      <c r="P69" s="126" t="str">
        <f>IF('Midterm OVPAA-F-INS-055A RAW SC'!P69="","",'Midterm OVPAA-F-INS-055A RAW SC'!P69/'Midterm OVPAA-F-INS-055A RAW SC'!P$17*100)</f>
        <v/>
      </c>
      <c r="Q69" s="126" t="str">
        <f>IF('Midterm OVPAA-F-INS-055A RAW SC'!Q69="","",'Midterm OVPAA-F-INS-055A RAW SC'!Q69/'Midterm OVPAA-F-INS-055A RAW SC'!Q$17*100)</f>
        <v/>
      </c>
      <c r="R69" s="126" t="str">
        <f>IF('Midterm OVPAA-F-INS-055A RAW SC'!R69="","",'Midterm OVPAA-F-INS-055A RAW SC'!R69/'Midterm OVPAA-F-INS-055A RAW SC'!R$17*100)</f>
        <v/>
      </c>
      <c r="S69" s="126" t="str">
        <f>IF('Midterm OVPAA-F-INS-055A RAW SC'!S69="","",'Midterm OVPAA-F-INS-055A RAW SC'!S69/'Midterm OVPAA-F-INS-055A RAW SC'!S$17*100)</f>
        <v/>
      </c>
      <c r="T69" s="126" t="str">
        <f>IF('Midterm OVPAA-F-INS-055A RAW SC'!T69="","",'Midterm OVPAA-F-INS-055A RAW SC'!T69/'Midterm OVPAA-F-INS-055A RAW SC'!T$17*100)</f>
        <v/>
      </c>
      <c r="U69" s="126" t="str">
        <f>IF('Midterm OVPAA-F-INS-055A RAW SC'!U69="","",'Midterm OVPAA-F-INS-055A RAW SC'!U69/'Midterm OVPAA-F-INS-055A RAW SC'!U$17*100)</f>
        <v/>
      </c>
      <c r="V69" s="126" t="str">
        <f>IF('Midterm OVPAA-F-INS-055A RAW SC'!V69="","",'Midterm OVPAA-F-INS-055A RAW SC'!V69/'Midterm OVPAA-F-INS-055A RAW SC'!V$17*100)</f>
        <v/>
      </c>
      <c r="W69" s="126" t="str">
        <f>IF('Midterm OVPAA-F-INS-055A RAW SC'!W69="","",'Midterm OVPAA-F-INS-055A RAW SC'!W69/'Midterm OVPAA-F-INS-055A RAW SC'!W$17*100)</f>
        <v/>
      </c>
      <c r="X69" s="126" t="str">
        <f>IF('Midterm OVPAA-F-INS-055A RAW SC'!X69="","",'Midterm OVPAA-F-INS-055A RAW SC'!X69/'Midterm OVPAA-F-INS-055A RAW SC'!X$17*100)</f>
        <v/>
      </c>
      <c r="Y69" s="126" t="str">
        <f>IF('Midterm OVPAA-F-INS-055A RAW SC'!Y69="","",'Midterm OVPAA-F-INS-055A RAW SC'!Y69/'Midterm OVPAA-F-INS-055A RAW SC'!Y$17*100)</f>
        <v/>
      </c>
      <c r="Z69" s="126" t="str">
        <f>IF('Midterm OVPAA-F-INS-055A RAW SC'!Z69="","",'Midterm OVPAA-F-INS-055A RAW SC'!Z69/'Midterm OVPAA-F-INS-055A RAW SC'!Z$17*100)</f>
        <v/>
      </c>
      <c r="AA69" s="126" t="str">
        <f>IF('Midterm OVPAA-F-INS-055A RAW SC'!AA69="","",'Midterm OVPAA-F-INS-055A RAW SC'!AA69/'Midterm OVPAA-F-INS-055A RAW SC'!AA$17*100)</f>
        <v/>
      </c>
      <c r="AB69" s="126" t="str">
        <f>IF('Midterm OVPAA-F-INS-055A RAW SC'!AB69="","",'Midterm OVPAA-F-INS-055A RAW SC'!AB69/'Midterm OVPAA-F-INS-055A RAW SC'!AB$17*100)</f>
        <v/>
      </c>
      <c r="AC69" s="126" t="str">
        <f>IF('Midterm OVPAA-F-INS-055A RAW SC'!AC69="","",'Midterm OVPAA-F-INS-055A RAW SC'!AC69/'Midterm OVPAA-F-INS-055A RAW SC'!AC$17*100)</f>
        <v/>
      </c>
      <c r="AD69" s="126" t="str">
        <f>IF('Midterm OVPAA-F-INS-055A RAW SC'!AD69="","",'Midterm OVPAA-F-INS-055A RAW SC'!AD69/'Midterm OVPAA-F-INS-055A RAW SC'!AD$17*100)</f>
        <v/>
      </c>
      <c r="AE69" s="126" t="str">
        <f>IF('Midterm OVPAA-F-INS-055A RAW SC'!AE69="","",'Midterm OVPAA-F-INS-055A RAW SC'!AE69/'Midterm OVPAA-F-INS-055A RAW SC'!AE$17*100)</f>
        <v/>
      </c>
      <c r="AF69" s="126" t="str">
        <f>IF('Midterm OVPAA-F-INS-055A RAW SC'!AF69="","",'Midterm OVPAA-F-INS-055A RAW SC'!AF69/'Midterm OVPAA-F-INS-055A RAW SC'!AF$17*100)</f>
        <v/>
      </c>
      <c r="AG69" s="126" t="str">
        <f>IF('Midterm OVPAA-F-INS-055A RAW SC'!AG69="","",'Midterm OVPAA-F-INS-055A RAW SC'!AG69/'Midterm OVPAA-F-INS-055A RAW SC'!AG$17*100)</f>
        <v/>
      </c>
      <c r="AH69" s="126" t="str">
        <f>IF('Midterm OVPAA-F-INS-055A RAW SC'!AH69="","",'Midterm OVPAA-F-INS-055A RAW SC'!AH69/'Midterm OVPAA-F-INS-055A RAW SC'!AH$17*100)</f>
        <v/>
      </c>
      <c r="AI69" s="126" t="str">
        <f>IF('Midterm OVPAA-F-INS-055A RAW SC'!AI69="","",'Midterm OVPAA-F-INS-055A RAW SC'!AI69/'Midterm OVPAA-F-INS-055A RAW SC'!AI$17*100)</f>
        <v/>
      </c>
      <c r="AJ69" s="126" t="str">
        <f>IF('Midterm OVPAA-F-INS-055A RAW SC'!AJ69="","",'Midterm OVPAA-F-INS-055A RAW SC'!AJ69/'Midterm OVPAA-F-INS-055A RAW SC'!AJ$17*100)</f>
        <v/>
      </c>
      <c r="AK69" s="126" t="str">
        <f>IF('Midterm OVPAA-F-INS-055A RAW SC'!AK69="","",'Midterm OVPAA-F-INS-055A RAW SC'!AK69/'Midterm OVPAA-F-INS-055A RAW SC'!AK$17*100)</f>
        <v/>
      </c>
      <c r="AL69" s="126" t="str">
        <f>IF('Midterm OVPAA-F-INS-055A RAW SC'!AL69="","",'Midterm OVPAA-F-INS-055A RAW SC'!AL69/'Midterm OVPAA-F-INS-055A RAW SC'!AL$17*100)</f>
        <v/>
      </c>
      <c r="AM69" s="126" t="str">
        <f>IF('Midterm OVPAA-F-INS-055A RAW SC'!AM69="","",'Midterm OVPAA-F-INS-055A RAW SC'!AM69/'Midterm OVPAA-F-INS-055A RAW SC'!AM$17*100)</f>
        <v/>
      </c>
      <c r="AN69" s="126" t="str">
        <f>IF('Midterm OVPAA-F-INS-055A RAW SC'!AN69="","",'Midterm OVPAA-F-INS-055A RAW SC'!AN69/'Midterm OVPAA-F-INS-055A RAW SC'!AN$17*100)</f>
        <v/>
      </c>
      <c r="AO69" s="126" t="str">
        <f>IF('Midterm OVPAA-F-INS-055A RAW SC'!AO69="","",'Midterm OVPAA-F-INS-055A RAW SC'!AO69/'Midterm OVPAA-F-INS-055A RAW SC'!AO$17*100)</f>
        <v/>
      </c>
      <c r="AP69" s="126" t="str">
        <f>IF('Midterm OVPAA-F-INS-055A RAW SC'!AP69="","",'Midterm OVPAA-F-INS-055A RAW SC'!AP69/'Midterm OVPAA-F-INS-055A RAW SC'!AP$17*100)</f>
        <v/>
      </c>
      <c r="AQ69" s="126" t="str">
        <f>IF('Midterm OVPAA-F-INS-055A RAW SC'!AQ69="","",'Midterm OVPAA-F-INS-055A RAW SC'!AQ69/'Midterm OVPAA-F-INS-055A RAW SC'!AQ$17*100)</f>
        <v/>
      </c>
      <c r="AR69" s="126" t="str">
        <f>IF('Midterm OVPAA-F-INS-055A RAW SC'!AR69="","",'Midterm OVPAA-F-INS-055A RAW SC'!AR69/'Midterm OVPAA-F-INS-055A RAW SC'!AR$17*100)</f>
        <v/>
      </c>
      <c r="AS69" s="126" t="str">
        <f>IF('Midterm OVPAA-F-INS-055A RAW SC'!AS69="","",'Midterm OVPAA-F-INS-055A RAW SC'!AS69/'Midterm OVPAA-F-INS-055A RAW SC'!AS$17*100)</f>
        <v/>
      </c>
      <c r="AT69" s="126" t="str">
        <f>IF('Midterm OVPAA-F-INS-055A RAW SC'!AT69="","",'Midterm OVPAA-F-INS-055A RAW SC'!AT69/'Midterm OVPAA-F-INS-055A RAW SC'!AT$17*100)</f>
        <v/>
      </c>
      <c r="AU69" s="126" t="str">
        <f>IF('Midterm OVPAA-F-INS-055A RAW SC'!AU69="","",'Midterm OVPAA-F-INS-055A RAW SC'!AU69/'Midterm OVPAA-F-INS-055A RAW SC'!AU$17*100)</f>
        <v/>
      </c>
      <c r="AV69" s="126" t="str">
        <f>IF('Midterm OVPAA-F-INS-055A RAW SC'!AV69="","",'Midterm OVPAA-F-INS-055A RAW SC'!AV69/'Midterm OVPAA-F-INS-055A RAW SC'!AV$17*100)</f>
        <v/>
      </c>
      <c r="AW69" s="126" t="str">
        <f>IF('Midterm OVPAA-F-INS-055A RAW SC'!AW69="","",'Midterm OVPAA-F-INS-055A RAW SC'!AW69/'Midterm OVPAA-F-INS-055A RAW SC'!AW$17*100)</f>
        <v/>
      </c>
      <c r="AX69" s="126" t="str">
        <f>IF('Midterm OVPAA-F-INS-055A RAW SC'!AX69="","",'Midterm OVPAA-F-INS-055A RAW SC'!AX69/'Midterm OVPAA-F-INS-055A RAW SC'!AX$17*100)</f>
        <v/>
      </c>
      <c r="AY69" s="126" t="str">
        <f>IF('Midterm OVPAA-F-INS-055A RAW SC'!AY69="","",'Midterm OVPAA-F-INS-055A RAW SC'!AY69/'Midterm OVPAA-F-INS-055A RAW SC'!AY$17*100)</f>
        <v/>
      </c>
      <c r="AZ69" s="126" t="str">
        <f>IF('Midterm OVPAA-F-INS-055A RAW SC'!AZ69="","",'Midterm OVPAA-F-INS-055A RAW SC'!AZ69/'Midterm OVPAA-F-INS-055A RAW SC'!AZ$17*100)</f>
        <v/>
      </c>
      <c r="BA69" s="126" t="str">
        <f>IF('Midterm OVPAA-F-INS-055A RAW SC'!BA69="","",'Midterm OVPAA-F-INS-055A RAW SC'!BA69/'Midterm OVPAA-F-INS-055A RAW SC'!BA$17*100)</f>
        <v/>
      </c>
      <c r="BB69" s="126" t="str">
        <f>IF('Midterm OVPAA-F-INS-055A RAW SC'!BB69="","",'Midterm OVPAA-F-INS-055A RAW SC'!BB69/'Midterm OVPAA-F-INS-055A RAW SC'!BB$17*100)</f>
        <v/>
      </c>
      <c r="BC69" s="126" t="str">
        <f>IF('Midterm OVPAA-F-INS-055A RAW SC'!BC69="","",'Midterm OVPAA-F-INS-055A RAW SC'!BC69/'Midterm OVPAA-F-INS-055A RAW SC'!BC$17*100)</f>
        <v/>
      </c>
      <c r="BD69" s="126" t="str">
        <f>IF('Midterm OVPAA-F-INS-055A RAW SC'!BD69="","",'Midterm OVPAA-F-INS-055A RAW SC'!BD69/'Midterm OVPAA-F-INS-055A RAW SC'!BD$17*100)</f>
        <v/>
      </c>
      <c r="BE69" s="126" t="str">
        <f>IF('Midterm OVPAA-F-INS-055A RAW SC'!BE69="","",'Midterm OVPAA-F-INS-055A RAW SC'!BE69/'Midterm OVPAA-F-INS-055A RAW SC'!BE$17*100)</f>
        <v/>
      </c>
      <c r="BF69" s="126" t="str">
        <f>IF('Midterm OVPAA-F-INS-055A RAW SC'!BF69="","",'Midterm OVPAA-F-INS-055A RAW SC'!BF69/'Midterm OVPAA-F-INS-055A RAW SC'!BF$17*100)</f>
        <v/>
      </c>
      <c r="BG69" s="126" t="str">
        <f>IF('Midterm OVPAA-F-INS-055A RAW SC'!BG69="","",'Midterm OVPAA-F-INS-055A RAW SC'!BG69/'Midterm OVPAA-F-INS-055A RAW SC'!BG$17*100)</f>
        <v/>
      </c>
      <c r="BH69" s="126" t="str">
        <f>IF('Midterm OVPAA-F-INS-055A RAW SC'!BH69="","",'Midterm OVPAA-F-INS-055A RAW SC'!BH69/'Midterm OVPAA-F-INS-055A RAW SC'!BH$17*100)</f>
        <v/>
      </c>
      <c r="BI69" s="126" t="str">
        <f>IF('Midterm OVPAA-F-INS-055A RAW SC'!BI69="","",'Midterm OVPAA-F-INS-055A RAW SC'!BI69/'Midterm OVPAA-F-INS-055A RAW SC'!BI$17*100)</f>
        <v/>
      </c>
      <c r="BJ69" s="126" t="str">
        <f>IF('Midterm OVPAA-F-INS-055A RAW SC'!BJ69="","",'Midterm OVPAA-F-INS-055A RAW SC'!BJ69/'Midterm OVPAA-F-INS-055A RAW SC'!BJ$17*100)</f>
        <v/>
      </c>
      <c r="BK69" s="126" t="str">
        <f>IF('Midterm OVPAA-F-INS-055A RAW SC'!BK69="","",'Midterm OVPAA-F-INS-055A RAW SC'!BK69/'Midterm OVPAA-F-INS-055A RAW SC'!BK$17*100)</f>
        <v/>
      </c>
      <c r="BL69" s="126" t="str">
        <f>IF('Midterm OVPAA-F-INS-055A RAW SC'!BL69="","",'Midterm OVPAA-F-INS-055A RAW SC'!BL69/'Midterm OVPAA-F-INS-055A RAW SC'!BL$17*100)</f>
        <v/>
      </c>
      <c r="BM69" s="126" t="str">
        <f>IF('Midterm OVPAA-F-INS-055A RAW SC'!BM69="","",'Midterm OVPAA-F-INS-055A RAW SC'!BM69/'Midterm OVPAA-F-INS-055A RAW SC'!BM$17*100)</f>
        <v/>
      </c>
      <c r="BN69" s="126" t="str">
        <f>IF('Midterm OVPAA-F-INS-055A RAW SC'!BN69="","",'Midterm OVPAA-F-INS-055A RAW SC'!BN69/'Midterm OVPAA-F-INS-055A RAW SC'!BN$17*100)</f>
        <v/>
      </c>
      <c r="BO69" s="126" t="str">
        <f>IF('Midterm OVPAA-F-INS-055A RAW SC'!BO69="","",'Midterm OVPAA-F-INS-055A RAW SC'!BO69/'Midterm OVPAA-F-INS-055A RAW SC'!BO$17*100)</f>
        <v/>
      </c>
      <c r="BP69" s="126" t="str">
        <f>IF('Midterm OVPAA-F-INS-055A RAW SC'!BP69="","",'Midterm OVPAA-F-INS-055A RAW SC'!BP69/'Midterm OVPAA-F-INS-055A RAW SC'!BP$17*100)</f>
        <v/>
      </c>
      <c r="BQ69" s="126" t="str">
        <f>IF('Midterm OVPAA-F-INS-055A RAW SC'!BQ69="","",'Midterm OVPAA-F-INS-055A RAW SC'!BQ69/'Midterm OVPAA-F-INS-055A RAW SC'!BQ$17*100)</f>
        <v/>
      </c>
      <c r="BR69" s="126" t="str">
        <f>IF('Midterm OVPAA-F-INS-055A RAW SC'!BR69="","",'Midterm OVPAA-F-INS-055A RAW SC'!BR69/'Midterm OVPAA-F-INS-055A RAW SC'!BR$17*100)</f>
        <v/>
      </c>
      <c r="BS69" s="126" t="str">
        <f>IF('Midterm OVPAA-F-INS-055A RAW SC'!BS69="","",'Midterm OVPAA-F-INS-055A RAW SC'!BS69/'Midterm OVPAA-F-INS-055A RAW SC'!BS$17*100)</f>
        <v/>
      </c>
      <c r="BT69" s="126" t="str">
        <f>IF('Midterm OVPAA-F-INS-055A RAW SC'!BT69="","",'Midterm OVPAA-F-INS-055A RAW SC'!BT69/'Midterm OVPAA-F-INS-055A RAW SC'!BT$17*100)</f>
        <v/>
      </c>
      <c r="BU69" s="127" t="str">
        <f t="array" ref="BU69">IF('Midterm OVPAA-F-INS-055A RAW SC'!$G69="","",IF((SUMPRODUCT(--ISBLANK('Midterm OVPAA-F-INS-055A RAW SC'!H69:BT69))=COLUMNS('Midterm OVPAA-F-INS-055A RAW SC'!H69:BT69))=TRUE,"",(((COUNTA('Midterm OVPAA-F-INS-055A RAW SC'!$H$17:$BT$17)+COUNTBLANK('Midterm OVPAA-F-INS-055A RAW SC'!H69:BT69))-COLUMNS('Midterm OVPAA-F-INS-055A RAW SC'!H69:BT69))*5+SUM(H69:BT69))/COUNTA('Midterm OVPAA-F-INS-055A RAW SC'!$H$17:$BT$17)))</f>
        <v/>
      </c>
      <c r="BV69" s="128" t="str">
        <f>IF(BU69="","",VLOOKUP(BU69,IF('Midterm OVPAA-F-INS-055A RAW SC'!$V$12=0.5,TRANSMUTATION!$C$4:$D$17,TRANSMUTATION!$G$4:$H$17),2,TRUE))</f>
        <v/>
      </c>
      <c r="BW69" s="129" t="str">
        <f>IF('Midterm OVPAA-F-INS-055A RAW SC'!BU69="","",'Midterm OVPAA-F-INS-055A RAW SC'!BU69/'Midterm OVPAA-F-INS-055A RAW SC'!BU$17*100)</f>
        <v/>
      </c>
      <c r="BX69" s="130" t="str">
        <f>IF('Midterm OVPAA-F-INS-055A RAW SC'!BV69="","",'Midterm OVPAA-F-INS-055A RAW SC'!BV69/'Midterm OVPAA-F-INS-055A RAW SC'!BV$17*100)</f>
        <v/>
      </c>
      <c r="BY69" s="130" t="str">
        <f>IF('Midterm OVPAA-F-INS-055A RAW SC'!BW69="","",'Midterm OVPAA-F-INS-055A RAW SC'!BW69/'Midterm OVPAA-F-INS-055A RAW SC'!BW$17*100)</f>
        <v/>
      </c>
      <c r="BZ69" s="130" t="str">
        <f>IF('Midterm OVPAA-F-INS-055A RAW SC'!BX69="","",'Midterm OVPAA-F-INS-055A RAW SC'!BX69/'Midterm OVPAA-F-INS-055A RAW SC'!BX$17*100)</f>
        <v/>
      </c>
      <c r="CA69" s="130" t="str">
        <f>IF('Midterm OVPAA-F-INS-055A RAW SC'!BY69="","",'Midterm OVPAA-F-INS-055A RAW SC'!BY69/'Midterm OVPAA-F-INS-055A RAW SC'!BY$17*100)</f>
        <v/>
      </c>
      <c r="CB69" s="130" t="str">
        <f>IF('Midterm OVPAA-F-INS-055A RAW SC'!BZ69="","",'Midterm OVPAA-F-INS-055A RAW SC'!BZ69/'Midterm OVPAA-F-INS-055A RAW SC'!BZ$17*100)</f>
        <v/>
      </c>
      <c r="CC69" s="130" t="str">
        <f>IF('Midterm OVPAA-F-INS-055A RAW SC'!CA69="","",'Midterm OVPAA-F-INS-055A RAW SC'!CA69/'Midterm OVPAA-F-INS-055A RAW SC'!CA$17*100)</f>
        <v/>
      </c>
      <c r="CD69" s="130" t="str">
        <f>IF('Midterm OVPAA-F-INS-055A RAW SC'!CB69="","",'Midterm OVPAA-F-INS-055A RAW SC'!CB69/'Midterm OVPAA-F-INS-055A RAW SC'!CB$17*100)</f>
        <v/>
      </c>
      <c r="CE69" s="130" t="str">
        <f>IF('Midterm OVPAA-F-INS-055A RAW SC'!CC69="","",'Midterm OVPAA-F-INS-055A RAW SC'!CC69/'Midterm OVPAA-F-INS-055A RAW SC'!CC$17*100)</f>
        <v/>
      </c>
      <c r="CF69" s="130" t="str">
        <f>IF('Midterm OVPAA-F-INS-055A RAW SC'!CD69="","",'Midterm OVPAA-F-INS-055A RAW SC'!CD69/'Midterm OVPAA-F-INS-055A RAW SC'!CD$17*100)</f>
        <v/>
      </c>
      <c r="CG69" s="130" t="str">
        <f>IF('Midterm OVPAA-F-INS-055A RAW SC'!CE69="","",'Midterm OVPAA-F-INS-055A RAW SC'!CE69/'Midterm OVPAA-F-INS-055A RAW SC'!CE$17*100)</f>
        <v/>
      </c>
      <c r="CH69" s="130" t="str">
        <f>IF('Midterm OVPAA-F-INS-055A RAW SC'!CF69="","",'Midterm OVPAA-F-INS-055A RAW SC'!CF69/'Midterm OVPAA-F-INS-055A RAW SC'!CF$17*100)</f>
        <v/>
      </c>
      <c r="CI69" s="130" t="str">
        <f>IF('Midterm OVPAA-F-INS-055A RAW SC'!CG69="","",'Midterm OVPAA-F-INS-055A RAW SC'!CG69/'Midterm OVPAA-F-INS-055A RAW SC'!CG$17*100)</f>
        <v/>
      </c>
      <c r="CJ69" s="130" t="str">
        <f>IF('Midterm OVPAA-F-INS-055A RAW SC'!CH69="","",'Midterm OVPAA-F-INS-055A RAW SC'!CH69/'Midterm OVPAA-F-INS-055A RAW SC'!CH$17*100)</f>
        <v/>
      </c>
      <c r="CK69" s="130" t="str">
        <f>IF('Midterm OVPAA-F-INS-055A RAW SC'!CI69="","",'Midterm OVPAA-F-INS-055A RAW SC'!CI69/'Midterm OVPAA-F-INS-055A RAW SC'!CI$17*100)</f>
        <v/>
      </c>
      <c r="CL69" s="130" t="str">
        <f>IF('Midterm OVPAA-F-INS-055A RAW SC'!CJ69="","",'Midterm OVPAA-F-INS-055A RAW SC'!CJ69/'Midterm OVPAA-F-INS-055A RAW SC'!CJ$17*100)</f>
        <v/>
      </c>
      <c r="CM69" s="130" t="str">
        <f>IF('Midterm OVPAA-F-INS-055A RAW SC'!CK69="","",'Midterm OVPAA-F-INS-055A RAW SC'!CK69/'Midterm OVPAA-F-INS-055A RAW SC'!CK$17*100)</f>
        <v/>
      </c>
      <c r="CN69" s="130" t="str">
        <f>IF('Midterm OVPAA-F-INS-055A RAW SC'!CL69="","",'Midterm OVPAA-F-INS-055A RAW SC'!CL69/'Midterm OVPAA-F-INS-055A RAW SC'!CL$17*100)</f>
        <v/>
      </c>
      <c r="CO69" s="130" t="str">
        <f>IF('Midterm OVPAA-F-INS-055A RAW SC'!CM69="","",'Midterm OVPAA-F-INS-055A RAW SC'!CM69/'Midterm OVPAA-F-INS-055A RAW SC'!CM$17*100)</f>
        <v/>
      </c>
      <c r="CP69" s="130" t="str">
        <f>IF('Midterm OVPAA-F-INS-055A RAW SC'!CN69="","",'Midterm OVPAA-F-INS-055A RAW SC'!CN69/'Midterm OVPAA-F-INS-055A RAW SC'!CN$17*100)</f>
        <v/>
      </c>
      <c r="CQ69" s="131" t="str">
        <f t="array" ref="CQ69">IF('Midterm OVPAA-F-INS-055A RAW SC'!G69="","",IF((SUMPRODUCT(--ISBLANK('Midterm OVPAA-F-INS-055A RAW SC'!BU69:CN69))=COLUMNS('Midterm OVPAA-F-INS-055A RAW SC'!BU69:CN69))=TRUE,"",(((COUNTA('Midterm OVPAA-F-INS-055A RAW SC'!$BU$17:$CN$17)+COUNTBLANK('Midterm OVPAA-F-INS-055A RAW SC'!BU69:CN69))-COLUMNS('Midterm OVPAA-F-INS-055A RAW SC'!BU69:CN69))*5+SUM(BW69:CP69))/COUNTA('Midterm OVPAA-F-INS-055A RAW SC'!$BU$17:$CN$17)))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IF('Midterm OVPAA-F-INS-055A RAW SC'!CO69="","",'Midterm OVPAA-F-INS-055A RAW SC'!CO69/'Midterm OVPAA-F-INS-055A RAW SC'!CO$17*100)</f>
        <v/>
      </c>
      <c r="CT69" s="133" t="str">
        <f>IF('Midterm OVPAA-F-INS-055A RAW SC'!CP69="","",'Midterm OVPAA-F-INS-055A RAW SC'!CP69/'Midterm OVPAA-F-INS-055A RAW SC'!CP$17*100)</f>
        <v/>
      </c>
      <c r="CU69" s="133" t="str">
        <f>IF('Midterm OVPAA-F-INS-055A RAW SC'!CQ69="","",'Midterm OVPAA-F-INS-055A RAW SC'!CQ69/'Midterm OVPAA-F-INS-055A RAW SC'!CQ$17*100)</f>
        <v/>
      </c>
      <c r="CV69" s="133" t="str">
        <f>IF('Midterm OVPAA-F-INS-055A RAW SC'!CR69="","",'Midterm OVPAA-F-INS-055A RAW SC'!CR69/'Midterm OVPAA-F-INS-055A RAW SC'!CR$17*100)</f>
        <v/>
      </c>
      <c r="CW69" s="133" t="str">
        <f>IF('Midterm OVPAA-F-INS-055A RAW SC'!CS69="","",'Midterm OVPAA-F-INS-055A RAW SC'!CS69/'Midterm OVPAA-F-INS-055A RAW SC'!CS$17*100)</f>
        <v/>
      </c>
      <c r="CX69" s="133" t="str">
        <f>IF('Midterm OVPAA-F-INS-055A RAW SC'!CT69="","",'Midterm OVPAA-F-INS-055A RAW SC'!CT69/'Midterm OVPAA-F-INS-055A RAW SC'!CT$17*100)</f>
        <v/>
      </c>
      <c r="CY69" s="133" t="str">
        <f>IF('Midterm OVPAA-F-INS-055A RAW SC'!CU69="","",'Midterm OVPAA-F-INS-055A RAW SC'!CU69/'Midterm OVPAA-F-INS-055A RAW SC'!CU$17*100)</f>
        <v/>
      </c>
      <c r="CZ69" s="133" t="str">
        <f>IF('Midterm OVPAA-F-INS-055A RAW SC'!CV69="","",'Midterm OVPAA-F-INS-055A RAW SC'!CV69/'Midterm OVPAA-F-INS-055A RAW SC'!CV$17*100)</f>
        <v/>
      </c>
      <c r="DA69" s="133" t="str">
        <f>IF('Midterm OVPAA-F-INS-055A RAW SC'!CW69="","",'Midterm OVPAA-F-INS-055A RAW SC'!CW69/'Midterm OVPAA-F-INS-055A RAW SC'!CW$17*100)</f>
        <v/>
      </c>
      <c r="DB69" s="133" t="str">
        <f>IF('Midterm OVPAA-F-INS-055A RAW SC'!CX69="","",'Midterm OVPAA-F-INS-055A RAW SC'!CX69/'Midterm OVPAA-F-INS-055A RAW SC'!CX$17*100)</f>
        <v/>
      </c>
      <c r="DC69" s="134" t="str">
        <f t="array" ref="DC69">IF('Midterm OVPAA-F-INS-055A RAW SC'!$G69="","",IF((SUMPRODUCT(--ISBLANK('Midterm OVPAA-F-INS-055A RAW SC'!CO69:CX69))=COLUMNS('Midterm OVPAA-F-INS-055A RAW SC'!CO69:CX69))=TRUE,"",(((COUNTA('Midterm OVPAA-F-INS-055A RAW SC'!$CO$17:$CX$17)+COUNTBLANK('Midterm OVPAA-F-INS-055A RAW SC'!CO69:CX69))-COLUMNS('Midterm OVPAA-F-INS-055A RAW SC'!CO69:CX69))*5+SUM(CS69:DB69))/COUNTA('Midterm OVPAA-F-INS-055A RAW SC'!$CO$17:$CX$17)))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37" t="str">
        <f t="shared" si="2"/>
        <v/>
      </c>
      <c r="DG69" s="138" t="str">
        <f t="shared" si="3"/>
        <v/>
      </c>
      <c r="DH69" s="136" t="str">
        <f t="shared" si="4"/>
        <v/>
      </c>
      <c r="DI69" s="123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IF('Midterm OVPAA-F-INS-055A RAW SC'!H70="","",'Midterm OVPAA-F-INS-055A RAW SC'!H70/'Midterm OVPAA-F-INS-055A RAW SC'!H$17*100)</f>
        <v/>
      </c>
      <c r="I70" s="126" t="str">
        <f>IF('Midterm OVPAA-F-INS-055A RAW SC'!I70="","",'Midterm OVPAA-F-INS-055A RAW SC'!I70/'Midterm OVPAA-F-INS-055A RAW SC'!I$17*100)</f>
        <v/>
      </c>
      <c r="J70" s="126" t="str">
        <f>IF('Midterm OVPAA-F-INS-055A RAW SC'!J70="","",'Midterm OVPAA-F-INS-055A RAW SC'!J70/'Midterm OVPAA-F-INS-055A RAW SC'!J$17*100)</f>
        <v/>
      </c>
      <c r="K70" s="126" t="str">
        <f>IF('Midterm OVPAA-F-INS-055A RAW SC'!K70="","",'Midterm OVPAA-F-INS-055A RAW SC'!K70/'Midterm OVPAA-F-INS-055A RAW SC'!K$17*100)</f>
        <v/>
      </c>
      <c r="L70" s="126" t="str">
        <f>IF('Midterm OVPAA-F-INS-055A RAW SC'!L70="","",'Midterm OVPAA-F-INS-055A RAW SC'!L70/'Midterm OVPAA-F-INS-055A RAW SC'!L$17*100)</f>
        <v/>
      </c>
      <c r="M70" s="126" t="str">
        <f>IF('Midterm OVPAA-F-INS-055A RAW SC'!M70="","",'Midterm OVPAA-F-INS-055A RAW SC'!M70/'Midterm OVPAA-F-INS-055A RAW SC'!M$17*100)</f>
        <v/>
      </c>
      <c r="N70" s="126" t="str">
        <f>IF('Midterm OVPAA-F-INS-055A RAW SC'!N70="","",'Midterm OVPAA-F-INS-055A RAW SC'!N70/'Midterm OVPAA-F-INS-055A RAW SC'!N$17*100)</f>
        <v/>
      </c>
      <c r="O70" s="126" t="str">
        <f>IF('Midterm OVPAA-F-INS-055A RAW SC'!O70="","",'Midterm OVPAA-F-INS-055A RAW SC'!O70/'Midterm OVPAA-F-INS-055A RAW SC'!O$17*100)</f>
        <v/>
      </c>
      <c r="P70" s="126" t="str">
        <f>IF('Midterm OVPAA-F-INS-055A RAW SC'!P70="","",'Midterm OVPAA-F-INS-055A RAW SC'!P70/'Midterm OVPAA-F-INS-055A RAW SC'!P$17*100)</f>
        <v/>
      </c>
      <c r="Q70" s="126" t="str">
        <f>IF('Midterm OVPAA-F-INS-055A RAW SC'!Q70="","",'Midterm OVPAA-F-INS-055A RAW SC'!Q70/'Midterm OVPAA-F-INS-055A RAW SC'!Q$17*100)</f>
        <v/>
      </c>
      <c r="R70" s="126" t="str">
        <f>IF('Midterm OVPAA-F-INS-055A RAW SC'!R70="","",'Midterm OVPAA-F-INS-055A RAW SC'!R70/'Midterm OVPAA-F-INS-055A RAW SC'!R$17*100)</f>
        <v/>
      </c>
      <c r="S70" s="126" t="str">
        <f>IF('Midterm OVPAA-F-INS-055A RAW SC'!S70="","",'Midterm OVPAA-F-INS-055A RAW SC'!S70/'Midterm OVPAA-F-INS-055A RAW SC'!S$17*100)</f>
        <v/>
      </c>
      <c r="T70" s="126" t="str">
        <f>IF('Midterm OVPAA-F-INS-055A RAW SC'!T70="","",'Midterm OVPAA-F-INS-055A RAW SC'!T70/'Midterm OVPAA-F-INS-055A RAW SC'!T$17*100)</f>
        <v/>
      </c>
      <c r="U70" s="126" t="str">
        <f>IF('Midterm OVPAA-F-INS-055A RAW SC'!U70="","",'Midterm OVPAA-F-INS-055A RAW SC'!U70/'Midterm OVPAA-F-INS-055A RAW SC'!U$17*100)</f>
        <v/>
      </c>
      <c r="V70" s="126" t="str">
        <f>IF('Midterm OVPAA-F-INS-055A RAW SC'!V70="","",'Midterm OVPAA-F-INS-055A RAW SC'!V70/'Midterm OVPAA-F-INS-055A RAW SC'!V$17*100)</f>
        <v/>
      </c>
      <c r="W70" s="126" t="str">
        <f>IF('Midterm OVPAA-F-INS-055A RAW SC'!W70="","",'Midterm OVPAA-F-INS-055A RAW SC'!W70/'Midterm OVPAA-F-INS-055A RAW SC'!W$17*100)</f>
        <v/>
      </c>
      <c r="X70" s="126" t="str">
        <f>IF('Midterm OVPAA-F-INS-055A RAW SC'!X70="","",'Midterm OVPAA-F-INS-055A RAW SC'!X70/'Midterm OVPAA-F-INS-055A RAW SC'!X$17*100)</f>
        <v/>
      </c>
      <c r="Y70" s="126" t="str">
        <f>IF('Midterm OVPAA-F-INS-055A RAW SC'!Y70="","",'Midterm OVPAA-F-INS-055A RAW SC'!Y70/'Midterm OVPAA-F-INS-055A RAW SC'!Y$17*100)</f>
        <v/>
      </c>
      <c r="Z70" s="126" t="str">
        <f>IF('Midterm OVPAA-F-INS-055A RAW SC'!Z70="","",'Midterm OVPAA-F-INS-055A RAW SC'!Z70/'Midterm OVPAA-F-INS-055A RAW SC'!Z$17*100)</f>
        <v/>
      </c>
      <c r="AA70" s="126" t="str">
        <f>IF('Midterm OVPAA-F-INS-055A RAW SC'!AA70="","",'Midterm OVPAA-F-INS-055A RAW SC'!AA70/'Midterm OVPAA-F-INS-055A RAW SC'!AA$17*100)</f>
        <v/>
      </c>
      <c r="AB70" s="126" t="str">
        <f>IF('Midterm OVPAA-F-INS-055A RAW SC'!AB70="","",'Midterm OVPAA-F-INS-055A RAW SC'!AB70/'Midterm OVPAA-F-INS-055A RAW SC'!AB$17*100)</f>
        <v/>
      </c>
      <c r="AC70" s="126" t="str">
        <f>IF('Midterm OVPAA-F-INS-055A RAW SC'!AC70="","",'Midterm OVPAA-F-INS-055A RAW SC'!AC70/'Midterm OVPAA-F-INS-055A RAW SC'!AC$17*100)</f>
        <v/>
      </c>
      <c r="AD70" s="126" t="str">
        <f>IF('Midterm OVPAA-F-INS-055A RAW SC'!AD70="","",'Midterm OVPAA-F-INS-055A RAW SC'!AD70/'Midterm OVPAA-F-INS-055A RAW SC'!AD$17*100)</f>
        <v/>
      </c>
      <c r="AE70" s="126" t="str">
        <f>IF('Midterm OVPAA-F-INS-055A RAW SC'!AE70="","",'Midterm OVPAA-F-INS-055A RAW SC'!AE70/'Midterm OVPAA-F-INS-055A RAW SC'!AE$17*100)</f>
        <v/>
      </c>
      <c r="AF70" s="126" t="str">
        <f>IF('Midterm OVPAA-F-INS-055A RAW SC'!AF70="","",'Midterm OVPAA-F-INS-055A RAW SC'!AF70/'Midterm OVPAA-F-INS-055A RAW SC'!AF$17*100)</f>
        <v/>
      </c>
      <c r="AG70" s="126" t="str">
        <f>IF('Midterm OVPAA-F-INS-055A RAW SC'!AG70="","",'Midterm OVPAA-F-INS-055A RAW SC'!AG70/'Midterm OVPAA-F-INS-055A RAW SC'!AG$17*100)</f>
        <v/>
      </c>
      <c r="AH70" s="126" t="str">
        <f>IF('Midterm OVPAA-F-INS-055A RAW SC'!AH70="","",'Midterm OVPAA-F-INS-055A RAW SC'!AH70/'Midterm OVPAA-F-INS-055A RAW SC'!AH$17*100)</f>
        <v/>
      </c>
      <c r="AI70" s="126" t="str">
        <f>IF('Midterm OVPAA-F-INS-055A RAW SC'!AI70="","",'Midterm OVPAA-F-INS-055A RAW SC'!AI70/'Midterm OVPAA-F-INS-055A RAW SC'!AI$17*100)</f>
        <v/>
      </c>
      <c r="AJ70" s="126" t="str">
        <f>IF('Midterm OVPAA-F-INS-055A RAW SC'!AJ70="","",'Midterm OVPAA-F-INS-055A RAW SC'!AJ70/'Midterm OVPAA-F-INS-055A RAW SC'!AJ$17*100)</f>
        <v/>
      </c>
      <c r="AK70" s="126" t="str">
        <f>IF('Midterm OVPAA-F-INS-055A RAW SC'!AK70="","",'Midterm OVPAA-F-INS-055A RAW SC'!AK70/'Midterm OVPAA-F-INS-055A RAW SC'!AK$17*100)</f>
        <v/>
      </c>
      <c r="AL70" s="126" t="str">
        <f>IF('Midterm OVPAA-F-INS-055A RAW SC'!AL70="","",'Midterm OVPAA-F-INS-055A RAW SC'!AL70/'Midterm OVPAA-F-INS-055A RAW SC'!AL$17*100)</f>
        <v/>
      </c>
      <c r="AM70" s="126" t="str">
        <f>IF('Midterm OVPAA-F-INS-055A RAW SC'!AM70="","",'Midterm OVPAA-F-INS-055A RAW SC'!AM70/'Midterm OVPAA-F-INS-055A RAW SC'!AM$17*100)</f>
        <v/>
      </c>
      <c r="AN70" s="126" t="str">
        <f>IF('Midterm OVPAA-F-INS-055A RAW SC'!AN70="","",'Midterm OVPAA-F-INS-055A RAW SC'!AN70/'Midterm OVPAA-F-INS-055A RAW SC'!AN$17*100)</f>
        <v/>
      </c>
      <c r="AO70" s="126" t="str">
        <f>IF('Midterm OVPAA-F-INS-055A RAW SC'!AO70="","",'Midterm OVPAA-F-INS-055A RAW SC'!AO70/'Midterm OVPAA-F-INS-055A RAW SC'!AO$17*100)</f>
        <v/>
      </c>
      <c r="AP70" s="126" t="str">
        <f>IF('Midterm OVPAA-F-INS-055A RAW SC'!AP70="","",'Midterm OVPAA-F-INS-055A RAW SC'!AP70/'Midterm OVPAA-F-INS-055A RAW SC'!AP$17*100)</f>
        <v/>
      </c>
      <c r="AQ70" s="126" t="str">
        <f>IF('Midterm OVPAA-F-INS-055A RAW SC'!AQ70="","",'Midterm OVPAA-F-INS-055A RAW SC'!AQ70/'Midterm OVPAA-F-INS-055A RAW SC'!AQ$17*100)</f>
        <v/>
      </c>
      <c r="AR70" s="126" t="str">
        <f>IF('Midterm OVPAA-F-INS-055A RAW SC'!AR70="","",'Midterm OVPAA-F-INS-055A RAW SC'!AR70/'Midterm OVPAA-F-INS-055A RAW SC'!AR$17*100)</f>
        <v/>
      </c>
      <c r="AS70" s="126" t="str">
        <f>IF('Midterm OVPAA-F-INS-055A RAW SC'!AS70="","",'Midterm OVPAA-F-INS-055A RAW SC'!AS70/'Midterm OVPAA-F-INS-055A RAW SC'!AS$17*100)</f>
        <v/>
      </c>
      <c r="AT70" s="126" t="str">
        <f>IF('Midterm OVPAA-F-INS-055A RAW SC'!AT70="","",'Midterm OVPAA-F-INS-055A RAW SC'!AT70/'Midterm OVPAA-F-INS-055A RAW SC'!AT$17*100)</f>
        <v/>
      </c>
      <c r="AU70" s="126" t="str">
        <f>IF('Midterm OVPAA-F-INS-055A RAW SC'!AU70="","",'Midterm OVPAA-F-INS-055A RAW SC'!AU70/'Midterm OVPAA-F-INS-055A RAW SC'!AU$17*100)</f>
        <v/>
      </c>
      <c r="AV70" s="126" t="str">
        <f>IF('Midterm OVPAA-F-INS-055A RAW SC'!AV70="","",'Midterm OVPAA-F-INS-055A RAW SC'!AV70/'Midterm OVPAA-F-INS-055A RAW SC'!AV$17*100)</f>
        <v/>
      </c>
      <c r="AW70" s="126" t="str">
        <f>IF('Midterm OVPAA-F-INS-055A RAW SC'!AW70="","",'Midterm OVPAA-F-INS-055A RAW SC'!AW70/'Midterm OVPAA-F-INS-055A RAW SC'!AW$17*100)</f>
        <v/>
      </c>
      <c r="AX70" s="126" t="str">
        <f>IF('Midterm OVPAA-F-INS-055A RAW SC'!AX70="","",'Midterm OVPAA-F-INS-055A RAW SC'!AX70/'Midterm OVPAA-F-INS-055A RAW SC'!AX$17*100)</f>
        <v/>
      </c>
      <c r="AY70" s="126" t="str">
        <f>IF('Midterm OVPAA-F-INS-055A RAW SC'!AY70="","",'Midterm OVPAA-F-INS-055A RAW SC'!AY70/'Midterm OVPAA-F-INS-055A RAW SC'!AY$17*100)</f>
        <v/>
      </c>
      <c r="AZ70" s="126" t="str">
        <f>IF('Midterm OVPAA-F-INS-055A RAW SC'!AZ70="","",'Midterm OVPAA-F-INS-055A RAW SC'!AZ70/'Midterm OVPAA-F-INS-055A RAW SC'!AZ$17*100)</f>
        <v/>
      </c>
      <c r="BA70" s="126" t="str">
        <f>IF('Midterm OVPAA-F-INS-055A RAW SC'!BA70="","",'Midterm OVPAA-F-INS-055A RAW SC'!BA70/'Midterm OVPAA-F-INS-055A RAW SC'!BA$17*100)</f>
        <v/>
      </c>
      <c r="BB70" s="126" t="str">
        <f>IF('Midterm OVPAA-F-INS-055A RAW SC'!BB70="","",'Midterm OVPAA-F-INS-055A RAW SC'!BB70/'Midterm OVPAA-F-INS-055A RAW SC'!BB$17*100)</f>
        <v/>
      </c>
      <c r="BC70" s="126" t="str">
        <f>IF('Midterm OVPAA-F-INS-055A RAW SC'!BC70="","",'Midterm OVPAA-F-INS-055A RAW SC'!BC70/'Midterm OVPAA-F-INS-055A RAW SC'!BC$17*100)</f>
        <v/>
      </c>
      <c r="BD70" s="126" t="str">
        <f>IF('Midterm OVPAA-F-INS-055A RAW SC'!BD70="","",'Midterm OVPAA-F-INS-055A RAW SC'!BD70/'Midterm OVPAA-F-INS-055A RAW SC'!BD$17*100)</f>
        <v/>
      </c>
      <c r="BE70" s="126" t="str">
        <f>IF('Midterm OVPAA-F-INS-055A RAW SC'!BE70="","",'Midterm OVPAA-F-INS-055A RAW SC'!BE70/'Midterm OVPAA-F-INS-055A RAW SC'!BE$17*100)</f>
        <v/>
      </c>
      <c r="BF70" s="126" t="str">
        <f>IF('Midterm OVPAA-F-INS-055A RAW SC'!BF70="","",'Midterm OVPAA-F-INS-055A RAW SC'!BF70/'Midterm OVPAA-F-INS-055A RAW SC'!BF$17*100)</f>
        <v/>
      </c>
      <c r="BG70" s="126" t="str">
        <f>IF('Midterm OVPAA-F-INS-055A RAW SC'!BG70="","",'Midterm OVPAA-F-INS-055A RAW SC'!BG70/'Midterm OVPAA-F-INS-055A RAW SC'!BG$17*100)</f>
        <v/>
      </c>
      <c r="BH70" s="126" t="str">
        <f>IF('Midterm OVPAA-F-INS-055A RAW SC'!BH70="","",'Midterm OVPAA-F-INS-055A RAW SC'!BH70/'Midterm OVPAA-F-INS-055A RAW SC'!BH$17*100)</f>
        <v/>
      </c>
      <c r="BI70" s="126" t="str">
        <f>IF('Midterm OVPAA-F-INS-055A RAW SC'!BI70="","",'Midterm OVPAA-F-INS-055A RAW SC'!BI70/'Midterm OVPAA-F-INS-055A RAW SC'!BI$17*100)</f>
        <v/>
      </c>
      <c r="BJ70" s="126" t="str">
        <f>IF('Midterm OVPAA-F-INS-055A RAW SC'!BJ70="","",'Midterm OVPAA-F-INS-055A RAW SC'!BJ70/'Midterm OVPAA-F-INS-055A RAW SC'!BJ$17*100)</f>
        <v/>
      </c>
      <c r="BK70" s="126" t="str">
        <f>IF('Midterm OVPAA-F-INS-055A RAW SC'!BK70="","",'Midterm OVPAA-F-INS-055A RAW SC'!BK70/'Midterm OVPAA-F-INS-055A RAW SC'!BK$17*100)</f>
        <v/>
      </c>
      <c r="BL70" s="126" t="str">
        <f>IF('Midterm OVPAA-F-INS-055A RAW SC'!BL70="","",'Midterm OVPAA-F-INS-055A RAW SC'!BL70/'Midterm OVPAA-F-INS-055A RAW SC'!BL$17*100)</f>
        <v/>
      </c>
      <c r="BM70" s="126" t="str">
        <f>IF('Midterm OVPAA-F-INS-055A RAW SC'!BM70="","",'Midterm OVPAA-F-INS-055A RAW SC'!BM70/'Midterm OVPAA-F-INS-055A RAW SC'!BM$17*100)</f>
        <v/>
      </c>
      <c r="BN70" s="126" t="str">
        <f>IF('Midterm OVPAA-F-INS-055A RAW SC'!BN70="","",'Midterm OVPAA-F-INS-055A RAW SC'!BN70/'Midterm OVPAA-F-INS-055A RAW SC'!BN$17*100)</f>
        <v/>
      </c>
      <c r="BO70" s="126" t="str">
        <f>IF('Midterm OVPAA-F-INS-055A RAW SC'!BO70="","",'Midterm OVPAA-F-INS-055A RAW SC'!BO70/'Midterm OVPAA-F-INS-055A RAW SC'!BO$17*100)</f>
        <v/>
      </c>
      <c r="BP70" s="126" t="str">
        <f>IF('Midterm OVPAA-F-INS-055A RAW SC'!BP70="","",'Midterm OVPAA-F-INS-055A RAW SC'!BP70/'Midterm OVPAA-F-INS-055A RAW SC'!BP$17*100)</f>
        <v/>
      </c>
      <c r="BQ70" s="126" t="str">
        <f>IF('Midterm OVPAA-F-INS-055A RAW SC'!BQ70="","",'Midterm OVPAA-F-INS-055A RAW SC'!BQ70/'Midterm OVPAA-F-INS-055A RAW SC'!BQ$17*100)</f>
        <v/>
      </c>
      <c r="BR70" s="126" t="str">
        <f>IF('Midterm OVPAA-F-INS-055A RAW SC'!BR70="","",'Midterm OVPAA-F-INS-055A RAW SC'!BR70/'Midterm OVPAA-F-INS-055A RAW SC'!BR$17*100)</f>
        <v/>
      </c>
      <c r="BS70" s="126" t="str">
        <f>IF('Midterm OVPAA-F-INS-055A RAW SC'!BS70="","",'Midterm OVPAA-F-INS-055A RAW SC'!BS70/'Midterm OVPAA-F-INS-055A RAW SC'!BS$17*100)</f>
        <v/>
      </c>
      <c r="BT70" s="126" t="str">
        <f>IF('Midterm OVPAA-F-INS-055A RAW SC'!BT70="","",'Midterm OVPAA-F-INS-055A RAW SC'!BT70/'Midterm OVPAA-F-INS-055A RAW SC'!BT$17*100)</f>
        <v/>
      </c>
      <c r="BU70" s="127" t="str">
        <f t="array" ref="BU70">IF('Midterm OVPAA-F-INS-055A RAW SC'!$G70="","",IF((SUMPRODUCT(--ISBLANK('Midterm OVPAA-F-INS-055A RAW SC'!H70:BT70))=COLUMNS('Midterm OVPAA-F-INS-055A RAW SC'!H70:BT70))=TRUE,"",(((COUNTA('Midterm OVPAA-F-INS-055A RAW SC'!$H$17:$BT$17)+COUNTBLANK('Midterm OVPAA-F-INS-055A RAW SC'!H70:BT70))-COLUMNS('Midterm OVPAA-F-INS-055A RAW SC'!H70:BT70))*5+SUM(H70:BT70))/COUNTA('Midterm OVPAA-F-INS-055A RAW SC'!$H$17:$BT$17)))</f>
        <v/>
      </c>
      <c r="BV70" s="128" t="str">
        <f>IF(BU70="","",VLOOKUP(BU70,IF('Midterm OVPAA-F-INS-055A RAW SC'!$V$12=0.5,TRANSMUTATION!$C$4:$D$17,TRANSMUTATION!$G$4:$H$17),2,TRUE))</f>
        <v/>
      </c>
      <c r="BW70" s="129" t="str">
        <f>IF('Midterm OVPAA-F-INS-055A RAW SC'!BU70="","",'Midterm OVPAA-F-INS-055A RAW SC'!BU70/'Midterm OVPAA-F-INS-055A RAW SC'!BU$17*100)</f>
        <v/>
      </c>
      <c r="BX70" s="130" t="str">
        <f>IF('Midterm OVPAA-F-INS-055A RAW SC'!BV70="","",'Midterm OVPAA-F-INS-055A RAW SC'!BV70/'Midterm OVPAA-F-INS-055A RAW SC'!BV$17*100)</f>
        <v/>
      </c>
      <c r="BY70" s="130" t="str">
        <f>IF('Midterm OVPAA-F-INS-055A RAW SC'!BW70="","",'Midterm OVPAA-F-INS-055A RAW SC'!BW70/'Midterm OVPAA-F-INS-055A RAW SC'!BW$17*100)</f>
        <v/>
      </c>
      <c r="BZ70" s="130" t="str">
        <f>IF('Midterm OVPAA-F-INS-055A RAW SC'!BX70="","",'Midterm OVPAA-F-INS-055A RAW SC'!BX70/'Midterm OVPAA-F-INS-055A RAW SC'!BX$17*100)</f>
        <v/>
      </c>
      <c r="CA70" s="130" t="str">
        <f>IF('Midterm OVPAA-F-INS-055A RAW SC'!BY70="","",'Midterm OVPAA-F-INS-055A RAW SC'!BY70/'Midterm OVPAA-F-INS-055A RAW SC'!BY$17*100)</f>
        <v/>
      </c>
      <c r="CB70" s="130" t="str">
        <f>IF('Midterm OVPAA-F-INS-055A RAW SC'!BZ70="","",'Midterm OVPAA-F-INS-055A RAW SC'!BZ70/'Midterm OVPAA-F-INS-055A RAW SC'!BZ$17*100)</f>
        <v/>
      </c>
      <c r="CC70" s="130" t="str">
        <f>IF('Midterm OVPAA-F-INS-055A RAW SC'!CA70="","",'Midterm OVPAA-F-INS-055A RAW SC'!CA70/'Midterm OVPAA-F-INS-055A RAW SC'!CA$17*100)</f>
        <v/>
      </c>
      <c r="CD70" s="130" t="str">
        <f>IF('Midterm OVPAA-F-INS-055A RAW SC'!CB70="","",'Midterm OVPAA-F-INS-055A RAW SC'!CB70/'Midterm OVPAA-F-INS-055A RAW SC'!CB$17*100)</f>
        <v/>
      </c>
      <c r="CE70" s="130" t="str">
        <f>IF('Midterm OVPAA-F-INS-055A RAW SC'!CC70="","",'Midterm OVPAA-F-INS-055A RAW SC'!CC70/'Midterm OVPAA-F-INS-055A RAW SC'!CC$17*100)</f>
        <v/>
      </c>
      <c r="CF70" s="130" t="str">
        <f>IF('Midterm OVPAA-F-INS-055A RAW SC'!CD70="","",'Midterm OVPAA-F-INS-055A RAW SC'!CD70/'Midterm OVPAA-F-INS-055A RAW SC'!CD$17*100)</f>
        <v/>
      </c>
      <c r="CG70" s="130" t="str">
        <f>IF('Midterm OVPAA-F-INS-055A RAW SC'!CE70="","",'Midterm OVPAA-F-INS-055A RAW SC'!CE70/'Midterm OVPAA-F-INS-055A RAW SC'!CE$17*100)</f>
        <v/>
      </c>
      <c r="CH70" s="130" t="str">
        <f>IF('Midterm OVPAA-F-INS-055A RAW SC'!CF70="","",'Midterm OVPAA-F-INS-055A RAW SC'!CF70/'Midterm OVPAA-F-INS-055A RAW SC'!CF$17*100)</f>
        <v/>
      </c>
      <c r="CI70" s="130" t="str">
        <f>IF('Midterm OVPAA-F-INS-055A RAW SC'!CG70="","",'Midterm OVPAA-F-INS-055A RAW SC'!CG70/'Midterm OVPAA-F-INS-055A RAW SC'!CG$17*100)</f>
        <v/>
      </c>
      <c r="CJ70" s="130" t="str">
        <f>IF('Midterm OVPAA-F-INS-055A RAW SC'!CH70="","",'Midterm OVPAA-F-INS-055A RAW SC'!CH70/'Midterm OVPAA-F-INS-055A RAW SC'!CH$17*100)</f>
        <v/>
      </c>
      <c r="CK70" s="130" t="str">
        <f>IF('Midterm OVPAA-F-INS-055A RAW SC'!CI70="","",'Midterm OVPAA-F-INS-055A RAW SC'!CI70/'Midterm OVPAA-F-INS-055A RAW SC'!CI$17*100)</f>
        <v/>
      </c>
      <c r="CL70" s="130" t="str">
        <f>IF('Midterm OVPAA-F-INS-055A RAW SC'!CJ70="","",'Midterm OVPAA-F-INS-055A RAW SC'!CJ70/'Midterm OVPAA-F-INS-055A RAW SC'!CJ$17*100)</f>
        <v/>
      </c>
      <c r="CM70" s="130" t="str">
        <f>IF('Midterm OVPAA-F-INS-055A RAW SC'!CK70="","",'Midterm OVPAA-F-INS-055A RAW SC'!CK70/'Midterm OVPAA-F-INS-055A RAW SC'!CK$17*100)</f>
        <v/>
      </c>
      <c r="CN70" s="130" t="str">
        <f>IF('Midterm OVPAA-F-INS-055A RAW SC'!CL70="","",'Midterm OVPAA-F-INS-055A RAW SC'!CL70/'Midterm OVPAA-F-INS-055A RAW SC'!CL$17*100)</f>
        <v/>
      </c>
      <c r="CO70" s="130" t="str">
        <f>IF('Midterm OVPAA-F-INS-055A RAW SC'!CM70="","",'Midterm OVPAA-F-INS-055A RAW SC'!CM70/'Midterm OVPAA-F-INS-055A RAW SC'!CM$17*100)</f>
        <v/>
      </c>
      <c r="CP70" s="130" t="str">
        <f>IF('Midterm OVPAA-F-INS-055A RAW SC'!CN70="","",'Midterm OVPAA-F-INS-055A RAW SC'!CN70/'Midterm OVPAA-F-INS-055A RAW SC'!CN$17*100)</f>
        <v/>
      </c>
      <c r="CQ70" s="131" t="str">
        <f t="array" ref="CQ70">IF('Midterm OVPAA-F-INS-055A RAW SC'!G70="","",IF((SUMPRODUCT(--ISBLANK('Midterm OVPAA-F-INS-055A RAW SC'!BU70:CN70))=COLUMNS('Midterm OVPAA-F-INS-055A RAW SC'!BU70:CN70))=TRUE,"",(((COUNTA('Midterm OVPAA-F-INS-055A RAW SC'!$BU$17:$CN$17)+COUNTBLANK('Midterm OVPAA-F-INS-055A RAW SC'!BU70:CN70))-COLUMNS('Midterm OVPAA-F-INS-055A RAW SC'!BU70:CN70))*5+SUM(BW70:CP70))/COUNTA('Midterm OVPAA-F-INS-055A RAW SC'!$BU$17:$CN$17)))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IF('Midterm OVPAA-F-INS-055A RAW SC'!CO70="","",'Midterm OVPAA-F-INS-055A RAW SC'!CO70/'Midterm OVPAA-F-INS-055A RAW SC'!CO$17*100)</f>
        <v/>
      </c>
      <c r="CT70" s="133" t="str">
        <f>IF('Midterm OVPAA-F-INS-055A RAW SC'!CP70="","",'Midterm OVPAA-F-INS-055A RAW SC'!CP70/'Midterm OVPAA-F-INS-055A RAW SC'!CP$17*100)</f>
        <v/>
      </c>
      <c r="CU70" s="133" t="str">
        <f>IF('Midterm OVPAA-F-INS-055A RAW SC'!CQ70="","",'Midterm OVPAA-F-INS-055A RAW SC'!CQ70/'Midterm OVPAA-F-INS-055A RAW SC'!CQ$17*100)</f>
        <v/>
      </c>
      <c r="CV70" s="133" t="str">
        <f>IF('Midterm OVPAA-F-INS-055A RAW SC'!CR70="","",'Midterm OVPAA-F-INS-055A RAW SC'!CR70/'Midterm OVPAA-F-INS-055A RAW SC'!CR$17*100)</f>
        <v/>
      </c>
      <c r="CW70" s="133" t="str">
        <f>IF('Midterm OVPAA-F-INS-055A RAW SC'!CS70="","",'Midterm OVPAA-F-INS-055A RAW SC'!CS70/'Midterm OVPAA-F-INS-055A RAW SC'!CS$17*100)</f>
        <v/>
      </c>
      <c r="CX70" s="133" t="str">
        <f>IF('Midterm OVPAA-F-INS-055A RAW SC'!CT70="","",'Midterm OVPAA-F-INS-055A RAW SC'!CT70/'Midterm OVPAA-F-INS-055A RAW SC'!CT$17*100)</f>
        <v/>
      </c>
      <c r="CY70" s="133" t="str">
        <f>IF('Midterm OVPAA-F-INS-055A RAW SC'!CU70="","",'Midterm OVPAA-F-INS-055A RAW SC'!CU70/'Midterm OVPAA-F-INS-055A RAW SC'!CU$17*100)</f>
        <v/>
      </c>
      <c r="CZ70" s="133" t="str">
        <f>IF('Midterm OVPAA-F-INS-055A RAW SC'!CV70="","",'Midterm OVPAA-F-INS-055A RAW SC'!CV70/'Midterm OVPAA-F-INS-055A RAW SC'!CV$17*100)</f>
        <v/>
      </c>
      <c r="DA70" s="133" t="str">
        <f>IF('Midterm OVPAA-F-INS-055A RAW SC'!CW70="","",'Midterm OVPAA-F-INS-055A RAW SC'!CW70/'Midterm OVPAA-F-INS-055A RAW SC'!CW$17*100)</f>
        <v/>
      </c>
      <c r="DB70" s="133" t="str">
        <f>IF('Midterm OVPAA-F-INS-055A RAW SC'!CX70="","",'Midterm OVPAA-F-INS-055A RAW SC'!CX70/'Midterm OVPAA-F-INS-055A RAW SC'!CX$17*100)</f>
        <v/>
      </c>
      <c r="DC70" s="134" t="str">
        <f t="array" ref="DC70">IF('Midterm OVPAA-F-INS-055A RAW SC'!$G70="","",IF((SUMPRODUCT(--ISBLANK('Midterm OVPAA-F-INS-055A RAW SC'!CO70:CX70))=COLUMNS('Midterm OVPAA-F-INS-055A RAW SC'!CO70:CX70))=TRUE,"",(((COUNTA('Midterm OVPAA-F-INS-055A RAW SC'!$CO$17:$CX$17)+COUNTBLANK('Midterm OVPAA-F-INS-055A RAW SC'!CO70:CX70))-COLUMNS('Midterm OVPAA-F-INS-055A RAW SC'!CO70:CX70))*5+SUM(CS70:DB70))/COUNTA('Midterm OVPAA-F-INS-055A RAW SC'!$CO$17:$CX$17)))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37" t="str">
        <f t="shared" si="2"/>
        <v/>
      </c>
      <c r="DG70" s="138" t="str">
        <f t="shared" si="3"/>
        <v/>
      </c>
      <c r="DH70" s="136" t="str">
        <f t="shared" si="4"/>
        <v/>
      </c>
      <c r="DI70" s="123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IF('Midterm OVPAA-F-INS-055A RAW SC'!H71="","",'Midterm OVPAA-F-INS-055A RAW SC'!H71/'Midterm OVPAA-F-INS-055A RAW SC'!H$17*100)</f>
        <v/>
      </c>
      <c r="I71" s="126" t="str">
        <f>IF('Midterm OVPAA-F-INS-055A RAW SC'!I71="","",'Midterm OVPAA-F-INS-055A RAW SC'!I71/'Midterm OVPAA-F-INS-055A RAW SC'!I$17*100)</f>
        <v/>
      </c>
      <c r="J71" s="126" t="str">
        <f>IF('Midterm OVPAA-F-INS-055A RAW SC'!J71="","",'Midterm OVPAA-F-INS-055A RAW SC'!J71/'Midterm OVPAA-F-INS-055A RAW SC'!J$17*100)</f>
        <v/>
      </c>
      <c r="K71" s="126" t="str">
        <f>IF('Midterm OVPAA-F-INS-055A RAW SC'!K71="","",'Midterm OVPAA-F-INS-055A RAW SC'!K71/'Midterm OVPAA-F-INS-055A RAW SC'!K$17*100)</f>
        <v/>
      </c>
      <c r="L71" s="126" t="str">
        <f>IF('Midterm OVPAA-F-INS-055A RAW SC'!L71="","",'Midterm OVPAA-F-INS-055A RAW SC'!L71/'Midterm OVPAA-F-INS-055A RAW SC'!L$17*100)</f>
        <v/>
      </c>
      <c r="M71" s="126" t="str">
        <f>IF('Midterm OVPAA-F-INS-055A RAW SC'!M71="","",'Midterm OVPAA-F-INS-055A RAW SC'!M71/'Midterm OVPAA-F-INS-055A RAW SC'!M$17*100)</f>
        <v/>
      </c>
      <c r="N71" s="126" t="str">
        <f>IF('Midterm OVPAA-F-INS-055A RAW SC'!N71="","",'Midterm OVPAA-F-INS-055A RAW SC'!N71/'Midterm OVPAA-F-INS-055A RAW SC'!N$17*100)</f>
        <v/>
      </c>
      <c r="O71" s="126" t="str">
        <f>IF('Midterm OVPAA-F-INS-055A RAW SC'!O71="","",'Midterm OVPAA-F-INS-055A RAW SC'!O71/'Midterm OVPAA-F-INS-055A RAW SC'!O$17*100)</f>
        <v/>
      </c>
      <c r="P71" s="126" t="str">
        <f>IF('Midterm OVPAA-F-INS-055A RAW SC'!P71="","",'Midterm OVPAA-F-INS-055A RAW SC'!P71/'Midterm OVPAA-F-INS-055A RAW SC'!P$17*100)</f>
        <v/>
      </c>
      <c r="Q71" s="126" t="str">
        <f>IF('Midterm OVPAA-F-INS-055A RAW SC'!Q71="","",'Midterm OVPAA-F-INS-055A RAW SC'!Q71/'Midterm OVPAA-F-INS-055A RAW SC'!Q$17*100)</f>
        <v/>
      </c>
      <c r="R71" s="126" t="str">
        <f>IF('Midterm OVPAA-F-INS-055A RAW SC'!R71="","",'Midterm OVPAA-F-INS-055A RAW SC'!R71/'Midterm OVPAA-F-INS-055A RAW SC'!R$17*100)</f>
        <v/>
      </c>
      <c r="S71" s="126" t="str">
        <f>IF('Midterm OVPAA-F-INS-055A RAW SC'!S71="","",'Midterm OVPAA-F-INS-055A RAW SC'!S71/'Midterm OVPAA-F-INS-055A RAW SC'!S$17*100)</f>
        <v/>
      </c>
      <c r="T71" s="126" t="str">
        <f>IF('Midterm OVPAA-F-INS-055A RAW SC'!T71="","",'Midterm OVPAA-F-INS-055A RAW SC'!T71/'Midterm OVPAA-F-INS-055A RAW SC'!T$17*100)</f>
        <v/>
      </c>
      <c r="U71" s="126" t="str">
        <f>IF('Midterm OVPAA-F-INS-055A RAW SC'!U71="","",'Midterm OVPAA-F-INS-055A RAW SC'!U71/'Midterm OVPAA-F-INS-055A RAW SC'!U$17*100)</f>
        <v/>
      </c>
      <c r="V71" s="126" t="str">
        <f>IF('Midterm OVPAA-F-INS-055A RAW SC'!V71="","",'Midterm OVPAA-F-INS-055A RAW SC'!V71/'Midterm OVPAA-F-INS-055A RAW SC'!V$17*100)</f>
        <v/>
      </c>
      <c r="W71" s="126" t="str">
        <f>IF('Midterm OVPAA-F-INS-055A RAW SC'!W71="","",'Midterm OVPAA-F-INS-055A RAW SC'!W71/'Midterm OVPAA-F-INS-055A RAW SC'!W$17*100)</f>
        <v/>
      </c>
      <c r="X71" s="126" t="str">
        <f>IF('Midterm OVPAA-F-INS-055A RAW SC'!X71="","",'Midterm OVPAA-F-INS-055A RAW SC'!X71/'Midterm OVPAA-F-INS-055A RAW SC'!X$17*100)</f>
        <v/>
      </c>
      <c r="Y71" s="126" t="str">
        <f>IF('Midterm OVPAA-F-INS-055A RAW SC'!Y71="","",'Midterm OVPAA-F-INS-055A RAW SC'!Y71/'Midterm OVPAA-F-INS-055A RAW SC'!Y$17*100)</f>
        <v/>
      </c>
      <c r="Z71" s="126" t="str">
        <f>IF('Midterm OVPAA-F-INS-055A RAW SC'!Z71="","",'Midterm OVPAA-F-INS-055A RAW SC'!Z71/'Midterm OVPAA-F-INS-055A RAW SC'!Z$17*100)</f>
        <v/>
      </c>
      <c r="AA71" s="126" t="str">
        <f>IF('Midterm OVPAA-F-INS-055A RAW SC'!AA71="","",'Midterm OVPAA-F-INS-055A RAW SC'!AA71/'Midterm OVPAA-F-INS-055A RAW SC'!AA$17*100)</f>
        <v/>
      </c>
      <c r="AB71" s="126" t="str">
        <f>IF('Midterm OVPAA-F-INS-055A RAW SC'!AB71="","",'Midterm OVPAA-F-INS-055A RAW SC'!AB71/'Midterm OVPAA-F-INS-055A RAW SC'!AB$17*100)</f>
        <v/>
      </c>
      <c r="AC71" s="126" t="str">
        <f>IF('Midterm OVPAA-F-INS-055A RAW SC'!AC71="","",'Midterm OVPAA-F-INS-055A RAW SC'!AC71/'Midterm OVPAA-F-INS-055A RAW SC'!AC$17*100)</f>
        <v/>
      </c>
      <c r="AD71" s="126" t="str">
        <f>IF('Midterm OVPAA-F-INS-055A RAW SC'!AD71="","",'Midterm OVPAA-F-INS-055A RAW SC'!AD71/'Midterm OVPAA-F-INS-055A RAW SC'!AD$17*100)</f>
        <v/>
      </c>
      <c r="AE71" s="126" t="str">
        <f>IF('Midterm OVPAA-F-INS-055A RAW SC'!AE71="","",'Midterm OVPAA-F-INS-055A RAW SC'!AE71/'Midterm OVPAA-F-INS-055A RAW SC'!AE$17*100)</f>
        <v/>
      </c>
      <c r="AF71" s="126" t="str">
        <f>IF('Midterm OVPAA-F-INS-055A RAW SC'!AF71="","",'Midterm OVPAA-F-INS-055A RAW SC'!AF71/'Midterm OVPAA-F-INS-055A RAW SC'!AF$17*100)</f>
        <v/>
      </c>
      <c r="AG71" s="126" t="str">
        <f>IF('Midterm OVPAA-F-INS-055A RAW SC'!AG71="","",'Midterm OVPAA-F-INS-055A RAW SC'!AG71/'Midterm OVPAA-F-INS-055A RAW SC'!AG$17*100)</f>
        <v/>
      </c>
      <c r="AH71" s="126" t="str">
        <f>IF('Midterm OVPAA-F-INS-055A RAW SC'!AH71="","",'Midterm OVPAA-F-INS-055A RAW SC'!AH71/'Midterm OVPAA-F-INS-055A RAW SC'!AH$17*100)</f>
        <v/>
      </c>
      <c r="AI71" s="126" t="str">
        <f>IF('Midterm OVPAA-F-INS-055A RAW SC'!AI71="","",'Midterm OVPAA-F-INS-055A RAW SC'!AI71/'Midterm OVPAA-F-INS-055A RAW SC'!AI$17*100)</f>
        <v/>
      </c>
      <c r="AJ71" s="126" t="str">
        <f>IF('Midterm OVPAA-F-INS-055A RAW SC'!AJ71="","",'Midterm OVPAA-F-INS-055A RAW SC'!AJ71/'Midterm OVPAA-F-INS-055A RAW SC'!AJ$17*100)</f>
        <v/>
      </c>
      <c r="AK71" s="126" t="str">
        <f>IF('Midterm OVPAA-F-INS-055A RAW SC'!AK71="","",'Midterm OVPAA-F-INS-055A RAW SC'!AK71/'Midterm OVPAA-F-INS-055A RAW SC'!AK$17*100)</f>
        <v/>
      </c>
      <c r="AL71" s="126" t="str">
        <f>IF('Midterm OVPAA-F-INS-055A RAW SC'!AL71="","",'Midterm OVPAA-F-INS-055A RAW SC'!AL71/'Midterm OVPAA-F-INS-055A RAW SC'!AL$17*100)</f>
        <v/>
      </c>
      <c r="AM71" s="126" t="str">
        <f>IF('Midterm OVPAA-F-INS-055A RAW SC'!AM71="","",'Midterm OVPAA-F-INS-055A RAW SC'!AM71/'Midterm OVPAA-F-INS-055A RAW SC'!AM$17*100)</f>
        <v/>
      </c>
      <c r="AN71" s="126" t="str">
        <f>IF('Midterm OVPAA-F-INS-055A RAW SC'!AN71="","",'Midterm OVPAA-F-INS-055A RAW SC'!AN71/'Midterm OVPAA-F-INS-055A RAW SC'!AN$17*100)</f>
        <v/>
      </c>
      <c r="AO71" s="126" t="str">
        <f>IF('Midterm OVPAA-F-INS-055A RAW SC'!AO71="","",'Midterm OVPAA-F-INS-055A RAW SC'!AO71/'Midterm OVPAA-F-INS-055A RAW SC'!AO$17*100)</f>
        <v/>
      </c>
      <c r="AP71" s="126" t="str">
        <f>IF('Midterm OVPAA-F-INS-055A RAW SC'!AP71="","",'Midterm OVPAA-F-INS-055A RAW SC'!AP71/'Midterm OVPAA-F-INS-055A RAW SC'!AP$17*100)</f>
        <v/>
      </c>
      <c r="AQ71" s="126" t="str">
        <f>IF('Midterm OVPAA-F-INS-055A RAW SC'!AQ71="","",'Midterm OVPAA-F-INS-055A RAW SC'!AQ71/'Midterm OVPAA-F-INS-055A RAW SC'!AQ$17*100)</f>
        <v/>
      </c>
      <c r="AR71" s="126" t="str">
        <f>IF('Midterm OVPAA-F-INS-055A RAW SC'!AR71="","",'Midterm OVPAA-F-INS-055A RAW SC'!AR71/'Midterm OVPAA-F-INS-055A RAW SC'!AR$17*100)</f>
        <v/>
      </c>
      <c r="AS71" s="126" t="str">
        <f>IF('Midterm OVPAA-F-INS-055A RAW SC'!AS71="","",'Midterm OVPAA-F-INS-055A RAW SC'!AS71/'Midterm OVPAA-F-INS-055A RAW SC'!AS$17*100)</f>
        <v/>
      </c>
      <c r="AT71" s="126" t="str">
        <f>IF('Midterm OVPAA-F-INS-055A RAW SC'!AT71="","",'Midterm OVPAA-F-INS-055A RAW SC'!AT71/'Midterm OVPAA-F-INS-055A RAW SC'!AT$17*100)</f>
        <v/>
      </c>
      <c r="AU71" s="126" t="str">
        <f>IF('Midterm OVPAA-F-INS-055A RAW SC'!AU71="","",'Midterm OVPAA-F-INS-055A RAW SC'!AU71/'Midterm OVPAA-F-INS-055A RAW SC'!AU$17*100)</f>
        <v/>
      </c>
      <c r="AV71" s="126" t="str">
        <f>IF('Midterm OVPAA-F-INS-055A RAW SC'!AV71="","",'Midterm OVPAA-F-INS-055A RAW SC'!AV71/'Midterm OVPAA-F-INS-055A RAW SC'!AV$17*100)</f>
        <v/>
      </c>
      <c r="AW71" s="126" t="str">
        <f>IF('Midterm OVPAA-F-INS-055A RAW SC'!AW71="","",'Midterm OVPAA-F-INS-055A RAW SC'!AW71/'Midterm OVPAA-F-INS-055A RAW SC'!AW$17*100)</f>
        <v/>
      </c>
      <c r="AX71" s="126" t="str">
        <f>IF('Midterm OVPAA-F-INS-055A RAW SC'!AX71="","",'Midterm OVPAA-F-INS-055A RAW SC'!AX71/'Midterm OVPAA-F-INS-055A RAW SC'!AX$17*100)</f>
        <v/>
      </c>
      <c r="AY71" s="126" t="str">
        <f>IF('Midterm OVPAA-F-INS-055A RAW SC'!AY71="","",'Midterm OVPAA-F-INS-055A RAW SC'!AY71/'Midterm OVPAA-F-INS-055A RAW SC'!AY$17*100)</f>
        <v/>
      </c>
      <c r="AZ71" s="126" t="str">
        <f>IF('Midterm OVPAA-F-INS-055A RAW SC'!AZ71="","",'Midterm OVPAA-F-INS-055A RAW SC'!AZ71/'Midterm OVPAA-F-INS-055A RAW SC'!AZ$17*100)</f>
        <v/>
      </c>
      <c r="BA71" s="126" t="str">
        <f>IF('Midterm OVPAA-F-INS-055A RAW SC'!BA71="","",'Midterm OVPAA-F-INS-055A RAW SC'!BA71/'Midterm OVPAA-F-INS-055A RAW SC'!BA$17*100)</f>
        <v/>
      </c>
      <c r="BB71" s="126" t="str">
        <f>IF('Midterm OVPAA-F-INS-055A RAW SC'!BB71="","",'Midterm OVPAA-F-INS-055A RAW SC'!BB71/'Midterm OVPAA-F-INS-055A RAW SC'!BB$17*100)</f>
        <v/>
      </c>
      <c r="BC71" s="126" t="str">
        <f>IF('Midterm OVPAA-F-INS-055A RAW SC'!BC71="","",'Midterm OVPAA-F-INS-055A RAW SC'!BC71/'Midterm OVPAA-F-INS-055A RAW SC'!BC$17*100)</f>
        <v/>
      </c>
      <c r="BD71" s="126" t="str">
        <f>IF('Midterm OVPAA-F-INS-055A RAW SC'!BD71="","",'Midterm OVPAA-F-INS-055A RAW SC'!BD71/'Midterm OVPAA-F-INS-055A RAW SC'!BD$17*100)</f>
        <v/>
      </c>
      <c r="BE71" s="126" t="str">
        <f>IF('Midterm OVPAA-F-INS-055A RAW SC'!BE71="","",'Midterm OVPAA-F-INS-055A RAW SC'!BE71/'Midterm OVPAA-F-INS-055A RAW SC'!BE$17*100)</f>
        <v/>
      </c>
      <c r="BF71" s="126" t="str">
        <f>IF('Midterm OVPAA-F-INS-055A RAW SC'!BF71="","",'Midterm OVPAA-F-INS-055A RAW SC'!BF71/'Midterm OVPAA-F-INS-055A RAW SC'!BF$17*100)</f>
        <v/>
      </c>
      <c r="BG71" s="126" t="str">
        <f>IF('Midterm OVPAA-F-INS-055A RAW SC'!BG71="","",'Midterm OVPAA-F-INS-055A RAW SC'!BG71/'Midterm OVPAA-F-INS-055A RAW SC'!BG$17*100)</f>
        <v/>
      </c>
      <c r="BH71" s="126" t="str">
        <f>IF('Midterm OVPAA-F-INS-055A RAW SC'!BH71="","",'Midterm OVPAA-F-INS-055A RAW SC'!BH71/'Midterm OVPAA-F-INS-055A RAW SC'!BH$17*100)</f>
        <v/>
      </c>
      <c r="BI71" s="126" t="str">
        <f>IF('Midterm OVPAA-F-INS-055A RAW SC'!BI71="","",'Midterm OVPAA-F-INS-055A RAW SC'!BI71/'Midterm OVPAA-F-INS-055A RAW SC'!BI$17*100)</f>
        <v/>
      </c>
      <c r="BJ71" s="126" t="str">
        <f>IF('Midterm OVPAA-F-INS-055A RAW SC'!BJ71="","",'Midterm OVPAA-F-INS-055A RAW SC'!BJ71/'Midterm OVPAA-F-INS-055A RAW SC'!BJ$17*100)</f>
        <v/>
      </c>
      <c r="BK71" s="126" t="str">
        <f>IF('Midterm OVPAA-F-INS-055A RAW SC'!BK71="","",'Midterm OVPAA-F-INS-055A RAW SC'!BK71/'Midterm OVPAA-F-INS-055A RAW SC'!BK$17*100)</f>
        <v/>
      </c>
      <c r="BL71" s="126" t="str">
        <f>IF('Midterm OVPAA-F-INS-055A RAW SC'!BL71="","",'Midterm OVPAA-F-INS-055A RAW SC'!BL71/'Midterm OVPAA-F-INS-055A RAW SC'!BL$17*100)</f>
        <v/>
      </c>
      <c r="BM71" s="126" t="str">
        <f>IF('Midterm OVPAA-F-INS-055A RAW SC'!BM71="","",'Midterm OVPAA-F-INS-055A RAW SC'!BM71/'Midterm OVPAA-F-INS-055A RAW SC'!BM$17*100)</f>
        <v/>
      </c>
      <c r="BN71" s="126" t="str">
        <f>IF('Midterm OVPAA-F-INS-055A RAW SC'!BN71="","",'Midterm OVPAA-F-INS-055A RAW SC'!BN71/'Midterm OVPAA-F-INS-055A RAW SC'!BN$17*100)</f>
        <v/>
      </c>
      <c r="BO71" s="126" t="str">
        <f>IF('Midterm OVPAA-F-INS-055A RAW SC'!BO71="","",'Midterm OVPAA-F-INS-055A RAW SC'!BO71/'Midterm OVPAA-F-INS-055A RAW SC'!BO$17*100)</f>
        <v/>
      </c>
      <c r="BP71" s="126" t="str">
        <f>IF('Midterm OVPAA-F-INS-055A RAW SC'!BP71="","",'Midterm OVPAA-F-INS-055A RAW SC'!BP71/'Midterm OVPAA-F-INS-055A RAW SC'!BP$17*100)</f>
        <v/>
      </c>
      <c r="BQ71" s="126" t="str">
        <f>IF('Midterm OVPAA-F-INS-055A RAW SC'!BQ71="","",'Midterm OVPAA-F-INS-055A RAW SC'!BQ71/'Midterm OVPAA-F-INS-055A RAW SC'!BQ$17*100)</f>
        <v/>
      </c>
      <c r="BR71" s="126" t="str">
        <f>IF('Midterm OVPAA-F-INS-055A RAW SC'!BR71="","",'Midterm OVPAA-F-INS-055A RAW SC'!BR71/'Midterm OVPAA-F-INS-055A RAW SC'!BR$17*100)</f>
        <v/>
      </c>
      <c r="BS71" s="126" t="str">
        <f>IF('Midterm OVPAA-F-INS-055A RAW SC'!BS71="","",'Midterm OVPAA-F-INS-055A RAW SC'!BS71/'Midterm OVPAA-F-INS-055A RAW SC'!BS$17*100)</f>
        <v/>
      </c>
      <c r="BT71" s="126" t="str">
        <f>IF('Midterm OVPAA-F-INS-055A RAW SC'!BT71="","",'Midterm OVPAA-F-INS-055A RAW SC'!BT71/'Midterm OVPAA-F-INS-055A RAW SC'!BT$17*100)</f>
        <v/>
      </c>
      <c r="BU71" s="127" t="str">
        <f t="array" ref="BU71">IF('Midterm OVPAA-F-INS-055A RAW SC'!$G71="","",IF((SUMPRODUCT(--ISBLANK('Midterm OVPAA-F-INS-055A RAW SC'!H71:BT71))=COLUMNS('Midterm OVPAA-F-INS-055A RAW SC'!H71:BT71))=TRUE,"",(((COUNTA('Midterm OVPAA-F-INS-055A RAW SC'!$H$17:$BT$17)+COUNTBLANK('Midterm OVPAA-F-INS-055A RAW SC'!H71:BT71))-COLUMNS('Midterm OVPAA-F-INS-055A RAW SC'!H71:BT71))*5+SUM(H71:BT71))/COUNTA('Midterm OVPAA-F-INS-055A RAW SC'!$H$17:$BT$17)))</f>
        <v/>
      </c>
      <c r="BV71" s="128" t="str">
        <f>IF(BU71="","",VLOOKUP(BU71,IF('Midterm OVPAA-F-INS-055A RAW SC'!$V$12=0.5,TRANSMUTATION!$C$4:$D$17,TRANSMUTATION!$G$4:$H$17),2,TRUE))</f>
        <v/>
      </c>
      <c r="BW71" s="129" t="str">
        <f>IF('Midterm OVPAA-F-INS-055A RAW SC'!BU71="","",'Midterm OVPAA-F-INS-055A RAW SC'!BU71/'Midterm OVPAA-F-INS-055A RAW SC'!BU$17*100)</f>
        <v/>
      </c>
      <c r="BX71" s="130" t="str">
        <f>IF('Midterm OVPAA-F-INS-055A RAW SC'!BV71="","",'Midterm OVPAA-F-INS-055A RAW SC'!BV71/'Midterm OVPAA-F-INS-055A RAW SC'!BV$17*100)</f>
        <v/>
      </c>
      <c r="BY71" s="130" t="str">
        <f>IF('Midterm OVPAA-F-INS-055A RAW SC'!BW71="","",'Midterm OVPAA-F-INS-055A RAW SC'!BW71/'Midterm OVPAA-F-INS-055A RAW SC'!BW$17*100)</f>
        <v/>
      </c>
      <c r="BZ71" s="130" t="str">
        <f>IF('Midterm OVPAA-F-INS-055A RAW SC'!BX71="","",'Midterm OVPAA-F-INS-055A RAW SC'!BX71/'Midterm OVPAA-F-INS-055A RAW SC'!BX$17*100)</f>
        <v/>
      </c>
      <c r="CA71" s="130" t="str">
        <f>IF('Midterm OVPAA-F-INS-055A RAW SC'!BY71="","",'Midterm OVPAA-F-INS-055A RAW SC'!BY71/'Midterm OVPAA-F-INS-055A RAW SC'!BY$17*100)</f>
        <v/>
      </c>
      <c r="CB71" s="130" t="str">
        <f>IF('Midterm OVPAA-F-INS-055A RAW SC'!BZ71="","",'Midterm OVPAA-F-INS-055A RAW SC'!BZ71/'Midterm OVPAA-F-INS-055A RAW SC'!BZ$17*100)</f>
        <v/>
      </c>
      <c r="CC71" s="130" t="str">
        <f>IF('Midterm OVPAA-F-INS-055A RAW SC'!CA71="","",'Midterm OVPAA-F-INS-055A RAW SC'!CA71/'Midterm OVPAA-F-INS-055A RAW SC'!CA$17*100)</f>
        <v/>
      </c>
      <c r="CD71" s="130" t="str">
        <f>IF('Midterm OVPAA-F-INS-055A RAW SC'!CB71="","",'Midterm OVPAA-F-INS-055A RAW SC'!CB71/'Midterm OVPAA-F-INS-055A RAW SC'!CB$17*100)</f>
        <v/>
      </c>
      <c r="CE71" s="130" t="str">
        <f>IF('Midterm OVPAA-F-INS-055A RAW SC'!CC71="","",'Midterm OVPAA-F-INS-055A RAW SC'!CC71/'Midterm OVPAA-F-INS-055A RAW SC'!CC$17*100)</f>
        <v/>
      </c>
      <c r="CF71" s="130" t="str">
        <f>IF('Midterm OVPAA-F-INS-055A RAW SC'!CD71="","",'Midterm OVPAA-F-INS-055A RAW SC'!CD71/'Midterm OVPAA-F-INS-055A RAW SC'!CD$17*100)</f>
        <v/>
      </c>
      <c r="CG71" s="130" t="str">
        <f>IF('Midterm OVPAA-F-INS-055A RAW SC'!CE71="","",'Midterm OVPAA-F-INS-055A RAW SC'!CE71/'Midterm OVPAA-F-INS-055A RAW SC'!CE$17*100)</f>
        <v/>
      </c>
      <c r="CH71" s="130" t="str">
        <f>IF('Midterm OVPAA-F-INS-055A RAW SC'!CF71="","",'Midterm OVPAA-F-INS-055A RAW SC'!CF71/'Midterm OVPAA-F-INS-055A RAW SC'!CF$17*100)</f>
        <v/>
      </c>
      <c r="CI71" s="130" t="str">
        <f>IF('Midterm OVPAA-F-INS-055A RAW SC'!CG71="","",'Midterm OVPAA-F-INS-055A RAW SC'!CG71/'Midterm OVPAA-F-INS-055A RAW SC'!CG$17*100)</f>
        <v/>
      </c>
      <c r="CJ71" s="130" t="str">
        <f>IF('Midterm OVPAA-F-INS-055A RAW SC'!CH71="","",'Midterm OVPAA-F-INS-055A RAW SC'!CH71/'Midterm OVPAA-F-INS-055A RAW SC'!CH$17*100)</f>
        <v/>
      </c>
      <c r="CK71" s="130" t="str">
        <f>IF('Midterm OVPAA-F-INS-055A RAW SC'!CI71="","",'Midterm OVPAA-F-INS-055A RAW SC'!CI71/'Midterm OVPAA-F-INS-055A RAW SC'!CI$17*100)</f>
        <v/>
      </c>
      <c r="CL71" s="130" t="str">
        <f>IF('Midterm OVPAA-F-INS-055A RAW SC'!CJ71="","",'Midterm OVPAA-F-INS-055A RAW SC'!CJ71/'Midterm OVPAA-F-INS-055A RAW SC'!CJ$17*100)</f>
        <v/>
      </c>
      <c r="CM71" s="130" t="str">
        <f>IF('Midterm OVPAA-F-INS-055A RAW SC'!CK71="","",'Midterm OVPAA-F-INS-055A RAW SC'!CK71/'Midterm OVPAA-F-INS-055A RAW SC'!CK$17*100)</f>
        <v/>
      </c>
      <c r="CN71" s="130" t="str">
        <f>IF('Midterm OVPAA-F-INS-055A RAW SC'!CL71="","",'Midterm OVPAA-F-INS-055A RAW SC'!CL71/'Midterm OVPAA-F-INS-055A RAW SC'!CL$17*100)</f>
        <v/>
      </c>
      <c r="CO71" s="130" t="str">
        <f>IF('Midterm OVPAA-F-INS-055A RAW SC'!CM71="","",'Midterm OVPAA-F-INS-055A RAW SC'!CM71/'Midterm OVPAA-F-INS-055A RAW SC'!CM$17*100)</f>
        <v/>
      </c>
      <c r="CP71" s="130" t="str">
        <f>IF('Midterm OVPAA-F-INS-055A RAW SC'!CN71="","",'Midterm OVPAA-F-INS-055A RAW SC'!CN71/'Midterm OVPAA-F-INS-055A RAW SC'!CN$17*100)</f>
        <v/>
      </c>
      <c r="CQ71" s="131" t="str">
        <f t="array" ref="CQ71">IF('Midterm OVPAA-F-INS-055A RAW SC'!G71="","",IF((SUMPRODUCT(--ISBLANK('Midterm OVPAA-F-INS-055A RAW SC'!BU71:CN71))=COLUMNS('Midterm OVPAA-F-INS-055A RAW SC'!BU71:CN71))=TRUE,"",(((COUNTA('Midterm OVPAA-F-INS-055A RAW SC'!$BU$17:$CN$17)+COUNTBLANK('Midterm OVPAA-F-INS-055A RAW SC'!BU71:CN71))-COLUMNS('Midterm OVPAA-F-INS-055A RAW SC'!BU71:CN71))*5+SUM(BW71:CP71))/COUNTA('Midterm OVPAA-F-INS-055A RAW SC'!$BU$17:$CN$17)))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IF('Midterm OVPAA-F-INS-055A RAW SC'!CO71="","",'Midterm OVPAA-F-INS-055A RAW SC'!CO71/'Midterm OVPAA-F-INS-055A RAW SC'!CO$17*100)</f>
        <v/>
      </c>
      <c r="CT71" s="133" t="str">
        <f>IF('Midterm OVPAA-F-INS-055A RAW SC'!CP71="","",'Midterm OVPAA-F-INS-055A RAW SC'!CP71/'Midterm OVPAA-F-INS-055A RAW SC'!CP$17*100)</f>
        <v/>
      </c>
      <c r="CU71" s="133" t="str">
        <f>IF('Midterm OVPAA-F-INS-055A RAW SC'!CQ71="","",'Midterm OVPAA-F-INS-055A RAW SC'!CQ71/'Midterm OVPAA-F-INS-055A RAW SC'!CQ$17*100)</f>
        <v/>
      </c>
      <c r="CV71" s="133" t="str">
        <f>IF('Midterm OVPAA-F-INS-055A RAW SC'!CR71="","",'Midterm OVPAA-F-INS-055A RAW SC'!CR71/'Midterm OVPAA-F-INS-055A RAW SC'!CR$17*100)</f>
        <v/>
      </c>
      <c r="CW71" s="133" t="str">
        <f>IF('Midterm OVPAA-F-INS-055A RAW SC'!CS71="","",'Midterm OVPAA-F-INS-055A RAW SC'!CS71/'Midterm OVPAA-F-INS-055A RAW SC'!CS$17*100)</f>
        <v/>
      </c>
      <c r="CX71" s="133" t="str">
        <f>IF('Midterm OVPAA-F-INS-055A RAW SC'!CT71="","",'Midterm OVPAA-F-INS-055A RAW SC'!CT71/'Midterm OVPAA-F-INS-055A RAW SC'!CT$17*100)</f>
        <v/>
      </c>
      <c r="CY71" s="133" t="str">
        <f>IF('Midterm OVPAA-F-INS-055A RAW SC'!CU71="","",'Midterm OVPAA-F-INS-055A RAW SC'!CU71/'Midterm OVPAA-F-INS-055A RAW SC'!CU$17*100)</f>
        <v/>
      </c>
      <c r="CZ71" s="133" t="str">
        <f>IF('Midterm OVPAA-F-INS-055A RAW SC'!CV71="","",'Midterm OVPAA-F-INS-055A RAW SC'!CV71/'Midterm OVPAA-F-INS-055A RAW SC'!CV$17*100)</f>
        <v/>
      </c>
      <c r="DA71" s="133" t="str">
        <f>IF('Midterm OVPAA-F-INS-055A RAW SC'!CW71="","",'Midterm OVPAA-F-INS-055A RAW SC'!CW71/'Midterm OVPAA-F-INS-055A RAW SC'!CW$17*100)</f>
        <v/>
      </c>
      <c r="DB71" s="133" t="str">
        <f>IF('Midterm OVPAA-F-INS-055A RAW SC'!CX71="","",'Midterm OVPAA-F-INS-055A RAW SC'!CX71/'Midterm OVPAA-F-INS-055A RAW SC'!CX$17*100)</f>
        <v/>
      </c>
      <c r="DC71" s="134" t="str">
        <f t="array" ref="DC71">IF('Midterm OVPAA-F-INS-055A RAW SC'!$G71="","",IF((SUMPRODUCT(--ISBLANK('Midterm OVPAA-F-INS-055A RAW SC'!CO71:CX71))=COLUMNS('Midterm OVPAA-F-INS-055A RAW SC'!CO71:CX71))=TRUE,"",(((COUNTA('Midterm OVPAA-F-INS-055A RAW SC'!$CO$17:$CX$17)+COUNTBLANK('Midterm OVPAA-F-INS-055A RAW SC'!CO71:CX71))-COLUMNS('Midterm OVPAA-F-INS-055A RAW SC'!CO71:CX71))*5+SUM(CS71:DB71))/COUNTA('Midterm OVPAA-F-INS-055A RAW SC'!$CO$17:$CX$17)))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37" t="str">
        <f t="shared" si="2"/>
        <v/>
      </c>
      <c r="DG71" s="138" t="str">
        <f t="shared" si="3"/>
        <v/>
      </c>
      <c r="DH71" s="136" t="str">
        <f t="shared" si="4"/>
        <v/>
      </c>
      <c r="DI71" s="123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IF('Midterm OVPAA-F-INS-055A RAW SC'!H72="","",'Midterm OVPAA-F-INS-055A RAW SC'!H72/'Midterm OVPAA-F-INS-055A RAW SC'!H$17*100)</f>
        <v/>
      </c>
      <c r="I72" s="126" t="str">
        <f>IF('Midterm OVPAA-F-INS-055A RAW SC'!I72="","",'Midterm OVPAA-F-INS-055A RAW SC'!I72/'Midterm OVPAA-F-INS-055A RAW SC'!I$17*100)</f>
        <v/>
      </c>
      <c r="J72" s="126" t="str">
        <f>IF('Midterm OVPAA-F-INS-055A RAW SC'!J72="","",'Midterm OVPAA-F-INS-055A RAW SC'!J72/'Midterm OVPAA-F-INS-055A RAW SC'!J$17*100)</f>
        <v/>
      </c>
      <c r="K72" s="126" t="str">
        <f>IF('Midterm OVPAA-F-INS-055A RAW SC'!K72="","",'Midterm OVPAA-F-INS-055A RAW SC'!K72/'Midterm OVPAA-F-INS-055A RAW SC'!K$17*100)</f>
        <v/>
      </c>
      <c r="L72" s="126" t="str">
        <f>IF('Midterm OVPAA-F-INS-055A RAW SC'!L72="","",'Midterm OVPAA-F-INS-055A RAW SC'!L72/'Midterm OVPAA-F-INS-055A RAW SC'!L$17*100)</f>
        <v/>
      </c>
      <c r="M72" s="126" t="str">
        <f>IF('Midterm OVPAA-F-INS-055A RAW SC'!M72="","",'Midterm OVPAA-F-INS-055A RAW SC'!M72/'Midterm OVPAA-F-INS-055A RAW SC'!M$17*100)</f>
        <v/>
      </c>
      <c r="N72" s="126" t="str">
        <f>IF('Midterm OVPAA-F-INS-055A RAW SC'!N72="","",'Midterm OVPAA-F-INS-055A RAW SC'!N72/'Midterm OVPAA-F-INS-055A RAW SC'!N$17*100)</f>
        <v/>
      </c>
      <c r="O72" s="126" t="str">
        <f>IF('Midterm OVPAA-F-INS-055A RAW SC'!O72="","",'Midterm OVPAA-F-INS-055A RAW SC'!O72/'Midterm OVPAA-F-INS-055A RAW SC'!O$17*100)</f>
        <v/>
      </c>
      <c r="P72" s="126" t="str">
        <f>IF('Midterm OVPAA-F-INS-055A RAW SC'!P72="","",'Midterm OVPAA-F-INS-055A RAW SC'!P72/'Midterm OVPAA-F-INS-055A RAW SC'!P$17*100)</f>
        <v/>
      </c>
      <c r="Q72" s="126" t="str">
        <f>IF('Midterm OVPAA-F-INS-055A RAW SC'!Q72="","",'Midterm OVPAA-F-INS-055A RAW SC'!Q72/'Midterm OVPAA-F-INS-055A RAW SC'!Q$17*100)</f>
        <v/>
      </c>
      <c r="R72" s="126" t="str">
        <f>IF('Midterm OVPAA-F-INS-055A RAW SC'!R72="","",'Midterm OVPAA-F-INS-055A RAW SC'!R72/'Midterm OVPAA-F-INS-055A RAW SC'!R$17*100)</f>
        <v/>
      </c>
      <c r="S72" s="126" t="str">
        <f>IF('Midterm OVPAA-F-INS-055A RAW SC'!S72="","",'Midterm OVPAA-F-INS-055A RAW SC'!S72/'Midterm OVPAA-F-INS-055A RAW SC'!S$17*100)</f>
        <v/>
      </c>
      <c r="T72" s="126" t="str">
        <f>IF('Midterm OVPAA-F-INS-055A RAW SC'!T72="","",'Midterm OVPAA-F-INS-055A RAW SC'!T72/'Midterm OVPAA-F-INS-055A RAW SC'!T$17*100)</f>
        <v/>
      </c>
      <c r="U72" s="126" t="str">
        <f>IF('Midterm OVPAA-F-INS-055A RAW SC'!U72="","",'Midterm OVPAA-F-INS-055A RAW SC'!U72/'Midterm OVPAA-F-INS-055A RAW SC'!U$17*100)</f>
        <v/>
      </c>
      <c r="V72" s="126" t="str">
        <f>IF('Midterm OVPAA-F-INS-055A RAW SC'!V72="","",'Midterm OVPAA-F-INS-055A RAW SC'!V72/'Midterm OVPAA-F-INS-055A RAW SC'!V$17*100)</f>
        <v/>
      </c>
      <c r="W72" s="126" t="str">
        <f>IF('Midterm OVPAA-F-INS-055A RAW SC'!W72="","",'Midterm OVPAA-F-INS-055A RAW SC'!W72/'Midterm OVPAA-F-INS-055A RAW SC'!W$17*100)</f>
        <v/>
      </c>
      <c r="X72" s="126" t="str">
        <f>IF('Midterm OVPAA-F-INS-055A RAW SC'!X72="","",'Midterm OVPAA-F-INS-055A RAW SC'!X72/'Midterm OVPAA-F-INS-055A RAW SC'!X$17*100)</f>
        <v/>
      </c>
      <c r="Y72" s="126" t="str">
        <f>IF('Midterm OVPAA-F-INS-055A RAW SC'!Y72="","",'Midterm OVPAA-F-INS-055A RAW SC'!Y72/'Midterm OVPAA-F-INS-055A RAW SC'!Y$17*100)</f>
        <v/>
      </c>
      <c r="Z72" s="126" t="str">
        <f>IF('Midterm OVPAA-F-INS-055A RAW SC'!Z72="","",'Midterm OVPAA-F-INS-055A RAW SC'!Z72/'Midterm OVPAA-F-INS-055A RAW SC'!Z$17*100)</f>
        <v/>
      </c>
      <c r="AA72" s="126" t="str">
        <f>IF('Midterm OVPAA-F-INS-055A RAW SC'!AA72="","",'Midterm OVPAA-F-INS-055A RAW SC'!AA72/'Midterm OVPAA-F-INS-055A RAW SC'!AA$17*100)</f>
        <v/>
      </c>
      <c r="AB72" s="126" t="str">
        <f>IF('Midterm OVPAA-F-INS-055A RAW SC'!AB72="","",'Midterm OVPAA-F-INS-055A RAW SC'!AB72/'Midterm OVPAA-F-INS-055A RAW SC'!AB$17*100)</f>
        <v/>
      </c>
      <c r="AC72" s="126" t="str">
        <f>IF('Midterm OVPAA-F-INS-055A RAW SC'!AC72="","",'Midterm OVPAA-F-INS-055A RAW SC'!AC72/'Midterm OVPAA-F-INS-055A RAW SC'!AC$17*100)</f>
        <v/>
      </c>
      <c r="AD72" s="126" t="str">
        <f>IF('Midterm OVPAA-F-INS-055A RAW SC'!AD72="","",'Midterm OVPAA-F-INS-055A RAW SC'!AD72/'Midterm OVPAA-F-INS-055A RAW SC'!AD$17*100)</f>
        <v/>
      </c>
      <c r="AE72" s="126" t="str">
        <f>IF('Midterm OVPAA-F-INS-055A RAW SC'!AE72="","",'Midterm OVPAA-F-INS-055A RAW SC'!AE72/'Midterm OVPAA-F-INS-055A RAW SC'!AE$17*100)</f>
        <v/>
      </c>
      <c r="AF72" s="126" t="str">
        <f>IF('Midterm OVPAA-F-INS-055A RAW SC'!AF72="","",'Midterm OVPAA-F-INS-055A RAW SC'!AF72/'Midterm OVPAA-F-INS-055A RAW SC'!AF$17*100)</f>
        <v/>
      </c>
      <c r="AG72" s="126" t="str">
        <f>IF('Midterm OVPAA-F-INS-055A RAW SC'!AG72="","",'Midterm OVPAA-F-INS-055A RAW SC'!AG72/'Midterm OVPAA-F-INS-055A RAW SC'!AG$17*100)</f>
        <v/>
      </c>
      <c r="AH72" s="126" t="str">
        <f>IF('Midterm OVPAA-F-INS-055A RAW SC'!AH72="","",'Midterm OVPAA-F-INS-055A RAW SC'!AH72/'Midterm OVPAA-F-INS-055A RAW SC'!AH$17*100)</f>
        <v/>
      </c>
      <c r="AI72" s="126" t="str">
        <f>IF('Midterm OVPAA-F-INS-055A RAW SC'!AI72="","",'Midterm OVPAA-F-INS-055A RAW SC'!AI72/'Midterm OVPAA-F-INS-055A RAW SC'!AI$17*100)</f>
        <v/>
      </c>
      <c r="AJ72" s="126" t="str">
        <f>IF('Midterm OVPAA-F-INS-055A RAW SC'!AJ72="","",'Midterm OVPAA-F-INS-055A RAW SC'!AJ72/'Midterm OVPAA-F-INS-055A RAW SC'!AJ$17*100)</f>
        <v/>
      </c>
      <c r="AK72" s="126" t="str">
        <f>IF('Midterm OVPAA-F-INS-055A RAW SC'!AK72="","",'Midterm OVPAA-F-INS-055A RAW SC'!AK72/'Midterm OVPAA-F-INS-055A RAW SC'!AK$17*100)</f>
        <v/>
      </c>
      <c r="AL72" s="126" t="str">
        <f>IF('Midterm OVPAA-F-INS-055A RAW SC'!AL72="","",'Midterm OVPAA-F-INS-055A RAW SC'!AL72/'Midterm OVPAA-F-INS-055A RAW SC'!AL$17*100)</f>
        <v/>
      </c>
      <c r="AM72" s="126" t="str">
        <f>IF('Midterm OVPAA-F-INS-055A RAW SC'!AM72="","",'Midterm OVPAA-F-INS-055A RAW SC'!AM72/'Midterm OVPAA-F-INS-055A RAW SC'!AM$17*100)</f>
        <v/>
      </c>
      <c r="AN72" s="126" t="str">
        <f>IF('Midterm OVPAA-F-INS-055A RAW SC'!AN72="","",'Midterm OVPAA-F-INS-055A RAW SC'!AN72/'Midterm OVPAA-F-INS-055A RAW SC'!AN$17*100)</f>
        <v/>
      </c>
      <c r="AO72" s="126" t="str">
        <f>IF('Midterm OVPAA-F-INS-055A RAW SC'!AO72="","",'Midterm OVPAA-F-INS-055A RAW SC'!AO72/'Midterm OVPAA-F-INS-055A RAW SC'!AO$17*100)</f>
        <v/>
      </c>
      <c r="AP72" s="126" t="str">
        <f>IF('Midterm OVPAA-F-INS-055A RAW SC'!AP72="","",'Midterm OVPAA-F-INS-055A RAW SC'!AP72/'Midterm OVPAA-F-INS-055A RAW SC'!AP$17*100)</f>
        <v/>
      </c>
      <c r="AQ72" s="126" t="str">
        <f>IF('Midterm OVPAA-F-INS-055A RAW SC'!AQ72="","",'Midterm OVPAA-F-INS-055A RAW SC'!AQ72/'Midterm OVPAA-F-INS-055A RAW SC'!AQ$17*100)</f>
        <v/>
      </c>
      <c r="AR72" s="126" t="str">
        <f>IF('Midterm OVPAA-F-INS-055A RAW SC'!AR72="","",'Midterm OVPAA-F-INS-055A RAW SC'!AR72/'Midterm OVPAA-F-INS-055A RAW SC'!AR$17*100)</f>
        <v/>
      </c>
      <c r="AS72" s="126" t="str">
        <f>IF('Midterm OVPAA-F-INS-055A RAW SC'!AS72="","",'Midterm OVPAA-F-INS-055A RAW SC'!AS72/'Midterm OVPAA-F-INS-055A RAW SC'!AS$17*100)</f>
        <v/>
      </c>
      <c r="AT72" s="126" t="str">
        <f>IF('Midterm OVPAA-F-INS-055A RAW SC'!AT72="","",'Midterm OVPAA-F-INS-055A RAW SC'!AT72/'Midterm OVPAA-F-INS-055A RAW SC'!AT$17*100)</f>
        <v/>
      </c>
      <c r="AU72" s="126" t="str">
        <f>IF('Midterm OVPAA-F-INS-055A RAW SC'!AU72="","",'Midterm OVPAA-F-INS-055A RAW SC'!AU72/'Midterm OVPAA-F-INS-055A RAW SC'!AU$17*100)</f>
        <v/>
      </c>
      <c r="AV72" s="126" t="str">
        <f>IF('Midterm OVPAA-F-INS-055A RAW SC'!AV72="","",'Midterm OVPAA-F-INS-055A RAW SC'!AV72/'Midterm OVPAA-F-INS-055A RAW SC'!AV$17*100)</f>
        <v/>
      </c>
      <c r="AW72" s="126" t="str">
        <f>IF('Midterm OVPAA-F-INS-055A RAW SC'!AW72="","",'Midterm OVPAA-F-INS-055A RAW SC'!AW72/'Midterm OVPAA-F-INS-055A RAW SC'!AW$17*100)</f>
        <v/>
      </c>
      <c r="AX72" s="126" t="str">
        <f>IF('Midterm OVPAA-F-INS-055A RAW SC'!AX72="","",'Midterm OVPAA-F-INS-055A RAW SC'!AX72/'Midterm OVPAA-F-INS-055A RAW SC'!AX$17*100)</f>
        <v/>
      </c>
      <c r="AY72" s="126" t="str">
        <f>IF('Midterm OVPAA-F-INS-055A RAW SC'!AY72="","",'Midterm OVPAA-F-INS-055A RAW SC'!AY72/'Midterm OVPAA-F-INS-055A RAW SC'!AY$17*100)</f>
        <v/>
      </c>
      <c r="AZ72" s="126" t="str">
        <f>IF('Midterm OVPAA-F-INS-055A RAW SC'!AZ72="","",'Midterm OVPAA-F-INS-055A RAW SC'!AZ72/'Midterm OVPAA-F-INS-055A RAW SC'!AZ$17*100)</f>
        <v/>
      </c>
      <c r="BA72" s="126" t="str">
        <f>IF('Midterm OVPAA-F-INS-055A RAW SC'!BA72="","",'Midterm OVPAA-F-INS-055A RAW SC'!BA72/'Midterm OVPAA-F-INS-055A RAW SC'!BA$17*100)</f>
        <v/>
      </c>
      <c r="BB72" s="126" t="str">
        <f>IF('Midterm OVPAA-F-INS-055A RAW SC'!BB72="","",'Midterm OVPAA-F-INS-055A RAW SC'!BB72/'Midterm OVPAA-F-INS-055A RAW SC'!BB$17*100)</f>
        <v/>
      </c>
      <c r="BC72" s="126" t="str">
        <f>IF('Midterm OVPAA-F-INS-055A RAW SC'!BC72="","",'Midterm OVPAA-F-INS-055A RAW SC'!BC72/'Midterm OVPAA-F-INS-055A RAW SC'!BC$17*100)</f>
        <v/>
      </c>
      <c r="BD72" s="126" t="str">
        <f>IF('Midterm OVPAA-F-INS-055A RAW SC'!BD72="","",'Midterm OVPAA-F-INS-055A RAW SC'!BD72/'Midterm OVPAA-F-INS-055A RAW SC'!BD$17*100)</f>
        <v/>
      </c>
      <c r="BE72" s="126" t="str">
        <f>IF('Midterm OVPAA-F-INS-055A RAW SC'!BE72="","",'Midterm OVPAA-F-INS-055A RAW SC'!BE72/'Midterm OVPAA-F-INS-055A RAW SC'!BE$17*100)</f>
        <v/>
      </c>
      <c r="BF72" s="126" t="str">
        <f>IF('Midterm OVPAA-F-INS-055A RAW SC'!BF72="","",'Midterm OVPAA-F-INS-055A RAW SC'!BF72/'Midterm OVPAA-F-INS-055A RAW SC'!BF$17*100)</f>
        <v/>
      </c>
      <c r="BG72" s="126" t="str">
        <f>IF('Midterm OVPAA-F-INS-055A RAW SC'!BG72="","",'Midterm OVPAA-F-INS-055A RAW SC'!BG72/'Midterm OVPAA-F-INS-055A RAW SC'!BG$17*100)</f>
        <v/>
      </c>
      <c r="BH72" s="126" t="str">
        <f>IF('Midterm OVPAA-F-INS-055A RAW SC'!BH72="","",'Midterm OVPAA-F-INS-055A RAW SC'!BH72/'Midterm OVPAA-F-INS-055A RAW SC'!BH$17*100)</f>
        <v/>
      </c>
      <c r="BI72" s="126" t="str">
        <f>IF('Midterm OVPAA-F-INS-055A RAW SC'!BI72="","",'Midterm OVPAA-F-INS-055A RAW SC'!BI72/'Midterm OVPAA-F-INS-055A RAW SC'!BI$17*100)</f>
        <v/>
      </c>
      <c r="BJ72" s="126" t="str">
        <f>IF('Midterm OVPAA-F-INS-055A RAW SC'!BJ72="","",'Midterm OVPAA-F-INS-055A RAW SC'!BJ72/'Midterm OVPAA-F-INS-055A RAW SC'!BJ$17*100)</f>
        <v/>
      </c>
      <c r="BK72" s="126" t="str">
        <f>IF('Midterm OVPAA-F-INS-055A RAW SC'!BK72="","",'Midterm OVPAA-F-INS-055A RAW SC'!BK72/'Midterm OVPAA-F-INS-055A RAW SC'!BK$17*100)</f>
        <v/>
      </c>
      <c r="BL72" s="126" t="str">
        <f>IF('Midterm OVPAA-F-INS-055A RAW SC'!BL72="","",'Midterm OVPAA-F-INS-055A RAW SC'!BL72/'Midterm OVPAA-F-INS-055A RAW SC'!BL$17*100)</f>
        <v/>
      </c>
      <c r="BM72" s="126" t="str">
        <f>IF('Midterm OVPAA-F-INS-055A RAW SC'!BM72="","",'Midterm OVPAA-F-INS-055A RAW SC'!BM72/'Midterm OVPAA-F-INS-055A RAW SC'!BM$17*100)</f>
        <v/>
      </c>
      <c r="BN72" s="126" t="str">
        <f>IF('Midterm OVPAA-F-INS-055A RAW SC'!BN72="","",'Midterm OVPAA-F-INS-055A RAW SC'!BN72/'Midterm OVPAA-F-INS-055A RAW SC'!BN$17*100)</f>
        <v/>
      </c>
      <c r="BO72" s="126" t="str">
        <f>IF('Midterm OVPAA-F-INS-055A RAW SC'!BO72="","",'Midterm OVPAA-F-INS-055A RAW SC'!BO72/'Midterm OVPAA-F-INS-055A RAW SC'!BO$17*100)</f>
        <v/>
      </c>
      <c r="BP72" s="126" t="str">
        <f>IF('Midterm OVPAA-F-INS-055A RAW SC'!BP72="","",'Midterm OVPAA-F-INS-055A RAW SC'!BP72/'Midterm OVPAA-F-INS-055A RAW SC'!BP$17*100)</f>
        <v/>
      </c>
      <c r="BQ72" s="126" t="str">
        <f>IF('Midterm OVPAA-F-INS-055A RAW SC'!BQ72="","",'Midterm OVPAA-F-INS-055A RAW SC'!BQ72/'Midterm OVPAA-F-INS-055A RAW SC'!BQ$17*100)</f>
        <v/>
      </c>
      <c r="BR72" s="126" t="str">
        <f>IF('Midterm OVPAA-F-INS-055A RAW SC'!BR72="","",'Midterm OVPAA-F-INS-055A RAW SC'!BR72/'Midterm OVPAA-F-INS-055A RAW SC'!BR$17*100)</f>
        <v/>
      </c>
      <c r="BS72" s="126" t="str">
        <f>IF('Midterm OVPAA-F-INS-055A RAW SC'!BS72="","",'Midterm OVPAA-F-INS-055A RAW SC'!BS72/'Midterm OVPAA-F-INS-055A RAW SC'!BS$17*100)</f>
        <v/>
      </c>
      <c r="BT72" s="126" t="str">
        <f>IF('Midterm OVPAA-F-INS-055A RAW SC'!BT72="","",'Midterm OVPAA-F-INS-055A RAW SC'!BT72/'Midterm OVPAA-F-INS-055A RAW SC'!BT$17*100)</f>
        <v/>
      </c>
      <c r="BU72" s="127" t="str">
        <f t="array" ref="BU72">IF('Midterm OVPAA-F-INS-055A RAW SC'!$G72="","",IF((SUMPRODUCT(--ISBLANK('Midterm OVPAA-F-INS-055A RAW SC'!H72:BT72))=COLUMNS('Midterm OVPAA-F-INS-055A RAW SC'!H72:BT72))=TRUE,"",(((COUNTA('Midterm OVPAA-F-INS-055A RAW SC'!$H$17:$BT$17)+COUNTBLANK('Midterm OVPAA-F-INS-055A RAW SC'!H72:BT72))-COLUMNS('Midterm OVPAA-F-INS-055A RAW SC'!H72:BT72))*5+SUM(H72:BT72))/COUNTA('Midterm OVPAA-F-INS-055A RAW SC'!$H$17:$BT$17)))</f>
        <v/>
      </c>
      <c r="BV72" s="128" t="str">
        <f>IF(BU72="","",VLOOKUP(BU72,IF('Midterm OVPAA-F-INS-055A RAW SC'!$V$12=0.5,TRANSMUTATION!$C$4:$D$17,TRANSMUTATION!$G$4:$H$17),2,TRUE))</f>
        <v/>
      </c>
      <c r="BW72" s="129" t="str">
        <f>IF('Midterm OVPAA-F-INS-055A RAW SC'!BU72="","",'Midterm OVPAA-F-INS-055A RAW SC'!BU72/'Midterm OVPAA-F-INS-055A RAW SC'!BU$17*100)</f>
        <v/>
      </c>
      <c r="BX72" s="130" t="str">
        <f>IF('Midterm OVPAA-F-INS-055A RAW SC'!BV72="","",'Midterm OVPAA-F-INS-055A RAW SC'!BV72/'Midterm OVPAA-F-INS-055A RAW SC'!BV$17*100)</f>
        <v/>
      </c>
      <c r="BY72" s="130" t="str">
        <f>IF('Midterm OVPAA-F-INS-055A RAW SC'!BW72="","",'Midterm OVPAA-F-INS-055A RAW SC'!BW72/'Midterm OVPAA-F-INS-055A RAW SC'!BW$17*100)</f>
        <v/>
      </c>
      <c r="BZ72" s="130" t="str">
        <f>IF('Midterm OVPAA-F-INS-055A RAW SC'!BX72="","",'Midterm OVPAA-F-INS-055A RAW SC'!BX72/'Midterm OVPAA-F-INS-055A RAW SC'!BX$17*100)</f>
        <v/>
      </c>
      <c r="CA72" s="130" t="str">
        <f>IF('Midterm OVPAA-F-INS-055A RAW SC'!BY72="","",'Midterm OVPAA-F-INS-055A RAW SC'!BY72/'Midterm OVPAA-F-INS-055A RAW SC'!BY$17*100)</f>
        <v/>
      </c>
      <c r="CB72" s="130" t="str">
        <f>IF('Midterm OVPAA-F-INS-055A RAW SC'!BZ72="","",'Midterm OVPAA-F-INS-055A RAW SC'!BZ72/'Midterm OVPAA-F-INS-055A RAW SC'!BZ$17*100)</f>
        <v/>
      </c>
      <c r="CC72" s="130" t="str">
        <f>IF('Midterm OVPAA-F-INS-055A RAW SC'!CA72="","",'Midterm OVPAA-F-INS-055A RAW SC'!CA72/'Midterm OVPAA-F-INS-055A RAW SC'!CA$17*100)</f>
        <v/>
      </c>
      <c r="CD72" s="130" t="str">
        <f>IF('Midterm OVPAA-F-INS-055A RAW SC'!CB72="","",'Midterm OVPAA-F-INS-055A RAW SC'!CB72/'Midterm OVPAA-F-INS-055A RAW SC'!CB$17*100)</f>
        <v/>
      </c>
      <c r="CE72" s="130" t="str">
        <f>IF('Midterm OVPAA-F-INS-055A RAW SC'!CC72="","",'Midterm OVPAA-F-INS-055A RAW SC'!CC72/'Midterm OVPAA-F-INS-055A RAW SC'!CC$17*100)</f>
        <v/>
      </c>
      <c r="CF72" s="130" t="str">
        <f>IF('Midterm OVPAA-F-INS-055A RAW SC'!CD72="","",'Midterm OVPAA-F-INS-055A RAW SC'!CD72/'Midterm OVPAA-F-INS-055A RAW SC'!CD$17*100)</f>
        <v/>
      </c>
      <c r="CG72" s="130" t="str">
        <f>IF('Midterm OVPAA-F-INS-055A RAW SC'!CE72="","",'Midterm OVPAA-F-INS-055A RAW SC'!CE72/'Midterm OVPAA-F-INS-055A RAW SC'!CE$17*100)</f>
        <v/>
      </c>
      <c r="CH72" s="130" t="str">
        <f>IF('Midterm OVPAA-F-INS-055A RAW SC'!CF72="","",'Midterm OVPAA-F-INS-055A RAW SC'!CF72/'Midterm OVPAA-F-INS-055A RAW SC'!CF$17*100)</f>
        <v/>
      </c>
      <c r="CI72" s="130" t="str">
        <f>IF('Midterm OVPAA-F-INS-055A RAW SC'!CG72="","",'Midterm OVPAA-F-INS-055A RAW SC'!CG72/'Midterm OVPAA-F-INS-055A RAW SC'!CG$17*100)</f>
        <v/>
      </c>
      <c r="CJ72" s="130" t="str">
        <f>IF('Midterm OVPAA-F-INS-055A RAW SC'!CH72="","",'Midterm OVPAA-F-INS-055A RAW SC'!CH72/'Midterm OVPAA-F-INS-055A RAW SC'!CH$17*100)</f>
        <v/>
      </c>
      <c r="CK72" s="130" t="str">
        <f>IF('Midterm OVPAA-F-INS-055A RAW SC'!CI72="","",'Midterm OVPAA-F-INS-055A RAW SC'!CI72/'Midterm OVPAA-F-INS-055A RAW SC'!CI$17*100)</f>
        <v/>
      </c>
      <c r="CL72" s="130" t="str">
        <f>IF('Midterm OVPAA-F-INS-055A RAW SC'!CJ72="","",'Midterm OVPAA-F-INS-055A RAW SC'!CJ72/'Midterm OVPAA-F-INS-055A RAW SC'!CJ$17*100)</f>
        <v/>
      </c>
      <c r="CM72" s="130" t="str">
        <f>IF('Midterm OVPAA-F-INS-055A RAW SC'!CK72="","",'Midterm OVPAA-F-INS-055A RAW SC'!CK72/'Midterm OVPAA-F-INS-055A RAW SC'!CK$17*100)</f>
        <v/>
      </c>
      <c r="CN72" s="130" t="str">
        <f>IF('Midterm OVPAA-F-INS-055A RAW SC'!CL72="","",'Midterm OVPAA-F-INS-055A RAW SC'!CL72/'Midterm OVPAA-F-INS-055A RAW SC'!CL$17*100)</f>
        <v/>
      </c>
      <c r="CO72" s="130" t="str">
        <f>IF('Midterm OVPAA-F-INS-055A RAW SC'!CM72="","",'Midterm OVPAA-F-INS-055A RAW SC'!CM72/'Midterm OVPAA-F-INS-055A RAW SC'!CM$17*100)</f>
        <v/>
      </c>
      <c r="CP72" s="130" t="str">
        <f>IF('Midterm OVPAA-F-INS-055A RAW SC'!CN72="","",'Midterm OVPAA-F-INS-055A RAW SC'!CN72/'Midterm OVPAA-F-INS-055A RAW SC'!CN$17*100)</f>
        <v/>
      </c>
      <c r="CQ72" s="131" t="str">
        <f t="array" ref="CQ72">IF('Midterm OVPAA-F-INS-055A RAW SC'!G72="","",IF((SUMPRODUCT(--ISBLANK('Midterm OVPAA-F-INS-055A RAW SC'!BU72:CN72))=COLUMNS('Midterm OVPAA-F-INS-055A RAW SC'!BU72:CN72))=TRUE,"",(((COUNTA('Midterm OVPAA-F-INS-055A RAW SC'!$BU$17:$CN$17)+COUNTBLANK('Midterm OVPAA-F-INS-055A RAW SC'!BU72:CN72))-COLUMNS('Midterm OVPAA-F-INS-055A RAW SC'!BU72:CN72))*5+SUM(BW72:CP72))/COUNTA('Midterm OVPAA-F-INS-055A RAW SC'!$BU$17:$CN$17)))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IF('Midterm OVPAA-F-INS-055A RAW SC'!CO72="","",'Midterm OVPAA-F-INS-055A RAW SC'!CO72/'Midterm OVPAA-F-INS-055A RAW SC'!CO$17*100)</f>
        <v/>
      </c>
      <c r="CT72" s="133" t="str">
        <f>IF('Midterm OVPAA-F-INS-055A RAW SC'!CP72="","",'Midterm OVPAA-F-INS-055A RAW SC'!CP72/'Midterm OVPAA-F-INS-055A RAW SC'!CP$17*100)</f>
        <v/>
      </c>
      <c r="CU72" s="133" t="str">
        <f>IF('Midterm OVPAA-F-INS-055A RAW SC'!CQ72="","",'Midterm OVPAA-F-INS-055A RAW SC'!CQ72/'Midterm OVPAA-F-INS-055A RAW SC'!CQ$17*100)</f>
        <v/>
      </c>
      <c r="CV72" s="133" t="str">
        <f>IF('Midterm OVPAA-F-INS-055A RAW SC'!CR72="","",'Midterm OVPAA-F-INS-055A RAW SC'!CR72/'Midterm OVPAA-F-INS-055A RAW SC'!CR$17*100)</f>
        <v/>
      </c>
      <c r="CW72" s="133" t="str">
        <f>IF('Midterm OVPAA-F-INS-055A RAW SC'!CS72="","",'Midterm OVPAA-F-INS-055A RAW SC'!CS72/'Midterm OVPAA-F-INS-055A RAW SC'!CS$17*100)</f>
        <v/>
      </c>
      <c r="CX72" s="133" t="str">
        <f>IF('Midterm OVPAA-F-INS-055A RAW SC'!CT72="","",'Midterm OVPAA-F-INS-055A RAW SC'!CT72/'Midterm OVPAA-F-INS-055A RAW SC'!CT$17*100)</f>
        <v/>
      </c>
      <c r="CY72" s="133" t="str">
        <f>IF('Midterm OVPAA-F-INS-055A RAW SC'!CU72="","",'Midterm OVPAA-F-INS-055A RAW SC'!CU72/'Midterm OVPAA-F-INS-055A RAW SC'!CU$17*100)</f>
        <v/>
      </c>
      <c r="CZ72" s="133" t="str">
        <f>IF('Midterm OVPAA-F-INS-055A RAW SC'!CV72="","",'Midterm OVPAA-F-INS-055A RAW SC'!CV72/'Midterm OVPAA-F-INS-055A RAW SC'!CV$17*100)</f>
        <v/>
      </c>
      <c r="DA72" s="133" t="str">
        <f>IF('Midterm OVPAA-F-INS-055A RAW SC'!CW72="","",'Midterm OVPAA-F-INS-055A RAW SC'!CW72/'Midterm OVPAA-F-INS-055A RAW SC'!CW$17*100)</f>
        <v/>
      </c>
      <c r="DB72" s="133" t="str">
        <f>IF('Midterm OVPAA-F-INS-055A RAW SC'!CX72="","",'Midterm OVPAA-F-INS-055A RAW SC'!CX72/'Midterm OVPAA-F-INS-055A RAW SC'!CX$17*100)</f>
        <v/>
      </c>
      <c r="DC72" s="134" t="str">
        <f t="array" ref="DC72">IF('Midterm OVPAA-F-INS-055A RAW SC'!$G72="","",IF((SUMPRODUCT(--ISBLANK('Midterm OVPAA-F-INS-055A RAW SC'!CO72:CX72))=COLUMNS('Midterm OVPAA-F-INS-055A RAW SC'!CO72:CX72))=TRUE,"",(((COUNTA('Midterm OVPAA-F-INS-055A RAW SC'!$CO$17:$CX$17)+COUNTBLANK('Midterm OVPAA-F-INS-055A RAW SC'!CO72:CX72))-COLUMNS('Midterm OVPAA-F-INS-055A RAW SC'!CO72:CX72))*5+SUM(CS72:DB72))/COUNTA('Midterm OVPAA-F-INS-055A RAW SC'!$CO$17:$CX$17)))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37" t="str">
        <f t="shared" si="2"/>
        <v/>
      </c>
      <c r="DG72" s="138" t="str">
        <f t="shared" si="3"/>
        <v/>
      </c>
      <c r="DH72" s="136" t="str">
        <f t="shared" si="4"/>
        <v/>
      </c>
      <c r="DI72" s="123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IF('Midterm OVPAA-F-INS-055A RAW SC'!H73="","",'Midterm OVPAA-F-INS-055A RAW SC'!H73/'Midterm OVPAA-F-INS-055A RAW SC'!H$17*100)</f>
        <v/>
      </c>
      <c r="I73" s="126" t="str">
        <f>IF('Midterm OVPAA-F-INS-055A RAW SC'!I73="","",'Midterm OVPAA-F-INS-055A RAW SC'!I73/'Midterm OVPAA-F-INS-055A RAW SC'!I$17*100)</f>
        <v/>
      </c>
      <c r="J73" s="126" t="str">
        <f>IF('Midterm OVPAA-F-INS-055A RAW SC'!J73="","",'Midterm OVPAA-F-INS-055A RAW SC'!J73/'Midterm OVPAA-F-INS-055A RAW SC'!J$17*100)</f>
        <v/>
      </c>
      <c r="K73" s="126" t="str">
        <f>IF('Midterm OVPAA-F-INS-055A RAW SC'!K73="","",'Midterm OVPAA-F-INS-055A RAW SC'!K73/'Midterm OVPAA-F-INS-055A RAW SC'!K$17*100)</f>
        <v/>
      </c>
      <c r="L73" s="126" t="str">
        <f>IF('Midterm OVPAA-F-INS-055A RAW SC'!L73="","",'Midterm OVPAA-F-INS-055A RAW SC'!L73/'Midterm OVPAA-F-INS-055A RAW SC'!L$17*100)</f>
        <v/>
      </c>
      <c r="M73" s="126" t="str">
        <f>IF('Midterm OVPAA-F-INS-055A RAW SC'!M73="","",'Midterm OVPAA-F-INS-055A RAW SC'!M73/'Midterm OVPAA-F-INS-055A RAW SC'!M$17*100)</f>
        <v/>
      </c>
      <c r="N73" s="126" t="str">
        <f>IF('Midterm OVPAA-F-INS-055A RAW SC'!N73="","",'Midterm OVPAA-F-INS-055A RAW SC'!N73/'Midterm OVPAA-F-INS-055A RAW SC'!N$17*100)</f>
        <v/>
      </c>
      <c r="O73" s="126" t="str">
        <f>IF('Midterm OVPAA-F-INS-055A RAW SC'!O73="","",'Midterm OVPAA-F-INS-055A RAW SC'!O73/'Midterm OVPAA-F-INS-055A RAW SC'!O$17*100)</f>
        <v/>
      </c>
      <c r="P73" s="126" t="str">
        <f>IF('Midterm OVPAA-F-INS-055A RAW SC'!P73="","",'Midterm OVPAA-F-INS-055A RAW SC'!P73/'Midterm OVPAA-F-INS-055A RAW SC'!P$17*100)</f>
        <v/>
      </c>
      <c r="Q73" s="126" t="str">
        <f>IF('Midterm OVPAA-F-INS-055A RAW SC'!Q73="","",'Midterm OVPAA-F-INS-055A RAW SC'!Q73/'Midterm OVPAA-F-INS-055A RAW SC'!Q$17*100)</f>
        <v/>
      </c>
      <c r="R73" s="126" t="str">
        <f>IF('Midterm OVPAA-F-INS-055A RAW SC'!R73="","",'Midterm OVPAA-F-INS-055A RAW SC'!R73/'Midterm OVPAA-F-INS-055A RAW SC'!R$17*100)</f>
        <v/>
      </c>
      <c r="S73" s="126" t="str">
        <f>IF('Midterm OVPAA-F-INS-055A RAW SC'!S73="","",'Midterm OVPAA-F-INS-055A RAW SC'!S73/'Midterm OVPAA-F-INS-055A RAW SC'!S$17*100)</f>
        <v/>
      </c>
      <c r="T73" s="126" t="str">
        <f>IF('Midterm OVPAA-F-INS-055A RAW SC'!T73="","",'Midterm OVPAA-F-INS-055A RAW SC'!T73/'Midterm OVPAA-F-INS-055A RAW SC'!T$17*100)</f>
        <v/>
      </c>
      <c r="U73" s="126" t="str">
        <f>IF('Midterm OVPAA-F-INS-055A RAW SC'!U73="","",'Midterm OVPAA-F-INS-055A RAW SC'!U73/'Midterm OVPAA-F-INS-055A RAW SC'!U$17*100)</f>
        <v/>
      </c>
      <c r="V73" s="126" t="str">
        <f>IF('Midterm OVPAA-F-INS-055A RAW SC'!V73="","",'Midterm OVPAA-F-INS-055A RAW SC'!V73/'Midterm OVPAA-F-INS-055A RAW SC'!V$17*100)</f>
        <v/>
      </c>
      <c r="W73" s="126" t="str">
        <f>IF('Midterm OVPAA-F-INS-055A RAW SC'!W73="","",'Midterm OVPAA-F-INS-055A RAW SC'!W73/'Midterm OVPAA-F-INS-055A RAW SC'!W$17*100)</f>
        <v/>
      </c>
      <c r="X73" s="126" t="str">
        <f>IF('Midterm OVPAA-F-INS-055A RAW SC'!X73="","",'Midterm OVPAA-F-INS-055A RAW SC'!X73/'Midterm OVPAA-F-INS-055A RAW SC'!X$17*100)</f>
        <v/>
      </c>
      <c r="Y73" s="126" t="str">
        <f>IF('Midterm OVPAA-F-INS-055A RAW SC'!Y73="","",'Midterm OVPAA-F-INS-055A RAW SC'!Y73/'Midterm OVPAA-F-INS-055A RAW SC'!Y$17*100)</f>
        <v/>
      </c>
      <c r="Z73" s="126" t="str">
        <f>IF('Midterm OVPAA-F-INS-055A RAW SC'!Z73="","",'Midterm OVPAA-F-INS-055A RAW SC'!Z73/'Midterm OVPAA-F-INS-055A RAW SC'!Z$17*100)</f>
        <v/>
      </c>
      <c r="AA73" s="126" t="str">
        <f>IF('Midterm OVPAA-F-INS-055A RAW SC'!AA73="","",'Midterm OVPAA-F-INS-055A RAW SC'!AA73/'Midterm OVPAA-F-INS-055A RAW SC'!AA$17*100)</f>
        <v/>
      </c>
      <c r="AB73" s="126" t="str">
        <f>IF('Midterm OVPAA-F-INS-055A RAW SC'!AB73="","",'Midterm OVPAA-F-INS-055A RAW SC'!AB73/'Midterm OVPAA-F-INS-055A RAW SC'!AB$17*100)</f>
        <v/>
      </c>
      <c r="AC73" s="126" t="str">
        <f>IF('Midterm OVPAA-F-INS-055A RAW SC'!AC73="","",'Midterm OVPAA-F-INS-055A RAW SC'!AC73/'Midterm OVPAA-F-INS-055A RAW SC'!AC$17*100)</f>
        <v/>
      </c>
      <c r="AD73" s="126" t="str">
        <f>IF('Midterm OVPAA-F-INS-055A RAW SC'!AD73="","",'Midterm OVPAA-F-INS-055A RAW SC'!AD73/'Midterm OVPAA-F-INS-055A RAW SC'!AD$17*100)</f>
        <v/>
      </c>
      <c r="AE73" s="126" t="str">
        <f>IF('Midterm OVPAA-F-INS-055A RAW SC'!AE73="","",'Midterm OVPAA-F-INS-055A RAW SC'!AE73/'Midterm OVPAA-F-INS-055A RAW SC'!AE$17*100)</f>
        <v/>
      </c>
      <c r="AF73" s="126" t="str">
        <f>IF('Midterm OVPAA-F-INS-055A RAW SC'!AF73="","",'Midterm OVPAA-F-INS-055A RAW SC'!AF73/'Midterm OVPAA-F-INS-055A RAW SC'!AF$17*100)</f>
        <v/>
      </c>
      <c r="AG73" s="126" t="str">
        <f>IF('Midterm OVPAA-F-INS-055A RAW SC'!AG73="","",'Midterm OVPAA-F-INS-055A RAW SC'!AG73/'Midterm OVPAA-F-INS-055A RAW SC'!AG$17*100)</f>
        <v/>
      </c>
      <c r="AH73" s="126" t="str">
        <f>IF('Midterm OVPAA-F-INS-055A RAW SC'!AH73="","",'Midterm OVPAA-F-INS-055A RAW SC'!AH73/'Midterm OVPAA-F-INS-055A RAW SC'!AH$17*100)</f>
        <v/>
      </c>
      <c r="AI73" s="126" t="str">
        <f>IF('Midterm OVPAA-F-INS-055A RAW SC'!AI73="","",'Midterm OVPAA-F-INS-055A RAW SC'!AI73/'Midterm OVPAA-F-INS-055A RAW SC'!AI$17*100)</f>
        <v/>
      </c>
      <c r="AJ73" s="126" t="str">
        <f>IF('Midterm OVPAA-F-INS-055A RAW SC'!AJ73="","",'Midterm OVPAA-F-INS-055A RAW SC'!AJ73/'Midterm OVPAA-F-INS-055A RAW SC'!AJ$17*100)</f>
        <v/>
      </c>
      <c r="AK73" s="126" t="str">
        <f>IF('Midterm OVPAA-F-INS-055A RAW SC'!AK73="","",'Midterm OVPAA-F-INS-055A RAW SC'!AK73/'Midterm OVPAA-F-INS-055A RAW SC'!AK$17*100)</f>
        <v/>
      </c>
      <c r="AL73" s="126" t="str">
        <f>IF('Midterm OVPAA-F-INS-055A RAW SC'!AL73="","",'Midterm OVPAA-F-INS-055A RAW SC'!AL73/'Midterm OVPAA-F-INS-055A RAW SC'!AL$17*100)</f>
        <v/>
      </c>
      <c r="AM73" s="126" t="str">
        <f>IF('Midterm OVPAA-F-INS-055A RAW SC'!AM73="","",'Midterm OVPAA-F-INS-055A RAW SC'!AM73/'Midterm OVPAA-F-INS-055A RAW SC'!AM$17*100)</f>
        <v/>
      </c>
      <c r="AN73" s="126" t="str">
        <f>IF('Midterm OVPAA-F-INS-055A RAW SC'!AN73="","",'Midterm OVPAA-F-INS-055A RAW SC'!AN73/'Midterm OVPAA-F-INS-055A RAW SC'!AN$17*100)</f>
        <v/>
      </c>
      <c r="AO73" s="126" t="str">
        <f>IF('Midterm OVPAA-F-INS-055A RAW SC'!AO73="","",'Midterm OVPAA-F-INS-055A RAW SC'!AO73/'Midterm OVPAA-F-INS-055A RAW SC'!AO$17*100)</f>
        <v/>
      </c>
      <c r="AP73" s="126" t="str">
        <f>IF('Midterm OVPAA-F-INS-055A RAW SC'!AP73="","",'Midterm OVPAA-F-INS-055A RAW SC'!AP73/'Midterm OVPAA-F-INS-055A RAW SC'!AP$17*100)</f>
        <v/>
      </c>
      <c r="AQ73" s="126" t="str">
        <f>IF('Midterm OVPAA-F-INS-055A RAW SC'!AQ73="","",'Midterm OVPAA-F-INS-055A RAW SC'!AQ73/'Midterm OVPAA-F-INS-055A RAW SC'!AQ$17*100)</f>
        <v/>
      </c>
      <c r="AR73" s="126" t="str">
        <f>IF('Midterm OVPAA-F-INS-055A RAW SC'!AR73="","",'Midterm OVPAA-F-INS-055A RAW SC'!AR73/'Midterm OVPAA-F-INS-055A RAW SC'!AR$17*100)</f>
        <v/>
      </c>
      <c r="AS73" s="126" t="str">
        <f>IF('Midterm OVPAA-F-INS-055A RAW SC'!AS73="","",'Midterm OVPAA-F-INS-055A RAW SC'!AS73/'Midterm OVPAA-F-INS-055A RAW SC'!AS$17*100)</f>
        <v/>
      </c>
      <c r="AT73" s="126" t="str">
        <f>IF('Midterm OVPAA-F-INS-055A RAW SC'!AT73="","",'Midterm OVPAA-F-INS-055A RAW SC'!AT73/'Midterm OVPAA-F-INS-055A RAW SC'!AT$17*100)</f>
        <v/>
      </c>
      <c r="AU73" s="126" t="str">
        <f>IF('Midterm OVPAA-F-INS-055A RAW SC'!AU73="","",'Midterm OVPAA-F-INS-055A RAW SC'!AU73/'Midterm OVPAA-F-INS-055A RAW SC'!AU$17*100)</f>
        <v/>
      </c>
      <c r="AV73" s="126" t="str">
        <f>IF('Midterm OVPAA-F-INS-055A RAW SC'!AV73="","",'Midterm OVPAA-F-INS-055A RAW SC'!AV73/'Midterm OVPAA-F-INS-055A RAW SC'!AV$17*100)</f>
        <v/>
      </c>
      <c r="AW73" s="126" t="str">
        <f>IF('Midterm OVPAA-F-INS-055A RAW SC'!AW73="","",'Midterm OVPAA-F-INS-055A RAW SC'!AW73/'Midterm OVPAA-F-INS-055A RAW SC'!AW$17*100)</f>
        <v/>
      </c>
      <c r="AX73" s="126" t="str">
        <f>IF('Midterm OVPAA-F-INS-055A RAW SC'!AX73="","",'Midterm OVPAA-F-INS-055A RAW SC'!AX73/'Midterm OVPAA-F-INS-055A RAW SC'!AX$17*100)</f>
        <v/>
      </c>
      <c r="AY73" s="126" t="str">
        <f>IF('Midterm OVPAA-F-INS-055A RAW SC'!AY73="","",'Midterm OVPAA-F-INS-055A RAW SC'!AY73/'Midterm OVPAA-F-INS-055A RAW SC'!AY$17*100)</f>
        <v/>
      </c>
      <c r="AZ73" s="126" t="str">
        <f>IF('Midterm OVPAA-F-INS-055A RAW SC'!AZ73="","",'Midterm OVPAA-F-INS-055A RAW SC'!AZ73/'Midterm OVPAA-F-INS-055A RAW SC'!AZ$17*100)</f>
        <v/>
      </c>
      <c r="BA73" s="126" t="str">
        <f>IF('Midterm OVPAA-F-INS-055A RAW SC'!BA73="","",'Midterm OVPAA-F-INS-055A RAW SC'!BA73/'Midterm OVPAA-F-INS-055A RAW SC'!BA$17*100)</f>
        <v/>
      </c>
      <c r="BB73" s="126" t="str">
        <f>IF('Midterm OVPAA-F-INS-055A RAW SC'!BB73="","",'Midterm OVPAA-F-INS-055A RAW SC'!BB73/'Midterm OVPAA-F-INS-055A RAW SC'!BB$17*100)</f>
        <v/>
      </c>
      <c r="BC73" s="126" t="str">
        <f>IF('Midterm OVPAA-F-INS-055A RAW SC'!BC73="","",'Midterm OVPAA-F-INS-055A RAW SC'!BC73/'Midterm OVPAA-F-INS-055A RAW SC'!BC$17*100)</f>
        <v/>
      </c>
      <c r="BD73" s="126" t="str">
        <f>IF('Midterm OVPAA-F-INS-055A RAW SC'!BD73="","",'Midterm OVPAA-F-INS-055A RAW SC'!BD73/'Midterm OVPAA-F-INS-055A RAW SC'!BD$17*100)</f>
        <v/>
      </c>
      <c r="BE73" s="126" t="str">
        <f>IF('Midterm OVPAA-F-INS-055A RAW SC'!BE73="","",'Midterm OVPAA-F-INS-055A RAW SC'!BE73/'Midterm OVPAA-F-INS-055A RAW SC'!BE$17*100)</f>
        <v/>
      </c>
      <c r="BF73" s="126" t="str">
        <f>IF('Midterm OVPAA-F-INS-055A RAW SC'!BF73="","",'Midterm OVPAA-F-INS-055A RAW SC'!BF73/'Midterm OVPAA-F-INS-055A RAW SC'!BF$17*100)</f>
        <v/>
      </c>
      <c r="BG73" s="126" t="str">
        <f>IF('Midterm OVPAA-F-INS-055A RAW SC'!BG73="","",'Midterm OVPAA-F-INS-055A RAW SC'!BG73/'Midterm OVPAA-F-INS-055A RAW SC'!BG$17*100)</f>
        <v/>
      </c>
      <c r="BH73" s="126" t="str">
        <f>IF('Midterm OVPAA-F-INS-055A RAW SC'!BH73="","",'Midterm OVPAA-F-INS-055A RAW SC'!BH73/'Midterm OVPAA-F-INS-055A RAW SC'!BH$17*100)</f>
        <v/>
      </c>
      <c r="BI73" s="126" t="str">
        <f>IF('Midterm OVPAA-F-INS-055A RAW SC'!BI73="","",'Midterm OVPAA-F-INS-055A RAW SC'!BI73/'Midterm OVPAA-F-INS-055A RAW SC'!BI$17*100)</f>
        <v/>
      </c>
      <c r="BJ73" s="126" t="str">
        <f>IF('Midterm OVPAA-F-INS-055A RAW SC'!BJ73="","",'Midterm OVPAA-F-INS-055A RAW SC'!BJ73/'Midterm OVPAA-F-INS-055A RAW SC'!BJ$17*100)</f>
        <v/>
      </c>
      <c r="BK73" s="126" t="str">
        <f>IF('Midterm OVPAA-F-INS-055A RAW SC'!BK73="","",'Midterm OVPAA-F-INS-055A RAW SC'!BK73/'Midterm OVPAA-F-INS-055A RAW SC'!BK$17*100)</f>
        <v/>
      </c>
      <c r="BL73" s="126" t="str">
        <f>IF('Midterm OVPAA-F-INS-055A RAW SC'!BL73="","",'Midterm OVPAA-F-INS-055A RAW SC'!BL73/'Midterm OVPAA-F-INS-055A RAW SC'!BL$17*100)</f>
        <v/>
      </c>
      <c r="BM73" s="126" t="str">
        <f>IF('Midterm OVPAA-F-INS-055A RAW SC'!BM73="","",'Midterm OVPAA-F-INS-055A RAW SC'!BM73/'Midterm OVPAA-F-INS-055A RAW SC'!BM$17*100)</f>
        <v/>
      </c>
      <c r="BN73" s="126" t="str">
        <f>IF('Midterm OVPAA-F-INS-055A RAW SC'!BN73="","",'Midterm OVPAA-F-INS-055A RAW SC'!BN73/'Midterm OVPAA-F-INS-055A RAW SC'!BN$17*100)</f>
        <v/>
      </c>
      <c r="BO73" s="126" t="str">
        <f>IF('Midterm OVPAA-F-INS-055A RAW SC'!BO73="","",'Midterm OVPAA-F-INS-055A RAW SC'!BO73/'Midterm OVPAA-F-INS-055A RAW SC'!BO$17*100)</f>
        <v/>
      </c>
      <c r="BP73" s="126" t="str">
        <f>IF('Midterm OVPAA-F-INS-055A RAW SC'!BP73="","",'Midterm OVPAA-F-INS-055A RAW SC'!BP73/'Midterm OVPAA-F-INS-055A RAW SC'!BP$17*100)</f>
        <v/>
      </c>
      <c r="BQ73" s="126" t="str">
        <f>IF('Midterm OVPAA-F-INS-055A RAW SC'!BQ73="","",'Midterm OVPAA-F-INS-055A RAW SC'!BQ73/'Midterm OVPAA-F-INS-055A RAW SC'!BQ$17*100)</f>
        <v/>
      </c>
      <c r="BR73" s="126" t="str">
        <f>IF('Midterm OVPAA-F-INS-055A RAW SC'!BR73="","",'Midterm OVPAA-F-INS-055A RAW SC'!BR73/'Midterm OVPAA-F-INS-055A RAW SC'!BR$17*100)</f>
        <v/>
      </c>
      <c r="BS73" s="126" t="str">
        <f>IF('Midterm OVPAA-F-INS-055A RAW SC'!BS73="","",'Midterm OVPAA-F-INS-055A RAW SC'!BS73/'Midterm OVPAA-F-INS-055A RAW SC'!BS$17*100)</f>
        <v/>
      </c>
      <c r="BT73" s="126" t="str">
        <f>IF('Midterm OVPAA-F-INS-055A RAW SC'!BT73="","",'Midterm OVPAA-F-INS-055A RAW SC'!BT73/'Midterm OVPAA-F-INS-055A RAW SC'!BT$17*100)</f>
        <v/>
      </c>
      <c r="BU73" s="127" t="str">
        <f t="array" ref="BU73">IF('Midterm OVPAA-F-INS-055A RAW SC'!$G73="","",IF((SUMPRODUCT(--ISBLANK('Midterm OVPAA-F-INS-055A RAW SC'!H73:BT73))=COLUMNS('Midterm OVPAA-F-INS-055A RAW SC'!H73:BT73))=TRUE,"",(((COUNTA('Midterm OVPAA-F-INS-055A RAW SC'!$H$17:$BT$17)+COUNTBLANK('Midterm OVPAA-F-INS-055A RAW SC'!H73:BT73))-COLUMNS('Midterm OVPAA-F-INS-055A RAW SC'!H73:BT73))*5+SUM(H73:BT73))/COUNTA('Midterm OVPAA-F-INS-055A RAW SC'!$H$17:$BT$17)))</f>
        <v/>
      </c>
      <c r="BV73" s="128" t="str">
        <f>IF(BU73="","",VLOOKUP(BU73,IF('Midterm OVPAA-F-INS-055A RAW SC'!$V$12=0.5,TRANSMUTATION!$C$4:$D$17,TRANSMUTATION!$G$4:$H$17),2,TRUE))</f>
        <v/>
      </c>
      <c r="BW73" s="129" t="str">
        <f>IF('Midterm OVPAA-F-INS-055A RAW SC'!BU73="","",'Midterm OVPAA-F-INS-055A RAW SC'!BU73/'Midterm OVPAA-F-INS-055A RAW SC'!BU$17*100)</f>
        <v/>
      </c>
      <c r="BX73" s="130" t="str">
        <f>IF('Midterm OVPAA-F-INS-055A RAW SC'!BV73="","",'Midterm OVPAA-F-INS-055A RAW SC'!BV73/'Midterm OVPAA-F-INS-055A RAW SC'!BV$17*100)</f>
        <v/>
      </c>
      <c r="BY73" s="130" t="str">
        <f>IF('Midterm OVPAA-F-INS-055A RAW SC'!BW73="","",'Midterm OVPAA-F-INS-055A RAW SC'!BW73/'Midterm OVPAA-F-INS-055A RAW SC'!BW$17*100)</f>
        <v/>
      </c>
      <c r="BZ73" s="130" t="str">
        <f>IF('Midterm OVPAA-F-INS-055A RAW SC'!BX73="","",'Midterm OVPAA-F-INS-055A RAW SC'!BX73/'Midterm OVPAA-F-INS-055A RAW SC'!BX$17*100)</f>
        <v/>
      </c>
      <c r="CA73" s="130" t="str">
        <f>IF('Midterm OVPAA-F-INS-055A RAW SC'!BY73="","",'Midterm OVPAA-F-INS-055A RAW SC'!BY73/'Midterm OVPAA-F-INS-055A RAW SC'!BY$17*100)</f>
        <v/>
      </c>
      <c r="CB73" s="130" t="str">
        <f>IF('Midterm OVPAA-F-INS-055A RAW SC'!BZ73="","",'Midterm OVPAA-F-INS-055A RAW SC'!BZ73/'Midterm OVPAA-F-INS-055A RAW SC'!BZ$17*100)</f>
        <v/>
      </c>
      <c r="CC73" s="130" t="str">
        <f>IF('Midterm OVPAA-F-INS-055A RAW SC'!CA73="","",'Midterm OVPAA-F-INS-055A RAW SC'!CA73/'Midterm OVPAA-F-INS-055A RAW SC'!CA$17*100)</f>
        <v/>
      </c>
      <c r="CD73" s="130" t="str">
        <f>IF('Midterm OVPAA-F-INS-055A RAW SC'!CB73="","",'Midterm OVPAA-F-INS-055A RAW SC'!CB73/'Midterm OVPAA-F-INS-055A RAW SC'!CB$17*100)</f>
        <v/>
      </c>
      <c r="CE73" s="130" t="str">
        <f>IF('Midterm OVPAA-F-INS-055A RAW SC'!CC73="","",'Midterm OVPAA-F-INS-055A RAW SC'!CC73/'Midterm OVPAA-F-INS-055A RAW SC'!CC$17*100)</f>
        <v/>
      </c>
      <c r="CF73" s="130" t="str">
        <f>IF('Midterm OVPAA-F-INS-055A RAW SC'!CD73="","",'Midterm OVPAA-F-INS-055A RAW SC'!CD73/'Midterm OVPAA-F-INS-055A RAW SC'!CD$17*100)</f>
        <v/>
      </c>
      <c r="CG73" s="130" t="str">
        <f>IF('Midterm OVPAA-F-INS-055A RAW SC'!CE73="","",'Midterm OVPAA-F-INS-055A RAW SC'!CE73/'Midterm OVPAA-F-INS-055A RAW SC'!CE$17*100)</f>
        <v/>
      </c>
      <c r="CH73" s="130" t="str">
        <f>IF('Midterm OVPAA-F-INS-055A RAW SC'!CF73="","",'Midterm OVPAA-F-INS-055A RAW SC'!CF73/'Midterm OVPAA-F-INS-055A RAW SC'!CF$17*100)</f>
        <v/>
      </c>
      <c r="CI73" s="130" t="str">
        <f>IF('Midterm OVPAA-F-INS-055A RAW SC'!CG73="","",'Midterm OVPAA-F-INS-055A RAW SC'!CG73/'Midterm OVPAA-F-INS-055A RAW SC'!CG$17*100)</f>
        <v/>
      </c>
      <c r="CJ73" s="130" t="str">
        <f>IF('Midterm OVPAA-F-INS-055A RAW SC'!CH73="","",'Midterm OVPAA-F-INS-055A RAW SC'!CH73/'Midterm OVPAA-F-INS-055A RAW SC'!CH$17*100)</f>
        <v/>
      </c>
      <c r="CK73" s="130" t="str">
        <f>IF('Midterm OVPAA-F-INS-055A RAW SC'!CI73="","",'Midterm OVPAA-F-INS-055A RAW SC'!CI73/'Midterm OVPAA-F-INS-055A RAW SC'!CI$17*100)</f>
        <v/>
      </c>
      <c r="CL73" s="130" t="str">
        <f>IF('Midterm OVPAA-F-INS-055A RAW SC'!CJ73="","",'Midterm OVPAA-F-INS-055A RAW SC'!CJ73/'Midterm OVPAA-F-INS-055A RAW SC'!CJ$17*100)</f>
        <v/>
      </c>
      <c r="CM73" s="130" t="str">
        <f>IF('Midterm OVPAA-F-INS-055A RAW SC'!CK73="","",'Midterm OVPAA-F-INS-055A RAW SC'!CK73/'Midterm OVPAA-F-INS-055A RAW SC'!CK$17*100)</f>
        <v/>
      </c>
      <c r="CN73" s="130" t="str">
        <f>IF('Midterm OVPAA-F-INS-055A RAW SC'!CL73="","",'Midterm OVPAA-F-INS-055A RAW SC'!CL73/'Midterm OVPAA-F-INS-055A RAW SC'!CL$17*100)</f>
        <v/>
      </c>
      <c r="CO73" s="130" t="str">
        <f>IF('Midterm OVPAA-F-INS-055A RAW SC'!CM73="","",'Midterm OVPAA-F-INS-055A RAW SC'!CM73/'Midterm OVPAA-F-INS-055A RAW SC'!CM$17*100)</f>
        <v/>
      </c>
      <c r="CP73" s="130" t="str">
        <f>IF('Midterm OVPAA-F-INS-055A RAW SC'!CN73="","",'Midterm OVPAA-F-INS-055A RAW SC'!CN73/'Midterm OVPAA-F-INS-055A RAW SC'!CN$17*100)</f>
        <v/>
      </c>
      <c r="CQ73" s="131" t="str">
        <f t="array" ref="CQ73">IF('Midterm OVPAA-F-INS-055A RAW SC'!G73="","",IF((SUMPRODUCT(--ISBLANK('Midterm OVPAA-F-INS-055A RAW SC'!BU73:CN73))=COLUMNS('Midterm OVPAA-F-INS-055A RAW SC'!BU73:CN73))=TRUE,"",(((COUNTA('Midterm OVPAA-F-INS-055A RAW SC'!$BU$17:$CN$17)+COUNTBLANK('Midterm OVPAA-F-INS-055A RAW SC'!BU73:CN73))-COLUMNS('Midterm OVPAA-F-INS-055A RAW SC'!BU73:CN73))*5+SUM(BW73:CP73))/COUNTA('Midterm OVPAA-F-INS-055A RAW SC'!$BU$17:$CN$17)))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IF('Midterm OVPAA-F-INS-055A RAW SC'!CO73="","",'Midterm OVPAA-F-INS-055A RAW SC'!CO73/'Midterm OVPAA-F-INS-055A RAW SC'!CO$17*100)</f>
        <v/>
      </c>
      <c r="CT73" s="133" t="str">
        <f>IF('Midterm OVPAA-F-INS-055A RAW SC'!CP73="","",'Midterm OVPAA-F-INS-055A RAW SC'!CP73/'Midterm OVPAA-F-INS-055A RAW SC'!CP$17*100)</f>
        <v/>
      </c>
      <c r="CU73" s="133" t="str">
        <f>IF('Midterm OVPAA-F-INS-055A RAW SC'!CQ73="","",'Midterm OVPAA-F-INS-055A RAW SC'!CQ73/'Midterm OVPAA-F-INS-055A RAW SC'!CQ$17*100)</f>
        <v/>
      </c>
      <c r="CV73" s="133" t="str">
        <f>IF('Midterm OVPAA-F-INS-055A RAW SC'!CR73="","",'Midterm OVPAA-F-INS-055A RAW SC'!CR73/'Midterm OVPAA-F-INS-055A RAW SC'!CR$17*100)</f>
        <v/>
      </c>
      <c r="CW73" s="133" t="str">
        <f>IF('Midterm OVPAA-F-INS-055A RAW SC'!CS73="","",'Midterm OVPAA-F-INS-055A RAW SC'!CS73/'Midterm OVPAA-F-INS-055A RAW SC'!CS$17*100)</f>
        <v/>
      </c>
      <c r="CX73" s="133" t="str">
        <f>IF('Midterm OVPAA-F-INS-055A RAW SC'!CT73="","",'Midterm OVPAA-F-INS-055A RAW SC'!CT73/'Midterm OVPAA-F-INS-055A RAW SC'!CT$17*100)</f>
        <v/>
      </c>
      <c r="CY73" s="133" t="str">
        <f>IF('Midterm OVPAA-F-INS-055A RAW SC'!CU73="","",'Midterm OVPAA-F-INS-055A RAW SC'!CU73/'Midterm OVPAA-F-INS-055A RAW SC'!CU$17*100)</f>
        <v/>
      </c>
      <c r="CZ73" s="133" t="str">
        <f>IF('Midterm OVPAA-F-INS-055A RAW SC'!CV73="","",'Midterm OVPAA-F-INS-055A RAW SC'!CV73/'Midterm OVPAA-F-INS-055A RAW SC'!CV$17*100)</f>
        <v/>
      </c>
      <c r="DA73" s="133" t="str">
        <f>IF('Midterm OVPAA-F-INS-055A RAW SC'!CW73="","",'Midterm OVPAA-F-INS-055A RAW SC'!CW73/'Midterm OVPAA-F-INS-055A RAW SC'!CW$17*100)</f>
        <v/>
      </c>
      <c r="DB73" s="133" t="str">
        <f>IF('Midterm OVPAA-F-INS-055A RAW SC'!CX73="","",'Midterm OVPAA-F-INS-055A RAW SC'!CX73/'Midterm OVPAA-F-INS-055A RAW SC'!CX$17*100)</f>
        <v/>
      </c>
      <c r="DC73" s="134" t="str">
        <f t="array" ref="DC73">IF('Midterm OVPAA-F-INS-055A RAW SC'!$G73="","",IF((SUMPRODUCT(--ISBLANK('Midterm OVPAA-F-INS-055A RAW SC'!CO73:CX73))=COLUMNS('Midterm OVPAA-F-INS-055A RAW SC'!CO73:CX73))=TRUE,"",(((COUNTA('Midterm OVPAA-F-INS-055A RAW SC'!$CO$17:$CX$17)+COUNTBLANK('Midterm OVPAA-F-INS-055A RAW SC'!CO73:CX73))-COLUMNS('Midterm OVPAA-F-INS-055A RAW SC'!CO73:CX73))*5+SUM(CS73:DB73))/COUNTA('Midterm OVPAA-F-INS-055A RAW SC'!$CO$17:$CX$17)))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37" t="str">
        <f t="shared" si="2"/>
        <v/>
      </c>
      <c r="DG73" s="138" t="str">
        <f t="shared" si="3"/>
        <v/>
      </c>
      <c r="DH73" s="136" t="str">
        <f t="shared" si="4"/>
        <v/>
      </c>
      <c r="DI73" s="123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IF('Midterm OVPAA-F-INS-055A RAW SC'!H74="","",'Midterm OVPAA-F-INS-055A RAW SC'!H74/'Midterm OVPAA-F-INS-055A RAW SC'!H$17*100)</f>
        <v/>
      </c>
      <c r="I74" s="126" t="str">
        <f>IF('Midterm OVPAA-F-INS-055A RAW SC'!I74="","",'Midterm OVPAA-F-INS-055A RAW SC'!I74/'Midterm OVPAA-F-INS-055A RAW SC'!I$17*100)</f>
        <v/>
      </c>
      <c r="J74" s="126" t="str">
        <f>IF('Midterm OVPAA-F-INS-055A RAW SC'!J74="","",'Midterm OVPAA-F-INS-055A RAW SC'!J74/'Midterm OVPAA-F-INS-055A RAW SC'!J$17*100)</f>
        <v/>
      </c>
      <c r="K74" s="126" t="str">
        <f>IF('Midterm OVPAA-F-INS-055A RAW SC'!K74="","",'Midterm OVPAA-F-INS-055A RAW SC'!K74/'Midterm OVPAA-F-INS-055A RAW SC'!K$17*100)</f>
        <v/>
      </c>
      <c r="L74" s="126" t="str">
        <f>IF('Midterm OVPAA-F-INS-055A RAW SC'!L74="","",'Midterm OVPAA-F-INS-055A RAW SC'!L74/'Midterm OVPAA-F-INS-055A RAW SC'!L$17*100)</f>
        <v/>
      </c>
      <c r="M74" s="126" t="str">
        <f>IF('Midterm OVPAA-F-INS-055A RAW SC'!M74="","",'Midterm OVPAA-F-INS-055A RAW SC'!M74/'Midterm OVPAA-F-INS-055A RAW SC'!M$17*100)</f>
        <v/>
      </c>
      <c r="N74" s="126" t="str">
        <f>IF('Midterm OVPAA-F-INS-055A RAW SC'!N74="","",'Midterm OVPAA-F-INS-055A RAW SC'!N74/'Midterm OVPAA-F-INS-055A RAW SC'!N$17*100)</f>
        <v/>
      </c>
      <c r="O74" s="126" t="str">
        <f>IF('Midterm OVPAA-F-INS-055A RAW SC'!O74="","",'Midterm OVPAA-F-INS-055A RAW SC'!O74/'Midterm OVPAA-F-INS-055A RAW SC'!O$17*100)</f>
        <v/>
      </c>
      <c r="P74" s="126" t="str">
        <f>IF('Midterm OVPAA-F-INS-055A RAW SC'!P74="","",'Midterm OVPAA-F-INS-055A RAW SC'!P74/'Midterm OVPAA-F-INS-055A RAW SC'!P$17*100)</f>
        <v/>
      </c>
      <c r="Q74" s="126" t="str">
        <f>IF('Midterm OVPAA-F-INS-055A RAW SC'!Q74="","",'Midterm OVPAA-F-INS-055A RAW SC'!Q74/'Midterm OVPAA-F-INS-055A RAW SC'!Q$17*100)</f>
        <v/>
      </c>
      <c r="R74" s="126" t="str">
        <f>IF('Midterm OVPAA-F-INS-055A RAW SC'!R74="","",'Midterm OVPAA-F-INS-055A RAW SC'!R74/'Midterm OVPAA-F-INS-055A RAW SC'!R$17*100)</f>
        <v/>
      </c>
      <c r="S74" s="126" t="str">
        <f>IF('Midterm OVPAA-F-INS-055A RAW SC'!S74="","",'Midterm OVPAA-F-INS-055A RAW SC'!S74/'Midterm OVPAA-F-INS-055A RAW SC'!S$17*100)</f>
        <v/>
      </c>
      <c r="T74" s="126" t="str">
        <f>IF('Midterm OVPAA-F-INS-055A RAW SC'!T74="","",'Midterm OVPAA-F-INS-055A RAW SC'!T74/'Midterm OVPAA-F-INS-055A RAW SC'!T$17*100)</f>
        <v/>
      </c>
      <c r="U74" s="126" t="str">
        <f>IF('Midterm OVPAA-F-INS-055A RAW SC'!U74="","",'Midterm OVPAA-F-INS-055A RAW SC'!U74/'Midterm OVPAA-F-INS-055A RAW SC'!U$17*100)</f>
        <v/>
      </c>
      <c r="V74" s="126" t="str">
        <f>IF('Midterm OVPAA-F-INS-055A RAW SC'!V74="","",'Midterm OVPAA-F-INS-055A RAW SC'!V74/'Midterm OVPAA-F-INS-055A RAW SC'!V$17*100)</f>
        <v/>
      </c>
      <c r="W74" s="126" t="str">
        <f>IF('Midterm OVPAA-F-INS-055A RAW SC'!W74="","",'Midterm OVPAA-F-INS-055A RAW SC'!W74/'Midterm OVPAA-F-INS-055A RAW SC'!W$17*100)</f>
        <v/>
      </c>
      <c r="X74" s="126" t="str">
        <f>IF('Midterm OVPAA-F-INS-055A RAW SC'!X74="","",'Midterm OVPAA-F-INS-055A RAW SC'!X74/'Midterm OVPAA-F-INS-055A RAW SC'!X$17*100)</f>
        <v/>
      </c>
      <c r="Y74" s="126" t="str">
        <f>IF('Midterm OVPAA-F-INS-055A RAW SC'!Y74="","",'Midterm OVPAA-F-INS-055A RAW SC'!Y74/'Midterm OVPAA-F-INS-055A RAW SC'!Y$17*100)</f>
        <v/>
      </c>
      <c r="Z74" s="126" t="str">
        <f>IF('Midterm OVPAA-F-INS-055A RAW SC'!Z74="","",'Midterm OVPAA-F-INS-055A RAW SC'!Z74/'Midterm OVPAA-F-INS-055A RAW SC'!Z$17*100)</f>
        <v/>
      </c>
      <c r="AA74" s="126" t="str">
        <f>IF('Midterm OVPAA-F-INS-055A RAW SC'!AA74="","",'Midterm OVPAA-F-INS-055A RAW SC'!AA74/'Midterm OVPAA-F-INS-055A RAW SC'!AA$17*100)</f>
        <v/>
      </c>
      <c r="AB74" s="126" t="str">
        <f>IF('Midterm OVPAA-F-INS-055A RAW SC'!AB74="","",'Midterm OVPAA-F-INS-055A RAW SC'!AB74/'Midterm OVPAA-F-INS-055A RAW SC'!AB$17*100)</f>
        <v/>
      </c>
      <c r="AC74" s="126" t="str">
        <f>IF('Midterm OVPAA-F-INS-055A RAW SC'!AC74="","",'Midterm OVPAA-F-INS-055A RAW SC'!AC74/'Midterm OVPAA-F-INS-055A RAW SC'!AC$17*100)</f>
        <v/>
      </c>
      <c r="AD74" s="126" t="str">
        <f>IF('Midterm OVPAA-F-INS-055A RAW SC'!AD74="","",'Midterm OVPAA-F-INS-055A RAW SC'!AD74/'Midterm OVPAA-F-INS-055A RAW SC'!AD$17*100)</f>
        <v/>
      </c>
      <c r="AE74" s="126" t="str">
        <f>IF('Midterm OVPAA-F-INS-055A RAW SC'!AE74="","",'Midterm OVPAA-F-INS-055A RAW SC'!AE74/'Midterm OVPAA-F-INS-055A RAW SC'!AE$17*100)</f>
        <v/>
      </c>
      <c r="AF74" s="126" t="str">
        <f>IF('Midterm OVPAA-F-INS-055A RAW SC'!AF74="","",'Midterm OVPAA-F-INS-055A RAW SC'!AF74/'Midterm OVPAA-F-INS-055A RAW SC'!AF$17*100)</f>
        <v/>
      </c>
      <c r="AG74" s="126" t="str">
        <f>IF('Midterm OVPAA-F-INS-055A RAW SC'!AG74="","",'Midterm OVPAA-F-INS-055A RAW SC'!AG74/'Midterm OVPAA-F-INS-055A RAW SC'!AG$17*100)</f>
        <v/>
      </c>
      <c r="AH74" s="126" t="str">
        <f>IF('Midterm OVPAA-F-INS-055A RAW SC'!AH74="","",'Midterm OVPAA-F-INS-055A RAW SC'!AH74/'Midterm OVPAA-F-INS-055A RAW SC'!AH$17*100)</f>
        <v/>
      </c>
      <c r="AI74" s="126" t="str">
        <f>IF('Midterm OVPAA-F-INS-055A RAW SC'!AI74="","",'Midterm OVPAA-F-INS-055A RAW SC'!AI74/'Midterm OVPAA-F-INS-055A RAW SC'!AI$17*100)</f>
        <v/>
      </c>
      <c r="AJ74" s="126" t="str">
        <f>IF('Midterm OVPAA-F-INS-055A RAW SC'!AJ74="","",'Midterm OVPAA-F-INS-055A RAW SC'!AJ74/'Midterm OVPAA-F-INS-055A RAW SC'!AJ$17*100)</f>
        <v/>
      </c>
      <c r="AK74" s="126" t="str">
        <f>IF('Midterm OVPAA-F-INS-055A RAW SC'!AK74="","",'Midterm OVPAA-F-INS-055A RAW SC'!AK74/'Midterm OVPAA-F-INS-055A RAW SC'!AK$17*100)</f>
        <v/>
      </c>
      <c r="AL74" s="126" t="str">
        <f>IF('Midterm OVPAA-F-INS-055A RAW SC'!AL74="","",'Midterm OVPAA-F-INS-055A RAW SC'!AL74/'Midterm OVPAA-F-INS-055A RAW SC'!AL$17*100)</f>
        <v/>
      </c>
      <c r="AM74" s="126" t="str">
        <f>IF('Midterm OVPAA-F-INS-055A RAW SC'!AM74="","",'Midterm OVPAA-F-INS-055A RAW SC'!AM74/'Midterm OVPAA-F-INS-055A RAW SC'!AM$17*100)</f>
        <v/>
      </c>
      <c r="AN74" s="126" t="str">
        <f>IF('Midterm OVPAA-F-INS-055A RAW SC'!AN74="","",'Midterm OVPAA-F-INS-055A RAW SC'!AN74/'Midterm OVPAA-F-INS-055A RAW SC'!AN$17*100)</f>
        <v/>
      </c>
      <c r="AO74" s="126" t="str">
        <f>IF('Midterm OVPAA-F-INS-055A RAW SC'!AO74="","",'Midterm OVPAA-F-INS-055A RAW SC'!AO74/'Midterm OVPAA-F-INS-055A RAW SC'!AO$17*100)</f>
        <v/>
      </c>
      <c r="AP74" s="126" t="str">
        <f>IF('Midterm OVPAA-F-INS-055A RAW SC'!AP74="","",'Midterm OVPAA-F-INS-055A RAW SC'!AP74/'Midterm OVPAA-F-INS-055A RAW SC'!AP$17*100)</f>
        <v/>
      </c>
      <c r="AQ74" s="126" t="str">
        <f>IF('Midterm OVPAA-F-INS-055A RAW SC'!AQ74="","",'Midterm OVPAA-F-INS-055A RAW SC'!AQ74/'Midterm OVPAA-F-INS-055A RAW SC'!AQ$17*100)</f>
        <v/>
      </c>
      <c r="AR74" s="126" t="str">
        <f>IF('Midterm OVPAA-F-INS-055A RAW SC'!AR74="","",'Midterm OVPAA-F-INS-055A RAW SC'!AR74/'Midterm OVPAA-F-INS-055A RAW SC'!AR$17*100)</f>
        <v/>
      </c>
      <c r="AS74" s="126" t="str">
        <f>IF('Midterm OVPAA-F-INS-055A RAW SC'!AS74="","",'Midterm OVPAA-F-INS-055A RAW SC'!AS74/'Midterm OVPAA-F-INS-055A RAW SC'!AS$17*100)</f>
        <v/>
      </c>
      <c r="AT74" s="126" t="str">
        <f>IF('Midterm OVPAA-F-INS-055A RAW SC'!AT74="","",'Midterm OVPAA-F-INS-055A RAW SC'!AT74/'Midterm OVPAA-F-INS-055A RAW SC'!AT$17*100)</f>
        <v/>
      </c>
      <c r="AU74" s="126" t="str">
        <f>IF('Midterm OVPAA-F-INS-055A RAW SC'!AU74="","",'Midterm OVPAA-F-INS-055A RAW SC'!AU74/'Midterm OVPAA-F-INS-055A RAW SC'!AU$17*100)</f>
        <v/>
      </c>
      <c r="AV74" s="126" t="str">
        <f>IF('Midterm OVPAA-F-INS-055A RAW SC'!AV74="","",'Midterm OVPAA-F-INS-055A RAW SC'!AV74/'Midterm OVPAA-F-INS-055A RAW SC'!AV$17*100)</f>
        <v/>
      </c>
      <c r="AW74" s="126" t="str">
        <f>IF('Midterm OVPAA-F-INS-055A RAW SC'!AW74="","",'Midterm OVPAA-F-INS-055A RAW SC'!AW74/'Midterm OVPAA-F-INS-055A RAW SC'!AW$17*100)</f>
        <v/>
      </c>
      <c r="AX74" s="126" t="str">
        <f>IF('Midterm OVPAA-F-INS-055A RAW SC'!AX74="","",'Midterm OVPAA-F-INS-055A RAW SC'!AX74/'Midterm OVPAA-F-INS-055A RAW SC'!AX$17*100)</f>
        <v/>
      </c>
      <c r="AY74" s="126" t="str">
        <f>IF('Midterm OVPAA-F-INS-055A RAW SC'!AY74="","",'Midterm OVPAA-F-INS-055A RAW SC'!AY74/'Midterm OVPAA-F-INS-055A RAW SC'!AY$17*100)</f>
        <v/>
      </c>
      <c r="AZ74" s="126" t="str">
        <f>IF('Midterm OVPAA-F-INS-055A RAW SC'!AZ74="","",'Midterm OVPAA-F-INS-055A RAW SC'!AZ74/'Midterm OVPAA-F-INS-055A RAW SC'!AZ$17*100)</f>
        <v/>
      </c>
      <c r="BA74" s="126" t="str">
        <f>IF('Midterm OVPAA-F-INS-055A RAW SC'!BA74="","",'Midterm OVPAA-F-INS-055A RAW SC'!BA74/'Midterm OVPAA-F-INS-055A RAW SC'!BA$17*100)</f>
        <v/>
      </c>
      <c r="BB74" s="126" t="str">
        <f>IF('Midterm OVPAA-F-INS-055A RAW SC'!BB74="","",'Midterm OVPAA-F-INS-055A RAW SC'!BB74/'Midterm OVPAA-F-INS-055A RAW SC'!BB$17*100)</f>
        <v/>
      </c>
      <c r="BC74" s="126" t="str">
        <f>IF('Midterm OVPAA-F-INS-055A RAW SC'!BC74="","",'Midterm OVPAA-F-INS-055A RAW SC'!BC74/'Midterm OVPAA-F-INS-055A RAW SC'!BC$17*100)</f>
        <v/>
      </c>
      <c r="BD74" s="126" t="str">
        <f>IF('Midterm OVPAA-F-INS-055A RAW SC'!BD74="","",'Midterm OVPAA-F-INS-055A RAW SC'!BD74/'Midterm OVPAA-F-INS-055A RAW SC'!BD$17*100)</f>
        <v/>
      </c>
      <c r="BE74" s="126" t="str">
        <f>IF('Midterm OVPAA-F-INS-055A RAW SC'!BE74="","",'Midterm OVPAA-F-INS-055A RAW SC'!BE74/'Midterm OVPAA-F-INS-055A RAW SC'!BE$17*100)</f>
        <v/>
      </c>
      <c r="BF74" s="126" t="str">
        <f>IF('Midterm OVPAA-F-INS-055A RAW SC'!BF74="","",'Midterm OVPAA-F-INS-055A RAW SC'!BF74/'Midterm OVPAA-F-INS-055A RAW SC'!BF$17*100)</f>
        <v/>
      </c>
      <c r="BG74" s="126" t="str">
        <f>IF('Midterm OVPAA-F-INS-055A RAW SC'!BG74="","",'Midterm OVPAA-F-INS-055A RAW SC'!BG74/'Midterm OVPAA-F-INS-055A RAW SC'!BG$17*100)</f>
        <v/>
      </c>
      <c r="BH74" s="126" t="str">
        <f>IF('Midterm OVPAA-F-INS-055A RAW SC'!BH74="","",'Midterm OVPAA-F-INS-055A RAW SC'!BH74/'Midterm OVPAA-F-INS-055A RAW SC'!BH$17*100)</f>
        <v/>
      </c>
      <c r="BI74" s="126" t="str">
        <f>IF('Midterm OVPAA-F-INS-055A RAW SC'!BI74="","",'Midterm OVPAA-F-INS-055A RAW SC'!BI74/'Midterm OVPAA-F-INS-055A RAW SC'!BI$17*100)</f>
        <v/>
      </c>
      <c r="BJ74" s="126" t="str">
        <f>IF('Midterm OVPAA-F-INS-055A RAW SC'!BJ74="","",'Midterm OVPAA-F-INS-055A RAW SC'!BJ74/'Midterm OVPAA-F-INS-055A RAW SC'!BJ$17*100)</f>
        <v/>
      </c>
      <c r="BK74" s="126" t="str">
        <f>IF('Midterm OVPAA-F-INS-055A RAW SC'!BK74="","",'Midterm OVPAA-F-INS-055A RAW SC'!BK74/'Midterm OVPAA-F-INS-055A RAW SC'!BK$17*100)</f>
        <v/>
      </c>
      <c r="BL74" s="126" t="str">
        <f>IF('Midterm OVPAA-F-INS-055A RAW SC'!BL74="","",'Midterm OVPAA-F-INS-055A RAW SC'!BL74/'Midterm OVPAA-F-INS-055A RAW SC'!BL$17*100)</f>
        <v/>
      </c>
      <c r="BM74" s="126" t="str">
        <f>IF('Midterm OVPAA-F-INS-055A RAW SC'!BM74="","",'Midterm OVPAA-F-INS-055A RAW SC'!BM74/'Midterm OVPAA-F-INS-055A RAW SC'!BM$17*100)</f>
        <v/>
      </c>
      <c r="BN74" s="126" t="str">
        <f>IF('Midterm OVPAA-F-INS-055A RAW SC'!BN74="","",'Midterm OVPAA-F-INS-055A RAW SC'!BN74/'Midterm OVPAA-F-INS-055A RAW SC'!BN$17*100)</f>
        <v/>
      </c>
      <c r="BO74" s="126" t="str">
        <f>IF('Midterm OVPAA-F-INS-055A RAW SC'!BO74="","",'Midterm OVPAA-F-INS-055A RAW SC'!BO74/'Midterm OVPAA-F-INS-055A RAW SC'!BO$17*100)</f>
        <v/>
      </c>
      <c r="BP74" s="126" t="str">
        <f>IF('Midterm OVPAA-F-INS-055A RAW SC'!BP74="","",'Midterm OVPAA-F-INS-055A RAW SC'!BP74/'Midterm OVPAA-F-INS-055A RAW SC'!BP$17*100)</f>
        <v/>
      </c>
      <c r="BQ74" s="126" t="str">
        <f>IF('Midterm OVPAA-F-INS-055A RAW SC'!BQ74="","",'Midterm OVPAA-F-INS-055A RAW SC'!BQ74/'Midterm OVPAA-F-INS-055A RAW SC'!BQ$17*100)</f>
        <v/>
      </c>
      <c r="BR74" s="126" t="str">
        <f>IF('Midterm OVPAA-F-INS-055A RAW SC'!BR74="","",'Midterm OVPAA-F-INS-055A RAW SC'!BR74/'Midterm OVPAA-F-INS-055A RAW SC'!BR$17*100)</f>
        <v/>
      </c>
      <c r="BS74" s="126" t="str">
        <f>IF('Midterm OVPAA-F-INS-055A RAW SC'!BS74="","",'Midterm OVPAA-F-INS-055A RAW SC'!BS74/'Midterm OVPAA-F-INS-055A RAW SC'!BS$17*100)</f>
        <v/>
      </c>
      <c r="BT74" s="126" t="str">
        <f>IF('Midterm OVPAA-F-INS-055A RAW SC'!BT74="","",'Midterm OVPAA-F-INS-055A RAW SC'!BT74/'Midterm OVPAA-F-INS-055A RAW SC'!BT$17*100)</f>
        <v/>
      </c>
      <c r="BU74" s="127" t="str">
        <f t="array" ref="BU74">IF('Midterm OVPAA-F-INS-055A RAW SC'!$G74="","",IF((SUMPRODUCT(--ISBLANK('Midterm OVPAA-F-INS-055A RAW SC'!H74:BT74))=COLUMNS('Midterm OVPAA-F-INS-055A RAW SC'!H74:BT74))=TRUE,"",(((COUNTA('Midterm OVPAA-F-INS-055A RAW SC'!$H$17:$BT$17)+COUNTBLANK('Midterm OVPAA-F-INS-055A RAW SC'!H74:BT74))-COLUMNS('Midterm OVPAA-F-INS-055A RAW SC'!H74:BT74))*5+SUM(H74:BT74))/COUNTA('Midterm OVPAA-F-INS-055A RAW SC'!$H$17:$BT$17)))</f>
        <v/>
      </c>
      <c r="BV74" s="128" t="str">
        <f>IF(BU74="","",VLOOKUP(BU74,IF('Midterm OVPAA-F-INS-055A RAW SC'!$V$12=0.5,TRANSMUTATION!$C$4:$D$17,TRANSMUTATION!$G$4:$H$17),2,TRUE))</f>
        <v/>
      </c>
      <c r="BW74" s="129" t="str">
        <f>IF('Midterm OVPAA-F-INS-055A RAW SC'!BU74="","",'Midterm OVPAA-F-INS-055A RAW SC'!BU74/'Midterm OVPAA-F-INS-055A RAW SC'!BU$17*100)</f>
        <v/>
      </c>
      <c r="BX74" s="130" t="str">
        <f>IF('Midterm OVPAA-F-INS-055A RAW SC'!BV74="","",'Midterm OVPAA-F-INS-055A RAW SC'!BV74/'Midterm OVPAA-F-INS-055A RAW SC'!BV$17*100)</f>
        <v/>
      </c>
      <c r="BY74" s="130" t="str">
        <f>IF('Midterm OVPAA-F-INS-055A RAW SC'!BW74="","",'Midterm OVPAA-F-INS-055A RAW SC'!BW74/'Midterm OVPAA-F-INS-055A RAW SC'!BW$17*100)</f>
        <v/>
      </c>
      <c r="BZ74" s="130" t="str">
        <f>IF('Midterm OVPAA-F-INS-055A RAW SC'!BX74="","",'Midterm OVPAA-F-INS-055A RAW SC'!BX74/'Midterm OVPAA-F-INS-055A RAW SC'!BX$17*100)</f>
        <v/>
      </c>
      <c r="CA74" s="130" t="str">
        <f>IF('Midterm OVPAA-F-INS-055A RAW SC'!BY74="","",'Midterm OVPAA-F-INS-055A RAW SC'!BY74/'Midterm OVPAA-F-INS-055A RAW SC'!BY$17*100)</f>
        <v/>
      </c>
      <c r="CB74" s="130" t="str">
        <f>IF('Midterm OVPAA-F-INS-055A RAW SC'!BZ74="","",'Midterm OVPAA-F-INS-055A RAW SC'!BZ74/'Midterm OVPAA-F-INS-055A RAW SC'!BZ$17*100)</f>
        <v/>
      </c>
      <c r="CC74" s="130" t="str">
        <f>IF('Midterm OVPAA-F-INS-055A RAW SC'!CA74="","",'Midterm OVPAA-F-INS-055A RAW SC'!CA74/'Midterm OVPAA-F-INS-055A RAW SC'!CA$17*100)</f>
        <v/>
      </c>
      <c r="CD74" s="130" t="str">
        <f>IF('Midterm OVPAA-F-INS-055A RAW SC'!CB74="","",'Midterm OVPAA-F-INS-055A RAW SC'!CB74/'Midterm OVPAA-F-INS-055A RAW SC'!CB$17*100)</f>
        <v/>
      </c>
      <c r="CE74" s="130" t="str">
        <f>IF('Midterm OVPAA-F-INS-055A RAW SC'!CC74="","",'Midterm OVPAA-F-INS-055A RAW SC'!CC74/'Midterm OVPAA-F-INS-055A RAW SC'!CC$17*100)</f>
        <v/>
      </c>
      <c r="CF74" s="130" t="str">
        <f>IF('Midterm OVPAA-F-INS-055A RAW SC'!CD74="","",'Midterm OVPAA-F-INS-055A RAW SC'!CD74/'Midterm OVPAA-F-INS-055A RAW SC'!CD$17*100)</f>
        <v/>
      </c>
      <c r="CG74" s="130" t="str">
        <f>IF('Midterm OVPAA-F-INS-055A RAW SC'!CE74="","",'Midterm OVPAA-F-INS-055A RAW SC'!CE74/'Midterm OVPAA-F-INS-055A RAW SC'!CE$17*100)</f>
        <v/>
      </c>
      <c r="CH74" s="130" t="str">
        <f>IF('Midterm OVPAA-F-INS-055A RAW SC'!CF74="","",'Midterm OVPAA-F-INS-055A RAW SC'!CF74/'Midterm OVPAA-F-INS-055A RAW SC'!CF$17*100)</f>
        <v/>
      </c>
      <c r="CI74" s="130" t="str">
        <f>IF('Midterm OVPAA-F-INS-055A RAW SC'!CG74="","",'Midterm OVPAA-F-INS-055A RAW SC'!CG74/'Midterm OVPAA-F-INS-055A RAW SC'!CG$17*100)</f>
        <v/>
      </c>
      <c r="CJ74" s="130" t="str">
        <f>IF('Midterm OVPAA-F-INS-055A RAW SC'!CH74="","",'Midterm OVPAA-F-INS-055A RAW SC'!CH74/'Midterm OVPAA-F-INS-055A RAW SC'!CH$17*100)</f>
        <v/>
      </c>
      <c r="CK74" s="130" t="str">
        <f>IF('Midterm OVPAA-F-INS-055A RAW SC'!CI74="","",'Midterm OVPAA-F-INS-055A RAW SC'!CI74/'Midterm OVPAA-F-INS-055A RAW SC'!CI$17*100)</f>
        <v/>
      </c>
      <c r="CL74" s="130" t="str">
        <f>IF('Midterm OVPAA-F-INS-055A RAW SC'!CJ74="","",'Midterm OVPAA-F-INS-055A RAW SC'!CJ74/'Midterm OVPAA-F-INS-055A RAW SC'!CJ$17*100)</f>
        <v/>
      </c>
      <c r="CM74" s="130" t="str">
        <f>IF('Midterm OVPAA-F-INS-055A RAW SC'!CK74="","",'Midterm OVPAA-F-INS-055A RAW SC'!CK74/'Midterm OVPAA-F-INS-055A RAW SC'!CK$17*100)</f>
        <v/>
      </c>
      <c r="CN74" s="130" t="str">
        <f>IF('Midterm OVPAA-F-INS-055A RAW SC'!CL74="","",'Midterm OVPAA-F-INS-055A RAW SC'!CL74/'Midterm OVPAA-F-INS-055A RAW SC'!CL$17*100)</f>
        <v/>
      </c>
      <c r="CO74" s="130" t="str">
        <f>IF('Midterm OVPAA-F-INS-055A RAW SC'!CM74="","",'Midterm OVPAA-F-INS-055A RAW SC'!CM74/'Midterm OVPAA-F-INS-055A RAW SC'!CM$17*100)</f>
        <v/>
      </c>
      <c r="CP74" s="130" t="str">
        <f>IF('Midterm OVPAA-F-INS-055A RAW SC'!CN74="","",'Midterm OVPAA-F-INS-055A RAW SC'!CN74/'Midterm OVPAA-F-INS-055A RAW SC'!CN$17*100)</f>
        <v/>
      </c>
      <c r="CQ74" s="131" t="str">
        <f t="array" ref="CQ74">IF('Midterm OVPAA-F-INS-055A RAW SC'!G74="","",IF((SUMPRODUCT(--ISBLANK('Midterm OVPAA-F-INS-055A RAW SC'!BU74:CN74))=COLUMNS('Midterm OVPAA-F-INS-055A RAW SC'!BU74:CN74))=TRUE,"",(((COUNTA('Midterm OVPAA-F-INS-055A RAW SC'!$BU$17:$CN$17)+COUNTBLANK('Midterm OVPAA-F-INS-055A RAW SC'!BU74:CN74))-COLUMNS('Midterm OVPAA-F-INS-055A RAW SC'!BU74:CN74))*5+SUM(BW74:CP74))/COUNTA('Midterm OVPAA-F-INS-055A RAW SC'!$BU$17:$CN$17)))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IF('Midterm OVPAA-F-INS-055A RAW SC'!CO74="","",'Midterm OVPAA-F-INS-055A RAW SC'!CO74/'Midterm OVPAA-F-INS-055A RAW SC'!CO$17*100)</f>
        <v/>
      </c>
      <c r="CT74" s="133" t="str">
        <f>IF('Midterm OVPAA-F-INS-055A RAW SC'!CP74="","",'Midterm OVPAA-F-INS-055A RAW SC'!CP74/'Midterm OVPAA-F-INS-055A RAW SC'!CP$17*100)</f>
        <v/>
      </c>
      <c r="CU74" s="133" t="str">
        <f>IF('Midterm OVPAA-F-INS-055A RAW SC'!CQ74="","",'Midterm OVPAA-F-INS-055A RAW SC'!CQ74/'Midterm OVPAA-F-INS-055A RAW SC'!CQ$17*100)</f>
        <v/>
      </c>
      <c r="CV74" s="133" t="str">
        <f>IF('Midterm OVPAA-F-INS-055A RAW SC'!CR74="","",'Midterm OVPAA-F-INS-055A RAW SC'!CR74/'Midterm OVPAA-F-INS-055A RAW SC'!CR$17*100)</f>
        <v/>
      </c>
      <c r="CW74" s="133" t="str">
        <f>IF('Midterm OVPAA-F-INS-055A RAW SC'!CS74="","",'Midterm OVPAA-F-INS-055A RAW SC'!CS74/'Midterm OVPAA-F-INS-055A RAW SC'!CS$17*100)</f>
        <v/>
      </c>
      <c r="CX74" s="133" t="str">
        <f>IF('Midterm OVPAA-F-INS-055A RAW SC'!CT74="","",'Midterm OVPAA-F-INS-055A RAW SC'!CT74/'Midterm OVPAA-F-INS-055A RAW SC'!CT$17*100)</f>
        <v/>
      </c>
      <c r="CY74" s="133" t="str">
        <f>IF('Midterm OVPAA-F-INS-055A RAW SC'!CU74="","",'Midterm OVPAA-F-INS-055A RAW SC'!CU74/'Midterm OVPAA-F-INS-055A RAW SC'!CU$17*100)</f>
        <v/>
      </c>
      <c r="CZ74" s="133" t="str">
        <f>IF('Midterm OVPAA-F-INS-055A RAW SC'!CV74="","",'Midterm OVPAA-F-INS-055A RAW SC'!CV74/'Midterm OVPAA-F-INS-055A RAW SC'!CV$17*100)</f>
        <v/>
      </c>
      <c r="DA74" s="133" t="str">
        <f>IF('Midterm OVPAA-F-INS-055A RAW SC'!CW74="","",'Midterm OVPAA-F-INS-055A RAW SC'!CW74/'Midterm OVPAA-F-INS-055A RAW SC'!CW$17*100)</f>
        <v/>
      </c>
      <c r="DB74" s="133" t="str">
        <f>IF('Midterm OVPAA-F-INS-055A RAW SC'!CX74="","",'Midterm OVPAA-F-INS-055A RAW SC'!CX74/'Midterm OVPAA-F-INS-055A RAW SC'!CX$17*100)</f>
        <v/>
      </c>
      <c r="DC74" s="134" t="str">
        <f t="array" ref="DC74">IF('Midterm OVPAA-F-INS-055A RAW SC'!$G74="","",IF((SUMPRODUCT(--ISBLANK('Midterm OVPAA-F-INS-055A RAW SC'!CO74:CX74))=COLUMNS('Midterm OVPAA-F-INS-055A RAW SC'!CO74:CX74))=TRUE,"",(((COUNTA('Midterm OVPAA-F-INS-055A RAW SC'!$CO$17:$CX$17)+COUNTBLANK('Midterm OVPAA-F-INS-055A RAW SC'!CO74:CX74))-COLUMNS('Midterm OVPAA-F-INS-055A RAW SC'!CO74:CX74))*5+SUM(CS74:DB74))/COUNTA('Midterm OVPAA-F-INS-055A RAW SC'!$CO$17:$CX$17)))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37" t="str">
        <f t="shared" si="2"/>
        <v/>
      </c>
      <c r="DG74" s="138" t="str">
        <f t="shared" si="3"/>
        <v/>
      </c>
      <c r="DH74" s="136" t="str">
        <f t="shared" si="4"/>
        <v/>
      </c>
      <c r="DI74" s="123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IF('Midterm OVPAA-F-INS-055A RAW SC'!H75="","",'Midterm OVPAA-F-INS-055A RAW SC'!H75/'Midterm OVPAA-F-INS-055A RAW SC'!H$17*100)</f>
        <v/>
      </c>
      <c r="I75" s="126" t="str">
        <f>IF('Midterm OVPAA-F-INS-055A RAW SC'!I75="","",'Midterm OVPAA-F-INS-055A RAW SC'!I75/'Midterm OVPAA-F-INS-055A RAW SC'!I$17*100)</f>
        <v/>
      </c>
      <c r="J75" s="126" t="str">
        <f>IF('Midterm OVPAA-F-INS-055A RAW SC'!J75="","",'Midterm OVPAA-F-INS-055A RAW SC'!J75/'Midterm OVPAA-F-INS-055A RAW SC'!J$17*100)</f>
        <v/>
      </c>
      <c r="K75" s="126" t="str">
        <f>IF('Midterm OVPAA-F-INS-055A RAW SC'!K75="","",'Midterm OVPAA-F-INS-055A RAW SC'!K75/'Midterm OVPAA-F-INS-055A RAW SC'!K$17*100)</f>
        <v/>
      </c>
      <c r="L75" s="126" t="str">
        <f>IF('Midterm OVPAA-F-INS-055A RAW SC'!L75="","",'Midterm OVPAA-F-INS-055A RAW SC'!L75/'Midterm OVPAA-F-INS-055A RAW SC'!L$17*100)</f>
        <v/>
      </c>
      <c r="M75" s="126" t="str">
        <f>IF('Midterm OVPAA-F-INS-055A RAW SC'!M75="","",'Midterm OVPAA-F-INS-055A RAW SC'!M75/'Midterm OVPAA-F-INS-055A RAW SC'!M$17*100)</f>
        <v/>
      </c>
      <c r="N75" s="126" t="str">
        <f>IF('Midterm OVPAA-F-INS-055A RAW SC'!N75="","",'Midterm OVPAA-F-INS-055A RAW SC'!N75/'Midterm OVPAA-F-INS-055A RAW SC'!N$17*100)</f>
        <v/>
      </c>
      <c r="O75" s="126" t="str">
        <f>IF('Midterm OVPAA-F-INS-055A RAW SC'!O75="","",'Midterm OVPAA-F-INS-055A RAW SC'!O75/'Midterm OVPAA-F-INS-055A RAW SC'!O$17*100)</f>
        <v/>
      </c>
      <c r="P75" s="126" t="str">
        <f>IF('Midterm OVPAA-F-INS-055A RAW SC'!P75="","",'Midterm OVPAA-F-INS-055A RAW SC'!P75/'Midterm OVPAA-F-INS-055A RAW SC'!P$17*100)</f>
        <v/>
      </c>
      <c r="Q75" s="126" t="str">
        <f>IF('Midterm OVPAA-F-INS-055A RAW SC'!Q75="","",'Midterm OVPAA-F-INS-055A RAW SC'!Q75/'Midterm OVPAA-F-INS-055A RAW SC'!Q$17*100)</f>
        <v/>
      </c>
      <c r="R75" s="126" t="str">
        <f>IF('Midterm OVPAA-F-INS-055A RAW SC'!R75="","",'Midterm OVPAA-F-INS-055A RAW SC'!R75/'Midterm OVPAA-F-INS-055A RAW SC'!R$17*100)</f>
        <v/>
      </c>
      <c r="S75" s="126" t="str">
        <f>IF('Midterm OVPAA-F-INS-055A RAW SC'!S75="","",'Midterm OVPAA-F-INS-055A RAW SC'!S75/'Midterm OVPAA-F-INS-055A RAW SC'!S$17*100)</f>
        <v/>
      </c>
      <c r="T75" s="126" t="str">
        <f>IF('Midterm OVPAA-F-INS-055A RAW SC'!T75="","",'Midterm OVPAA-F-INS-055A RAW SC'!T75/'Midterm OVPAA-F-INS-055A RAW SC'!T$17*100)</f>
        <v/>
      </c>
      <c r="U75" s="126" t="str">
        <f>IF('Midterm OVPAA-F-INS-055A RAW SC'!U75="","",'Midterm OVPAA-F-INS-055A RAW SC'!U75/'Midterm OVPAA-F-INS-055A RAW SC'!U$17*100)</f>
        <v/>
      </c>
      <c r="V75" s="126" t="str">
        <f>IF('Midterm OVPAA-F-INS-055A RAW SC'!V75="","",'Midterm OVPAA-F-INS-055A RAW SC'!V75/'Midterm OVPAA-F-INS-055A RAW SC'!V$17*100)</f>
        <v/>
      </c>
      <c r="W75" s="126" t="str">
        <f>IF('Midterm OVPAA-F-INS-055A RAW SC'!W75="","",'Midterm OVPAA-F-INS-055A RAW SC'!W75/'Midterm OVPAA-F-INS-055A RAW SC'!W$17*100)</f>
        <v/>
      </c>
      <c r="X75" s="126" t="str">
        <f>IF('Midterm OVPAA-F-INS-055A RAW SC'!X75="","",'Midterm OVPAA-F-INS-055A RAW SC'!X75/'Midterm OVPAA-F-INS-055A RAW SC'!X$17*100)</f>
        <v/>
      </c>
      <c r="Y75" s="126" t="str">
        <f>IF('Midterm OVPAA-F-INS-055A RAW SC'!Y75="","",'Midterm OVPAA-F-INS-055A RAW SC'!Y75/'Midterm OVPAA-F-INS-055A RAW SC'!Y$17*100)</f>
        <v/>
      </c>
      <c r="Z75" s="126" t="str">
        <f>IF('Midterm OVPAA-F-INS-055A RAW SC'!Z75="","",'Midterm OVPAA-F-INS-055A RAW SC'!Z75/'Midterm OVPAA-F-INS-055A RAW SC'!Z$17*100)</f>
        <v/>
      </c>
      <c r="AA75" s="126" t="str">
        <f>IF('Midterm OVPAA-F-INS-055A RAW SC'!AA75="","",'Midterm OVPAA-F-INS-055A RAW SC'!AA75/'Midterm OVPAA-F-INS-055A RAW SC'!AA$17*100)</f>
        <v/>
      </c>
      <c r="AB75" s="126" t="str">
        <f>IF('Midterm OVPAA-F-INS-055A RAW SC'!AB75="","",'Midterm OVPAA-F-INS-055A RAW SC'!AB75/'Midterm OVPAA-F-INS-055A RAW SC'!AB$17*100)</f>
        <v/>
      </c>
      <c r="AC75" s="126" t="str">
        <f>IF('Midterm OVPAA-F-INS-055A RAW SC'!AC75="","",'Midterm OVPAA-F-INS-055A RAW SC'!AC75/'Midterm OVPAA-F-INS-055A RAW SC'!AC$17*100)</f>
        <v/>
      </c>
      <c r="AD75" s="126" t="str">
        <f>IF('Midterm OVPAA-F-INS-055A RAW SC'!AD75="","",'Midterm OVPAA-F-INS-055A RAW SC'!AD75/'Midterm OVPAA-F-INS-055A RAW SC'!AD$17*100)</f>
        <v/>
      </c>
      <c r="AE75" s="126" t="str">
        <f>IF('Midterm OVPAA-F-INS-055A RAW SC'!AE75="","",'Midterm OVPAA-F-INS-055A RAW SC'!AE75/'Midterm OVPAA-F-INS-055A RAW SC'!AE$17*100)</f>
        <v/>
      </c>
      <c r="AF75" s="126" t="str">
        <f>IF('Midterm OVPAA-F-INS-055A RAW SC'!AF75="","",'Midterm OVPAA-F-INS-055A RAW SC'!AF75/'Midterm OVPAA-F-INS-055A RAW SC'!AF$17*100)</f>
        <v/>
      </c>
      <c r="AG75" s="126" t="str">
        <f>IF('Midterm OVPAA-F-INS-055A RAW SC'!AG75="","",'Midterm OVPAA-F-INS-055A RAW SC'!AG75/'Midterm OVPAA-F-INS-055A RAW SC'!AG$17*100)</f>
        <v/>
      </c>
      <c r="AH75" s="126" t="str">
        <f>IF('Midterm OVPAA-F-INS-055A RAW SC'!AH75="","",'Midterm OVPAA-F-INS-055A RAW SC'!AH75/'Midterm OVPAA-F-INS-055A RAW SC'!AH$17*100)</f>
        <v/>
      </c>
      <c r="AI75" s="126" t="str">
        <f>IF('Midterm OVPAA-F-INS-055A RAW SC'!AI75="","",'Midterm OVPAA-F-INS-055A RAW SC'!AI75/'Midterm OVPAA-F-INS-055A RAW SC'!AI$17*100)</f>
        <v/>
      </c>
      <c r="AJ75" s="126" t="str">
        <f>IF('Midterm OVPAA-F-INS-055A RAW SC'!AJ75="","",'Midterm OVPAA-F-INS-055A RAW SC'!AJ75/'Midterm OVPAA-F-INS-055A RAW SC'!AJ$17*100)</f>
        <v/>
      </c>
      <c r="AK75" s="126" t="str">
        <f>IF('Midterm OVPAA-F-INS-055A RAW SC'!AK75="","",'Midterm OVPAA-F-INS-055A RAW SC'!AK75/'Midterm OVPAA-F-INS-055A RAW SC'!AK$17*100)</f>
        <v/>
      </c>
      <c r="AL75" s="126" t="str">
        <f>IF('Midterm OVPAA-F-INS-055A RAW SC'!AL75="","",'Midterm OVPAA-F-INS-055A RAW SC'!AL75/'Midterm OVPAA-F-INS-055A RAW SC'!AL$17*100)</f>
        <v/>
      </c>
      <c r="AM75" s="126" t="str">
        <f>IF('Midterm OVPAA-F-INS-055A RAW SC'!AM75="","",'Midterm OVPAA-F-INS-055A RAW SC'!AM75/'Midterm OVPAA-F-INS-055A RAW SC'!AM$17*100)</f>
        <v/>
      </c>
      <c r="AN75" s="126" t="str">
        <f>IF('Midterm OVPAA-F-INS-055A RAW SC'!AN75="","",'Midterm OVPAA-F-INS-055A RAW SC'!AN75/'Midterm OVPAA-F-INS-055A RAW SC'!AN$17*100)</f>
        <v/>
      </c>
      <c r="AO75" s="126" t="str">
        <f>IF('Midterm OVPAA-F-INS-055A RAW SC'!AO75="","",'Midterm OVPAA-F-INS-055A RAW SC'!AO75/'Midterm OVPAA-F-INS-055A RAW SC'!AO$17*100)</f>
        <v/>
      </c>
      <c r="AP75" s="126" t="str">
        <f>IF('Midterm OVPAA-F-INS-055A RAW SC'!AP75="","",'Midterm OVPAA-F-INS-055A RAW SC'!AP75/'Midterm OVPAA-F-INS-055A RAW SC'!AP$17*100)</f>
        <v/>
      </c>
      <c r="AQ75" s="126" t="str">
        <f>IF('Midterm OVPAA-F-INS-055A RAW SC'!AQ75="","",'Midterm OVPAA-F-INS-055A RAW SC'!AQ75/'Midterm OVPAA-F-INS-055A RAW SC'!AQ$17*100)</f>
        <v/>
      </c>
      <c r="AR75" s="126" t="str">
        <f>IF('Midterm OVPAA-F-INS-055A RAW SC'!AR75="","",'Midterm OVPAA-F-INS-055A RAW SC'!AR75/'Midterm OVPAA-F-INS-055A RAW SC'!AR$17*100)</f>
        <v/>
      </c>
      <c r="AS75" s="126" t="str">
        <f>IF('Midterm OVPAA-F-INS-055A RAW SC'!AS75="","",'Midterm OVPAA-F-INS-055A RAW SC'!AS75/'Midterm OVPAA-F-INS-055A RAW SC'!AS$17*100)</f>
        <v/>
      </c>
      <c r="AT75" s="126" t="str">
        <f>IF('Midterm OVPAA-F-INS-055A RAW SC'!AT75="","",'Midterm OVPAA-F-INS-055A RAW SC'!AT75/'Midterm OVPAA-F-INS-055A RAW SC'!AT$17*100)</f>
        <v/>
      </c>
      <c r="AU75" s="126" t="str">
        <f>IF('Midterm OVPAA-F-INS-055A RAW SC'!AU75="","",'Midterm OVPAA-F-INS-055A RAW SC'!AU75/'Midterm OVPAA-F-INS-055A RAW SC'!AU$17*100)</f>
        <v/>
      </c>
      <c r="AV75" s="126" t="str">
        <f>IF('Midterm OVPAA-F-INS-055A RAW SC'!AV75="","",'Midterm OVPAA-F-INS-055A RAW SC'!AV75/'Midterm OVPAA-F-INS-055A RAW SC'!AV$17*100)</f>
        <v/>
      </c>
      <c r="AW75" s="126" t="str">
        <f>IF('Midterm OVPAA-F-INS-055A RAW SC'!AW75="","",'Midterm OVPAA-F-INS-055A RAW SC'!AW75/'Midterm OVPAA-F-INS-055A RAW SC'!AW$17*100)</f>
        <v/>
      </c>
      <c r="AX75" s="126" t="str">
        <f>IF('Midterm OVPAA-F-INS-055A RAW SC'!AX75="","",'Midterm OVPAA-F-INS-055A RAW SC'!AX75/'Midterm OVPAA-F-INS-055A RAW SC'!AX$17*100)</f>
        <v/>
      </c>
      <c r="AY75" s="126" t="str">
        <f>IF('Midterm OVPAA-F-INS-055A RAW SC'!AY75="","",'Midterm OVPAA-F-INS-055A RAW SC'!AY75/'Midterm OVPAA-F-INS-055A RAW SC'!AY$17*100)</f>
        <v/>
      </c>
      <c r="AZ75" s="126" t="str">
        <f>IF('Midterm OVPAA-F-INS-055A RAW SC'!AZ75="","",'Midterm OVPAA-F-INS-055A RAW SC'!AZ75/'Midterm OVPAA-F-INS-055A RAW SC'!AZ$17*100)</f>
        <v/>
      </c>
      <c r="BA75" s="126" t="str">
        <f>IF('Midterm OVPAA-F-INS-055A RAW SC'!BA75="","",'Midterm OVPAA-F-INS-055A RAW SC'!BA75/'Midterm OVPAA-F-INS-055A RAW SC'!BA$17*100)</f>
        <v/>
      </c>
      <c r="BB75" s="126" t="str">
        <f>IF('Midterm OVPAA-F-INS-055A RAW SC'!BB75="","",'Midterm OVPAA-F-INS-055A RAW SC'!BB75/'Midterm OVPAA-F-INS-055A RAW SC'!BB$17*100)</f>
        <v/>
      </c>
      <c r="BC75" s="126" t="str">
        <f>IF('Midterm OVPAA-F-INS-055A RAW SC'!BC75="","",'Midterm OVPAA-F-INS-055A RAW SC'!BC75/'Midterm OVPAA-F-INS-055A RAW SC'!BC$17*100)</f>
        <v/>
      </c>
      <c r="BD75" s="126" t="str">
        <f>IF('Midterm OVPAA-F-INS-055A RAW SC'!BD75="","",'Midterm OVPAA-F-INS-055A RAW SC'!BD75/'Midterm OVPAA-F-INS-055A RAW SC'!BD$17*100)</f>
        <v/>
      </c>
      <c r="BE75" s="126" t="str">
        <f>IF('Midterm OVPAA-F-INS-055A RAW SC'!BE75="","",'Midterm OVPAA-F-INS-055A RAW SC'!BE75/'Midterm OVPAA-F-INS-055A RAW SC'!BE$17*100)</f>
        <v/>
      </c>
      <c r="BF75" s="126" t="str">
        <f>IF('Midterm OVPAA-F-INS-055A RAW SC'!BF75="","",'Midterm OVPAA-F-INS-055A RAW SC'!BF75/'Midterm OVPAA-F-INS-055A RAW SC'!BF$17*100)</f>
        <v/>
      </c>
      <c r="BG75" s="126" t="str">
        <f>IF('Midterm OVPAA-F-INS-055A RAW SC'!BG75="","",'Midterm OVPAA-F-INS-055A RAW SC'!BG75/'Midterm OVPAA-F-INS-055A RAW SC'!BG$17*100)</f>
        <v/>
      </c>
      <c r="BH75" s="126" t="str">
        <f>IF('Midterm OVPAA-F-INS-055A RAW SC'!BH75="","",'Midterm OVPAA-F-INS-055A RAW SC'!BH75/'Midterm OVPAA-F-INS-055A RAW SC'!BH$17*100)</f>
        <v/>
      </c>
      <c r="BI75" s="126" t="str">
        <f>IF('Midterm OVPAA-F-INS-055A RAW SC'!BI75="","",'Midterm OVPAA-F-INS-055A RAW SC'!BI75/'Midterm OVPAA-F-INS-055A RAW SC'!BI$17*100)</f>
        <v/>
      </c>
      <c r="BJ75" s="126" t="str">
        <f>IF('Midterm OVPAA-F-INS-055A RAW SC'!BJ75="","",'Midterm OVPAA-F-INS-055A RAW SC'!BJ75/'Midterm OVPAA-F-INS-055A RAW SC'!BJ$17*100)</f>
        <v/>
      </c>
      <c r="BK75" s="126" t="str">
        <f>IF('Midterm OVPAA-F-INS-055A RAW SC'!BK75="","",'Midterm OVPAA-F-INS-055A RAW SC'!BK75/'Midterm OVPAA-F-INS-055A RAW SC'!BK$17*100)</f>
        <v/>
      </c>
      <c r="BL75" s="126" t="str">
        <f>IF('Midterm OVPAA-F-INS-055A RAW SC'!BL75="","",'Midterm OVPAA-F-INS-055A RAW SC'!BL75/'Midterm OVPAA-F-INS-055A RAW SC'!BL$17*100)</f>
        <v/>
      </c>
      <c r="BM75" s="126" t="str">
        <f>IF('Midterm OVPAA-F-INS-055A RAW SC'!BM75="","",'Midterm OVPAA-F-INS-055A RAW SC'!BM75/'Midterm OVPAA-F-INS-055A RAW SC'!BM$17*100)</f>
        <v/>
      </c>
      <c r="BN75" s="126" t="str">
        <f>IF('Midterm OVPAA-F-INS-055A RAW SC'!BN75="","",'Midterm OVPAA-F-INS-055A RAW SC'!BN75/'Midterm OVPAA-F-INS-055A RAW SC'!BN$17*100)</f>
        <v/>
      </c>
      <c r="BO75" s="126" t="str">
        <f>IF('Midterm OVPAA-F-INS-055A RAW SC'!BO75="","",'Midterm OVPAA-F-INS-055A RAW SC'!BO75/'Midterm OVPAA-F-INS-055A RAW SC'!BO$17*100)</f>
        <v/>
      </c>
      <c r="BP75" s="126" t="str">
        <f>IF('Midterm OVPAA-F-INS-055A RAW SC'!BP75="","",'Midterm OVPAA-F-INS-055A RAW SC'!BP75/'Midterm OVPAA-F-INS-055A RAW SC'!BP$17*100)</f>
        <v/>
      </c>
      <c r="BQ75" s="126" t="str">
        <f>IF('Midterm OVPAA-F-INS-055A RAW SC'!BQ75="","",'Midterm OVPAA-F-INS-055A RAW SC'!BQ75/'Midterm OVPAA-F-INS-055A RAW SC'!BQ$17*100)</f>
        <v/>
      </c>
      <c r="BR75" s="126" t="str">
        <f>IF('Midterm OVPAA-F-INS-055A RAW SC'!BR75="","",'Midterm OVPAA-F-INS-055A RAW SC'!BR75/'Midterm OVPAA-F-INS-055A RAW SC'!BR$17*100)</f>
        <v/>
      </c>
      <c r="BS75" s="126" t="str">
        <f>IF('Midterm OVPAA-F-INS-055A RAW SC'!BS75="","",'Midterm OVPAA-F-INS-055A RAW SC'!BS75/'Midterm OVPAA-F-INS-055A RAW SC'!BS$17*100)</f>
        <v/>
      </c>
      <c r="BT75" s="126" t="str">
        <f>IF('Midterm OVPAA-F-INS-055A RAW SC'!BT75="","",'Midterm OVPAA-F-INS-055A RAW SC'!BT75/'Midterm OVPAA-F-INS-055A RAW SC'!BT$17*100)</f>
        <v/>
      </c>
      <c r="BU75" s="127" t="str">
        <f t="array" ref="BU75">IF('Midterm OVPAA-F-INS-055A RAW SC'!$G75="","",IF((SUMPRODUCT(--ISBLANK('Midterm OVPAA-F-INS-055A RAW SC'!H75:BT75))=COLUMNS('Midterm OVPAA-F-INS-055A RAW SC'!H75:BT75))=TRUE,"",(((COUNTA('Midterm OVPAA-F-INS-055A RAW SC'!$H$17:$BT$17)+COUNTBLANK('Midterm OVPAA-F-INS-055A RAW SC'!H75:BT75))-COLUMNS('Midterm OVPAA-F-INS-055A RAW SC'!H75:BT75))*5+SUM(H75:BT75))/COUNTA('Midterm OVPAA-F-INS-055A RAW SC'!$H$17:$BT$17)))</f>
        <v/>
      </c>
      <c r="BV75" s="128" t="str">
        <f>IF(BU75="","",VLOOKUP(BU75,IF('Midterm OVPAA-F-INS-055A RAW SC'!$V$12=0.5,TRANSMUTATION!$C$4:$D$17,TRANSMUTATION!$G$4:$H$17),2,TRUE))</f>
        <v/>
      </c>
      <c r="BW75" s="129" t="str">
        <f>IF('Midterm OVPAA-F-INS-055A RAW SC'!BU75="","",'Midterm OVPAA-F-INS-055A RAW SC'!BU75/'Midterm OVPAA-F-INS-055A RAW SC'!BU$17*100)</f>
        <v/>
      </c>
      <c r="BX75" s="130" t="str">
        <f>IF('Midterm OVPAA-F-INS-055A RAW SC'!BV75="","",'Midterm OVPAA-F-INS-055A RAW SC'!BV75/'Midterm OVPAA-F-INS-055A RAW SC'!BV$17*100)</f>
        <v/>
      </c>
      <c r="BY75" s="130" t="str">
        <f>IF('Midterm OVPAA-F-INS-055A RAW SC'!BW75="","",'Midterm OVPAA-F-INS-055A RAW SC'!BW75/'Midterm OVPAA-F-INS-055A RAW SC'!BW$17*100)</f>
        <v/>
      </c>
      <c r="BZ75" s="130" t="str">
        <f>IF('Midterm OVPAA-F-INS-055A RAW SC'!BX75="","",'Midterm OVPAA-F-INS-055A RAW SC'!BX75/'Midterm OVPAA-F-INS-055A RAW SC'!BX$17*100)</f>
        <v/>
      </c>
      <c r="CA75" s="130" t="str">
        <f>IF('Midterm OVPAA-F-INS-055A RAW SC'!BY75="","",'Midterm OVPAA-F-INS-055A RAW SC'!BY75/'Midterm OVPAA-F-INS-055A RAW SC'!BY$17*100)</f>
        <v/>
      </c>
      <c r="CB75" s="130" t="str">
        <f>IF('Midterm OVPAA-F-INS-055A RAW SC'!BZ75="","",'Midterm OVPAA-F-INS-055A RAW SC'!BZ75/'Midterm OVPAA-F-INS-055A RAW SC'!BZ$17*100)</f>
        <v/>
      </c>
      <c r="CC75" s="130" t="str">
        <f>IF('Midterm OVPAA-F-INS-055A RAW SC'!CA75="","",'Midterm OVPAA-F-INS-055A RAW SC'!CA75/'Midterm OVPAA-F-INS-055A RAW SC'!CA$17*100)</f>
        <v/>
      </c>
      <c r="CD75" s="130" t="str">
        <f>IF('Midterm OVPAA-F-INS-055A RAW SC'!CB75="","",'Midterm OVPAA-F-INS-055A RAW SC'!CB75/'Midterm OVPAA-F-INS-055A RAW SC'!CB$17*100)</f>
        <v/>
      </c>
      <c r="CE75" s="130" t="str">
        <f>IF('Midterm OVPAA-F-INS-055A RAW SC'!CC75="","",'Midterm OVPAA-F-INS-055A RAW SC'!CC75/'Midterm OVPAA-F-INS-055A RAW SC'!CC$17*100)</f>
        <v/>
      </c>
      <c r="CF75" s="130" t="str">
        <f>IF('Midterm OVPAA-F-INS-055A RAW SC'!CD75="","",'Midterm OVPAA-F-INS-055A RAW SC'!CD75/'Midterm OVPAA-F-INS-055A RAW SC'!CD$17*100)</f>
        <v/>
      </c>
      <c r="CG75" s="130" t="str">
        <f>IF('Midterm OVPAA-F-INS-055A RAW SC'!CE75="","",'Midterm OVPAA-F-INS-055A RAW SC'!CE75/'Midterm OVPAA-F-INS-055A RAW SC'!CE$17*100)</f>
        <v/>
      </c>
      <c r="CH75" s="130" t="str">
        <f>IF('Midterm OVPAA-F-INS-055A RAW SC'!CF75="","",'Midterm OVPAA-F-INS-055A RAW SC'!CF75/'Midterm OVPAA-F-INS-055A RAW SC'!CF$17*100)</f>
        <v/>
      </c>
      <c r="CI75" s="130" t="str">
        <f>IF('Midterm OVPAA-F-INS-055A RAW SC'!CG75="","",'Midterm OVPAA-F-INS-055A RAW SC'!CG75/'Midterm OVPAA-F-INS-055A RAW SC'!CG$17*100)</f>
        <v/>
      </c>
      <c r="CJ75" s="130" t="str">
        <f>IF('Midterm OVPAA-F-INS-055A RAW SC'!CH75="","",'Midterm OVPAA-F-INS-055A RAW SC'!CH75/'Midterm OVPAA-F-INS-055A RAW SC'!CH$17*100)</f>
        <v/>
      </c>
      <c r="CK75" s="130" t="str">
        <f>IF('Midterm OVPAA-F-INS-055A RAW SC'!CI75="","",'Midterm OVPAA-F-INS-055A RAW SC'!CI75/'Midterm OVPAA-F-INS-055A RAW SC'!CI$17*100)</f>
        <v/>
      </c>
      <c r="CL75" s="130" t="str">
        <f>IF('Midterm OVPAA-F-INS-055A RAW SC'!CJ75="","",'Midterm OVPAA-F-INS-055A RAW SC'!CJ75/'Midterm OVPAA-F-INS-055A RAW SC'!CJ$17*100)</f>
        <v/>
      </c>
      <c r="CM75" s="130" t="str">
        <f>IF('Midterm OVPAA-F-INS-055A RAW SC'!CK75="","",'Midterm OVPAA-F-INS-055A RAW SC'!CK75/'Midterm OVPAA-F-INS-055A RAW SC'!CK$17*100)</f>
        <v/>
      </c>
      <c r="CN75" s="130" t="str">
        <f>IF('Midterm OVPAA-F-INS-055A RAW SC'!CL75="","",'Midterm OVPAA-F-INS-055A RAW SC'!CL75/'Midterm OVPAA-F-INS-055A RAW SC'!CL$17*100)</f>
        <v/>
      </c>
      <c r="CO75" s="130" t="str">
        <f>IF('Midterm OVPAA-F-INS-055A RAW SC'!CM75="","",'Midterm OVPAA-F-INS-055A RAW SC'!CM75/'Midterm OVPAA-F-INS-055A RAW SC'!CM$17*100)</f>
        <v/>
      </c>
      <c r="CP75" s="130" t="str">
        <f>IF('Midterm OVPAA-F-INS-055A RAW SC'!CN75="","",'Midterm OVPAA-F-INS-055A RAW SC'!CN75/'Midterm OVPAA-F-INS-055A RAW SC'!CN$17*100)</f>
        <v/>
      </c>
      <c r="CQ75" s="131" t="str">
        <f t="array" ref="CQ75">IF('Midterm OVPAA-F-INS-055A RAW SC'!G75="","",IF((SUMPRODUCT(--ISBLANK('Midterm OVPAA-F-INS-055A RAW SC'!BU75:CN75))=COLUMNS('Midterm OVPAA-F-INS-055A RAW SC'!BU75:CN75))=TRUE,"",(((COUNTA('Midterm OVPAA-F-INS-055A RAW SC'!$BU$17:$CN$17)+COUNTBLANK('Midterm OVPAA-F-INS-055A RAW SC'!BU75:CN75))-COLUMNS('Midterm OVPAA-F-INS-055A RAW SC'!BU75:CN75))*5+SUM(BW75:CP75))/COUNTA('Midterm OVPAA-F-INS-055A RAW SC'!$BU$17:$CN$17)))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IF('Midterm OVPAA-F-INS-055A RAW SC'!CO75="","",'Midterm OVPAA-F-INS-055A RAW SC'!CO75/'Midterm OVPAA-F-INS-055A RAW SC'!CO$17*100)</f>
        <v/>
      </c>
      <c r="CT75" s="133" t="str">
        <f>IF('Midterm OVPAA-F-INS-055A RAW SC'!CP75="","",'Midterm OVPAA-F-INS-055A RAW SC'!CP75/'Midterm OVPAA-F-INS-055A RAW SC'!CP$17*100)</f>
        <v/>
      </c>
      <c r="CU75" s="133" t="str">
        <f>IF('Midterm OVPAA-F-INS-055A RAW SC'!CQ75="","",'Midterm OVPAA-F-INS-055A RAW SC'!CQ75/'Midterm OVPAA-F-INS-055A RAW SC'!CQ$17*100)</f>
        <v/>
      </c>
      <c r="CV75" s="133" t="str">
        <f>IF('Midterm OVPAA-F-INS-055A RAW SC'!CR75="","",'Midterm OVPAA-F-INS-055A RAW SC'!CR75/'Midterm OVPAA-F-INS-055A RAW SC'!CR$17*100)</f>
        <v/>
      </c>
      <c r="CW75" s="133" t="str">
        <f>IF('Midterm OVPAA-F-INS-055A RAW SC'!CS75="","",'Midterm OVPAA-F-INS-055A RAW SC'!CS75/'Midterm OVPAA-F-INS-055A RAW SC'!CS$17*100)</f>
        <v/>
      </c>
      <c r="CX75" s="133" t="str">
        <f>IF('Midterm OVPAA-F-INS-055A RAW SC'!CT75="","",'Midterm OVPAA-F-INS-055A RAW SC'!CT75/'Midterm OVPAA-F-INS-055A RAW SC'!CT$17*100)</f>
        <v/>
      </c>
      <c r="CY75" s="133" t="str">
        <f>IF('Midterm OVPAA-F-INS-055A RAW SC'!CU75="","",'Midterm OVPAA-F-INS-055A RAW SC'!CU75/'Midterm OVPAA-F-INS-055A RAW SC'!CU$17*100)</f>
        <v/>
      </c>
      <c r="CZ75" s="133" t="str">
        <f>IF('Midterm OVPAA-F-INS-055A RAW SC'!CV75="","",'Midterm OVPAA-F-INS-055A RAW SC'!CV75/'Midterm OVPAA-F-INS-055A RAW SC'!CV$17*100)</f>
        <v/>
      </c>
      <c r="DA75" s="133" t="str">
        <f>IF('Midterm OVPAA-F-INS-055A RAW SC'!CW75="","",'Midterm OVPAA-F-INS-055A RAW SC'!CW75/'Midterm OVPAA-F-INS-055A RAW SC'!CW$17*100)</f>
        <v/>
      </c>
      <c r="DB75" s="133" t="str">
        <f>IF('Midterm OVPAA-F-INS-055A RAW SC'!CX75="","",'Midterm OVPAA-F-INS-055A RAW SC'!CX75/'Midterm OVPAA-F-INS-055A RAW SC'!CX$17*100)</f>
        <v/>
      </c>
      <c r="DC75" s="134" t="str">
        <f t="array" ref="DC75">IF('Midterm OVPAA-F-INS-055A RAW SC'!$G75="","",IF((SUMPRODUCT(--ISBLANK('Midterm OVPAA-F-INS-055A RAW SC'!CO75:CX75))=COLUMNS('Midterm OVPAA-F-INS-055A RAW SC'!CO75:CX75))=TRUE,"",(((COUNTA('Midterm OVPAA-F-INS-055A RAW SC'!$CO$17:$CX$17)+COUNTBLANK('Midterm OVPAA-F-INS-055A RAW SC'!CO75:CX75))-COLUMNS('Midterm OVPAA-F-INS-055A RAW SC'!CO75:CX75))*5+SUM(CS75:DB75))/COUNTA('Midterm OVPAA-F-INS-055A RAW SC'!$CO$17:$CX$17)))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37" t="str">
        <f t="shared" si="2"/>
        <v/>
      </c>
      <c r="DG75" s="138" t="str">
        <f t="shared" si="3"/>
        <v/>
      </c>
      <c r="DH75" s="136" t="str">
        <f t="shared" si="4"/>
        <v/>
      </c>
      <c r="DI75" s="123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IF('Midterm OVPAA-F-INS-055A RAW SC'!H76="","",'Midterm OVPAA-F-INS-055A RAW SC'!H76/'Midterm OVPAA-F-INS-055A RAW SC'!H$17*100)</f>
        <v/>
      </c>
      <c r="I76" s="126" t="str">
        <f>IF('Midterm OVPAA-F-INS-055A RAW SC'!I76="","",'Midterm OVPAA-F-INS-055A RAW SC'!I76/'Midterm OVPAA-F-INS-055A RAW SC'!I$17*100)</f>
        <v/>
      </c>
      <c r="J76" s="126" t="str">
        <f>IF('Midterm OVPAA-F-INS-055A RAW SC'!J76="","",'Midterm OVPAA-F-INS-055A RAW SC'!J76/'Midterm OVPAA-F-INS-055A RAW SC'!J$17*100)</f>
        <v/>
      </c>
      <c r="K76" s="126" t="str">
        <f>IF('Midterm OVPAA-F-INS-055A RAW SC'!K76="","",'Midterm OVPAA-F-INS-055A RAW SC'!K76/'Midterm OVPAA-F-INS-055A RAW SC'!K$17*100)</f>
        <v/>
      </c>
      <c r="L76" s="126" t="str">
        <f>IF('Midterm OVPAA-F-INS-055A RAW SC'!L76="","",'Midterm OVPAA-F-INS-055A RAW SC'!L76/'Midterm OVPAA-F-INS-055A RAW SC'!L$17*100)</f>
        <v/>
      </c>
      <c r="M76" s="126" t="str">
        <f>IF('Midterm OVPAA-F-INS-055A RAW SC'!M76="","",'Midterm OVPAA-F-INS-055A RAW SC'!M76/'Midterm OVPAA-F-INS-055A RAW SC'!M$17*100)</f>
        <v/>
      </c>
      <c r="N76" s="126" t="str">
        <f>IF('Midterm OVPAA-F-INS-055A RAW SC'!N76="","",'Midterm OVPAA-F-INS-055A RAW SC'!N76/'Midterm OVPAA-F-INS-055A RAW SC'!N$17*100)</f>
        <v/>
      </c>
      <c r="O76" s="126" t="str">
        <f>IF('Midterm OVPAA-F-INS-055A RAW SC'!O76="","",'Midterm OVPAA-F-INS-055A RAW SC'!O76/'Midterm OVPAA-F-INS-055A RAW SC'!O$17*100)</f>
        <v/>
      </c>
      <c r="P76" s="126" t="str">
        <f>IF('Midterm OVPAA-F-INS-055A RAW SC'!P76="","",'Midterm OVPAA-F-INS-055A RAW SC'!P76/'Midterm OVPAA-F-INS-055A RAW SC'!P$17*100)</f>
        <v/>
      </c>
      <c r="Q76" s="126" t="str">
        <f>IF('Midterm OVPAA-F-INS-055A RAW SC'!Q76="","",'Midterm OVPAA-F-INS-055A RAW SC'!Q76/'Midterm OVPAA-F-INS-055A RAW SC'!Q$17*100)</f>
        <v/>
      </c>
      <c r="R76" s="126" t="str">
        <f>IF('Midterm OVPAA-F-INS-055A RAW SC'!R76="","",'Midterm OVPAA-F-INS-055A RAW SC'!R76/'Midterm OVPAA-F-INS-055A RAW SC'!R$17*100)</f>
        <v/>
      </c>
      <c r="S76" s="126" t="str">
        <f>IF('Midterm OVPAA-F-INS-055A RAW SC'!S76="","",'Midterm OVPAA-F-INS-055A RAW SC'!S76/'Midterm OVPAA-F-INS-055A RAW SC'!S$17*100)</f>
        <v/>
      </c>
      <c r="T76" s="126" t="str">
        <f>IF('Midterm OVPAA-F-INS-055A RAW SC'!T76="","",'Midterm OVPAA-F-INS-055A RAW SC'!T76/'Midterm OVPAA-F-INS-055A RAW SC'!T$17*100)</f>
        <v/>
      </c>
      <c r="U76" s="126" t="str">
        <f>IF('Midterm OVPAA-F-INS-055A RAW SC'!U76="","",'Midterm OVPAA-F-INS-055A RAW SC'!U76/'Midterm OVPAA-F-INS-055A RAW SC'!U$17*100)</f>
        <v/>
      </c>
      <c r="V76" s="126" t="str">
        <f>IF('Midterm OVPAA-F-INS-055A RAW SC'!V76="","",'Midterm OVPAA-F-INS-055A RAW SC'!V76/'Midterm OVPAA-F-INS-055A RAW SC'!V$17*100)</f>
        <v/>
      </c>
      <c r="W76" s="126" t="str">
        <f>IF('Midterm OVPAA-F-INS-055A RAW SC'!W76="","",'Midterm OVPAA-F-INS-055A RAW SC'!W76/'Midterm OVPAA-F-INS-055A RAW SC'!W$17*100)</f>
        <v/>
      </c>
      <c r="X76" s="126" t="str">
        <f>IF('Midterm OVPAA-F-INS-055A RAW SC'!X76="","",'Midterm OVPAA-F-INS-055A RAW SC'!X76/'Midterm OVPAA-F-INS-055A RAW SC'!X$17*100)</f>
        <v/>
      </c>
      <c r="Y76" s="126" t="str">
        <f>IF('Midterm OVPAA-F-INS-055A RAW SC'!Y76="","",'Midterm OVPAA-F-INS-055A RAW SC'!Y76/'Midterm OVPAA-F-INS-055A RAW SC'!Y$17*100)</f>
        <v/>
      </c>
      <c r="Z76" s="126" t="str">
        <f>IF('Midterm OVPAA-F-INS-055A RAW SC'!Z76="","",'Midterm OVPAA-F-INS-055A RAW SC'!Z76/'Midterm OVPAA-F-INS-055A RAW SC'!Z$17*100)</f>
        <v/>
      </c>
      <c r="AA76" s="126" t="str">
        <f>IF('Midterm OVPAA-F-INS-055A RAW SC'!AA76="","",'Midterm OVPAA-F-INS-055A RAW SC'!AA76/'Midterm OVPAA-F-INS-055A RAW SC'!AA$17*100)</f>
        <v/>
      </c>
      <c r="AB76" s="126" t="str">
        <f>IF('Midterm OVPAA-F-INS-055A RAW SC'!AB76="","",'Midterm OVPAA-F-INS-055A RAW SC'!AB76/'Midterm OVPAA-F-INS-055A RAW SC'!AB$17*100)</f>
        <v/>
      </c>
      <c r="AC76" s="126" t="str">
        <f>IF('Midterm OVPAA-F-INS-055A RAW SC'!AC76="","",'Midterm OVPAA-F-INS-055A RAW SC'!AC76/'Midterm OVPAA-F-INS-055A RAW SC'!AC$17*100)</f>
        <v/>
      </c>
      <c r="AD76" s="126" t="str">
        <f>IF('Midterm OVPAA-F-INS-055A RAW SC'!AD76="","",'Midterm OVPAA-F-INS-055A RAW SC'!AD76/'Midterm OVPAA-F-INS-055A RAW SC'!AD$17*100)</f>
        <v/>
      </c>
      <c r="AE76" s="126" t="str">
        <f>IF('Midterm OVPAA-F-INS-055A RAW SC'!AE76="","",'Midterm OVPAA-F-INS-055A RAW SC'!AE76/'Midterm OVPAA-F-INS-055A RAW SC'!AE$17*100)</f>
        <v/>
      </c>
      <c r="AF76" s="126" t="str">
        <f>IF('Midterm OVPAA-F-INS-055A RAW SC'!AF76="","",'Midterm OVPAA-F-INS-055A RAW SC'!AF76/'Midterm OVPAA-F-INS-055A RAW SC'!AF$17*100)</f>
        <v/>
      </c>
      <c r="AG76" s="126" t="str">
        <f>IF('Midterm OVPAA-F-INS-055A RAW SC'!AG76="","",'Midterm OVPAA-F-INS-055A RAW SC'!AG76/'Midterm OVPAA-F-INS-055A RAW SC'!AG$17*100)</f>
        <v/>
      </c>
      <c r="AH76" s="126" t="str">
        <f>IF('Midterm OVPAA-F-INS-055A RAW SC'!AH76="","",'Midterm OVPAA-F-INS-055A RAW SC'!AH76/'Midterm OVPAA-F-INS-055A RAW SC'!AH$17*100)</f>
        <v/>
      </c>
      <c r="AI76" s="126" t="str">
        <f>IF('Midterm OVPAA-F-INS-055A RAW SC'!AI76="","",'Midterm OVPAA-F-INS-055A RAW SC'!AI76/'Midterm OVPAA-F-INS-055A RAW SC'!AI$17*100)</f>
        <v/>
      </c>
      <c r="AJ76" s="126" t="str">
        <f>IF('Midterm OVPAA-F-INS-055A RAW SC'!AJ76="","",'Midterm OVPAA-F-INS-055A RAW SC'!AJ76/'Midterm OVPAA-F-INS-055A RAW SC'!AJ$17*100)</f>
        <v/>
      </c>
      <c r="AK76" s="126" t="str">
        <f>IF('Midterm OVPAA-F-INS-055A RAW SC'!AK76="","",'Midterm OVPAA-F-INS-055A RAW SC'!AK76/'Midterm OVPAA-F-INS-055A RAW SC'!AK$17*100)</f>
        <v/>
      </c>
      <c r="AL76" s="126" t="str">
        <f>IF('Midterm OVPAA-F-INS-055A RAW SC'!AL76="","",'Midterm OVPAA-F-INS-055A RAW SC'!AL76/'Midterm OVPAA-F-INS-055A RAW SC'!AL$17*100)</f>
        <v/>
      </c>
      <c r="AM76" s="126" t="str">
        <f>IF('Midterm OVPAA-F-INS-055A RAW SC'!AM76="","",'Midterm OVPAA-F-INS-055A RAW SC'!AM76/'Midterm OVPAA-F-INS-055A RAW SC'!AM$17*100)</f>
        <v/>
      </c>
      <c r="AN76" s="126" t="str">
        <f>IF('Midterm OVPAA-F-INS-055A RAW SC'!AN76="","",'Midterm OVPAA-F-INS-055A RAW SC'!AN76/'Midterm OVPAA-F-INS-055A RAW SC'!AN$17*100)</f>
        <v/>
      </c>
      <c r="AO76" s="126" t="str">
        <f>IF('Midterm OVPAA-F-INS-055A RAW SC'!AO76="","",'Midterm OVPAA-F-INS-055A RAW SC'!AO76/'Midterm OVPAA-F-INS-055A RAW SC'!AO$17*100)</f>
        <v/>
      </c>
      <c r="AP76" s="126" t="str">
        <f>IF('Midterm OVPAA-F-INS-055A RAW SC'!AP76="","",'Midterm OVPAA-F-INS-055A RAW SC'!AP76/'Midterm OVPAA-F-INS-055A RAW SC'!AP$17*100)</f>
        <v/>
      </c>
      <c r="AQ76" s="126" t="str">
        <f>IF('Midterm OVPAA-F-INS-055A RAW SC'!AQ76="","",'Midterm OVPAA-F-INS-055A RAW SC'!AQ76/'Midterm OVPAA-F-INS-055A RAW SC'!AQ$17*100)</f>
        <v/>
      </c>
      <c r="AR76" s="126" t="str">
        <f>IF('Midterm OVPAA-F-INS-055A RAW SC'!AR76="","",'Midterm OVPAA-F-INS-055A RAW SC'!AR76/'Midterm OVPAA-F-INS-055A RAW SC'!AR$17*100)</f>
        <v/>
      </c>
      <c r="AS76" s="126" t="str">
        <f>IF('Midterm OVPAA-F-INS-055A RAW SC'!AS76="","",'Midterm OVPAA-F-INS-055A RAW SC'!AS76/'Midterm OVPAA-F-INS-055A RAW SC'!AS$17*100)</f>
        <v/>
      </c>
      <c r="AT76" s="126" t="str">
        <f>IF('Midterm OVPAA-F-INS-055A RAW SC'!AT76="","",'Midterm OVPAA-F-INS-055A RAW SC'!AT76/'Midterm OVPAA-F-INS-055A RAW SC'!AT$17*100)</f>
        <v/>
      </c>
      <c r="AU76" s="126" t="str">
        <f>IF('Midterm OVPAA-F-INS-055A RAW SC'!AU76="","",'Midterm OVPAA-F-INS-055A RAW SC'!AU76/'Midterm OVPAA-F-INS-055A RAW SC'!AU$17*100)</f>
        <v/>
      </c>
      <c r="AV76" s="126" t="str">
        <f>IF('Midterm OVPAA-F-INS-055A RAW SC'!AV76="","",'Midterm OVPAA-F-INS-055A RAW SC'!AV76/'Midterm OVPAA-F-INS-055A RAW SC'!AV$17*100)</f>
        <v/>
      </c>
      <c r="AW76" s="126" t="str">
        <f>IF('Midterm OVPAA-F-INS-055A RAW SC'!AW76="","",'Midterm OVPAA-F-INS-055A RAW SC'!AW76/'Midterm OVPAA-F-INS-055A RAW SC'!AW$17*100)</f>
        <v/>
      </c>
      <c r="AX76" s="126" t="str">
        <f>IF('Midterm OVPAA-F-INS-055A RAW SC'!AX76="","",'Midterm OVPAA-F-INS-055A RAW SC'!AX76/'Midterm OVPAA-F-INS-055A RAW SC'!AX$17*100)</f>
        <v/>
      </c>
      <c r="AY76" s="126" t="str">
        <f>IF('Midterm OVPAA-F-INS-055A RAW SC'!AY76="","",'Midterm OVPAA-F-INS-055A RAW SC'!AY76/'Midterm OVPAA-F-INS-055A RAW SC'!AY$17*100)</f>
        <v/>
      </c>
      <c r="AZ76" s="126" t="str">
        <f>IF('Midterm OVPAA-F-INS-055A RAW SC'!AZ76="","",'Midterm OVPAA-F-INS-055A RAW SC'!AZ76/'Midterm OVPAA-F-INS-055A RAW SC'!AZ$17*100)</f>
        <v/>
      </c>
      <c r="BA76" s="126" t="str">
        <f>IF('Midterm OVPAA-F-INS-055A RAW SC'!BA76="","",'Midterm OVPAA-F-INS-055A RAW SC'!BA76/'Midterm OVPAA-F-INS-055A RAW SC'!BA$17*100)</f>
        <v/>
      </c>
      <c r="BB76" s="126" t="str">
        <f>IF('Midterm OVPAA-F-INS-055A RAW SC'!BB76="","",'Midterm OVPAA-F-INS-055A RAW SC'!BB76/'Midterm OVPAA-F-INS-055A RAW SC'!BB$17*100)</f>
        <v/>
      </c>
      <c r="BC76" s="126" t="str">
        <f>IF('Midterm OVPAA-F-INS-055A RAW SC'!BC76="","",'Midterm OVPAA-F-INS-055A RAW SC'!BC76/'Midterm OVPAA-F-INS-055A RAW SC'!BC$17*100)</f>
        <v/>
      </c>
      <c r="BD76" s="126" t="str">
        <f>IF('Midterm OVPAA-F-INS-055A RAW SC'!BD76="","",'Midterm OVPAA-F-INS-055A RAW SC'!BD76/'Midterm OVPAA-F-INS-055A RAW SC'!BD$17*100)</f>
        <v/>
      </c>
      <c r="BE76" s="126" t="str">
        <f>IF('Midterm OVPAA-F-INS-055A RAW SC'!BE76="","",'Midterm OVPAA-F-INS-055A RAW SC'!BE76/'Midterm OVPAA-F-INS-055A RAW SC'!BE$17*100)</f>
        <v/>
      </c>
      <c r="BF76" s="126" t="str">
        <f>IF('Midterm OVPAA-F-INS-055A RAW SC'!BF76="","",'Midterm OVPAA-F-INS-055A RAW SC'!BF76/'Midterm OVPAA-F-INS-055A RAW SC'!BF$17*100)</f>
        <v/>
      </c>
      <c r="BG76" s="126" t="str">
        <f>IF('Midterm OVPAA-F-INS-055A RAW SC'!BG76="","",'Midterm OVPAA-F-INS-055A RAW SC'!BG76/'Midterm OVPAA-F-INS-055A RAW SC'!BG$17*100)</f>
        <v/>
      </c>
      <c r="BH76" s="126" t="str">
        <f>IF('Midterm OVPAA-F-INS-055A RAW SC'!BH76="","",'Midterm OVPAA-F-INS-055A RAW SC'!BH76/'Midterm OVPAA-F-INS-055A RAW SC'!BH$17*100)</f>
        <v/>
      </c>
      <c r="BI76" s="126" t="str">
        <f>IF('Midterm OVPAA-F-INS-055A RAW SC'!BI76="","",'Midterm OVPAA-F-INS-055A RAW SC'!BI76/'Midterm OVPAA-F-INS-055A RAW SC'!BI$17*100)</f>
        <v/>
      </c>
      <c r="BJ76" s="126" t="str">
        <f>IF('Midterm OVPAA-F-INS-055A RAW SC'!BJ76="","",'Midterm OVPAA-F-INS-055A RAW SC'!BJ76/'Midterm OVPAA-F-INS-055A RAW SC'!BJ$17*100)</f>
        <v/>
      </c>
      <c r="BK76" s="126" t="str">
        <f>IF('Midterm OVPAA-F-INS-055A RAW SC'!BK76="","",'Midterm OVPAA-F-INS-055A RAW SC'!BK76/'Midterm OVPAA-F-INS-055A RAW SC'!BK$17*100)</f>
        <v/>
      </c>
      <c r="BL76" s="126" t="str">
        <f>IF('Midterm OVPAA-F-INS-055A RAW SC'!BL76="","",'Midterm OVPAA-F-INS-055A RAW SC'!BL76/'Midterm OVPAA-F-INS-055A RAW SC'!BL$17*100)</f>
        <v/>
      </c>
      <c r="BM76" s="126" t="str">
        <f>IF('Midterm OVPAA-F-INS-055A RAW SC'!BM76="","",'Midterm OVPAA-F-INS-055A RAW SC'!BM76/'Midterm OVPAA-F-INS-055A RAW SC'!BM$17*100)</f>
        <v/>
      </c>
      <c r="BN76" s="126" t="str">
        <f>IF('Midterm OVPAA-F-INS-055A RAW SC'!BN76="","",'Midterm OVPAA-F-INS-055A RAW SC'!BN76/'Midterm OVPAA-F-INS-055A RAW SC'!BN$17*100)</f>
        <v/>
      </c>
      <c r="BO76" s="126" t="str">
        <f>IF('Midterm OVPAA-F-INS-055A RAW SC'!BO76="","",'Midterm OVPAA-F-INS-055A RAW SC'!BO76/'Midterm OVPAA-F-INS-055A RAW SC'!BO$17*100)</f>
        <v/>
      </c>
      <c r="BP76" s="126" t="str">
        <f>IF('Midterm OVPAA-F-INS-055A RAW SC'!BP76="","",'Midterm OVPAA-F-INS-055A RAW SC'!BP76/'Midterm OVPAA-F-INS-055A RAW SC'!BP$17*100)</f>
        <v/>
      </c>
      <c r="BQ76" s="126" t="str">
        <f>IF('Midterm OVPAA-F-INS-055A RAW SC'!BQ76="","",'Midterm OVPAA-F-INS-055A RAW SC'!BQ76/'Midterm OVPAA-F-INS-055A RAW SC'!BQ$17*100)</f>
        <v/>
      </c>
      <c r="BR76" s="126" t="str">
        <f>IF('Midterm OVPAA-F-INS-055A RAW SC'!BR76="","",'Midterm OVPAA-F-INS-055A RAW SC'!BR76/'Midterm OVPAA-F-INS-055A RAW SC'!BR$17*100)</f>
        <v/>
      </c>
      <c r="BS76" s="126" t="str">
        <f>IF('Midterm OVPAA-F-INS-055A RAW SC'!BS76="","",'Midterm OVPAA-F-INS-055A RAW SC'!BS76/'Midterm OVPAA-F-INS-055A RAW SC'!BS$17*100)</f>
        <v/>
      </c>
      <c r="BT76" s="126" t="str">
        <f>IF('Midterm OVPAA-F-INS-055A RAW SC'!BT76="","",'Midterm OVPAA-F-INS-055A RAW SC'!BT76/'Midterm OVPAA-F-INS-055A RAW SC'!BT$17*100)</f>
        <v/>
      </c>
      <c r="BU76" s="127" t="str">
        <f t="array" ref="BU76">IF('Midterm OVPAA-F-INS-055A RAW SC'!$G76="","",IF((SUMPRODUCT(--ISBLANK('Midterm OVPAA-F-INS-055A RAW SC'!H76:BT76))=COLUMNS('Midterm OVPAA-F-INS-055A RAW SC'!H76:BT76))=TRUE,"",(((COUNTA('Midterm OVPAA-F-INS-055A RAW SC'!$H$17:$BT$17)+COUNTBLANK('Midterm OVPAA-F-INS-055A RAW SC'!H76:BT76))-COLUMNS('Midterm OVPAA-F-INS-055A RAW SC'!H76:BT76))*5+SUM(H76:BT76))/COUNTA('Midterm OVPAA-F-INS-055A RAW SC'!$H$17:$BT$17)))</f>
        <v/>
      </c>
      <c r="BV76" s="128" t="str">
        <f>IF(BU76="","",VLOOKUP(BU76,IF('Midterm OVPAA-F-INS-055A RAW SC'!$V$12=0.5,TRANSMUTATION!$C$4:$D$17,TRANSMUTATION!$G$4:$H$17),2,TRUE))</f>
        <v/>
      </c>
      <c r="BW76" s="129" t="str">
        <f>IF('Midterm OVPAA-F-INS-055A RAW SC'!BU76="","",'Midterm OVPAA-F-INS-055A RAW SC'!BU76/'Midterm OVPAA-F-INS-055A RAW SC'!BU$17*100)</f>
        <v/>
      </c>
      <c r="BX76" s="130" t="str">
        <f>IF('Midterm OVPAA-F-INS-055A RAW SC'!BV76="","",'Midterm OVPAA-F-INS-055A RAW SC'!BV76/'Midterm OVPAA-F-INS-055A RAW SC'!BV$17*100)</f>
        <v/>
      </c>
      <c r="BY76" s="130" t="str">
        <f>IF('Midterm OVPAA-F-INS-055A RAW SC'!BW76="","",'Midterm OVPAA-F-INS-055A RAW SC'!BW76/'Midterm OVPAA-F-INS-055A RAW SC'!BW$17*100)</f>
        <v/>
      </c>
      <c r="BZ76" s="130" t="str">
        <f>IF('Midterm OVPAA-F-INS-055A RAW SC'!BX76="","",'Midterm OVPAA-F-INS-055A RAW SC'!BX76/'Midterm OVPAA-F-INS-055A RAW SC'!BX$17*100)</f>
        <v/>
      </c>
      <c r="CA76" s="130" t="str">
        <f>IF('Midterm OVPAA-F-INS-055A RAW SC'!BY76="","",'Midterm OVPAA-F-INS-055A RAW SC'!BY76/'Midterm OVPAA-F-INS-055A RAW SC'!BY$17*100)</f>
        <v/>
      </c>
      <c r="CB76" s="130" t="str">
        <f>IF('Midterm OVPAA-F-INS-055A RAW SC'!BZ76="","",'Midterm OVPAA-F-INS-055A RAW SC'!BZ76/'Midterm OVPAA-F-INS-055A RAW SC'!BZ$17*100)</f>
        <v/>
      </c>
      <c r="CC76" s="130" t="str">
        <f>IF('Midterm OVPAA-F-INS-055A RAW SC'!CA76="","",'Midterm OVPAA-F-INS-055A RAW SC'!CA76/'Midterm OVPAA-F-INS-055A RAW SC'!CA$17*100)</f>
        <v/>
      </c>
      <c r="CD76" s="130" t="str">
        <f>IF('Midterm OVPAA-F-INS-055A RAW SC'!CB76="","",'Midterm OVPAA-F-INS-055A RAW SC'!CB76/'Midterm OVPAA-F-INS-055A RAW SC'!CB$17*100)</f>
        <v/>
      </c>
      <c r="CE76" s="130" t="str">
        <f>IF('Midterm OVPAA-F-INS-055A RAW SC'!CC76="","",'Midterm OVPAA-F-INS-055A RAW SC'!CC76/'Midterm OVPAA-F-INS-055A RAW SC'!CC$17*100)</f>
        <v/>
      </c>
      <c r="CF76" s="130" t="str">
        <f>IF('Midterm OVPAA-F-INS-055A RAW SC'!CD76="","",'Midterm OVPAA-F-INS-055A RAW SC'!CD76/'Midterm OVPAA-F-INS-055A RAW SC'!CD$17*100)</f>
        <v/>
      </c>
      <c r="CG76" s="130" t="str">
        <f>IF('Midterm OVPAA-F-INS-055A RAW SC'!CE76="","",'Midterm OVPAA-F-INS-055A RAW SC'!CE76/'Midterm OVPAA-F-INS-055A RAW SC'!CE$17*100)</f>
        <v/>
      </c>
      <c r="CH76" s="130" t="str">
        <f>IF('Midterm OVPAA-F-INS-055A RAW SC'!CF76="","",'Midterm OVPAA-F-INS-055A RAW SC'!CF76/'Midterm OVPAA-F-INS-055A RAW SC'!CF$17*100)</f>
        <v/>
      </c>
      <c r="CI76" s="130" t="str">
        <f>IF('Midterm OVPAA-F-INS-055A RAW SC'!CG76="","",'Midterm OVPAA-F-INS-055A RAW SC'!CG76/'Midterm OVPAA-F-INS-055A RAW SC'!CG$17*100)</f>
        <v/>
      </c>
      <c r="CJ76" s="130" t="str">
        <f>IF('Midterm OVPAA-F-INS-055A RAW SC'!CH76="","",'Midterm OVPAA-F-INS-055A RAW SC'!CH76/'Midterm OVPAA-F-INS-055A RAW SC'!CH$17*100)</f>
        <v/>
      </c>
      <c r="CK76" s="130" t="str">
        <f>IF('Midterm OVPAA-F-INS-055A RAW SC'!CI76="","",'Midterm OVPAA-F-INS-055A RAW SC'!CI76/'Midterm OVPAA-F-INS-055A RAW SC'!CI$17*100)</f>
        <v/>
      </c>
      <c r="CL76" s="130" t="str">
        <f>IF('Midterm OVPAA-F-INS-055A RAW SC'!CJ76="","",'Midterm OVPAA-F-INS-055A RAW SC'!CJ76/'Midterm OVPAA-F-INS-055A RAW SC'!CJ$17*100)</f>
        <v/>
      </c>
      <c r="CM76" s="130" t="str">
        <f>IF('Midterm OVPAA-F-INS-055A RAW SC'!CK76="","",'Midterm OVPAA-F-INS-055A RAW SC'!CK76/'Midterm OVPAA-F-INS-055A RAW SC'!CK$17*100)</f>
        <v/>
      </c>
      <c r="CN76" s="130" t="str">
        <f>IF('Midterm OVPAA-F-INS-055A RAW SC'!CL76="","",'Midterm OVPAA-F-INS-055A RAW SC'!CL76/'Midterm OVPAA-F-INS-055A RAW SC'!CL$17*100)</f>
        <v/>
      </c>
      <c r="CO76" s="130" t="str">
        <f>IF('Midterm OVPAA-F-INS-055A RAW SC'!CM76="","",'Midterm OVPAA-F-INS-055A RAW SC'!CM76/'Midterm OVPAA-F-INS-055A RAW SC'!CM$17*100)</f>
        <v/>
      </c>
      <c r="CP76" s="130" t="str">
        <f>IF('Midterm OVPAA-F-INS-055A RAW SC'!CN76="","",'Midterm OVPAA-F-INS-055A RAW SC'!CN76/'Midterm OVPAA-F-INS-055A RAW SC'!CN$17*100)</f>
        <v/>
      </c>
      <c r="CQ76" s="131" t="str">
        <f t="array" ref="CQ76">IF('Midterm OVPAA-F-INS-055A RAW SC'!G76="","",IF((SUMPRODUCT(--ISBLANK('Midterm OVPAA-F-INS-055A RAW SC'!BU76:CN76))=COLUMNS('Midterm OVPAA-F-INS-055A RAW SC'!BU76:CN76))=TRUE,"",(((COUNTA('Midterm OVPAA-F-INS-055A RAW SC'!$BU$17:$CN$17)+COUNTBLANK('Midterm OVPAA-F-INS-055A RAW SC'!BU76:CN76))-COLUMNS('Midterm OVPAA-F-INS-055A RAW SC'!BU76:CN76))*5+SUM(BW76:CP76))/COUNTA('Midterm OVPAA-F-INS-055A RAW SC'!$BU$17:$CN$17)))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IF('Midterm OVPAA-F-INS-055A RAW SC'!CO76="","",'Midterm OVPAA-F-INS-055A RAW SC'!CO76/'Midterm OVPAA-F-INS-055A RAW SC'!CO$17*100)</f>
        <v/>
      </c>
      <c r="CT76" s="133" t="str">
        <f>IF('Midterm OVPAA-F-INS-055A RAW SC'!CP76="","",'Midterm OVPAA-F-INS-055A RAW SC'!CP76/'Midterm OVPAA-F-INS-055A RAW SC'!CP$17*100)</f>
        <v/>
      </c>
      <c r="CU76" s="133" t="str">
        <f>IF('Midterm OVPAA-F-INS-055A RAW SC'!CQ76="","",'Midterm OVPAA-F-INS-055A RAW SC'!CQ76/'Midterm OVPAA-F-INS-055A RAW SC'!CQ$17*100)</f>
        <v/>
      </c>
      <c r="CV76" s="133" t="str">
        <f>IF('Midterm OVPAA-F-INS-055A RAW SC'!CR76="","",'Midterm OVPAA-F-INS-055A RAW SC'!CR76/'Midterm OVPAA-F-INS-055A RAW SC'!CR$17*100)</f>
        <v/>
      </c>
      <c r="CW76" s="133" t="str">
        <f>IF('Midterm OVPAA-F-INS-055A RAW SC'!CS76="","",'Midterm OVPAA-F-INS-055A RAW SC'!CS76/'Midterm OVPAA-F-INS-055A RAW SC'!CS$17*100)</f>
        <v/>
      </c>
      <c r="CX76" s="133" t="str">
        <f>IF('Midterm OVPAA-F-INS-055A RAW SC'!CT76="","",'Midterm OVPAA-F-INS-055A RAW SC'!CT76/'Midterm OVPAA-F-INS-055A RAW SC'!CT$17*100)</f>
        <v/>
      </c>
      <c r="CY76" s="133" t="str">
        <f>IF('Midterm OVPAA-F-INS-055A RAW SC'!CU76="","",'Midterm OVPAA-F-INS-055A RAW SC'!CU76/'Midterm OVPAA-F-INS-055A RAW SC'!CU$17*100)</f>
        <v/>
      </c>
      <c r="CZ76" s="133" t="str">
        <f>IF('Midterm OVPAA-F-INS-055A RAW SC'!CV76="","",'Midterm OVPAA-F-INS-055A RAW SC'!CV76/'Midterm OVPAA-F-INS-055A RAW SC'!CV$17*100)</f>
        <v/>
      </c>
      <c r="DA76" s="133" t="str">
        <f>IF('Midterm OVPAA-F-INS-055A RAW SC'!CW76="","",'Midterm OVPAA-F-INS-055A RAW SC'!CW76/'Midterm OVPAA-F-INS-055A RAW SC'!CW$17*100)</f>
        <v/>
      </c>
      <c r="DB76" s="133" t="str">
        <f>IF('Midterm OVPAA-F-INS-055A RAW SC'!CX76="","",'Midterm OVPAA-F-INS-055A RAW SC'!CX76/'Midterm OVPAA-F-INS-055A RAW SC'!CX$17*100)</f>
        <v/>
      </c>
      <c r="DC76" s="134" t="str">
        <f t="array" ref="DC76">IF('Midterm OVPAA-F-INS-055A RAW SC'!$G76="","",IF((SUMPRODUCT(--ISBLANK('Midterm OVPAA-F-INS-055A RAW SC'!CO76:CX76))=COLUMNS('Midterm OVPAA-F-INS-055A RAW SC'!CO76:CX76))=TRUE,"",(((COUNTA('Midterm OVPAA-F-INS-055A RAW SC'!$CO$17:$CX$17)+COUNTBLANK('Midterm OVPAA-F-INS-055A RAW SC'!CO76:CX76))-COLUMNS('Midterm OVPAA-F-INS-055A RAW SC'!CO76:CX76))*5+SUM(CS76:DB76))/COUNTA('Midterm OVPAA-F-INS-055A RAW SC'!$CO$17:$CX$17)))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37" t="str">
        <f t="shared" si="2"/>
        <v/>
      </c>
      <c r="DG76" s="138" t="str">
        <f t="shared" si="3"/>
        <v/>
      </c>
      <c r="DH76" s="136" t="str">
        <f t="shared" si="4"/>
        <v/>
      </c>
      <c r="DI76" s="123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IF('Midterm OVPAA-F-INS-055A RAW SC'!H77="","",'Midterm OVPAA-F-INS-055A RAW SC'!H77/'Midterm OVPAA-F-INS-055A RAW SC'!H$17*100)</f>
        <v/>
      </c>
      <c r="I77" s="126" t="str">
        <f>IF('Midterm OVPAA-F-INS-055A RAW SC'!I77="","",'Midterm OVPAA-F-INS-055A RAW SC'!I77/'Midterm OVPAA-F-INS-055A RAW SC'!I$17*100)</f>
        <v/>
      </c>
      <c r="J77" s="126" t="str">
        <f>IF('Midterm OVPAA-F-INS-055A RAW SC'!J77="","",'Midterm OVPAA-F-INS-055A RAW SC'!J77/'Midterm OVPAA-F-INS-055A RAW SC'!J$17*100)</f>
        <v/>
      </c>
      <c r="K77" s="126" t="str">
        <f>IF('Midterm OVPAA-F-INS-055A RAW SC'!K77="","",'Midterm OVPAA-F-INS-055A RAW SC'!K77/'Midterm OVPAA-F-INS-055A RAW SC'!K$17*100)</f>
        <v/>
      </c>
      <c r="L77" s="126" t="str">
        <f>IF('Midterm OVPAA-F-INS-055A RAW SC'!L77="","",'Midterm OVPAA-F-INS-055A RAW SC'!L77/'Midterm OVPAA-F-INS-055A RAW SC'!L$17*100)</f>
        <v/>
      </c>
      <c r="M77" s="126" t="str">
        <f>IF('Midterm OVPAA-F-INS-055A RAW SC'!M77="","",'Midterm OVPAA-F-INS-055A RAW SC'!M77/'Midterm OVPAA-F-INS-055A RAW SC'!M$17*100)</f>
        <v/>
      </c>
      <c r="N77" s="126" t="str">
        <f>IF('Midterm OVPAA-F-INS-055A RAW SC'!N77="","",'Midterm OVPAA-F-INS-055A RAW SC'!N77/'Midterm OVPAA-F-INS-055A RAW SC'!N$17*100)</f>
        <v/>
      </c>
      <c r="O77" s="126" t="str">
        <f>IF('Midterm OVPAA-F-INS-055A RAW SC'!O77="","",'Midterm OVPAA-F-INS-055A RAW SC'!O77/'Midterm OVPAA-F-INS-055A RAW SC'!O$17*100)</f>
        <v/>
      </c>
      <c r="P77" s="126" t="str">
        <f>IF('Midterm OVPAA-F-INS-055A RAW SC'!P77="","",'Midterm OVPAA-F-INS-055A RAW SC'!P77/'Midterm OVPAA-F-INS-055A RAW SC'!P$17*100)</f>
        <v/>
      </c>
      <c r="Q77" s="126" t="str">
        <f>IF('Midterm OVPAA-F-INS-055A RAW SC'!Q77="","",'Midterm OVPAA-F-INS-055A RAW SC'!Q77/'Midterm OVPAA-F-INS-055A RAW SC'!Q$17*100)</f>
        <v/>
      </c>
      <c r="R77" s="126" t="str">
        <f>IF('Midterm OVPAA-F-INS-055A RAW SC'!R77="","",'Midterm OVPAA-F-INS-055A RAW SC'!R77/'Midterm OVPAA-F-INS-055A RAW SC'!R$17*100)</f>
        <v/>
      </c>
      <c r="S77" s="126" t="str">
        <f>IF('Midterm OVPAA-F-INS-055A RAW SC'!S77="","",'Midterm OVPAA-F-INS-055A RAW SC'!S77/'Midterm OVPAA-F-INS-055A RAW SC'!S$17*100)</f>
        <v/>
      </c>
      <c r="T77" s="126" t="str">
        <f>IF('Midterm OVPAA-F-INS-055A RAW SC'!T77="","",'Midterm OVPAA-F-INS-055A RAW SC'!T77/'Midterm OVPAA-F-INS-055A RAW SC'!T$17*100)</f>
        <v/>
      </c>
      <c r="U77" s="126" t="str">
        <f>IF('Midterm OVPAA-F-INS-055A RAW SC'!U77="","",'Midterm OVPAA-F-INS-055A RAW SC'!U77/'Midterm OVPAA-F-INS-055A RAW SC'!U$17*100)</f>
        <v/>
      </c>
      <c r="V77" s="126" t="str">
        <f>IF('Midterm OVPAA-F-INS-055A RAW SC'!V77="","",'Midterm OVPAA-F-INS-055A RAW SC'!V77/'Midterm OVPAA-F-INS-055A RAW SC'!V$17*100)</f>
        <v/>
      </c>
      <c r="W77" s="126" t="str">
        <f>IF('Midterm OVPAA-F-INS-055A RAW SC'!W77="","",'Midterm OVPAA-F-INS-055A RAW SC'!W77/'Midterm OVPAA-F-INS-055A RAW SC'!W$17*100)</f>
        <v/>
      </c>
      <c r="X77" s="126" t="str">
        <f>IF('Midterm OVPAA-F-INS-055A RAW SC'!X77="","",'Midterm OVPAA-F-INS-055A RAW SC'!X77/'Midterm OVPAA-F-INS-055A RAW SC'!X$17*100)</f>
        <v/>
      </c>
      <c r="Y77" s="126" t="str">
        <f>IF('Midterm OVPAA-F-INS-055A RAW SC'!Y77="","",'Midterm OVPAA-F-INS-055A RAW SC'!Y77/'Midterm OVPAA-F-INS-055A RAW SC'!Y$17*100)</f>
        <v/>
      </c>
      <c r="Z77" s="126" t="str">
        <f>IF('Midterm OVPAA-F-INS-055A RAW SC'!Z77="","",'Midterm OVPAA-F-INS-055A RAW SC'!Z77/'Midterm OVPAA-F-INS-055A RAW SC'!Z$17*100)</f>
        <v/>
      </c>
      <c r="AA77" s="126" t="str">
        <f>IF('Midterm OVPAA-F-INS-055A RAW SC'!AA77="","",'Midterm OVPAA-F-INS-055A RAW SC'!AA77/'Midterm OVPAA-F-INS-055A RAW SC'!AA$17*100)</f>
        <v/>
      </c>
      <c r="AB77" s="126" t="str">
        <f>IF('Midterm OVPAA-F-INS-055A RAW SC'!AB77="","",'Midterm OVPAA-F-INS-055A RAW SC'!AB77/'Midterm OVPAA-F-INS-055A RAW SC'!AB$17*100)</f>
        <v/>
      </c>
      <c r="AC77" s="126" t="str">
        <f>IF('Midterm OVPAA-F-INS-055A RAW SC'!AC77="","",'Midterm OVPAA-F-INS-055A RAW SC'!AC77/'Midterm OVPAA-F-INS-055A RAW SC'!AC$17*100)</f>
        <v/>
      </c>
      <c r="AD77" s="126" t="str">
        <f>IF('Midterm OVPAA-F-INS-055A RAW SC'!AD77="","",'Midterm OVPAA-F-INS-055A RAW SC'!AD77/'Midterm OVPAA-F-INS-055A RAW SC'!AD$17*100)</f>
        <v/>
      </c>
      <c r="AE77" s="126" t="str">
        <f>IF('Midterm OVPAA-F-INS-055A RAW SC'!AE77="","",'Midterm OVPAA-F-INS-055A RAW SC'!AE77/'Midterm OVPAA-F-INS-055A RAW SC'!AE$17*100)</f>
        <v/>
      </c>
      <c r="AF77" s="126" t="str">
        <f>IF('Midterm OVPAA-F-INS-055A RAW SC'!AF77="","",'Midterm OVPAA-F-INS-055A RAW SC'!AF77/'Midterm OVPAA-F-INS-055A RAW SC'!AF$17*100)</f>
        <v/>
      </c>
      <c r="AG77" s="126" t="str">
        <f>IF('Midterm OVPAA-F-INS-055A RAW SC'!AG77="","",'Midterm OVPAA-F-INS-055A RAW SC'!AG77/'Midterm OVPAA-F-INS-055A RAW SC'!AG$17*100)</f>
        <v/>
      </c>
      <c r="AH77" s="126" t="str">
        <f>IF('Midterm OVPAA-F-INS-055A RAW SC'!AH77="","",'Midterm OVPAA-F-INS-055A RAW SC'!AH77/'Midterm OVPAA-F-INS-055A RAW SC'!AH$17*100)</f>
        <v/>
      </c>
      <c r="AI77" s="126" t="str">
        <f>IF('Midterm OVPAA-F-INS-055A RAW SC'!AI77="","",'Midterm OVPAA-F-INS-055A RAW SC'!AI77/'Midterm OVPAA-F-INS-055A RAW SC'!AI$17*100)</f>
        <v/>
      </c>
      <c r="AJ77" s="126" t="str">
        <f>IF('Midterm OVPAA-F-INS-055A RAW SC'!AJ77="","",'Midterm OVPAA-F-INS-055A RAW SC'!AJ77/'Midterm OVPAA-F-INS-055A RAW SC'!AJ$17*100)</f>
        <v/>
      </c>
      <c r="AK77" s="126" t="str">
        <f>IF('Midterm OVPAA-F-INS-055A RAW SC'!AK77="","",'Midterm OVPAA-F-INS-055A RAW SC'!AK77/'Midterm OVPAA-F-INS-055A RAW SC'!AK$17*100)</f>
        <v/>
      </c>
      <c r="AL77" s="126" t="str">
        <f>IF('Midterm OVPAA-F-INS-055A RAW SC'!AL77="","",'Midterm OVPAA-F-INS-055A RAW SC'!AL77/'Midterm OVPAA-F-INS-055A RAW SC'!AL$17*100)</f>
        <v/>
      </c>
      <c r="AM77" s="126" t="str">
        <f>IF('Midterm OVPAA-F-INS-055A RAW SC'!AM77="","",'Midterm OVPAA-F-INS-055A RAW SC'!AM77/'Midterm OVPAA-F-INS-055A RAW SC'!AM$17*100)</f>
        <v/>
      </c>
      <c r="AN77" s="126" t="str">
        <f>IF('Midterm OVPAA-F-INS-055A RAW SC'!AN77="","",'Midterm OVPAA-F-INS-055A RAW SC'!AN77/'Midterm OVPAA-F-INS-055A RAW SC'!AN$17*100)</f>
        <v/>
      </c>
      <c r="AO77" s="126" t="str">
        <f>IF('Midterm OVPAA-F-INS-055A RAW SC'!AO77="","",'Midterm OVPAA-F-INS-055A RAW SC'!AO77/'Midterm OVPAA-F-INS-055A RAW SC'!AO$17*100)</f>
        <v/>
      </c>
      <c r="AP77" s="126" t="str">
        <f>IF('Midterm OVPAA-F-INS-055A RAW SC'!AP77="","",'Midterm OVPAA-F-INS-055A RAW SC'!AP77/'Midterm OVPAA-F-INS-055A RAW SC'!AP$17*100)</f>
        <v/>
      </c>
      <c r="AQ77" s="126" t="str">
        <f>IF('Midterm OVPAA-F-INS-055A RAW SC'!AQ77="","",'Midterm OVPAA-F-INS-055A RAW SC'!AQ77/'Midterm OVPAA-F-INS-055A RAW SC'!AQ$17*100)</f>
        <v/>
      </c>
      <c r="AR77" s="126" t="str">
        <f>IF('Midterm OVPAA-F-INS-055A RAW SC'!AR77="","",'Midterm OVPAA-F-INS-055A RAW SC'!AR77/'Midterm OVPAA-F-INS-055A RAW SC'!AR$17*100)</f>
        <v/>
      </c>
      <c r="AS77" s="126" t="str">
        <f>IF('Midterm OVPAA-F-INS-055A RAW SC'!AS77="","",'Midterm OVPAA-F-INS-055A RAW SC'!AS77/'Midterm OVPAA-F-INS-055A RAW SC'!AS$17*100)</f>
        <v/>
      </c>
      <c r="AT77" s="126" t="str">
        <f>IF('Midterm OVPAA-F-INS-055A RAW SC'!AT77="","",'Midterm OVPAA-F-INS-055A RAW SC'!AT77/'Midterm OVPAA-F-INS-055A RAW SC'!AT$17*100)</f>
        <v/>
      </c>
      <c r="AU77" s="126" t="str">
        <f>IF('Midterm OVPAA-F-INS-055A RAW SC'!AU77="","",'Midterm OVPAA-F-INS-055A RAW SC'!AU77/'Midterm OVPAA-F-INS-055A RAW SC'!AU$17*100)</f>
        <v/>
      </c>
      <c r="AV77" s="126" t="str">
        <f>IF('Midterm OVPAA-F-INS-055A RAW SC'!AV77="","",'Midterm OVPAA-F-INS-055A RAW SC'!AV77/'Midterm OVPAA-F-INS-055A RAW SC'!AV$17*100)</f>
        <v/>
      </c>
      <c r="AW77" s="126" t="str">
        <f>IF('Midterm OVPAA-F-INS-055A RAW SC'!AW77="","",'Midterm OVPAA-F-INS-055A RAW SC'!AW77/'Midterm OVPAA-F-INS-055A RAW SC'!AW$17*100)</f>
        <v/>
      </c>
      <c r="AX77" s="126" t="str">
        <f>IF('Midterm OVPAA-F-INS-055A RAW SC'!AX77="","",'Midterm OVPAA-F-INS-055A RAW SC'!AX77/'Midterm OVPAA-F-INS-055A RAW SC'!AX$17*100)</f>
        <v/>
      </c>
      <c r="AY77" s="126" t="str">
        <f>IF('Midterm OVPAA-F-INS-055A RAW SC'!AY77="","",'Midterm OVPAA-F-INS-055A RAW SC'!AY77/'Midterm OVPAA-F-INS-055A RAW SC'!AY$17*100)</f>
        <v/>
      </c>
      <c r="AZ77" s="126" t="str">
        <f>IF('Midterm OVPAA-F-INS-055A RAW SC'!AZ77="","",'Midterm OVPAA-F-INS-055A RAW SC'!AZ77/'Midterm OVPAA-F-INS-055A RAW SC'!AZ$17*100)</f>
        <v/>
      </c>
      <c r="BA77" s="126" t="str">
        <f>IF('Midterm OVPAA-F-INS-055A RAW SC'!BA77="","",'Midterm OVPAA-F-INS-055A RAW SC'!BA77/'Midterm OVPAA-F-INS-055A RAW SC'!BA$17*100)</f>
        <v/>
      </c>
      <c r="BB77" s="126" t="str">
        <f>IF('Midterm OVPAA-F-INS-055A RAW SC'!BB77="","",'Midterm OVPAA-F-INS-055A RAW SC'!BB77/'Midterm OVPAA-F-INS-055A RAW SC'!BB$17*100)</f>
        <v/>
      </c>
      <c r="BC77" s="126" t="str">
        <f>IF('Midterm OVPAA-F-INS-055A RAW SC'!BC77="","",'Midterm OVPAA-F-INS-055A RAW SC'!BC77/'Midterm OVPAA-F-INS-055A RAW SC'!BC$17*100)</f>
        <v/>
      </c>
      <c r="BD77" s="126" t="str">
        <f>IF('Midterm OVPAA-F-INS-055A RAW SC'!BD77="","",'Midterm OVPAA-F-INS-055A RAW SC'!BD77/'Midterm OVPAA-F-INS-055A RAW SC'!BD$17*100)</f>
        <v/>
      </c>
      <c r="BE77" s="126" t="str">
        <f>IF('Midterm OVPAA-F-INS-055A RAW SC'!BE77="","",'Midterm OVPAA-F-INS-055A RAW SC'!BE77/'Midterm OVPAA-F-INS-055A RAW SC'!BE$17*100)</f>
        <v/>
      </c>
      <c r="BF77" s="126" t="str">
        <f>IF('Midterm OVPAA-F-INS-055A RAW SC'!BF77="","",'Midterm OVPAA-F-INS-055A RAW SC'!BF77/'Midterm OVPAA-F-INS-055A RAW SC'!BF$17*100)</f>
        <v/>
      </c>
      <c r="BG77" s="126" t="str">
        <f>IF('Midterm OVPAA-F-INS-055A RAW SC'!BG77="","",'Midterm OVPAA-F-INS-055A RAW SC'!BG77/'Midterm OVPAA-F-INS-055A RAW SC'!BG$17*100)</f>
        <v/>
      </c>
      <c r="BH77" s="126" t="str">
        <f>IF('Midterm OVPAA-F-INS-055A RAW SC'!BH77="","",'Midterm OVPAA-F-INS-055A RAW SC'!BH77/'Midterm OVPAA-F-INS-055A RAW SC'!BH$17*100)</f>
        <v/>
      </c>
      <c r="BI77" s="126" t="str">
        <f>IF('Midterm OVPAA-F-INS-055A RAW SC'!BI77="","",'Midterm OVPAA-F-INS-055A RAW SC'!BI77/'Midterm OVPAA-F-INS-055A RAW SC'!BI$17*100)</f>
        <v/>
      </c>
      <c r="BJ77" s="126" t="str">
        <f>IF('Midterm OVPAA-F-INS-055A RAW SC'!BJ77="","",'Midterm OVPAA-F-INS-055A RAW SC'!BJ77/'Midterm OVPAA-F-INS-055A RAW SC'!BJ$17*100)</f>
        <v/>
      </c>
      <c r="BK77" s="126" t="str">
        <f>IF('Midterm OVPAA-F-INS-055A RAW SC'!BK77="","",'Midterm OVPAA-F-INS-055A RAW SC'!BK77/'Midterm OVPAA-F-INS-055A RAW SC'!BK$17*100)</f>
        <v/>
      </c>
      <c r="BL77" s="126" t="str">
        <f>IF('Midterm OVPAA-F-INS-055A RAW SC'!BL77="","",'Midterm OVPAA-F-INS-055A RAW SC'!BL77/'Midterm OVPAA-F-INS-055A RAW SC'!BL$17*100)</f>
        <v/>
      </c>
      <c r="BM77" s="126" t="str">
        <f>IF('Midterm OVPAA-F-INS-055A RAW SC'!BM77="","",'Midterm OVPAA-F-INS-055A RAW SC'!BM77/'Midterm OVPAA-F-INS-055A RAW SC'!BM$17*100)</f>
        <v/>
      </c>
      <c r="BN77" s="126" t="str">
        <f>IF('Midterm OVPAA-F-INS-055A RAW SC'!BN77="","",'Midterm OVPAA-F-INS-055A RAW SC'!BN77/'Midterm OVPAA-F-INS-055A RAW SC'!BN$17*100)</f>
        <v/>
      </c>
      <c r="BO77" s="126" t="str">
        <f>IF('Midterm OVPAA-F-INS-055A RAW SC'!BO77="","",'Midterm OVPAA-F-INS-055A RAW SC'!BO77/'Midterm OVPAA-F-INS-055A RAW SC'!BO$17*100)</f>
        <v/>
      </c>
      <c r="BP77" s="126" t="str">
        <f>IF('Midterm OVPAA-F-INS-055A RAW SC'!BP77="","",'Midterm OVPAA-F-INS-055A RAW SC'!BP77/'Midterm OVPAA-F-INS-055A RAW SC'!BP$17*100)</f>
        <v/>
      </c>
      <c r="BQ77" s="126" t="str">
        <f>IF('Midterm OVPAA-F-INS-055A RAW SC'!BQ77="","",'Midterm OVPAA-F-INS-055A RAW SC'!BQ77/'Midterm OVPAA-F-INS-055A RAW SC'!BQ$17*100)</f>
        <v/>
      </c>
      <c r="BR77" s="126" t="str">
        <f>IF('Midterm OVPAA-F-INS-055A RAW SC'!BR77="","",'Midterm OVPAA-F-INS-055A RAW SC'!BR77/'Midterm OVPAA-F-INS-055A RAW SC'!BR$17*100)</f>
        <v/>
      </c>
      <c r="BS77" s="126" t="str">
        <f>IF('Midterm OVPAA-F-INS-055A RAW SC'!BS77="","",'Midterm OVPAA-F-INS-055A RAW SC'!BS77/'Midterm OVPAA-F-INS-055A RAW SC'!BS$17*100)</f>
        <v/>
      </c>
      <c r="BT77" s="126" t="str">
        <f>IF('Midterm OVPAA-F-INS-055A RAW SC'!BT77="","",'Midterm OVPAA-F-INS-055A RAW SC'!BT77/'Midterm OVPAA-F-INS-055A RAW SC'!BT$17*100)</f>
        <v/>
      </c>
      <c r="BU77" s="127" t="str">
        <f t="array" ref="BU77">IF('Midterm OVPAA-F-INS-055A RAW SC'!$G77="","",IF((SUMPRODUCT(--ISBLANK('Midterm OVPAA-F-INS-055A RAW SC'!H77:BT77))=COLUMNS('Midterm OVPAA-F-INS-055A RAW SC'!H77:BT77))=TRUE,"",(((COUNTA('Midterm OVPAA-F-INS-055A RAW SC'!$H$17:$BT$17)+COUNTBLANK('Midterm OVPAA-F-INS-055A RAW SC'!H77:BT77))-COLUMNS('Midterm OVPAA-F-INS-055A RAW SC'!H77:BT77))*5+SUM(H77:BT77))/COUNTA('Midterm OVPAA-F-INS-055A RAW SC'!$H$17:$BT$17)))</f>
        <v/>
      </c>
      <c r="BV77" s="128" t="str">
        <f>IF(BU77="","",VLOOKUP(BU77,IF('Midterm OVPAA-F-INS-055A RAW SC'!$V$12=0.5,TRANSMUTATION!$C$4:$D$17,TRANSMUTATION!$G$4:$H$17),2,TRUE))</f>
        <v/>
      </c>
      <c r="BW77" s="129" t="str">
        <f>IF('Midterm OVPAA-F-INS-055A RAW SC'!BU77="","",'Midterm OVPAA-F-INS-055A RAW SC'!BU77/'Midterm OVPAA-F-INS-055A RAW SC'!BU$17*100)</f>
        <v/>
      </c>
      <c r="BX77" s="130" t="str">
        <f>IF('Midterm OVPAA-F-INS-055A RAW SC'!BV77="","",'Midterm OVPAA-F-INS-055A RAW SC'!BV77/'Midterm OVPAA-F-INS-055A RAW SC'!BV$17*100)</f>
        <v/>
      </c>
      <c r="BY77" s="130" t="str">
        <f>IF('Midterm OVPAA-F-INS-055A RAW SC'!BW77="","",'Midterm OVPAA-F-INS-055A RAW SC'!BW77/'Midterm OVPAA-F-INS-055A RAW SC'!BW$17*100)</f>
        <v/>
      </c>
      <c r="BZ77" s="130" t="str">
        <f>IF('Midterm OVPAA-F-INS-055A RAW SC'!BX77="","",'Midterm OVPAA-F-INS-055A RAW SC'!BX77/'Midterm OVPAA-F-INS-055A RAW SC'!BX$17*100)</f>
        <v/>
      </c>
      <c r="CA77" s="130" t="str">
        <f>IF('Midterm OVPAA-F-INS-055A RAW SC'!BY77="","",'Midterm OVPAA-F-INS-055A RAW SC'!BY77/'Midterm OVPAA-F-INS-055A RAW SC'!BY$17*100)</f>
        <v/>
      </c>
      <c r="CB77" s="130" t="str">
        <f>IF('Midterm OVPAA-F-INS-055A RAW SC'!BZ77="","",'Midterm OVPAA-F-INS-055A RAW SC'!BZ77/'Midterm OVPAA-F-INS-055A RAW SC'!BZ$17*100)</f>
        <v/>
      </c>
      <c r="CC77" s="130" t="str">
        <f>IF('Midterm OVPAA-F-INS-055A RAW SC'!CA77="","",'Midterm OVPAA-F-INS-055A RAW SC'!CA77/'Midterm OVPAA-F-INS-055A RAW SC'!CA$17*100)</f>
        <v/>
      </c>
      <c r="CD77" s="130" t="str">
        <f>IF('Midterm OVPAA-F-INS-055A RAW SC'!CB77="","",'Midterm OVPAA-F-INS-055A RAW SC'!CB77/'Midterm OVPAA-F-INS-055A RAW SC'!CB$17*100)</f>
        <v/>
      </c>
      <c r="CE77" s="130" t="str">
        <f>IF('Midterm OVPAA-F-INS-055A RAW SC'!CC77="","",'Midterm OVPAA-F-INS-055A RAW SC'!CC77/'Midterm OVPAA-F-INS-055A RAW SC'!CC$17*100)</f>
        <v/>
      </c>
      <c r="CF77" s="130" t="str">
        <f>IF('Midterm OVPAA-F-INS-055A RAW SC'!CD77="","",'Midterm OVPAA-F-INS-055A RAW SC'!CD77/'Midterm OVPAA-F-INS-055A RAW SC'!CD$17*100)</f>
        <v/>
      </c>
      <c r="CG77" s="130" t="str">
        <f>IF('Midterm OVPAA-F-INS-055A RAW SC'!CE77="","",'Midterm OVPAA-F-INS-055A RAW SC'!CE77/'Midterm OVPAA-F-INS-055A RAW SC'!CE$17*100)</f>
        <v/>
      </c>
      <c r="CH77" s="130" t="str">
        <f>IF('Midterm OVPAA-F-INS-055A RAW SC'!CF77="","",'Midterm OVPAA-F-INS-055A RAW SC'!CF77/'Midterm OVPAA-F-INS-055A RAW SC'!CF$17*100)</f>
        <v/>
      </c>
      <c r="CI77" s="130" t="str">
        <f>IF('Midterm OVPAA-F-INS-055A RAW SC'!CG77="","",'Midterm OVPAA-F-INS-055A RAW SC'!CG77/'Midterm OVPAA-F-INS-055A RAW SC'!CG$17*100)</f>
        <v/>
      </c>
      <c r="CJ77" s="130" t="str">
        <f>IF('Midterm OVPAA-F-INS-055A RAW SC'!CH77="","",'Midterm OVPAA-F-INS-055A RAW SC'!CH77/'Midterm OVPAA-F-INS-055A RAW SC'!CH$17*100)</f>
        <v/>
      </c>
      <c r="CK77" s="130" t="str">
        <f>IF('Midterm OVPAA-F-INS-055A RAW SC'!CI77="","",'Midterm OVPAA-F-INS-055A RAW SC'!CI77/'Midterm OVPAA-F-INS-055A RAW SC'!CI$17*100)</f>
        <v/>
      </c>
      <c r="CL77" s="130" t="str">
        <f>IF('Midterm OVPAA-F-INS-055A RAW SC'!CJ77="","",'Midterm OVPAA-F-INS-055A RAW SC'!CJ77/'Midterm OVPAA-F-INS-055A RAW SC'!CJ$17*100)</f>
        <v/>
      </c>
      <c r="CM77" s="130" t="str">
        <f>IF('Midterm OVPAA-F-INS-055A RAW SC'!CK77="","",'Midterm OVPAA-F-INS-055A RAW SC'!CK77/'Midterm OVPAA-F-INS-055A RAW SC'!CK$17*100)</f>
        <v/>
      </c>
      <c r="CN77" s="130" t="str">
        <f>IF('Midterm OVPAA-F-INS-055A RAW SC'!CL77="","",'Midterm OVPAA-F-INS-055A RAW SC'!CL77/'Midterm OVPAA-F-INS-055A RAW SC'!CL$17*100)</f>
        <v/>
      </c>
      <c r="CO77" s="130" t="str">
        <f>IF('Midterm OVPAA-F-INS-055A RAW SC'!CM77="","",'Midterm OVPAA-F-INS-055A RAW SC'!CM77/'Midterm OVPAA-F-INS-055A RAW SC'!CM$17*100)</f>
        <v/>
      </c>
      <c r="CP77" s="130" t="str">
        <f>IF('Midterm OVPAA-F-INS-055A RAW SC'!CN77="","",'Midterm OVPAA-F-INS-055A RAW SC'!CN77/'Midterm OVPAA-F-INS-055A RAW SC'!CN$17*100)</f>
        <v/>
      </c>
      <c r="CQ77" s="131" t="str">
        <f t="array" ref="CQ77">IF('Midterm OVPAA-F-INS-055A RAW SC'!G77="","",IF((SUMPRODUCT(--ISBLANK('Midterm OVPAA-F-INS-055A RAW SC'!BU77:CN77))=COLUMNS('Midterm OVPAA-F-INS-055A RAW SC'!BU77:CN77))=TRUE,"",(((COUNTA('Midterm OVPAA-F-INS-055A RAW SC'!$BU$17:$CN$17)+COUNTBLANK('Midterm OVPAA-F-INS-055A RAW SC'!BU77:CN77))-COLUMNS('Midterm OVPAA-F-INS-055A RAW SC'!BU77:CN77))*5+SUM(BW77:CP77))/COUNTA('Midterm OVPAA-F-INS-055A RAW SC'!$BU$17:$CN$17)))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IF('Midterm OVPAA-F-INS-055A RAW SC'!CO77="","",'Midterm OVPAA-F-INS-055A RAW SC'!CO77/'Midterm OVPAA-F-INS-055A RAW SC'!CO$17*100)</f>
        <v/>
      </c>
      <c r="CT77" s="133" t="str">
        <f>IF('Midterm OVPAA-F-INS-055A RAW SC'!CP77="","",'Midterm OVPAA-F-INS-055A RAW SC'!CP77/'Midterm OVPAA-F-INS-055A RAW SC'!CP$17*100)</f>
        <v/>
      </c>
      <c r="CU77" s="133" t="str">
        <f>IF('Midterm OVPAA-F-INS-055A RAW SC'!CQ77="","",'Midterm OVPAA-F-INS-055A RAW SC'!CQ77/'Midterm OVPAA-F-INS-055A RAW SC'!CQ$17*100)</f>
        <v/>
      </c>
      <c r="CV77" s="133" t="str">
        <f>IF('Midterm OVPAA-F-INS-055A RAW SC'!CR77="","",'Midterm OVPAA-F-INS-055A RAW SC'!CR77/'Midterm OVPAA-F-INS-055A RAW SC'!CR$17*100)</f>
        <v/>
      </c>
      <c r="CW77" s="133" t="str">
        <f>IF('Midterm OVPAA-F-INS-055A RAW SC'!CS77="","",'Midterm OVPAA-F-INS-055A RAW SC'!CS77/'Midterm OVPAA-F-INS-055A RAW SC'!CS$17*100)</f>
        <v/>
      </c>
      <c r="CX77" s="133" t="str">
        <f>IF('Midterm OVPAA-F-INS-055A RAW SC'!CT77="","",'Midterm OVPAA-F-INS-055A RAW SC'!CT77/'Midterm OVPAA-F-INS-055A RAW SC'!CT$17*100)</f>
        <v/>
      </c>
      <c r="CY77" s="133" t="str">
        <f>IF('Midterm OVPAA-F-INS-055A RAW SC'!CU77="","",'Midterm OVPAA-F-INS-055A RAW SC'!CU77/'Midterm OVPAA-F-INS-055A RAW SC'!CU$17*100)</f>
        <v/>
      </c>
      <c r="CZ77" s="133" t="str">
        <f>IF('Midterm OVPAA-F-INS-055A RAW SC'!CV77="","",'Midterm OVPAA-F-INS-055A RAW SC'!CV77/'Midterm OVPAA-F-INS-055A RAW SC'!CV$17*100)</f>
        <v/>
      </c>
      <c r="DA77" s="133" t="str">
        <f>IF('Midterm OVPAA-F-INS-055A RAW SC'!CW77="","",'Midterm OVPAA-F-INS-055A RAW SC'!CW77/'Midterm OVPAA-F-INS-055A RAW SC'!CW$17*100)</f>
        <v/>
      </c>
      <c r="DB77" s="133" t="str">
        <f>IF('Midterm OVPAA-F-INS-055A RAW SC'!CX77="","",'Midterm OVPAA-F-INS-055A RAW SC'!CX77/'Midterm OVPAA-F-INS-055A RAW SC'!CX$17*100)</f>
        <v/>
      </c>
      <c r="DC77" s="134" t="str">
        <f t="array" ref="DC77">IF('Midterm OVPAA-F-INS-055A RAW SC'!$G77="","",IF((SUMPRODUCT(--ISBLANK('Midterm OVPAA-F-INS-055A RAW SC'!CO77:CX77))=COLUMNS('Midterm OVPAA-F-INS-055A RAW SC'!CO77:CX77))=TRUE,"",(((COUNTA('Midterm OVPAA-F-INS-055A RAW SC'!$CO$17:$CX$17)+COUNTBLANK('Midterm OVPAA-F-INS-055A RAW SC'!CO77:CX77))-COLUMNS('Midterm OVPAA-F-INS-055A RAW SC'!CO77:CX77))*5+SUM(CS77:DB77))/COUNTA('Midterm OVPAA-F-INS-055A RAW SC'!$CO$17:$CX$17)))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37" t="str">
        <f t="shared" si="2"/>
        <v/>
      </c>
      <c r="DG77" s="138" t="str">
        <f t="shared" si="3"/>
        <v/>
      </c>
      <c r="DH77" s="136" t="str">
        <f t="shared" si="4"/>
        <v/>
      </c>
      <c r="DI77" s="123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IF('Midterm OVPAA-F-INS-055A RAW SC'!H78="","",'Midterm OVPAA-F-INS-055A RAW SC'!H78/'Midterm OVPAA-F-INS-055A RAW SC'!H$17*100)</f>
        <v/>
      </c>
      <c r="I78" s="126" t="str">
        <f>IF('Midterm OVPAA-F-INS-055A RAW SC'!I78="","",'Midterm OVPAA-F-INS-055A RAW SC'!I78/'Midterm OVPAA-F-INS-055A RAW SC'!I$17*100)</f>
        <v/>
      </c>
      <c r="J78" s="126" t="str">
        <f>IF('Midterm OVPAA-F-INS-055A RAW SC'!J78="","",'Midterm OVPAA-F-INS-055A RAW SC'!J78/'Midterm OVPAA-F-INS-055A RAW SC'!J$17*100)</f>
        <v/>
      </c>
      <c r="K78" s="126" t="str">
        <f>IF('Midterm OVPAA-F-INS-055A RAW SC'!K78="","",'Midterm OVPAA-F-INS-055A RAW SC'!K78/'Midterm OVPAA-F-INS-055A RAW SC'!K$17*100)</f>
        <v/>
      </c>
      <c r="L78" s="126" t="str">
        <f>IF('Midterm OVPAA-F-INS-055A RAW SC'!L78="","",'Midterm OVPAA-F-INS-055A RAW SC'!L78/'Midterm OVPAA-F-INS-055A RAW SC'!L$17*100)</f>
        <v/>
      </c>
      <c r="M78" s="126" t="str">
        <f>IF('Midterm OVPAA-F-INS-055A RAW SC'!M78="","",'Midterm OVPAA-F-INS-055A RAW SC'!M78/'Midterm OVPAA-F-INS-055A RAW SC'!M$17*100)</f>
        <v/>
      </c>
      <c r="N78" s="126" t="str">
        <f>IF('Midterm OVPAA-F-INS-055A RAW SC'!N78="","",'Midterm OVPAA-F-INS-055A RAW SC'!N78/'Midterm OVPAA-F-INS-055A RAW SC'!N$17*100)</f>
        <v/>
      </c>
      <c r="O78" s="126" t="str">
        <f>IF('Midterm OVPAA-F-INS-055A RAW SC'!O78="","",'Midterm OVPAA-F-INS-055A RAW SC'!O78/'Midterm OVPAA-F-INS-055A RAW SC'!O$17*100)</f>
        <v/>
      </c>
      <c r="P78" s="126" t="str">
        <f>IF('Midterm OVPAA-F-INS-055A RAW SC'!P78="","",'Midterm OVPAA-F-INS-055A RAW SC'!P78/'Midterm OVPAA-F-INS-055A RAW SC'!P$17*100)</f>
        <v/>
      </c>
      <c r="Q78" s="126" t="str">
        <f>IF('Midterm OVPAA-F-INS-055A RAW SC'!Q78="","",'Midterm OVPAA-F-INS-055A RAW SC'!Q78/'Midterm OVPAA-F-INS-055A RAW SC'!Q$17*100)</f>
        <v/>
      </c>
      <c r="R78" s="126" t="str">
        <f>IF('Midterm OVPAA-F-INS-055A RAW SC'!R78="","",'Midterm OVPAA-F-INS-055A RAW SC'!R78/'Midterm OVPAA-F-INS-055A RAW SC'!R$17*100)</f>
        <v/>
      </c>
      <c r="S78" s="126" t="str">
        <f>IF('Midterm OVPAA-F-INS-055A RAW SC'!S78="","",'Midterm OVPAA-F-INS-055A RAW SC'!S78/'Midterm OVPAA-F-INS-055A RAW SC'!S$17*100)</f>
        <v/>
      </c>
      <c r="T78" s="126" t="str">
        <f>IF('Midterm OVPAA-F-INS-055A RAW SC'!T78="","",'Midterm OVPAA-F-INS-055A RAW SC'!T78/'Midterm OVPAA-F-INS-055A RAW SC'!T$17*100)</f>
        <v/>
      </c>
      <c r="U78" s="126" t="str">
        <f>IF('Midterm OVPAA-F-INS-055A RAW SC'!U78="","",'Midterm OVPAA-F-INS-055A RAW SC'!U78/'Midterm OVPAA-F-INS-055A RAW SC'!U$17*100)</f>
        <v/>
      </c>
      <c r="V78" s="126" t="str">
        <f>IF('Midterm OVPAA-F-INS-055A RAW SC'!V78="","",'Midterm OVPAA-F-INS-055A RAW SC'!V78/'Midterm OVPAA-F-INS-055A RAW SC'!V$17*100)</f>
        <v/>
      </c>
      <c r="W78" s="126" t="str">
        <f>IF('Midterm OVPAA-F-INS-055A RAW SC'!W78="","",'Midterm OVPAA-F-INS-055A RAW SC'!W78/'Midterm OVPAA-F-INS-055A RAW SC'!W$17*100)</f>
        <v/>
      </c>
      <c r="X78" s="126" t="str">
        <f>IF('Midterm OVPAA-F-INS-055A RAW SC'!X78="","",'Midterm OVPAA-F-INS-055A RAW SC'!X78/'Midterm OVPAA-F-INS-055A RAW SC'!X$17*100)</f>
        <v/>
      </c>
      <c r="Y78" s="126" t="str">
        <f>IF('Midterm OVPAA-F-INS-055A RAW SC'!Y78="","",'Midterm OVPAA-F-INS-055A RAW SC'!Y78/'Midterm OVPAA-F-INS-055A RAW SC'!Y$17*100)</f>
        <v/>
      </c>
      <c r="Z78" s="126" t="str">
        <f>IF('Midterm OVPAA-F-INS-055A RAW SC'!Z78="","",'Midterm OVPAA-F-INS-055A RAW SC'!Z78/'Midterm OVPAA-F-INS-055A RAW SC'!Z$17*100)</f>
        <v/>
      </c>
      <c r="AA78" s="126" t="str">
        <f>IF('Midterm OVPAA-F-INS-055A RAW SC'!AA78="","",'Midterm OVPAA-F-INS-055A RAW SC'!AA78/'Midterm OVPAA-F-INS-055A RAW SC'!AA$17*100)</f>
        <v/>
      </c>
      <c r="AB78" s="126" t="str">
        <f>IF('Midterm OVPAA-F-INS-055A RAW SC'!AB78="","",'Midterm OVPAA-F-INS-055A RAW SC'!AB78/'Midterm OVPAA-F-INS-055A RAW SC'!AB$17*100)</f>
        <v/>
      </c>
      <c r="AC78" s="126" t="str">
        <f>IF('Midterm OVPAA-F-INS-055A RAW SC'!AC78="","",'Midterm OVPAA-F-INS-055A RAW SC'!AC78/'Midterm OVPAA-F-INS-055A RAW SC'!AC$17*100)</f>
        <v/>
      </c>
      <c r="AD78" s="126" t="str">
        <f>IF('Midterm OVPAA-F-INS-055A RAW SC'!AD78="","",'Midterm OVPAA-F-INS-055A RAW SC'!AD78/'Midterm OVPAA-F-INS-055A RAW SC'!AD$17*100)</f>
        <v/>
      </c>
      <c r="AE78" s="126" t="str">
        <f>IF('Midterm OVPAA-F-INS-055A RAW SC'!AE78="","",'Midterm OVPAA-F-INS-055A RAW SC'!AE78/'Midterm OVPAA-F-INS-055A RAW SC'!AE$17*100)</f>
        <v/>
      </c>
      <c r="AF78" s="126" t="str">
        <f>IF('Midterm OVPAA-F-INS-055A RAW SC'!AF78="","",'Midterm OVPAA-F-INS-055A RAW SC'!AF78/'Midterm OVPAA-F-INS-055A RAW SC'!AF$17*100)</f>
        <v/>
      </c>
      <c r="AG78" s="126" t="str">
        <f>IF('Midterm OVPAA-F-INS-055A RAW SC'!AG78="","",'Midterm OVPAA-F-INS-055A RAW SC'!AG78/'Midterm OVPAA-F-INS-055A RAW SC'!AG$17*100)</f>
        <v/>
      </c>
      <c r="AH78" s="126" t="str">
        <f>IF('Midterm OVPAA-F-INS-055A RAW SC'!AH78="","",'Midterm OVPAA-F-INS-055A RAW SC'!AH78/'Midterm OVPAA-F-INS-055A RAW SC'!AH$17*100)</f>
        <v/>
      </c>
      <c r="AI78" s="126" t="str">
        <f>IF('Midterm OVPAA-F-INS-055A RAW SC'!AI78="","",'Midterm OVPAA-F-INS-055A RAW SC'!AI78/'Midterm OVPAA-F-INS-055A RAW SC'!AI$17*100)</f>
        <v/>
      </c>
      <c r="AJ78" s="126" t="str">
        <f>IF('Midterm OVPAA-F-INS-055A RAW SC'!AJ78="","",'Midterm OVPAA-F-INS-055A RAW SC'!AJ78/'Midterm OVPAA-F-INS-055A RAW SC'!AJ$17*100)</f>
        <v/>
      </c>
      <c r="AK78" s="126" t="str">
        <f>IF('Midterm OVPAA-F-INS-055A RAW SC'!AK78="","",'Midterm OVPAA-F-INS-055A RAW SC'!AK78/'Midterm OVPAA-F-INS-055A RAW SC'!AK$17*100)</f>
        <v/>
      </c>
      <c r="AL78" s="126" t="str">
        <f>IF('Midterm OVPAA-F-INS-055A RAW SC'!AL78="","",'Midterm OVPAA-F-INS-055A RAW SC'!AL78/'Midterm OVPAA-F-INS-055A RAW SC'!AL$17*100)</f>
        <v/>
      </c>
      <c r="AM78" s="126" t="str">
        <f>IF('Midterm OVPAA-F-INS-055A RAW SC'!AM78="","",'Midterm OVPAA-F-INS-055A RAW SC'!AM78/'Midterm OVPAA-F-INS-055A RAW SC'!AM$17*100)</f>
        <v/>
      </c>
      <c r="AN78" s="126" t="str">
        <f>IF('Midterm OVPAA-F-INS-055A RAW SC'!AN78="","",'Midterm OVPAA-F-INS-055A RAW SC'!AN78/'Midterm OVPAA-F-INS-055A RAW SC'!AN$17*100)</f>
        <v/>
      </c>
      <c r="AO78" s="126" t="str">
        <f>IF('Midterm OVPAA-F-INS-055A RAW SC'!AO78="","",'Midterm OVPAA-F-INS-055A RAW SC'!AO78/'Midterm OVPAA-F-INS-055A RAW SC'!AO$17*100)</f>
        <v/>
      </c>
      <c r="AP78" s="126" t="str">
        <f>IF('Midterm OVPAA-F-INS-055A RAW SC'!AP78="","",'Midterm OVPAA-F-INS-055A RAW SC'!AP78/'Midterm OVPAA-F-INS-055A RAW SC'!AP$17*100)</f>
        <v/>
      </c>
      <c r="AQ78" s="126" t="str">
        <f>IF('Midterm OVPAA-F-INS-055A RAW SC'!AQ78="","",'Midterm OVPAA-F-INS-055A RAW SC'!AQ78/'Midterm OVPAA-F-INS-055A RAW SC'!AQ$17*100)</f>
        <v/>
      </c>
      <c r="AR78" s="126" t="str">
        <f>IF('Midterm OVPAA-F-INS-055A RAW SC'!AR78="","",'Midterm OVPAA-F-INS-055A RAW SC'!AR78/'Midterm OVPAA-F-INS-055A RAW SC'!AR$17*100)</f>
        <v/>
      </c>
      <c r="AS78" s="126" t="str">
        <f>IF('Midterm OVPAA-F-INS-055A RAW SC'!AS78="","",'Midterm OVPAA-F-INS-055A RAW SC'!AS78/'Midterm OVPAA-F-INS-055A RAW SC'!AS$17*100)</f>
        <v/>
      </c>
      <c r="AT78" s="126" t="str">
        <f>IF('Midterm OVPAA-F-INS-055A RAW SC'!AT78="","",'Midterm OVPAA-F-INS-055A RAW SC'!AT78/'Midterm OVPAA-F-INS-055A RAW SC'!AT$17*100)</f>
        <v/>
      </c>
      <c r="AU78" s="126" t="str">
        <f>IF('Midterm OVPAA-F-INS-055A RAW SC'!AU78="","",'Midterm OVPAA-F-INS-055A RAW SC'!AU78/'Midterm OVPAA-F-INS-055A RAW SC'!AU$17*100)</f>
        <v/>
      </c>
      <c r="AV78" s="126" t="str">
        <f>IF('Midterm OVPAA-F-INS-055A RAW SC'!AV78="","",'Midterm OVPAA-F-INS-055A RAW SC'!AV78/'Midterm OVPAA-F-INS-055A RAW SC'!AV$17*100)</f>
        <v/>
      </c>
      <c r="AW78" s="126" t="str">
        <f>IF('Midterm OVPAA-F-INS-055A RAW SC'!AW78="","",'Midterm OVPAA-F-INS-055A RAW SC'!AW78/'Midterm OVPAA-F-INS-055A RAW SC'!AW$17*100)</f>
        <v/>
      </c>
      <c r="AX78" s="126" t="str">
        <f>IF('Midterm OVPAA-F-INS-055A RAW SC'!AX78="","",'Midterm OVPAA-F-INS-055A RAW SC'!AX78/'Midterm OVPAA-F-INS-055A RAW SC'!AX$17*100)</f>
        <v/>
      </c>
      <c r="AY78" s="126" t="str">
        <f>IF('Midterm OVPAA-F-INS-055A RAW SC'!AY78="","",'Midterm OVPAA-F-INS-055A RAW SC'!AY78/'Midterm OVPAA-F-INS-055A RAW SC'!AY$17*100)</f>
        <v/>
      </c>
      <c r="AZ78" s="126" t="str">
        <f>IF('Midterm OVPAA-F-INS-055A RAW SC'!AZ78="","",'Midterm OVPAA-F-INS-055A RAW SC'!AZ78/'Midterm OVPAA-F-INS-055A RAW SC'!AZ$17*100)</f>
        <v/>
      </c>
      <c r="BA78" s="126" t="str">
        <f>IF('Midterm OVPAA-F-INS-055A RAW SC'!BA78="","",'Midterm OVPAA-F-INS-055A RAW SC'!BA78/'Midterm OVPAA-F-INS-055A RAW SC'!BA$17*100)</f>
        <v/>
      </c>
      <c r="BB78" s="126" t="str">
        <f>IF('Midterm OVPAA-F-INS-055A RAW SC'!BB78="","",'Midterm OVPAA-F-INS-055A RAW SC'!BB78/'Midterm OVPAA-F-INS-055A RAW SC'!BB$17*100)</f>
        <v/>
      </c>
      <c r="BC78" s="126" t="str">
        <f>IF('Midterm OVPAA-F-INS-055A RAW SC'!BC78="","",'Midterm OVPAA-F-INS-055A RAW SC'!BC78/'Midterm OVPAA-F-INS-055A RAW SC'!BC$17*100)</f>
        <v/>
      </c>
      <c r="BD78" s="126" t="str">
        <f>IF('Midterm OVPAA-F-INS-055A RAW SC'!BD78="","",'Midterm OVPAA-F-INS-055A RAW SC'!BD78/'Midterm OVPAA-F-INS-055A RAW SC'!BD$17*100)</f>
        <v/>
      </c>
      <c r="BE78" s="126" t="str">
        <f>IF('Midterm OVPAA-F-INS-055A RAW SC'!BE78="","",'Midterm OVPAA-F-INS-055A RAW SC'!BE78/'Midterm OVPAA-F-INS-055A RAW SC'!BE$17*100)</f>
        <v/>
      </c>
      <c r="BF78" s="126" t="str">
        <f>IF('Midterm OVPAA-F-INS-055A RAW SC'!BF78="","",'Midterm OVPAA-F-INS-055A RAW SC'!BF78/'Midterm OVPAA-F-INS-055A RAW SC'!BF$17*100)</f>
        <v/>
      </c>
      <c r="BG78" s="126" t="str">
        <f>IF('Midterm OVPAA-F-INS-055A RAW SC'!BG78="","",'Midterm OVPAA-F-INS-055A RAW SC'!BG78/'Midterm OVPAA-F-INS-055A RAW SC'!BG$17*100)</f>
        <v/>
      </c>
      <c r="BH78" s="126" t="str">
        <f>IF('Midterm OVPAA-F-INS-055A RAW SC'!BH78="","",'Midterm OVPAA-F-INS-055A RAW SC'!BH78/'Midterm OVPAA-F-INS-055A RAW SC'!BH$17*100)</f>
        <v/>
      </c>
      <c r="BI78" s="126" t="str">
        <f>IF('Midterm OVPAA-F-INS-055A RAW SC'!BI78="","",'Midterm OVPAA-F-INS-055A RAW SC'!BI78/'Midterm OVPAA-F-INS-055A RAW SC'!BI$17*100)</f>
        <v/>
      </c>
      <c r="BJ78" s="126" t="str">
        <f>IF('Midterm OVPAA-F-INS-055A RAW SC'!BJ78="","",'Midterm OVPAA-F-INS-055A RAW SC'!BJ78/'Midterm OVPAA-F-INS-055A RAW SC'!BJ$17*100)</f>
        <v/>
      </c>
      <c r="BK78" s="126" t="str">
        <f>IF('Midterm OVPAA-F-INS-055A RAW SC'!BK78="","",'Midterm OVPAA-F-INS-055A RAW SC'!BK78/'Midterm OVPAA-F-INS-055A RAW SC'!BK$17*100)</f>
        <v/>
      </c>
      <c r="BL78" s="126" t="str">
        <f>IF('Midterm OVPAA-F-INS-055A RAW SC'!BL78="","",'Midterm OVPAA-F-INS-055A RAW SC'!BL78/'Midterm OVPAA-F-INS-055A RAW SC'!BL$17*100)</f>
        <v/>
      </c>
      <c r="BM78" s="126" t="str">
        <f>IF('Midterm OVPAA-F-INS-055A RAW SC'!BM78="","",'Midterm OVPAA-F-INS-055A RAW SC'!BM78/'Midterm OVPAA-F-INS-055A RAW SC'!BM$17*100)</f>
        <v/>
      </c>
      <c r="BN78" s="126" t="str">
        <f>IF('Midterm OVPAA-F-INS-055A RAW SC'!BN78="","",'Midterm OVPAA-F-INS-055A RAW SC'!BN78/'Midterm OVPAA-F-INS-055A RAW SC'!BN$17*100)</f>
        <v/>
      </c>
      <c r="BO78" s="126" t="str">
        <f>IF('Midterm OVPAA-F-INS-055A RAW SC'!BO78="","",'Midterm OVPAA-F-INS-055A RAW SC'!BO78/'Midterm OVPAA-F-INS-055A RAW SC'!BO$17*100)</f>
        <v/>
      </c>
      <c r="BP78" s="126" t="str">
        <f>IF('Midterm OVPAA-F-INS-055A RAW SC'!BP78="","",'Midterm OVPAA-F-INS-055A RAW SC'!BP78/'Midterm OVPAA-F-INS-055A RAW SC'!BP$17*100)</f>
        <v/>
      </c>
      <c r="BQ78" s="126" t="str">
        <f>IF('Midterm OVPAA-F-INS-055A RAW SC'!BQ78="","",'Midterm OVPAA-F-INS-055A RAW SC'!BQ78/'Midterm OVPAA-F-INS-055A RAW SC'!BQ$17*100)</f>
        <v/>
      </c>
      <c r="BR78" s="126" t="str">
        <f>IF('Midterm OVPAA-F-INS-055A RAW SC'!BR78="","",'Midterm OVPAA-F-INS-055A RAW SC'!BR78/'Midterm OVPAA-F-INS-055A RAW SC'!BR$17*100)</f>
        <v/>
      </c>
      <c r="BS78" s="126" t="str">
        <f>IF('Midterm OVPAA-F-INS-055A RAW SC'!BS78="","",'Midterm OVPAA-F-INS-055A RAW SC'!BS78/'Midterm OVPAA-F-INS-055A RAW SC'!BS$17*100)</f>
        <v/>
      </c>
      <c r="BT78" s="126" t="str">
        <f>IF('Midterm OVPAA-F-INS-055A RAW SC'!BT78="","",'Midterm OVPAA-F-INS-055A RAW SC'!BT78/'Midterm OVPAA-F-INS-055A RAW SC'!BT$17*100)</f>
        <v/>
      </c>
      <c r="BU78" s="127" t="str">
        <f t="array" ref="BU78">IF('Midterm OVPAA-F-INS-055A RAW SC'!$G78="","",IF((SUMPRODUCT(--ISBLANK('Midterm OVPAA-F-INS-055A RAW SC'!H78:BT78))=COLUMNS('Midterm OVPAA-F-INS-055A RAW SC'!H78:BT78))=TRUE,"",(((COUNTA('Midterm OVPAA-F-INS-055A RAW SC'!$H$17:$BT$17)+COUNTBLANK('Midterm OVPAA-F-INS-055A RAW SC'!H78:BT78))-COLUMNS('Midterm OVPAA-F-INS-055A RAW SC'!H78:BT78))*5+SUM(H78:BT78))/COUNTA('Midterm OVPAA-F-INS-055A RAW SC'!$H$17:$BT$17)))</f>
        <v/>
      </c>
      <c r="BV78" s="128" t="str">
        <f>IF(BU78="","",VLOOKUP(BU78,IF('Midterm OVPAA-F-INS-055A RAW SC'!$V$12=0.5,TRANSMUTATION!$C$4:$D$17,TRANSMUTATION!$G$4:$H$17),2,TRUE))</f>
        <v/>
      </c>
      <c r="BW78" s="129" t="str">
        <f>IF('Midterm OVPAA-F-INS-055A RAW SC'!BU78="","",'Midterm OVPAA-F-INS-055A RAW SC'!BU78/'Midterm OVPAA-F-INS-055A RAW SC'!BU$17*100)</f>
        <v/>
      </c>
      <c r="BX78" s="130" t="str">
        <f>IF('Midterm OVPAA-F-INS-055A RAW SC'!BV78="","",'Midterm OVPAA-F-INS-055A RAW SC'!BV78/'Midterm OVPAA-F-INS-055A RAW SC'!BV$17*100)</f>
        <v/>
      </c>
      <c r="BY78" s="130" t="str">
        <f>IF('Midterm OVPAA-F-INS-055A RAW SC'!BW78="","",'Midterm OVPAA-F-INS-055A RAW SC'!BW78/'Midterm OVPAA-F-INS-055A RAW SC'!BW$17*100)</f>
        <v/>
      </c>
      <c r="BZ78" s="130" t="str">
        <f>IF('Midterm OVPAA-F-INS-055A RAW SC'!BX78="","",'Midterm OVPAA-F-INS-055A RAW SC'!BX78/'Midterm OVPAA-F-INS-055A RAW SC'!BX$17*100)</f>
        <v/>
      </c>
      <c r="CA78" s="130" t="str">
        <f>IF('Midterm OVPAA-F-INS-055A RAW SC'!BY78="","",'Midterm OVPAA-F-INS-055A RAW SC'!BY78/'Midterm OVPAA-F-INS-055A RAW SC'!BY$17*100)</f>
        <v/>
      </c>
      <c r="CB78" s="130" t="str">
        <f>IF('Midterm OVPAA-F-INS-055A RAW SC'!BZ78="","",'Midterm OVPAA-F-INS-055A RAW SC'!BZ78/'Midterm OVPAA-F-INS-055A RAW SC'!BZ$17*100)</f>
        <v/>
      </c>
      <c r="CC78" s="130" t="str">
        <f>IF('Midterm OVPAA-F-INS-055A RAW SC'!CA78="","",'Midterm OVPAA-F-INS-055A RAW SC'!CA78/'Midterm OVPAA-F-INS-055A RAW SC'!CA$17*100)</f>
        <v/>
      </c>
      <c r="CD78" s="130" t="str">
        <f>IF('Midterm OVPAA-F-INS-055A RAW SC'!CB78="","",'Midterm OVPAA-F-INS-055A RAW SC'!CB78/'Midterm OVPAA-F-INS-055A RAW SC'!CB$17*100)</f>
        <v/>
      </c>
      <c r="CE78" s="130" t="str">
        <f>IF('Midterm OVPAA-F-INS-055A RAW SC'!CC78="","",'Midterm OVPAA-F-INS-055A RAW SC'!CC78/'Midterm OVPAA-F-INS-055A RAW SC'!CC$17*100)</f>
        <v/>
      </c>
      <c r="CF78" s="130" t="str">
        <f>IF('Midterm OVPAA-F-INS-055A RAW SC'!CD78="","",'Midterm OVPAA-F-INS-055A RAW SC'!CD78/'Midterm OVPAA-F-INS-055A RAW SC'!CD$17*100)</f>
        <v/>
      </c>
      <c r="CG78" s="130" t="str">
        <f>IF('Midterm OVPAA-F-INS-055A RAW SC'!CE78="","",'Midterm OVPAA-F-INS-055A RAW SC'!CE78/'Midterm OVPAA-F-INS-055A RAW SC'!CE$17*100)</f>
        <v/>
      </c>
      <c r="CH78" s="130" t="str">
        <f>IF('Midterm OVPAA-F-INS-055A RAW SC'!CF78="","",'Midterm OVPAA-F-INS-055A RAW SC'!CF78/'Midterm OVPAA-F-INS-055A RAW SC'!CF$17*100)</f>
        <v/>
      </c>
      <c r="CI78" s="130" t="str">
        <f>IF('Midterm OVPAA-F-INS-055A RAW SC'!CG78="","",'Midterm OVPAA-F-INS-055A RAW SC'!CG78/'Midterm OVPAA-F-INS-055A RAW SC'!CG$17*100)</f>
        <v/>
      </c>
      <c r="CJ78" s="130" t="str">
        <f>IF('Midterm OVPAA-F-INS-055A RAW SC'!CH78="","",'Midterm OVPAA-F-INS-055A RAW SC'!CH78/'Midterm OVPAA-F-INS-055A RAW SC'!CH$17*100)</f>
        <v/>
      </c>
      <c r="CK78" s="130" t="str">
        <f>IF('Midterm OVPAA-F-INS-055A RAW SC'!CI78="","",'Midterm OVPAA-F-INS-055A RAW SC'!CI78/'Midterm OVPAA-F-INS-055A RAW SC'!CI$17*100)</f>
        <v/>
      </c>
      <c r="CL78" s="130" t="str">
        <f>IF('Midterm OVPAA-F-INS-055A RAW SC'!CJ78="","",'Midterm OVPAA-F-INS-055A RAW SC'!CJ78/'Midterm OVPAA-F-INS-055A RAW SC'!CJ$17*100)</f>
        <v/>
      </c>
      <c r="CM78" s="130" t="str">
        <f>IF('Midterm OVPAA-F-INS-055A RAW SC'!CK78="","",'Midterm OVPAA-F-INS-055A RAW SC'!CK78/'Midterm OVPAA-F-INS-055A RAW SC'!CK$17*100)</f>
        <v/>
      </c>
      <c r="CN78" s="130" t="str">
        <f>IF('Midterm OVPAA-F-INS-055A RAW SC'!CL78="","",'Midterm OVPAA-F-INS-055A RAW SC'!CL78/'Midterm OVPAA-F-INS-055A RAW SC'!CL$17*100)</f>
        <v/>
      </c>
      <c r="CO78" s="130" t="str">
        <f>IF('Midterm OVPAA-F-INS-055A RAW SC'!CM78="","",'Midterm OVPAA-F-INS-055A RAW SC'!CM78/'Midterm OVPAA-F-INS-055A RAW SC'!CM$17*100)</f>
        <v/>
      </c>
      <c r="CP78" s="130" t="str">
        <f>IF('Midterm OVPAA-F-INS-055A RAW SC'!CN78="","",'Midterm OVPAA-F-INS-055A RAW SC'!CN78/'Midterm OVPAA-F-INS-055A RAW SC'!CN$17*100)</f>
        <v/>
      </c>
      <c r="CQ78" s="131" t="str">
        <f t="array" ref="CQ78">IF('Midterm OVPAA-F-INS-055A RAW SC'!G78="","",IF((SUMPRODUCT(--ISBLANK('Midterm OVPAA-F-INS-055A RAW SC'!BU78:CN78))=COLUMNS('Midterm OVPAA-F-INS-055A RAW SC'!BU78:CN78))=TRUE,"",(((COUNTA('Midterm OVPAA-F-INS-055A RAW SC'!$BU$17:$CN$17)+COUNTBLANK('Midterm OVPAA-F-INS-055A RAW SC'!BU78:CN78))-COLUMNS('Midterm OVPAA-F-INS-055A RAW SC'!BU78:CN78))*5+SUM(BW78:CP78))/COUNTA('Midterm OVPAA-F-INS-055A RAW SC'!$BU$17:$CN$17)))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IF('Midterm OVPAA-F-INS-055A RAW SC'!CO78="","",'Midterm OVPAA-F-INS-055A RAW SC'!CO78/'Midterm OVPAA-F-INS-055A RAW SC'!CO$17*100)</f>
        <v/>
      </c>
      <c r="CT78" s="133" t="str">
        <f>IF('Midterm OVPAA-F-INS-055A RAW SC'!CP78="","",'Midterm OVPAA-F-INS-055A RAW SC'!CP78/'Midterm OVPAA-F-INS-055A RAW SC'!CP$17*100)</f>
        <v/>
      </c>
      <c r="CU78" s="133" t="str">
        <f>IF('Midterm OVPAA-F-INS-055A RAW SC'!CQ78="","",'Midterm OVPAA-F-INS-055A RAW SC'!CQ78/'Midterm OVPAA-F-INS-055A RAW SC'!CQ$17*100)</f>
        <v/>
      </c>
      <c r="CV78" s="133" t="str">
        <f>IF('Midterm OVPAA-F-INS-055A RAW SC'!CR78="","",'Midterm OVPAA-F-INS-055A RAW SC'!CR78/'Midterm OVPAA-F-INS-055A RAW SC'!CR$17*100)</f>
        <v/>
      </c>
      <c r="CW78" s="133" t="str">
        <f>IF('Midterm OVPAA-F-INS-055A RAW SC'!CS78="","",'Midterm OVPAA-F-INS-055A RAW SC'!CS78/'Midterm OVPAA-F-INS-055A RAW SC'!CS$17*100)</f>
        <v/>
      </c>
      <c r="CX78" s="133" t="str">
        <f>IF('Midterm OVPAA-F-INS-055A RAW SC'!CT78="","",'Midterm OVPAA-F-INS-055A RAW SC'!CT78/'Midterm OVPAA-F-INS-055A RAW SC'!CT$17*100)</f>
        <v/>
      </c>
      <c r="CY78" s="133" t="str">
        <f>IF('Midterm OVPAA-F-INS-055A RAW SC'!CU78="","",'Midterm OVPAA-F-INS-055A RAW SC'!CU78/'Midterm OVPAA-F-INS-055A RAW SC'!CU$17*100)</f>
        <v/>
      </c>
      <c r="CZ78" s="133" t="str">
        <f>IF('Midterm OVPAA-F-INS-055A RAW SC'!CV78="","",'Midterm OVPAA-F-INS-055A RAW SC'!CV78/'Midterm OVPAA-F-INS-055A RAW SC'!CV$17*100)</f>
        <v/>
      </c>
      <c r="DA78" s="133" t="str">
        <f>IF('Midterm OVPAA-F-INS-055A RAW SC'!CW78="","",'Midterm OVPAA-F-INS-055A RAW SC'!CW78/'Midterm OVPAA-F-INS-055A RAW SC'!CW$17*100)</f>
        <v/>
      </c>
      <c r="DB78" s="133" t="str">
        <f>IF('Midterm OVPAA-F-INS-055A RAW SC'!CX78="","",'Midterm OVPAA-F-INS-055A RAW SC'!CX78/'Midterm OVPAA-F-INS-055A RAW SC'!CX$17*100)</f>
        <v/>
      </c>
      <c r="DC78" s="134" t="str">
        <f t="array" ref="DC78">IF('Midterm OVPAA-F-INS-055A RAW SC'!$G78="","",IF((SUMPRODUCT(--ISBLANK('Midterm OVPAA-F-INS-055A RAW SC'!CO78:CX78))=COLUMNS('Midterm OVPAA-F-INS-055A RAW SC'!CO78:CX78))=TRUE,"",(((COUNTA('Midterm OVPAA-F-INS-055A RAW SC'!$CO$17:$CX$17)+COUNTBLANK('Midterm OVPAA-F-INS-055A RAW SC'!CO78:CX78))-COLUMNS('Midterm OVPAA-F-INS-055A RAW SC'!CO78:CX78))*5+SUM(CS78:DB78))/COUNTA('Midterm OVPAA-F-INS-055A RAW SC'!$CO$17:$CX$17)))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37" t="str">
        <f t="shared" si="2"/>
        <v/>
      </c>
      <c r="DG78" s="138" t="str">
        <f t="shared" si="3"/>
        <v/>
      </c>
      <c r="DH78" s="136" t="str">
        <f t="shared" si="4"/>
        <v/>
      </c>
      <c r="DI78" s="123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IF('Midterm OVPAA-F-INS-055A RAW SC'!H79="","",'Midterm OVPAA-F-INS-055A RAW SC'!H79/'Midterm OVPAA-F-INS-055A RAW SC'!H$17*100)</f>
        <v/>
      </c>
      <c r="I79" s="126" t="str">
        <f>IF('Midterm OVPAA-F-INS-055A RAW SC'!I79="","",'Midterm OVPAA-F-INS-055A RAW SC'!I79/'Midterm OVPAA-F-INS-055A RAW SC'!I$17*100)</f>
        <v/>
      </c>
      <c r="J79" s="126" t="str">
        <f>IF('Midterm OVPAA-F-INS-055A RAW SC'!J79="","",'Midterm OVPAA-F-INS-055A RAW SC'!J79/'Midterm OVPAA-F-INS-055A RAW SC'!J$17*100)</f>
        <v/>
      </c>
      <c r="K79" s="126" t="str">
        <f>IF('Midterm OVPAA-F-INS-055A RAW SC'!K79="","",'Midterm OVPAA-F-INS-055A RAW SC'!K79/'Midterm OVPAA-F-INS-055A RAW SC'!K$17*100)</f>
        <v/>
      </c>
      <c r="L79" s="126" t="str">
        <f>IF('Midterm OVPAA-F-INS-055A RAW SC'!L79="","",'Midterm OVPAA-F-INS-055A RAW SC'!L79/'Midterm OVPAA-F-INS-055A RAW SC'!L$17*100)</f>
        <v/>
      </c>
      <c r="M79" s="126" t="str">
        <f>IF('Midterm OVPAA-F-INS-055A RAW SC'!M79="","",'Midterm OVPAA-F-INS-055A RAW SC'!M79/'Midterm OVPAA-F-INS-055A RAW SC'!M$17*100)</f>
        <v/>
      </c>
      <c r="N79" s="126" t="str">
        <f>IF('Midterm OVPAA-F-INS-055A RAW SC'!N79="","",'Midterm OVPAA-F-INS-055A RAW SC'!N79/'Midterm OVPAA-F-INS-055A RAW SC'!N$17*100)</f>
        <v/>
      </c>
      <c r="O79" s="126" t="str">
        <f>IF('Midterm OVPAA-F-INS-055A RAW SC'!O79="","",'Midterm OVPAA-F-INS-055A RAW SC'!O79/'Midterm OVPAA-F-INS-055A RAW SC'!O$17*100)</f>
        <v/>
      </c>
      <c r="P79" s="126" t="str">
        <f>IF('Midterm OVPAA-F-INS-055A RAW SC'!P79="","",'Midterm OVPAA-F-INS-055A RAW SC'!P79/'Midterm OVPAA-F-INS-055A RAW SC'!P$17*100)</f>
        <v/>
      </c>
      <c r="Q79" s="126" t="str">
        <f>IF('Midterm OVPAA-F-INS-055A RAW SC'!Q79="","",'Midterm OVPAA-F-INS-055A RAW SC'!Q79/'Midterm OVPAA-F-INS-055A RAW SC'!Q$17*100)</f>
        <v/>
      </c>
      <c r="R79" s="126" t="str">
        <f>IF('Midterm OVPAA-F-INS-055A RAW SC'!R79="","",'Midterm OVPAA-F-INS-055A RAW SC'!R79/'Midterm OVPAA-F-INS-055A RAW SC'!R$17*100)</f>
        <v/>
      </c>
      <c r="S79" s="126" t="str">
        <f>IF('Midterm OVPAA-F-INS-055A RAW SC'!S79="","",'Midterm OVPAA-F-INS-055A RAW SC'!S79/'Midterm OVPAA-F-INS-055A RAW SC'!S$17*100)</f>
        <v/>
      </c>
      <c r="T79" s="126" t="str">
        <f>IF('Midterm OVPAA-F-INS-055A RAW SC'!T79="","",'Midterm OVPAA-F-INS-055A RAW SC'!T79/'Midterm OVPAA-F-INS-055A RAW SC'!T$17*100)</f>
        <v/>
      </c>
      <c r="U79" s="126" t="str">
        <f>IF('Midterm OVPAA-F-INS-055A RAW SC'!U79="","",'Midterm OVPAA-F-INS-055A RAW SC'!U79/'Midterm OVPAA-F-INS-055A RAW SC'!U$17*100)</f>
        <v/>
      </c>
      <c r="V79" s="126" t="str">
        <f>IF('Midterm OVPAA-F-INS-055A RAW SC'!V79="","",'Midterm OVPAA-F-INS-055A RAW SC'!V79/'Midterm OVPAA-F-INS-055A RAW SC'!V$17*100)</f>
        <v/>
      </c>
      <c r="W79" s="126" t="str">
        <f>IF('Midterm OVPAA-F-INS-055A RAW SC'!W79="","",'Midterm OVPAA-F-INS-055A RAW SC'!W79/'Midterm OVPAA-F-INS-055A RAW SC'!W$17*100)</f>
        <v/>
      </c>
      <c r="X79" s="126" t="str">
        <f>IF('Midterm OVPAA-F-INS-055A RAW SC'!X79="","",'Midterm OVPAA-F-INS-055A RAW SC'!X79/'Midterm OVPAA-F-INS-055A RAW SC'!X$17*100)</f>
        <v/>
      </c>
      <c r="Y79" s="126" t="str">
        <f>IF('Midterm OVPAA-F-INS-055A RAW SC'!Y79="","",'Midterm OVPAA-F-INS-055A RAW SC'!Y79/'Midterm OVPAA-F-INS-055A RAW SC'!Y$17*100)</f>
        <v/>
      </c>
      <c r="Z79" s="126" t="str">
        <f>IF('Midterm OVPAA-F-INS-055A RAW SC'!Z79="","",'Midterm OVPAA-F-INS-055A RAW SC'!Z79/'Midterm OVPAA-F-INS-055A RAW SC'!Z$17*100)</f>
        <v/>
      </c>
      <c r="AA79" s="126" t="str">
        <f>IF('Midterm OVPAA-F-INS-055A RAW SC'!AA79="","",'Midterm OVPAA-F-INS-055A RAW SC'!AA79/'Midterm OVPAA-F-INS-055A RAW SC'!AA$17*100)</f>
        <v/>
      </c>
      <c r="AB79" s="126" t="str">
        <f>IF('Midterm OVPAA-F-INS-055A RAW SC'!AB79="","",'Midterm OVPAA-F-INS-055A RAW SC'!AB79/'Midterm OVPAA-F-INS-055A RAW SC'!AB$17*100)</f>
        <v/>
      </c>
      <c r="AC79" s="126" t="str">
        <f>IF('Midterm OVPAA-F-INS-055A RAW SC'!AC79="","",'Midterm OVPAA-F-INS-055A RAW SC'!AC79/'Midterm OVPAA-F-INS-055A RAW SC'!AC$17*100)</f>
        <v/>
      </c>
      <c r="AD79" s="126" t="str">
        <f>IF('Midterm OVPAA-F-INS-055A RAW SC'!AD79="","",'Midterm OVPAA-F-INS-055A RAW SC'!AD79/'Midterm OVPAA-F-INS-055A RAW SC'!AD$17*100)</f>
        <v/>
      </c>
      <c r="AE79" s="126" t="str">
        <f>IF('Midterm OVPAA-F-INS-055A RAW SC'!AE79="","",'Midterm OVPAA-F-INS-055A RAW SC'!AE79/'Midterm OVPAA-F-INS-055A RAW SC'!AE$17*100)</f>
        <v/>
      </c>
      <c r="AF79" s="126" t="str">
        <f>IF('Midterm OVPAA-F-INS-055A RAW SC'!AF79="","",'Midterm OVPAA-F-INS-055A RAW SC'!AF79/'Midterm OVPAA-F-INS-055A RAW SC'!AF$17*100)</f>
        <v/>
      </c>
      <c r="AG79" s="126" t="str">
        <f>IF('Midterm OVPAA-F-INS-055A RAW SC'!AG79="","",'Midterm OVPAA-F-INS-055A RAW SC'!AG79/'Midterm OVPAA-F-INS-055A RAW SC'!AG$17*100)</f>
        <v/>
      </c>
      <c r="AH79" s="126" t="str">
        <f>IF('Midterm OVPAA-F-INS-055A RAW SC'!AH79="","",'Midterm OVPAA-F-INS-055A RAW SC'!AH79/'Midterm OVPAA-F-INS-055A RAW SC'!AH$17*100)</f>
        <v/>
      </c>
      <c r="AI79" s="126" t="str">
        <f>IF('Midterm OVPAA-F-INS-055A RAW SC'!AI79="","",'Midterm OVPAA-F-INS-055A RAW SC'!AI79/'Midterm OVPAA-F-INS-055A RAW SC'!AI$17*100)</f>
        <v/>
      </c>
      <c r="AJ79" s="126" t="str">
        <f>IF('Midterm OVPAA-F-INS-055A RAW SC'!AJ79="","",'Midterm OVPAA-F-INS-055A RAW SC'!AJ79/'Midterm OVPAA-F-INS-055A RAW SC'!AJ$17*100)</f>
        <v/>
      </c>
      <c r="AK79" s="126" t="str">
        <f>IF('Midterm OVPAA-F-INS-055A RAW SC'!AK79="","",'Midterm OVPAA-F-INS-055A RAW SC'!AK79/'Midterm OVPAA-F-INS-055A RAW SC'!AK$17*100)</f>
        <v/>
      </c>
      <c r="AL79" s="126" t="str">
        <f>IF('Midterm OVPAA-F-INS-055A RAW SC'!AL79="","",'Midterm OVPAA-F-INS-055A RAW SC'!AL79/'Midterm OVPAA-F-INS-055A RAW SC'!AL$17*100)</f>
        <v/>
      </c>
      <c r="AM79" s="126" t="str">
        <f>IF('Midterm OVPAA-F-INS-055A RAW SC'!AM79="","",'Midterm OVPAA-F-INS-055A RAW SC'!AM79/'Midterm OVPAA-F-INS-055A RAW SC'!AM$17*100)</f>
        <v/>
      </c>
      <c r="AN79" s="126" t="str">
        <f>IF('Midterm OVPAA-F-INS-055A RAW SC'!AN79="","",'Midterm OVPAA-F-INS-055A RAW SC'!AN79/'Midterm OVPAA-F-INS-055A RAW SC'!AN$17*100)</f>
        <v/>
      </c>
      <c r="AO79" s="126" t="str">
        <f>IF('Midterm OVPAA-F-INS-055A RAW SC'!AO79="","",'Midterm OVPAA-F-INS-055A RAW SC'!AO79/'Midterm OVPAA-F-INS-055A RAW SC'!AO$17*100)</f>
        <v/>
      </c>
      <c r="AP79" s="126" t="str">
        <f>IF('Midterm OVPAA-F-INS-055A RAW SC'!AP79="","",'Midterm OVPAA-F-INS-055A RAW SC'!AP79/'Midterm OVPAA-F-INS-055A RAW SC'!AP$17*100)</f>
        <v/>
      </c>
      <c r="AQ79" s="126" t="str">
        <f>IF('Midterm OVPAA-F-INS-055A RAW SC'!AQ79="","",'Midterm OVPAA-F-INS-055A RAW SC'!AQ79/'Midterm OVPAA-F-INS-055A RAW SC'!AQ$17*100)</f>
        <v/>
      </c>
      <c r="AR79" s="126" t="str">
        <f>IF('Midterm OVPAA-F-INS-055A RAW SC'!AR79="","",'Midterm OVPAA-F-INS-055A RAW SC'!AR79/'Midterm OVPAA-F-INS-055A RAW SC'!AR$17*100)</f>
        <v/>
      </c>
      <c r="AS79" s="126" t="str">
        <f>IF('Midterm OVPAA-F-INS-055A RAW SC'!AS79="","",'Midterm OVPAA-F-INS-055A RAW SC'!AS79/'Midterm OVPAA-F-INS-055A RAW SC'!AS$17*100)</f>
        <v/>
      </c>
      <c r="AT79" s="126" t="str">
        <f>IF('Midterm OVPAA-F-INS-055A RAW SC'!AT79="","",'Midterm OVPAA-F-INS-055A RAW SC'!AT79/'Midterm OVPAA-F-INS-055A RAW SC'!AT$17*100)</f>
        <v/>
      </c>
      <c r="AU79" s="126" t="str">
        <f>IF('Midterm OVPAA-F-INS-055A RAW SC'!AU79="","",'Midterm OVPAA-F-INS-055A RAW SC'!AU79/'Midterm OVPAA-F-INS-055A RAW SC'!AU$17*100)</f>
        <v/>
      </c>
      <c r="AV79" s="126" t="str">
        <f>IF('Midterm OVPAA-F-INS-055A RAW SC'!AV79="","",'Midterm OVPAA-F-INS-055A RAW SC'!AV79/'Midterm OVPAA-F-INS-055A RAW SC'!AV$17*100)</f>
        <v/>
      </c>
      <c r="AW79" s="126" t="str">
        <f>IF('Midterm OVPAA-F-INS-055A RAW SC'!AW79="","",'Midterm OVPAA-F-INS-055A RAW SC'!AW79/'Midterm OVPAA-F-INS-055A RAW SC'!AW$17*100)</f>
        <v/>
      </c>
      <c r="AX79" s="126" t="str">
        <f>IF('Midterm OVPAA-F-INS-055A RAW SC'!AX79="","",'Midterm OVPAA-F-INS-055A RAW SC'!AX79/'Midterm OVPAA-F-INS-055A RAW SC'!AX$17*100)</f>
        <v/>
      </c>
      <c r="AY79" s="126" t="str">
        <f>IF('Midterm OVPAA-F-INS-055A RAW SC'!AY79="","",'Midterm OVPAA-F-INS-055A RAW SC'!AY79/'Midterm OVPAA-F-INS-055A RAW SC'!AY$17*100)</f>
        <v/>
      </c>
      <c r="AZ79" s="126" t="str">
        <f>IF('Midterm OVPAA-F-INS-055A RAW SC'!AZ79="","",'Midterm OVPAA-F-INS-055A RAW SC'!AZ79/'Midterm OVPAA-F-INS-055A RAW SC'!AZ$17*100)</f>
        <v/>
      </c>
      <c r="BA79" s="126" t="str">
        <f>IF('Midterm OVPAA-F-INS-055A RAW SC'!BA79="","",'Midterm OVPAA-F-INS-055A RAW SC'!BA79/'Midterm OVPAA-F-INS-055A RAW SC'!BA$17*100)</f>
        <v/>
      </c>
      <c r="BB79" s="126" t="str">
        <f>IF('Midterm OVPAA-F-INS-055A RAW SC'!BB79="","",'Midterm OVPAA-F-INS-055A RAW SC'!BB79/'Midterm OVPAA-F-INS-055A RAW SC'!BB$17*100)</f>
        <v/>
      </c>
      <c r="BC79" s="126" t="str">
        <f>IF('Midterm OVPAA-F-INS-055A RAW SC'!BC79="","",'Midterm OVPAA-F-INS-055A RAW SC'!BC79/'Midterm OVPAA-F-INS-055A RAW SC'!BC$17*100)</f>
        <v/>
      </c>
      <c r="BD79" s="126" t="str">
        <f>IF('Midterm OVPAA-F-INS-055A RAW SC'!BD79="","",'Midterm OVPAA-F-INS-055A RAW SC'!BD79/'Midterm OVPAA-F-INS-055A RAW SC'!BD$17*100)</f>
        <v/>
      </c>
      <c r="BE79" s="126" t="str">
        <f>IF('Midterm OVPAA-F-INS-055A RAW SC'!BE79="","",'Midterm OVPAA-F-INS-055A RAW SC'!BE79/'Midterm OVPAA-F-INS-055A RAW SC'!BE$17*100)</f>
        <v/>
      </c>
      <c r="BF79" s="126" t="str">
        <f>IF('Midterm OVPAA-F-INS-055A RAW SC'!BF79="","",'Midterm OVPAA-F-INS-055A RAW SC'!BF79/'Midterm OVPAA-F-INS-055A RAW SC'!BF$17*100)</f>
        <v/>
      </c>
      <c r="BG79" s="126" t="str">
        <f>IF('Midterm OVPAA-F-INS-055A RAW SC'!BG79="","",'Midterm OVPAA-F-INS-055A RAW SC'!BG79/'Midterm OVPAA-F-INS-055A RAW SC'!BG$17*100)</f>
        <v/>
      </c>
      <c r="BH79" s="126" t="str">
        <f>IF('Midterm OVPAA-F-INS-055A RAW SC'!BH79="","",'Midterm OVPAA-F-INS-055A RAW SC'!BH79/'Midterm OVPAA-F-INS-055A RAW SC'!BH$17*100)</f>
        <v/>
      </c>
      <c r="BI79" s="126" t="str">
        <f>IF('Midterm OVPAA-F-INS-055A RAW SC'!BI79="","",'Midterm OVPAA-F-INS-055A RAW SC'!BI79/'Midterm OVPAA-F-INS-055A RAW SC'!BI$17*100)</f>
        <v/>
      </c>
      <c r="BJ79" s="126" t="str">
        <f>IF('Midterm OVPAA-F-INS-055A RAW SC'!BJ79="","",'Midterm OVPAA-F-INS-055A RAW SC'!BJ79/'Midterm OVPAA-F-INS-055A RAW SC'!BJ$17*100)</f>
        <v/>
      </c>
      <c r="BK79" s="126" t="str">
        <f>IF('Midterm OVPAA-F-INS-055A RAW SC'!BK79="","",'Midterm OVPAA-F-INS-055A RAW SC'!BK79/'Midterm OVPAA-F-INS-055A RAW SC'!BK$17*100)</f>
        <v/>
      </c>
      <c r="BL79" s="126" t="str">
        <f>IF('Midterm OVPAA-F-INS-055A RAW SC'!BL79="","",'Midterm OVPAA-F-INS-055A RAW SC'!BL79/'Midterm OVPAA-F-INS-055A RAW SC'!BL$17*100)</f>
        <v/>
      </c>
      <c r="BM79" s="126" t="str">
        <f>IF('Midterm OVPAA-F-INS-055A RAW SC'!BM79="","",'Midterm OVPAA-F-INS-055A RAW SC'!BM79/'Midterm OVPAA-F-INS-055A RAW SC'!BM$17*100)</f>
        <v/>
      </c>
      <c r="BN79" s="126" t="str">
        <f>IF('Midterm OVPAA-F-INS-055A RAW SC'!BN79="","",'Midterm OVPAA-F-INS-055A RAW SC'!BN79/'Midterm OVPAA-F-INS-055A RAW SC'!BN$17*100)</f>
        <v/>
      </c>
      <c r="BO79" s="126" t="str">
        <f>IF('Midterm OVPAA-F-INS-055A RAW SC'!BO79="","",'Midterm OVPAA-F-INS-055A RAW SC'!BO79/'Midterm OVPAA-F-INS-055A RAW SC'!BO$17*100)</f>
        <v/>
      </c>
      <c r="BP79" s="126" t="str">
        <f>IF('Midterm OVPAA-F-INS-055A RAW SC'!BP79="","",'Midterm OVPAA-F-INS-055A RAW SC'!BP79/'Midterm OVPAA-F-INS-055A RAW SC'!BP$17*100)</f>
        <v/>
      </c>
      <c r="BQ79" s="126" t="str">
        <f>IF('Midterm OVPAA-F-INS-055A RAW SC'!BQ79="","",'Midterm OVPAA-F-INS-055A RAW SC'!BQ79/'Midterm OVPAA-F-INS-055A RAW SC'!BQ$17*100)</f>
        <v/>
      </c>
      <c r="BR79" s="126" t="str">
        <f>IF('Midterm OVPAA-F-INS-055A RAW SC'!BR79="","",'Midterm OVPAA-F-INS-055A RAW SC'!BR79/'Midterm OVPAA-F-INS-055A RAW SC'!BR$17*100)</f>
        <v/>
      </c>
      <c r="BS79" s="126" t="str">
        <f>IF('Midterm OVPAA-F-INS-055A RAW SC'!BS79="","",'Midterm OVPAA-F-INS-055A RAW SC'!BS79/'Midterm OVPAA-F-INS-055A RAW SC'!BS$17*100)</f>
        <v/>
      </c>
      <c r="BT79" s="126" t="str">
        <f>IF('Midterm OVPAA-F-INS-055A RAW SC'!BT79="","",'Midterm OVPAA-F-INS-055A RAW SC'!BT79/'Midterm OVPAA-F-INS-055A RAW SC'!BT$17*100)</f>
        <v/>
      </c>
      <c r="BU79" s="127" t="str">
        <f t="array" ref="BU79">IF('Midterm OVPAA-F-INS-055A RAW SC'!$G79="","",IF((SUMPRODUCT(--ISBLANK('Midterm OVPAA-F-INS-055A RAW SC'!H79:BT79))=COLUMNS('Midterm OVPAA-F-INS-055A RAW SC'!H79:BT79))=TRUE,"",(((COUNTA('Midterm OVPAA-F-INS-055A RAW SC'!$H$17:$BT$17)+COUNTBLANK('Midterm OVPAA-F-INS-055A RAW SC'!H79:BT79))-COLUMNS('Midterm OVPAA-F-INS-055A RAW SC'!H79:BT79))*5+SUM(H79:BT79))/COUNTA('Midterm OVPAA-F-INS-055A RAW SC'!$H$17:$BT$17)))</f>
        <v/>
      </c>
      <c r="BV79" s="128" t="str">
        <f>IF(BU79="","",VLOOKUP(BU79,IF('Midterm OVPAA-F-INS-055A RAW SC'!$V$12=0.5,TRANSMUTATION!$C$4:$D$17,TRANSMUTATION!$G$4:$H$17),2,TRUE))</f>
        <v/>
      </c>
      <c r="BW79" s="129" t="str">
        <f>IF('Midterm OVPAA-F-INS-055A RAW SC'!BU79="","",'Midterm OVPAA-F-INS-055A RAW SC'!BU79/'Midterm OVPAA-F-INS-055A RAW SC'!BU$17*100)</f>
        <v/>
      </c>
      <c r="BX79" s="130" t="str">
        <f>IF('Midterm OVPAA-F-INS-055A RAW SC'!BV79="","",'Midterm OVPAA-F-INS-055A RAW SC'!BV79/'Midterm OVPAA-F-INS-055A RAW SC'!BV$17*100)</f>
        <v/>
      </c>
      <c r="BY79" s="130" t="str">
        <f>IF('Midterm OVPAA-F-INS-055A RAW SC'!BW79="","",'Midterm OVPAA-F-INS-055A RAW SC'!BW79/'Midterm OVPAA-F-INS-055A RAW SC'!BW$17*100)</f>
        <v/>
      </c>
      <c r="BZ79" s="130" t="str">
        <f>IF('Midterm OVPAA-F-INS-055A RAW SC'!BX79="","",'Midterm OVPAA-F-INS-055A RAW SC'!BX79/'Midterm OVPAA-F-INS-055A RAW SC'!BX$17*100)</f>
        <v/>
      </c>
      <c r="CA79" s="130" t="str">
        <f>IF('Midterm OVPAA-F-INS-055A RAW SC'!BY79="","",'Midterm OVPAA-F-INS-055A RAW SC'!BY79/'Midterm OVPAA-F-INS-055A RAW SC'!BY$17*100)</f>
        <v/>
      </c>
      <c r="CB79" s="130" t="str">
        <f>IF('Midterm OVPAA-F-INS-055A RAW SC'!BZ79="","",'Midterm OVPAA-F-INS-055A RAW SC'!BZ79/'Midterm OVPAA-F-INS-055A RAW SC'!BZ$17*100)</f>
        <v/>
      </c>
      <c r="CC79" s="130" t="str">
        <f>IF('Midterm OVPAA-F-INS-055A RAW SC'!CA79="","",'Midterm OVPAA-F-INS-055A RAW SC'!CA79/'Midterm OVPAA-F-INS-055A RAW SC'!CA$17*100)</f>
        <v/>
      </c>
      <c r="CD79" s="130" t="str">
        <f>IF('Midterm OVPAA-F-INS-055A RAW SC'!CB79="","",'Midterm OVPAA-F-INS-055A RAW SC'!CB79/'Midterm OVPAA-F-INS-055A RAW SC'!CB$17*100)</f>
        <v/>
      </c>
      <c r="CE79" s="130" t="str">
        <f>IF('Midterm OVPAA-F-INS-055A RAW SC'!CC79="","",'Midterm OVPAA-F-INS-055A RAW SC'!CC79/'Midterm OVPAA-F-INS-055A RAW SC'!CC$17*100)</f>
        <v/>
      </c>
      <c r="CF79" s="130" t="str">
        <f>IF('Midterm OVPAA-F-INS-055A RAW SC'!CD79="","",'Midterm OVPAA-F-INS-055A RAW SC'!CD79/'Midterm OVPAA-F-INS-055A RAW SC'!CD$17*100)</f>
        <v/>
      </c>
      <c r="CG79" s="130" t="str">
        <f>IF('Midterm OVPAA-F-INS-055A RAW SC'!CE79="","",'Midterm OVPAA-F-INS-055A RAW SC'!CE79/'Midterm OVPAA-F-INS-055A RAW SC'!CE$17*100)</f>
        <v/>
      </c>
      <c r="CH79" s="130" t="str">
        <f>IF('Midterm OVPAA-F-INS-055A RAW SC'!CF79="","",'Midterm OVPAA-F-INS-055A RAW SC'!CF79/'Midterm OVPAA-F-INS-055A RAW SC'!CF$17*100)</f>
        <v/>
      </c>
      <c r="CI79" s="130" t="str">
        <f>IF('Midterm OVPAA-F-INS-055A RAW SC'!CG79="","",'Midterm OVPAA-F-INS-055A RAW SC'!CG79/'Midterm OVPAA-F-INS-055A RAW SC'!CG$17*100)</f>
        <v/>
      </c>
      <c r="CJ79" s="130" t="str">
        <f>IF('Midterm OVPAA-F-INS-055A RAW SC'!CH79="","",'Midterm OVPAA-F-INS-055A RAW SC'!CH79/'Midterm OVPAA-F-INS-055A RAW SC'!CH$17*100)</f>
        <v/>
      </c>
      <c r="CK79" s="130" t="str">
        <f>IF('Midterm OVPAA-F-INS-055A RAW SC'!CI79="","",'Midterm OVPAA-F-INS-055A RAW SC'!CI79/'Midterm OVPAA-F-INS-055A RAW SC'!CI$17*100)</f>
        <v/>
      </c>
      <c r="CL79" s="130" t="str">
        <f>IF('Midterm OVPAA-F-INS-055A RAW SC'!CJ79="","",'Midterm OVPAA-F-INS-055A RAW SC'!CJ79/'Midterm OVPAA-F-INS-055A RAW SC'!CJ$17*100)</f>
        <v/>
      </c>
      <c r="CM79" s="130" t="str">
        <f>IF('Midterm OVPAA-F-INS-055A RAW SC'!CK79="","",'Midterm OVPAA-F-INS-055A RAW SC'!CK79/'Midterm OVPAA-F-INS-055A RAW SC'!CK$17*100)</f>
        <v/>
      </c>
      <c r="CN79" s="130" t="str">
        <f>IF('Midterm OVPAA-F-INS-055A RAW SC'!CL79="","",'Midterm OVPAA-F-INS-055A RAW SC'!CL79/'Midterm OVPAA-F-INS-055A RAW SC'!CL$17*100)</f>
        <v/>
      </c>
      <c r="CO79" s="130" t="str">
        <f>IF('Midterm OVPAA-F-INS-055A RAW SC'!CM79="","",'Midterm OVPAA-F-INS-055A RAW SC'!CM79/'Midterm OVPAA-F-INS-055A RAW SC'!CM$17*100)</f>
        <v/>
      </c>
      <c r="CP79" s="130" t="str">
        <f>IF('Midterm OVPAA-F-INS-055A RAW SC'!CN79="","",'Midterm OVPAA-F-INS-055A RAW SC'!CN79/'Midterm OVPAA-F-INS-055A RAW SC'!CN$17*100)</f>
        <v/>
      </c>
      <c r="CQ79" s="131" t="str">
        <f t="array" ref="CQ79">IF('Midterm OVPAA-F-INS-055A RAW SC'!G79="","",IF((SUMPRODUCT(--ISBLANK('Midterm OVPAA-F-INS-055A RAW SC'!BU79:CN79))=COLUMNS('Midterm OVPAA-F-INS-055A RAW SC'!BU79:CN79))=TRUE,"",(((COUNTA('Midterm OVPAA-F-INS-055A RAW SC'!$BU$17:$CN$17)+COUNTBLANK('Midterm OVPAA-F-INS-055A RAW SC'!BU79:CN79))-COLUMNS('Midterm OVPAA-F-INS-055A RAW SC'!BU79:CN79))*5+SUM(BW79:CP79))/COUNTA('Midterm OVPAA-F-INS-055A RAW SC'!$BU$17:$CN$17)))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IF('Midterm OVPAA-F-INS-055A RAW SC'!CO79="","",'Midterm OVPAA-F-INS-055A RAW SC'!CO79/'Midterm OVPAA-F-INS-055A RAW SC'!CO$17*100)</f>
        <v/>
      </c>
      <c r="CT79" s="133" t="str">
        <f>IF('Midterm OVPAA-F-INS-055A RAW SC'!CP79="","",'Midterm OVPAA-F-INS-055A RAW SC'!CP79/'Midterm OVPAA-F-INS-055A RAW SC'!CP$17*100)</f>
        <v/>
      </c>
      <c r="CU79" s="133" t="str">
        <f>IF('Midterm OVPAA-F-INS-055A RAW SC'!CQ79="","",'Midterm OVPAA-F-INS-055A RAW SC'!CQ79/'Midterm OVPAA-F-INS-055A RAW SC'!CQ$17*100)</f>
        <v/>
      </c>
      <c r="CV79" s="133" t="str">
        <f>IF('Midterm OVPAA-F-INS-055A RAW SC'!CR79="","",'Midterm OVPAA-F-INS-055A RAW SC'!CR79/'Midterm OVPAA-F-INS-055A RAW SC'!CR$17*100)</f>
        <v/>
      </c>
      <c r="CW79" s="133" t="str">
        <f>IF('Midterm OVPAA-F-INS-055A RAW SC'!CS79="","",'Midterm OVPAA-F-INS-055A RAW SC'!CS79/'Midterm OVPAA-F-INS-055A RAW SC'!CS$17*100)</f>
        <v/>
      </c>
      <c r="CX79" s="133" t="str">
        <f>IF('Midterm OVPAA-F-INS-055A RAW SC'!CT79="","",'Midterm OVPAA-F-INS-055A RAW SC'!CT79/'Midterm OVPAA-F-INS-055A RAW SC'!CT$17*100)</f>
        <v/>
      </c>
      <c r="CY79" s="133" t="str">
        <f>IF('Midterm OVPAA-F-INS-055A RAW SC'!CU79="","",'Midterm OVPAA-F-INS-055A RAW SC'!CU79/'Midterm OVPAA-F-INS-055A RAW SC'!CU$17*100)</f>
        <v/>
      </c>
      <c r="CZ79" s="133" t="str">
        <f>IF('Midterm OVPAA-F-INS-055A RAW SC'!CV79="","",'Midterm OVPAA-F-INS-055A RAW SC'!CV79/'Midterm OVPAA-F-INS-055A RAW SC'!CV$17*100)</f>
        <v/>
      </c>
      <c r="DA79" s="133" t="str">
        <f>IF('Midterm OVPAA-F-INS-055A RAW SC'!CW79="","",'Midterm OVPAA-F-INS-055A RAW SC'!CW79/'Midterm OVPAA-F-INS-055A RAW SC'!CW$17*100)</f>
        <v/>
      </c>
      <c r="DB79" s="133" t="str">
        <f>IF('Midterm OVPAA-F-INS-055A RAW SC'!CX79="","",'Midterm OVPAA-F-INS-055A RAW SC'!CX79/'Midterm OVPAA-F-INS-055A RAW SC'!CX$17*100)</f>
        <v/>
      </c>
      <c r="DC79" s="134" t="str">
        <f t="array" ref="DC79">IF('Midterm OVPAA-F-INS-055A RAW SC'!$G79="","",IF((SUMPRODUCT(--ISBLANK('Midterm OVPAA-F-INS-055A RAW SC'!CO79:CX79))=COLUMNS('Midterm OVPAA-F-INS-055A RAW SC'!CO79:CX79))=TRUE,"",(((COUNTA('Midterm OVPAA-F-INS-055A RAW SC'!$CO$17:$CX$17)+COUNTBLANK('Midterm OVPAA-F-INS-055A RAW SC'!CO79:CX79))-COLUMNS('Midterm OVPAA-F-INS-055A RAW SC'!CO79:CX79))*5+SUM(CS79:DB79))/COUNTA('Midterm OVPAA-F-INS-055A RAW SC'!$CO$17:$CX$17)))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37" t="str">
        <f t="shared" si="2"/>
        <v/>
      </c>
      <c r="DG79" s="138" t="str">
        <f t="shared" si="3"/>
        <v/>
      </c>
      <c r="DH79" s="136" t="str">
        <f t="shared" si="4"/>
        <v/>
      </c>
      <c r="DI79" s="123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IF('Midterm OVPAA-F-INS-055A RAW SC'!H80="","",'Midterm OVPAA-F-INS-055A RAW SC'!H80/'Midterm OVPAA-F-INS-055A RAW SC'!H$17*100)</f>
        <v/>
      </c>
      <c r="I80" s="126" t="str">
        <f>IF('Midterm OVPAA-F-INS-055A RAW SC'!I80="","",'Midterm OVPAA-F-INS-055A RAW SC'!I80/'Midterm OVPAA-F-INS-055A RAW SC'!I$17*100)</f>
        <v/>
      </c>
      <c r="J80" s="126" t="str">
        <f>IF('Midterm OVPAA-F-INS-055A RAW SC'!J80="","",'Midterm OVPAA-F-INS-055A RAW SC'!J80/'Midterm OVPAA-F-INS-055A RAW SC'!J$17*100)</f>
        <v/>
      </c>
      <c r="K80" s="126" t="str">
        <f>IF('Midterm OVPAA-F-INS-055A RAW SC'!K80="","",'Midterm OVPAA-F-INS-055A RAW SC'!K80/'Midterm OVPAA-F-INS-055A RAW SC'!K$17*100)</f>
        <v/>
      </c>
      <c r="L80" s="126" t="str">
        <f>IF('Midterm OVPAA-F-INS-055A RAW SC'!L80="","",'Midterm OVPAA-F-INS-055A RAW SC'!L80/'Midterm OVPAA-F-INS-055A RAW SC'!L$17*100)</f>
        <v/>
      </c>
      <c r="M80" s="126" t="str">
        <f>IF('Midterm OVPAA-F-INS-055A RAW SC'!M80="","",'Midterm OVPAA-F-INS-055A RAW SC'!M80/'Midterm OVPAA-F-INS-055A RAW SC'!M$17*100)</f>
        <v/>
      </c>
      <c r="N80" s="126" t="str">
        <f>IF('Midterm OVPAA-F-INS-055A RAW SC'!N80="","",'Midterm OVPAA-F-INS-055A RAW SC'!N80/'Midterm OVPAA-F-INS-055A RAW SC'!N$17*100)</f>
        <v/>
      </c>
      <c r="O80" s="126" t="str">
        <f>IF('Midterm OVPAA-F-INS-055A RAW SC'!O80="","",'Midterm OVPAA-F-INS-055A RAW SC'!O80/'Midterm OVPAA-F-INS-055A RAW SC'!O$17*100)</f>
        <v/>
      </c>
      <c r="P80" s="126" t="str">
        <f>IF('Midterm OVPAA-F-INS-055A RAW SC'!P80="","",'Midterm OVPAA-F-INS-055A RAW SC'!P80/'Midterm OVPAA-F-INS-055A RAW SC'!P$17*100)</f>
        <v/>
      </c>
      <c r="Q80" s="126" t="str">
        <f>IF('Midterm OVPAA-F-INS-055A RAW SC'!Q80="","",'Midterm OVPAA-F-INS-055A RAW SC'!Q80/'Midterm OVPAA-F-INS-055A RAW SC'!Q$17*100)</f>
        <v/>
      </c>
      <c r="R80" s="126" t="str">
        <f>IF('Midterm OVPAA-F-INS-055A RAW SC'!R80="","",'Midterm OVPAA-F-INS-055A RAW SC'!R80/'Midterm OVPAA-F-INS-055A RAW SC'!R$17*100)</f>
        <v/>
      </c>
      <c r="S80" s="126" t="str">
        <f>IF('Midterm OVPAA-F-INS-055A RAW SC'!S80="","",'Midterm OVPAA-F-INS-055A RAW SC'!S80/'Midterm OVPAA-F-INS-055A RAW SC'!S$17*100)</f>
        <v/>
      </c>
      <c r="T80" s="126" t="str">
        <f>IF('Midterm OVPAA-F-INS-055A RAW SC'!T80="","",'Midterm OVPAA-F-INS-055A RAW SC'!T80/'Midterm OVPAA-F-INS-055A RAW SC'!T$17*100)</f>
        <v/>
      </c>
      <c r="U80" s="126" t="str">
        <f>IF('Midterm OVPAA-F-INS-055A RAW SC'!U80="","",'Midterm OVPAA-F-INS-055A RAW SC'!U80/'Midterm OVPAA-F-INS-055A RAW SC'!U$17*100)</f>
        <v/>
      </c>
      <c r="V80" s="126" t="str">
        <f>IF('Midterm OVPAA-F-INS-055A RAW SC'!V80="","",'Midterm OVPAA-F-INS-055A RAW SC'!V80/'Midterm OVPAA-F-INS-055A RAW SC'!V$17*100)</f>
        <v/>
      </c>
      <c r="W80" s="126" t="str">
        <f>IF('Midterm OVPAA-F-INS-055A RAW SC'!W80="","",'Midterm OVPAA-F-INS-055A RAW SC'!W80/'Midterm OVPAA-F-INS-055A RAW SC'!W$17*100)</f>
        <v/>
      </c>
      <c r="X80" s="126" t="str">
        <f>IF('Midterm OVPAA-F-INS-055A RAW SC'!X80="","",'Midterm OVPAA-F-INS-055A RAW SC'!X80/'Midterm OVPAA-F-INS-055A RAW SC'!X$17*100)</f>
        <v/>
      </c>
      <c r="Y80" s="126" t="str">
        <f>IF('Midterm OVPAA-F-INS-055A RAW SC'!Y80="","",'Midterm OVPAA-F-INS-055A RAW SC'!Y80/'Midterm OVPAA-F-INS-055A RAW SC'!Y$17*100)</f>
        <v/>
      </c>
      <c r="Z80" s="126" t="str">
        <f>IF('Midterm OVPAA-F-INS-055A RAW SC'!Z80="","",'Midterm OVPAA-F-INS-055A RAW SC'!Z80/'Midterm OVPAA-F-INS-055A RAW SC'!Z$17*100)</f>
        <v/>
      </c>
      <c r="AA80" s="126" t="str">
        <f>IF('Midterm OVPAA-F-INS-055A RAW SC'!AA80="","",'Midterm OVPAA-F-INS-055A RAW SC'!AA80/'Midterm OVPAA-F-INS-055A RAW SC'!AA$17*100)</f>
        <v/>
      </c>
      <c r="AB80" s="126" t="str">
        <f>IF('Midterm OVPAA-F-INS-055A RAW SC'!AB80="","",'Midterm OVPAA-F-INS-055A RAW SC'!AB80/'Midterm OVPAA-F-INS-055A RAW SC'!AB$17*100)</f>
        <v/>
      </c>
      <c r="AC80" s="126" t="str">
        <f>IF('Midterm OVPAA-F-INS-055A RAW SC'!AC80="","",'Midterm OVPAA-F-INS-055A RAW SC'!AC80/'Midterm OVPAA-F-INS-055A RAW SC'!AC$17*100)</f>
        <v/>
      </c>
      <c r="AD80" s="126" t="str">
        <f>IF('Midterm OVPAA-F-INS-055A RAW SC'!AD80="","",'Midterm OVPAA-F-INS-055A RAW SC'!AD80/'Midterm OVPAA-F-INS-055A RAW SC'!AD$17*100)</f>
        <v/>
      </c>
      <c r="AE80" s="126" t="str">
        <f>IF('Midterm OVPAA-F-INS-055A RAW SC'!AE80="","",'Midterm OVPAA-F-INS-055A RAW SC'!AE80/'Midterm OVPAA-F-INS-055A RAW SC'!AE$17*100)</f>
        <v/>
      </c>
      <c r="AF80" s="126" t="str">
        <f>IF('Midterm OVPAA-F-INS-055A RAW SC'!AF80="","",'Midterm OVPAA-F-INS-055A RAW SC'!AF80/'Midterm OVPAA-F-INS-055A RAW SC'!AF$17*100)</f>
        <v/>
      </c>
      <c r="AG80" s="126" t="str">
        <f>IF('Midterm OVPAA-F-INS-055A RAW SC'!AG80="","",'Midterm OVPAA-F-INS-055A RAW SC'!AG80/'Midterm OVPAA-F-INS-055A RAW SC'!AG$17*100)</f>
        <v/>
      </c>
      <c r="AH80" s="126" t="str">
        <f>IF('Midterm OVPAA-F-INS-055A RAW SC'!AH80="","",'Midterm OVPAA-F-INS-055A RAW SC'!AH80/'Midterm OVPAA-F-INS-055A RAW SC'!AH$17*100)</f>
        <v/>
      </c>
      <c r="AI80" s="126" t="str">
        <f>IF('Midterm OVPAA-F-INS-055A RAW SC'!AI80="","",'Midterm OVPAA-F-INS-055A RAW SC'!AI80/'Midterm OVPAA-F-INS-055A RAW SC'!AI$17*100)</f>
        <v/>
      </c>
      <c r="AJ80" s="126" t="str">
        <f>IF('Midterm OVPAA-F-INS-055A RAW SC'!AJ80="","",'Midterm OVPAA-F-INS-055A RAW SC'!AJ80/'Midterm OVPAA-F-INS-055A RAW SC'!AJ$17*100)</f>
        <v/>
      </c>
      <c r="AK80" s="126" t="str">
        <f>IF('Midterm OVPAA-F-INS-055A RAW SC'!AK80="","",'Midterm OVPAA-F-INS-055A RAW SC'!AK80/'Midterm OVPAA-F-INS-055A RAW SC'!AK$17*100)</f>
        <v/>
      </c>
      <c r="AL80" s="126" t="str">
        <f>IF('Midterm OVPAA-F-INS-055A RAW SC'!AL80="","",'Midterm OVPAA-F-INS-055A RAW SC'!AL80/'Midterm OVPAA-F-INS-055A RAW SC'!AL$17*100)</f>
        <v/>
      </c>
      <c r="AM80" s="126" t="str">
        <f>IF('Midterm OVPAA-F-INS-055A RAW SC'!AM80="","",'Midterm OVPAA-F-INS-055A RAW SC'!AM80/'Midterm OVPAA-F-INS-055A RAW SC'!AM$17*100)</f>
        <v/>
      </c>
      <c r="AN80" s="126" t="str">
        <f>IF('Midterm OVPAA-F-INS-055A RAW SC'!AN80="","",'Midterm OVPAA-F-INS-055A RAW SC'!AN80/'Midterm OVPAA-F-INS-055A RAW SC'!AN$17*100)</f>
        <v/>
      </c>
      <c r="AO80" s="126" t="str">
        <f>IF('Midterm OVPAA-F-INS-055A RAW SC'!AO80="","",'Midterm OVPAA-F-INS-055A RAW SC'!AO80/'Midterm OVPAA-F-INS-055A RAW SC'!AO$17*100)</f>
        <v/>
      </c>
      <c r="AP80" s="126" t="str">
        <f>IF('Midterm OVPAA-F-INS-055A RAW SC'!AP80="","",'Midterm OVPAA-F-INS-055A RAW SC'!AP80/'Midterm OVPAA-F-INS-055A RAW SC'!AP$17*100)</f>
        <v/>
      </c>
      <c r="AQ80" s="126" t="str">
        <f>IF('Midterm OVPAA-F-INS-055A RAW SC'!AQ80="","",'Midterm OVPAA-F-INS-055A RAW SC'!AQ80/'Midterm OVPAA-F-INS-055A RAW SC'!AQ$17*100)</f>
        <v/>
      </c>
      <c r="AR80" s="126" t="str">
        <f>IF('Midterm OVPAA-F-INS-055A RAW SC'!AR80="","",'Midterm OVPAA-F-INS-055A RAW SC'!AR80/'Midterm OVPAA-F-INS-055A RAW SC'!AR$17*100)</f>
        <v/>
      </c>
      <c r="AS80" s="126" t="str">
        <f>IF('Midterm OVPAA-F-INS-055A RAW SC'!AS80="","",'Midterm OVPAA-F-INS-055A RAW SC'!AS80/'Midterm OVPAA-F-INS-055A RAW SC'!AS$17*100)</f>
        <v/>
      </c>
      <c r="AT80" s="126" t="str">
        <f>IF('Midterm OVPAA-F-INS-055A RAW SC'!AT80="","",'Midterm OVPAA-F-INS-055A RAW SC'!AT80/'Midterm OVPAA-F-INS-055A RAW SC'!AT$17*100)</f>
        <v/>
      </c>
      <c r="AU80" s="126" t="str">
        <f>IF('Midterm OVPAA-F-INS-055A RAW SC'!AU80="","",'Midterm OVPAA-F-INS-055A RAW SC'!AU80/'Midterm OVPAA-F-INS-055A RAW SC'!AU$17*100)</f>
        <v/>
      </c>
      <c r="AV80" s="126" t="str">
        <f>IF('Midterm OVPAA-F-INS-055A RAW SC'!AV80="","",'Midterm OVPAA-F-INS-055A RAW SC'!AV80/'Midterm OVPAA-F-INS-055A RAW SC'!AV$17*100)</f>
        <v/>
      </c>
      <c r="AW80" s="126" t="str">
        <f>IF('Midterm OVPAA-F-INS-055A RAW SC'!AW80="","",'Midterm OVPAA-F-INS-055A RAW SC'!AW80/'Midterm OVPAA-F-INS-055A RAW SC'!AW$17*100)</f>
        <v/>
      </c>
      <c r="AX80" s="126" t="str">
        <f>IF('Midterm OVPAA-F-INS-055A RAW SC'!AX80="","",'Midterm OVPAA-F-INS-055A RAW SC'!AX80/'Midterm OVPAA-F-INS-055A RAW SC'!AX$17*100)</f>
        <v/>
      </c>
      <c r="AY80" s="126" t="str">
        <f>IF('Midterm OVPAA-F-INS-055A RAW SC'!AY80="","",'Midterm OVPAA-F-INS-055A RAW SC'!AY80/'Midterm OVPAA-F-INS-055A RAW SC'!AY$17*100)</f>
        <v/>
      </c>
      <c r="AZ80" s="126" t="str">
        <f>IF('Midterm OVPAA-F-INS-055A RAW SC'!AZ80="","",'Midterm OVPAA-F-INS-055A RAW SC'!AZ80/'Midterm OVPAA-F-INS-055A RAW SC'!AZ$17*100)</f>
        <v/>
      </c>
      <c r="BA80" s="126" t="str">
        <f>IF('Midterm OVPAA-F-INS-055A RAW SC'!BA80="","",'Midterm OVPAA-F-INS-055A RAW SC'!BA80/'Midterm OVPAA-F-INS-055A RAW SC'!BA$17*100)</f>
        <v/>
      </c>
      <c r="BB80" s="126" t="str">
        <f>IF('Midterm OVPAA-F-INS-055A RAW SC'!BB80="","",'Midterm OVPAA-F-INS-055A RAW SC'!BB80/'Midterm OVPAA-F-INS-055A RAW SC'!BB$17*100)</f>
        <v/>
      </c>
      <c r="BC80" s="126" t="str">
        <f>IF('Midterm OVPAA-F-INS-055A RAW SC'!BC80="","",'Midterm OVPAA-F-INS-055A RAW SC'!BC80/'Midterm OVPAA-F-INS-055A RAW SC'!BC$17*100)</f>
        <v/>
      </c>
      <c r="BD80" s="126" t="str">
        <f>IF('Midterm OVPAA-F-INS-055A RAW SC'!BD80="","",'Midterm OVPAA-F-INS-055A RAW SC'!BD80/'Midterm OVPAA-F-INS-055A RAW SC'!BD$17*100)</f>
        <v/>
      </c>
      <c r="BE80" s="126" t="str">
        <f>IF('Midterm OVPAA-F-INS-055A RAW SC'!BE80="","",'Midterm OVPAA-F-INS-055A RAW SC'!BE80/'Midterm OVPAA-F-INS-055A RAW SC'!BE$17*100)</f>
        <v/>
      </c>
      <c r="BF80" s="126" t="str">
        <f>IF('Midterm OVPAA-F-INS-055A RAW SC'!BF80="","",'Midterm OVPAA-F-INS-055A RAW SC'!BF80/'Midterm OVPAA-F-INS-055A RAW SC'!BF$17*100)</f>
        <v/>
      </c>
      <c r="BG80" s="126" t="str">
        <f>IF('Midterm OVPAA-F-INS-055A RAW SC'!BG80="","",'Midterm OVPAA-F-INS-055A RAW SC'!BG80/'Midterm OVPAA-F-INS-055A RAW SC'!BG$17*100)</f>
        <v/>
      </c>
      <c r="BH80" s="126" t="str">
        <f>IF('Midterm OVPAA-F-INS-055A RAW SC'!BH80="","",'Midterm OVPAA-F-INS-055A RAW SC'!BH80/'Midterm OVPAA-F-INS-055A RAW SC'!BH$17*100)</f>
        <v/>
      </c>
      <c r="BI80" s="126" t="str">
        <f>IF('Midterm OVPAA-F-INS-055A RAW SC'!BI80="","",'Midterm OVPAA-F-INS-055A RAW SC'!BI80/'Midterm OVPAA-F-INS-055A RAW SC'!BI$17*100)</f>
        <v/>
      </c>
      <c r="BJ80" s="126" t="str">
        <f>IF('Midterm OVPAA-F-INS-055A RAW SC'!BJ80="","",'Midterm OVPAA-F-INS-055A RAW SC'!BJ80/'Midterm OVPAA-F-INS-055A RAW SC'!BJ$17*100)</f>
        <v/>
      </c>
      <c r="BK80" s="126" t="str">
        <f>IF('Midterm OVPAA-F-INS-055A RAW SC'!BK80="","",'Midterm OVPAA-F-INS-055A RAW SC'!BK80/'Midterm OVPAA-F-INS-055A RAW SC'!BK$17*100)</f>
        <v/>
      </c>
      <c r="BL80" s="126" t="str">
        <f>IF('Midterm OVPAA-F-INS-055A RAW SC'!BL80="","",'Midterm OVPAA-F-INS-055A RAW SC'!BL80/'Midterm OVPAA-F-INS-055A RAW SC'!BL$17*100)</f>
        <v/>
      </c>
      <c r="BM80" s="126" t="str">
        <f>IF('Midterm OVPAA-F-INS-055A RAW SC'!BM80="","",'Midterm OVPAA-F-INS-055A RAW SC'!BM80/'Midterm OVPAA-F-INS-055A RAW SC'!BM$17*100)</f>
        <v/>
      </c>
      <c r="BN80" s="126" t="str">
        <f>IF('Midterm OVPAA-F-INS-055A RAW SC'!BN80="","",'Midterm OVPAA-F-INS-055A RAW SC'!BN80/'Midterm OVPAA-F-INS-055A RAW SC'!BN$17*100)</f>
        <v/>
      </c>
      <c r="BO80" s="126" t="str">
        <f>IF('Midterm OVPAA-F-INS-055A RAW SC'!BO80="","",'Midterm OVPAA-F-INS-055A RAW SC'!BO80/'Midterm OVPAA-F-INS-055A RAW SC'!BO$17*100)</f>
        <v/>
      </c>
      <c r="BP80" s="126" t="str">
        <f>IF('Midterm OVPAA-F-INS-055A RAW SC'!BP80="","",'Midterm OVPAA-F-INS-055A RAW SC'!BP80/'Midterm OVPAA-F-INS-055A RAW SC'!BP$17*100)</f>
        <v/>
      </c>
      <c r="BQ80" s="126" t="str">
        <f>IF('Midterm OVPAA-F-INS-055A RAW SC'!BQ80="","",'Midterm OVPAA-F-INS-055A RAW SC'!BQ80/'Midterm OVPAA-F-INS-055A RAW SC'!BQ$17*100)</f>
        <v/>
      </c>
      <c r="BR80" s="126" t="str">
        <f>IF('Midterm OVPAA-F-INS-055A RAW SC'!BR80="","",'Midterm OVPAA-F-INS-055A RAW SC'!BR80/'Midterm OVPAA-F-INS-055A RAW SC'!BR$17*100)</f>
        <v/>
      </c>
      <c r="BS80" s="126" t="str">
        <f>IF('Midterm OVPAA-F-INS-055A RAW SC'!BS80="","",'Midterm OVPAA-F-INS-055A RAW SC'!BS80/'Midterm OVPAA-F-INS-055A RAW SC'!BS$17*100)</f>
        <v/>
      </c>
      <c r="BT80" s="126" t="str">
        <f>IF('Midterm OVPAA-F-INS-055A RAW SC'!BT80="","",'Midterm OVPAA-F-INS-055A RAW SC'!BT80/'Midterm OVPAA-F-INS-055A RAW SC'!BT$17*100)</f>
        <v/>
      </c>
      <c r="BU80" s="127" t="str">
        <f t="array" ref="BU80">IF('Midterm OVPAA-F-INS-055A RAW SC'!$G80="","",IF((SUMPRODUCT(--ISBLANK('Midterm OVPAA-F-INS-055A RAW SC'!H80:BT80))=COLUMNS('Midterm OVPAA-F-INS-055A RAW SC'!H80:BT80))=TRUE,"",(((COUNTA('Midterm OVPAA-F-INS-055A RAW SC'!$H$17:$BT$17)+COUNTBLANK('Midterm OVPAA-F-INS-055A RAW SC'!H80:BT80))-COLUMNS('Midterm OVPAA-F-INS-055A RAW SC'!H80:BT80))*5+SUM(H80:BT80))/COUNTA('Midterm OVPAA-F-INS-055A RAW SC'!$H$17:$BT$17)))</f>
        <v/>
      </c>
      <c r="BV80" s="128" t="str">
        <f>IF(BU80="","",VLOOKUP(BU80,IF('Midterm OVPAA-F-INS-055A RAW SC'!$V$12=0.5,TRANSMUTATION!$C$4:$D$17,TRANSMUTATION!$G$4:$H$17),2,TRUE))</f>
        <v/>
      </c>
      <c r="BW80" s="129" t="str">
        <f>IF('Midterm OVPAA-F-INS-055A RAW SC'!BU80="","",'Midterm OVPAA-F-INS-055A RAW SC'!BU80/'Midterm OVPAA-F-INS-055A RAW SC'!BU$17*100)</f>
        <v/>
      </c>
      <c r="BX80" s="130" t="str">
        <f>IF('Midterm OVPAA-F-INS-055A RAW SC'!BV80="","",'Midterm OVPAA-F-INS-055A RAW SC'!BV80/'Midterm OVPAA-F-INS-055A RAW SC'!BV$17*100)</f>
        <v/>
      </c>
      <c r="BY80" s="130" t="str">
        <f>IF('Midterm OVPAA-F-INS-055A RAW SC'!BW80="","",'Midterm OVPAA-F-INS-055A RAW SC'!BW80/'Midterm OVPAA-F-INS-055A RAW SC'!BW$17*100)</f>
        <v/>
      </c>
      <c r="BZ80" s="130" t="str">
        <f>IF('Midterm OVPAA-F-INS-055A RAW SC'!BX80="","",'Midterm OVPAA-F-INS-055A RAW SC'!BX80/'Midterm OVPAA-F-INS-055A RAW SC'!BX$17*100)</f>
        <v/>
      </c>
      <c r="CA80" s="130" t="str">
        <f>IF('Midterm OVPAA-F-INS-055A RAW SC'!BY80="","",'Midterm OVPAA-F-INS-055A RAW SC'!BY80/'Midterm OVPAA-F-INS-055A RAW SC'!BY$17*100)</f>
        <v/>
      </c>
      <c r="CB80" s="130" t="str">
        <f>IF('Midterm OVPAA-F-INS-055A RAW SC'!BZ80="","",'Midterm OVPAA-F-INS-055A RAW SC'!BZ80/'Midterm OVPAA-F-INS-055A RAW SC'!BZ$17*100)</f>
        <v/>
      </c>
      <c r="CC80" s="130" t="str">
        <f>IF('Midterm OVPAA-F-INS-055A RAW SC'!CA80="","",'Midterm OVPAA-F-INS-055A RAW SC'!CA80/'Midterm OVPAA-F-INS-055A RAW SC'!CA$17*100)</f>
        <v/>
      </c>
      <c r="CD80" s="130" t="str">
        <f>IF('Midterm OVPAA-F-INS-055A RAW SC'!CB80="","",'Midterm OVPAA-F-INS-055A RAW SC'!CB80/'Midterm OVPAA-F-INS-055A RAW SC'!CB$17*100)</f>
        <v/>
      </c>
      <c r="CE80" s="130" t="str">
        <f>IF('Midterm OVPAA-F-INS-055A RAW SC'!CC80="","",'Midterm OVPAA-F-INS-055A RAW SC'!CC80/'Midterm OVPAA-F-INS-055A RAW SC'!CC$17*100)</f>
        <v/>
      </c>
      <c r="CF80" s="130" t="str">
        <f>IF('Midterm OVPAA-F-INS-055A RAW SC'!CD80="","",'Midterm OVPAA-F-INS-055A RAW SC'!CD80/'Midterm OVPAA-F-INS-055A RAW SC'!CD$17*100)</f>
        <v/>
      </c>
      <c r="CG80" s="130" t="str">
        <f>IF('Midterm OVPAA-F-INS-055A RAW SC'!CE80="","",'Midterm OVPAA-F-INS-055A RAW SC'!CE80/'Midterm OVPAA-F-INS-055A RAW SC'!CE$17*100)</f>
        <v/>
      </c>
      <c r="CH80" s="130" t="str">
        <f>IF('Midterm OVPAA-F-INS-055A RAW SC'!CF80="","",'Midterm OVPAA-F-INS-055A RAW SC'!CF80/'Midterm OVPAA-F-INS-055A RAW SC'!CF$17*100)</f>
        <v/>
      </c>
      <c r="CI80" s="130" t="str">
        <f>IF('Midterm OVPAA-F-INS-055A RAW SC'!CG80="","",'Midterm OVPAA-F-INS-055A RAW SC'!CG80/'Midterm OVPAA-F-INS-055A RAW SC'!CG$17*100)</f>
        <v/>
      </c>
      <c r="CJ80" s="130" t="str">
        <f>IF('Midterm OVPAA-F-INS-055A RAW SC'!CH80="","",'Midterm OVPAA-F-INS-055A RAW SC'!CH80/'Midterm OVPAA-F-INS-055A RAW SC'!CH$17*100)</f>
        <v/>
      </c>
      <c r="CK80" s="130" t="str">
        <f>IF('Midterm OVPAA-F-INS-055A RAW SC'!CI80="","",'Midterm OVPAA-F-INS-055A RAW SC'!CI80/'Midterm OVPAA-F-INS-055A RAW SC'!CI$17*100)</f>
        <v/>
      </c>
      <c r="CL80" s="130" t="str">
        <f>IF('Midterm OVPAA-F-INS-055A RAW SC'!CJ80="","",'Midterm OVPAA-F-INS-055A RAW SC'!CJ80/'Midterm OVPAA-F-INS-055A RAW SC'!CJ$17*100)</f>
        <v/>
      </c>
      <c r="CM80" s="130" t="str">
        <f>IF('Midterm OVPAA-F-INS-055A RAW SC'!CK80="","",'Midterm OVPAA-F-INS-055A RAW SC'!CK80/'Midterm OVPAA-F-INS-055A RAW SC'!CK$17*100)</f>
        <v/>
      </c>
      <c r="CN80" s="130" t="str">
        <f>IF('Midterm OVPAA-F-INS-055A RAW SC'!CL80="","",'Midterm OVPAA-F-INS-055A RAW SC'!CL80/'Midterm OVPAA-F-INS-055A RAW SC'!CL$17*100)</f>
        <v/>
      </c>
      <c r="CO80" s="130" t="str">
        <f>IF('Midterm OVPAA-F-INS-055A RAW SC'!CM80="","",'Midterm OVPAA-F-INS-055A RAW SC'!CM80/'Midterm OVPAA-F-INS-055A RAW SC'!CM$17*100)</f>
        <v/>
      </c>
      <c r="CP80" s="130" t="str">
        <f>IF('Midterm OVPAA-F-INS-055A RAW SC'!CN80="","",'Midterm OVPAA-F-INS-055A RAW SC'!CN80/'Midterm OVPAA-F-INS-055A RAW SC'!CN$17*100)</f>
        <v/>
      </c>
      <c r="CQ80" s="131" t="str">
        <f t="array" ref="CQ80">IF('Midterm OVPAA-F-INS-055A RAW SC'!G80="","",IF((SUMPRODUCT(--ISBLANK('Midterm OVPAA-F-INS-055A RAW SC'!BU80:CN80))=COLUMNS('Midterm OVPAA-F-INS-055A RAW SC'!BU80:CN80))=TRUE,"",(((COUNTA('Midterm OVPAA-F-INS-055A RAW SC'!$BU$17:$CN$17)+COUNTBLANK('Midterm OVPAA-F-INS-055A RAW SC'!BU80:CN80))-COLUMNS('Midterm OVPAA-F-INS-055A RAW SC'!BU80:CN80))*5+SUM(BW80:CP80))/COUNTA('Midterm OVPAA-F-INS-055A RAW SC'!$BU$17:$CN$17)))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IF('Midterm OVPAA-F-INS-055A RAW SC'!CO80="","",'Midterm OVPAA-F-INS-055A RAW SC'!CO80/'Midterm OVPAA-F-INS-055A RAW SC'!CO$17*100)</f>
        <v/>
      </c>
      <c r="CT80" s="133" t="str">
        <f>IF('Midterm OVPAA-F-INS-055A RAW SC'!CP80="","",'Midterm OVPAA-F-INS-055A RAW SC'!CP80/'Midterm OVPAA-F-INS-055A RAW SC'!CP$17*100)</f>
        <v/>
      </c>
      <c r="CU80" s="133" t="str">
        <f>IF('Midterm OVPAA-F-INS-055A RAW SC'!CQ80="","",'Midterm OVPAA-F-INS-055A RAW SC'!CQ80/'Midterm OVPAA-F-INS-055A RAW SC'!CQ$17*100)</f>
        <v/>
      </c>
      <c r="CV80" s="133" t="str">
        <f>IF('Midterm OVPAA-F-INS-055A RAW SC'!CR80="","",'Midterm OVPAA-F-INS-055A RAW SC'!CR80/'Midterm OVPAA-F-INS-055A RAW SC'!CR$17*100)</f>
        <v/>
      </c>
      <c r="CW80" s="133" t="str">
        <f>IF('Midterm OVPAA-F-INS-055A RAW SC'!CS80="","",'Midterm OVPAA-F-INS-055A RAW SC'!CS80/'Midterm OVPAA-F-INS-055A RAW SC'!CS$17*100)</f>
        <v/>
      </c>
      <c r="CX80" s="133" t="str">
        <f>IF('Midterm OVPAA-F-INS-055A RAW SC'!CT80="","",'Midterm OVPAA-F-INS-055A RAW SC'!CT80/'Midterm OVPAA-F-INS-055A RAW SC'!CT$17*100)</f>
        <v/>
      </c>
      <c r="CY80" s="133" t="str">
        <f>IF('Midterm OVPAA-F-INS-055A RAW SC'!CU80="","",'Midterm OVPAA-F-INS-055A RAW SC'!CU80/'Midterm OVPAA-F-INS-055A RAW SC'!CU$17*100)</f>
        <v/>
      </c>
      <c r="CZ80" s="133" t="str">
        <f>IF('Midterm OVPAA-F-INS-055A RAW SC'!CV80="","",'Midterm OVPAA-F-INS-055A RAW SC'!CV80/'Midterm OVPAA-F-INS-055A RAW SC'!CV$17*100)</f>
        <v/>
      </c>
      <c r="DA80" s="133" t="str">
        <f>IF('Midterm OVPAA-F-INS-055A RAW SC'!CW80="","",'Midterm OVPAA-F-INS-055A RAW SC'!CW80/'Midterm OVPAA-F-INS-055A RAW SC'!CW$17*100)</f>
        <v/>
      </c>
      <c r="DB80" s="133" t="str">
        <f>IF('Midterm OVPAA-F-INS-055A RAW SC'!CX80="","",'Midterm OVPAA-F-INS-055A RAW SC'!CX80/'Midterm OVPAA-F-INS-055A RAW SC'!CX$17*100)</f>
        <v/>
      </c>
      <c r="DC80" s="134" t="str">
        <f t="array" ref="DC80">IF('Midterm OVPAA-F-INS-055A RAW SC'!$G80="","",IF((SUMPRODUCT(--ISBLANK('Midterm OVPAA-F-INS-055A RAW SC'!CO80:CX80))=COLUMNS('Midterm OVPAA-F-INS-055A RAW SC'!CO80:CX80))=TRUE,"",(((COUNTA('Midterm OVPAA-F-INS-055A RAW SC'!$CO$17:$CX$17)+COUNTBLANK('Midterm OVPAA-F-INS-055A RAW SC'!CO80:CX80))-COLUMNS('Midterm OVPAA-F-INS-055A RAW SC'!CO80:CX80))*5+SUM(CS80:DB80))/COUNTA('Midterm OVPAA-F-INS-055A RAW SC'!$CO$17:$CX$17)))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37" t="str">
        <f t="shared" si="2"/>
        <v/>
      </c>
      <c r="DG80" s="138" t="str">
        <f t="shared" si="3"/>
        <v/>
      </c>
      <c r="DH80" s="136" t="str">
        <f t="shared" si="4"/>
        <v/>
      </c>
      <c r="DI80" s="123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IF('Midterm OVPAA-F-INS-055A RAW SC'!H81="","",'Midterm OVPAA-F-INS-055A RAW SC'!H81/'Midterm OVPAA-F-INS-055A RAW SC'!H$17*100)</f>
        <v/>
      </c>
      <c r="I81" s="126" t="str">
        <f>IF('Midterm OVPAA-F-INS-055A RAW SC'!I81="","",'Midterm OVPAA-F-INS-055A RAW SC'!I81/'Midterm OVPAA-F-INS-055A RAW SC'!I$17*100)</f>
        <v/>
      </c>
      <c r="J81" s="126" t="str">
        <f>IF('Midterm OVPAA-F-INS-055A RAW SC'!J81="","",'Midterm OVPAA-F-INS-055A RAW SC'!J81/'Midterm OVPAA-F-INS-055A RAW SC'!J$17*100)</f>
        <v/>
      </c>
      <c r="K81" s="126" t="str">
        <f>IF('Midterm OVPAA-F-INS-055A RAW SC'!K81="","",'Midterm OVPAA-F-INS-055A RAW SC'!K81/'Midterm OVPAA-F-INS-055A RAW SC'!K$17*100)</f>
        <v/>
      </c>
      <c r="L81" s="126" t="str">
        <f>IF('Midterm OVPAA-F-INS-055A RAW SC'!L81="","",'Midterm OVPAA-F-INS-055A RAW SC'!L81/'Midterm OVPAA-F-INS-055A RAW SC'!L$17*100)</f>
        <v/>
      </c>
      <c r="M81" s="126" t="str">
        <f>IF('Midterm OVPAA-F-INS-055A RAW SC'!M81="","",'Midterm OVPAA-F-INS-055A RAW SC'!M81/'Midterm OVPAA-F-INS-055A RAW SC'!M$17*100)</f>
        <v/>
      </c>
      <c r="N81" s="126" t="str">
        <f>IF('Midterm OVPAA-F-INS-055A RAW SC'!N81="","",'Midterm OVPAA-F-INS-055A RAW SC'!N81/'Midterm OVPAA-F-INS-055A RAW SC'!N$17*100)</f>
        <v/>
      </c>
      <c r="O81" s="126" t="str">
        <f>IF('Midterm OVPAA-F-INS-055A RAW SC'!O81="","",'Midterm OVPAA-F-INS-055A RAW SC'!O81/'Midterm OVPAA-F-INS-055A RAW SC'!O$17*100)</f>
        <v/>
      </c>
      <c r="P81" s="126" t="str">
        <f>IF('Midterm OVPAA-F-INS-055A RAW SC'!P81="","",'Midterm OVPAA-F-INS-055A RAW SC'!P81/'Midterm OVPAA-F-INS-055A RAW SC'!P$17*100)</f>
        <v/>
      </c>
      <c r="Q81" s="126" t="str">
        <f>IF('Midterm OVPAA-F-INS-055A RAW SC'!Q81="","",'Midterm OVPAA-F-INS-055A RAW SC'!Q81/'Midterm OVPAA-F-INS-055A RAW SC'!Q$17*100)</f>
        <v/>
      </c>
      <c r="R81" s="126" t="str">
        <f>IF('Midterm OVPAA-F-INS-055A RAW SC'!R81="","",'Midterm OVPAA-F-INS-055A RAW SC'!R81/'Midterm OVPAA-F-INS-055A RAW SC'!R$17*100)</f>
        <v/>
      </c>
      <c r="S81" s="126" t="str">
        <f>IF('Midterm OVPAA-F-INS-055A RAW SC'!S81="","",'Midterm OVPAA-F-INS-055A RAW SC'!S81/'Midterm OVPAA-F-INS-055A RAW SC'!S$17*100)</f>
        <v/>
      </c>
      <c r="T81" s="126" t="str">
        <f>IF('Midterm OVPAA-F-INS-055A RAW SC'!T81="","",'Midterm OVPAA-F-INS-055A RAW SC'!T81/'Midterm OVPAA-F-INS-055A RAW SC'!T$17*100)</f>
        <v/>
      </c>
      <c r="U81" s="126" t="str">
        <f>IF('Midterm OVPAA-F-INS-055A RAW SC'!U81="","",'Midterm OVPAA-F-INS-055A RAW SC'!U81/'Midterm OVPAA-F-INS-055A RAW SC'!U$17*100)</f>
        <v/>
      </c>
      <c r="V81" s="126" t="str">
        <f>IF('Midterm OVPAA-F-INS-055A RAW SC'!V81="","",'Midterm OVPAA-F-INS-055A RAW SC'!V81/'Midterm OVPAA-F-INS-055A RAW SC'!V$17*100)</f>
        <v/>
      </c>
      <c r="W81" s="126" t="str">
        <f>IF('Midterm OVPAA-F-INS-055A RAW SC'!W81="","",'Midterm OVPAA-F-INS-055A RAW SC'!W81/'Midterm OVPAA-F-INS-055A RAW SC'!W$17*100)</f>
        <v/>
      </c>
      <c r="X81" s="126" t="str">
        <f>IF('Midterm OVPAA-F-INS-055A RAW SC'!X81="","",'Midterm OVPAA-F-INS-055A RAW SC'!X81/'Midterm OVPAA-F-INS-055A RAW SC'!X$17*100)</f>
        <v/>
      </c>
      <c r="Y81" s="126" t="str">
        <f>IF('Midterm OVPAA-F-INS-055A RAW SC'!Y81="","",'Midterm OVPAA-F-INS-055A RAW SC'!Y81/'Midterm OVPAA-F-INS-055A RAW SC'!Y$17*100)</f>
        <v/>
      </c>
      <c r="Z81" s="126" t="str">
        <f>IF('Midterm OVPAA-F-INS-055A RAW SC'!Z81="","",'Midterm OVPAA-F-INS-055A RAW SC'!Z81/'Midterm OVPAA-F-INS-055A RAW SC'!Z$17*100)</f>
        <v/>
      </c>
      <c r="AA81" s="126" t="str">
        <f>IF('Midterm OVPAA-F-INS-055A RAW SC'!AA81="","",'Midterm OVPAA-F-INS-055A RAW SC'!AA81/'Midterm OVPAA-F-INS-055A RAW SC'!AA$17*100)</f>
        <v/>
      </c>
      <c r="AB81" s="126" t="str">
        <f>IF('Midterm OVPAA-F-INS-055A RAW SC'!AB81="","",'Midterm OVPAA-F-INS-055A RAW SC'!AB81/'Midterm OVPAA-F-INS-055A RAW SC'!AB$17*100)</f>
        <v/>
      </c>
      <c r="AC81" s="126" t="str">
        <f>IF('Midterm OVPAA-F-INS-055A RAW SC'!AC81="","",'Midterm OVPAA-F-INS-055A RAW SC'!AC81/'Midterm OVPAA-F-INS-055A RAW SC'!AC$17*100)</f>
        <v/>
      </c>
      <c r="AD81" s="126" t="str">
        <f>IF('Midterm OVPAA-F-INS-055A RAW SC'!AD81="","",'Midterm OVPAA-F-INS-055A RAW SC'!AD81/'Midterm OVPAA-F-INS-055A RAW SC'!AD$17*100)</f>
        <v/>
      </c>
      <c r="AE81" s="126" t="str">
        <f>IF('Midterm OVPAA-F-INS-055A RAW SC'!AE81="","",'Midterm OVPAA-F-INS-055A RAW SC'!AE81/'Midterm OVPAA-F-INS-055A RAW SC'!AE$17*100)</f>
        <v/>
      </c>
      <c r="AF81" s="126" t="str">
        <f>IF('Midterm OVPAA-F-INS-055A RAW SC'!AF81="","",'Midterm OVPAA-F-INS-055A RAW SC'!AF81/'Midterm OVPAA-F-INS-055A RAW SC'!AF$17*100)</f>
        <v/>
      </c>
      <c r="AG81" s="126" t="str">
        <f>IF('Midterm OVPAA-F-INS-055A RAW SC'!AG81="","",'Midterm OVPAA-F-INS-055A RAW SC'!AG81/'Midterm OVPAA-F-INS-055A RAW SC'!AG$17*100)</f>
        <v/>
      </c>
      <c r="AH81" s="126" t="str">
        <f>IF('Midterm OVPAA-F-INS-055A RAW SC'!AH81="","",'Midterm OVPAA-F-INS-055A RAW SC'!AH81/'Midterm OVPAA-F-INS-055A RAW SC'!AH$17*100)</f>
        <v/>
      </c>
      <c r="AI81" s="126" t="str">
        <f>IF('Midterm OVPAA-F-INS-055A RAW SC'!AI81="","",'Midterm OVPAA-F-INS-055A RAW SC'!AI81/'Midterm OVPAA-F-INS-055A RAW SC'!AI$17*100)</f>
        <v/>
      </c>
      <c r="AJ81" s="126" t="str">
        <f>IF('Midterm OVPAA-F-INS-055A RAW SC'!AJ81="","",'Midterm OVPAA-F-INS-055A RAW SC'!AJ81/'Midterm OVPAA-F-INS-055A RAW SC'!AJ$17*100)</f>
        <v/>
      </c>
      <c r="AK81" s="126" t="str">
        <f>IF('Midterm OVPAA-F-INS-055A RAW SC'!AK81="","",'Midterm OVPAA-F-INS-055A RAW SC'!AK81/'Midterm OVPAA-F-INS-055A RAW SC'!AK$17*100)</f>
        <v/>
      </c>
      <c r="AL81" s="126" t="str">
        <f>IF('Midterm OVPAA-F-INS-055A RAW SC'!AL81="","",'Midterm OVPAA-F-INS-055A RAW SC'!AL81/'Midterm OVPAA-F-INS-055A RAW SC'!AL$17*100)</f>
        <v/>
      </c>
      <c r="AM81" s="126" t="str">
        <f>IF('Midterm OVPAA-F-INS-055A RAW SC'!AM81="","",'Midterm OVPAA-F-INS-055A RAW SC'!AM81/'Midterm OVPAA-F-INS-055A RAW SC'!AM$17*100)</f>
        <v/>
      </c>
      <c r="AN81" s="126" t="str">
        <f>IF('Midterm OVPAA-F-INS-055A RAW SC'!AN81="","",'Midterm OVPAA-F-INS-055A RAW SC'!AN81/'Midterm OVPAA-F-INS-055A RAW SC'!AN$17*100)</f>
        <v/>
      </c>
      <c r="AO81" s="126" t="str">
        <f>IF('Midterm OVPAA-F-INS-055A RAW SC'!AO81="","",'Midterm OVPAA-F-INS-055A RAW SC'!AO81/'Midterm OVPAA-F-INS-055A RAW SC'!AO$17*100)</f>
        <v/>
      </c>
      <c r="AP81" s="126" t="str">
        <f>IF('Midterm OVPAA-F-INS-055A RAW SC'!AP81="","",'Midterm OVPAA-F-INS-055A RAW SC'!AP81/'Midterm OVPAA-F-INS-055A RAW SC'!AP$17*100)</f>
        <v/>
      </c>
      <c r="AQ81" s="126" t="str">
        <f>IF('Midterm OVPAA-F-INS-055A RAW SC'!AQ81="","",'Midterm OVPAA-F-INS-055A RAW SC'!AQ81/'Midterm OVPAA-F-INS-055A RAW SC'!AQ$17*100)</f>
        <v/>
      </c>
      <c r="AR81" s="126" t="str">
        <f>IF('Midterm OVPAA-F-INS-055A RAW SC'!AR81="","",'Midterm OVPAA-F-INS-055A RAW SC'!AR81/'Midterm OVPAA-F-INS-055A RAW SC'!AR$17*100)</f>
        <v/>
      </c>
      <c r="AS81" s="126" t="str">
        <f>IF('Midterm OVPAA-F-INS-055A RAW SC'!AS81="","",'Midterm OVPAA-F-INS-055A RAW SC'!AS81/'Midterm OVPAA-F-INS-055A RAW SC'!AS$17*100)</f>
        <v/>
      </c>
      <c r="AT81" s="126" t="str">
        <f>IF('Midterm OVPAA-F-INS-055A RAW SC'!AT81="","",'Midterm OVPAA-F-INS-055A RAW SC'!AT81/'Midterm OVPAA-F-INS-055A RAW SC'!AT$17*100)</f>
        <v/>
      </c>
      <c r="AU81" s="126" t="str">
        <f>IF('Midterm OVPAA-F-INS-055A RAW SC'!AU81="","",'Midterm OVPAA-F-INS-055A RAW SC'!AU81/'Midterm OVPAA-F-INS-055A RAW SC'!AU$17*100)</f>
        <v/>
      </c>
      <c r="AV81" s="126" t="str">
        <f>IF('Midterm OVPAA-F-INS-055A RAW SC'!AV81="","",'Midterm OVPAA-F-INS-055A RAW SC'!AV81/'Midterm OVPAA-F-INS-055A RAW SC'!AV$17*100)</f>
        <v/>
      </c>
      <c r="AW81" s="126" t="str">
        <f>IF('Midterm OVPAA-F-INS-055A RAW SC'!AW81="","",'Midterm OVPAA-F-INS-055A RAW SC'!AW81/'Midterm OVPAA-F-INS-055A RAW SC'!AW$17*100)</f>
        <v/>
      </c>
      <c r="AX81" s="126" t="str">
        <f>IF('Midterm OVPAA-F-INS-055A RAW SC'!AX81="","",'Midterm OVPAA-F-INS-055A RAW SC'!AX81/'Midterm OVPAA-F-INS-055A RAW SC'!AX$17*100)</f>
        <v/>
      </c>
      <c r="AY81" s="126" t="str">
        <f>IF('Midterm OVPAA-F-INS-055A RAW SC'!AY81="","",'Midterm OVPAA-F-INS-055A RAW SC'!AY81/'Midterm OVPAA-F-INS-055A RAW SC'!AY$17*100)</f>
        <v/>
      </c>
      <c r="AZ81" s="126" t="str">
        <f>IF('Midterm OVPAA-F-INS-055A RAW SC'!AZ81="","",'Midterm OVPAA-F-INS-055A RAW SC'!AZ81/'Midterm OVPAA-F-INS-055A RAW SC'!AZ$17*100)</f>
        <v/>
      </c>
      <c r="BA81" s="126" t="str">
        <f>IF('Midterm OVPAA-F-INS-055A RAW SC'!BA81="","",'Midterm OVPAA-F-INS-055A RAW SC'!BA81/'Midterm OVPAA-F-INS-055A RAW SC'!BA$17*100)</f>
        <v/>
      </c>
      <c r="BB81" s="126" t="str">
        <f>IF('Midterm OVPAA-F-INS-055A RAW SC'!BB81="","",'Midterm OVPAA-F-INS-055A RAW SC'!BB81/'Midterm OVPAA-F-INS-055A RAW SC'!BB$17*100)</f>
        <v/>
      </c>
      <c r="BC81" s="126" t="str">
        <f>IF('Midterm OVPAA-F-INS-055A RAW SC'!BC81="","",'Midterm OVPAA-F-INS-055A RAW SC'!BC81/'Midterm OVPAA-F-INS-055A RAW SC'!BC$17*100)</f>
        <v/>
      </c>
      <c r="BD81" s="126" t="str">
        <f>IF('Midterm OVPAA-F-INS-055A RAW SC'!BD81="","",'Midterm OVPAA-F-INS-055A RAW SC'!BD81/'Midterm OVPAA-F-INS-055A RAW SC'!BD$17*100)</f>
        <v/>
      </c>
      <c r="BE81" s="126" t="str">
        <f>IF('Midterm OVPAA-F-INS-055A RAW SC'!BE81="","",'Midterm OVPAA-F-INS-055A RAW SC'!BE81/'Midterm OVPAA-F-INS-055A RAW SC'!BE$17*100)</f>
        <v/>
      </c>
      <c r="BF81" s="126" t="str">
        <f>IF('Midterm OVPAA-F-INS-055A RAW SC'!BF81="","",'Midterm OVPAA-F-INS-055A RAW SC'!BF81/'Midterm OVPAA-F-INS-055A RAW SC'!BF$17*100)</f>
        <v/>
      </c>
      <c r="BG81" s="126" t="str">
        <f>IF('Midterm OVPAA-F-INS-055A RAW SC'!BG81="","",'Midterm OVPAA-F-INS-055A RAW SC'!BG81/'Midterm OVPAA-F-INS-055A RAW SC'!BG$17*100)</f>
        <v/>
      </c>
      <c r="BH81" s="126" t="str">
        <f>IF('Midterm OVPAA-F-INS-055A RAW SC'!BH81="","",'Midterm OVPAA-F-INS-055A RAW SC'!BH81/'Midterm OVPAA-F-INS-055A RAW SC'!BH$17*100)</f>
        <v/>
      </c>
      <c r="BI81" s="126" t="str">
        <f>IF('Midterm OVPAA-F-INS-055A RAW SC'!BI81="","",'Midterm OVPAA-F-INS-055A RAW SC'!BI81/'Midterm OVPAA-F-INS-055A RAW SC'!BI$17*100)</f>
        <v/>
      </c>
      <c r="BJ81" s="126" t="str">
        <f>IF('Midterm OVPAA-F-INS-055A RAW SC'!BJ81="","",'Midterm OVPAA-F-INS-055A RAW SC'!BJ81/'Midterm OVPAA-F-INS-055A RAW SC'!BJ$17*100)</f>
        <v/>
      </c>
      <c r="BK81" s="126" t="str">
        <f>IF('Midterm OVPAA-F-INS-055A RAW SC'!BK81="","",'Midterm OVPAA-F-INS-055A RAW SC'!BK81/'Midterm OVPAA-F-INS-055A RAW SC'!BK$17*100)</f>
        <v/>
      </c>
      <c r="BL81" s="126" t="str">
        <f>IF('Midterm OVPAA-F-INS-055A RAW SC'!BL81="","",'Midterm OVPAA-F-INS-055A RAW SC'!BL81/'Midterm OVPAA-F-INS-055A RAW SC'!BL$17*100)</f>
        <v/>
      </c>
      <c r="BM81" s="126" t="str">
        <f>IF('Midterm OVPAA-F-INS-055A RAW SC'!BM81="","",'Midterm OVPAA-F-INS-055A RAW SC'!BM81/'Midterm OVPAA-F-INS-055A RAW SC'!BM$17*100)</f>
        <v/>
      </c>
      <c r="BN81" s="126" t="str">
        <f>IF('Midterm OVPAA-F-INS-055A RAW SC'!BN81="","",'Midterm OVPAA-F-INS-055A RAW SC'!BN81/'Midterm OVPAA-F-INS-055A RAW SC'!BN$17*100)</f>
        <v/>
      </c>
      <c r="BO81" s="126" t="str">
        <f>IF('Midterm OVPAA-F-INS-055A RAW SC'!BO81="","",'Midterm OVPAA-F-INS-055A RAW SC'!BO81/'Midterm OVPAA-F-INS-055A RAW SC'!BO$17*100)</f>
        <v/>
      </c>
      <c r="BP81" s="126" t="str">
        <f>IF('Midterm OVPAA-F-INS-055A RAW SC'!BP81="","",'Midterm OVPAA-F-INS-055A RAW SC'!BP81/'Midterm OVPAA-F-INS-055A RAW SC'!BP$17*100)</f>
        <v/>
      </c>
      <c r="BQ81" s="126" t="str">
        <f>IF('Midterm OVPAA-F-INS-055A RAW SC'!BQ81="","",'Midterm OVPAA-F-INS-055A RAW SC'!BQ81/'Midterm OVPAA-F-INS-055A RAW SC'!BQ$17*100)</f>
        <v/>
      </c>
      <c r="BR81" s="126" t="str">
        <f>IF('Midterm OVPAA-F-INS-055A RAW SC'!BR81="","",'Midterm OVPAA-F-INS-055A RAW SC'!BR81/'Midterm OVPAA-F-INS-055A RAW SC'!BR$17*100)</f>
        <v/>
      </c>
      <c r="BS81" s="126" t="str">
        <f>IF('Midterm OVPAA-F-INS-055A RAW SC'!BS81="","",'Midterm OVPAA-F-INS-055A RAW SC'!BS81/'Midterm OVPAA-F-INS-055A RAW SC'!BS$17*100)</f>
        <v/>
      </c>
      <c r="BT81" s="126" t="str">
        <f>IF('Midterm OVPAA-F-INS-055A RAW SC'!BT81="","",'Midterm OVPAA-F-INS-055A RAW SC'!BT81/'Midterm OVPAA-F-INS-055A RAW SC'!BT$17*100)</f>
        <v/>
      </c>
      <c r="BU81" s="127" t="str">
        <f t="array" ref="BU81">IF('Midterm OVPAA-F-INS-055A RAW SC'!$G81="","",IF((SUMPRODUCT(--ISBLANK('Midterm OVPAA-F-INS-055A RAW SC'!H81:BT81))=COLUMNS('Midterm OVPAA-F-INS-055A RAW SC'!H81:BT81))=TRUE,"",(((COUNTA('Midterm OVPAA-F-INS-055A RAW SC'!$H$17:$BT$17)+COUNTBLANK('Midterm OVPAA-F-INS-055A RAW SC'!H81:BT81))-COLUMNS('Midterm OVPAA-F-INS-055A RAW SC'!H81:BT81))*5+SUM(H81:BT81))/COUNTA('Midterm OVPAA-F-INS-055A RAW SC'!$H$17:$BT$17)))</f>
        <v/>
      </c>
      <c r="BV81" s="128" t="str">
        <f>IF(BU81="","",VLOOKUP(BU81,IF('Midterm OVPAA-F-INS-055A RAW SC'!$V$12=0.5,TRANSMUTATION!$C$4:$D$17,TRANSMUTATION!$G$4:$H$17),2,TRUE))</f>
        <v/>
      </c>
      <c r="BW81" s="129" t="str">
        <f>IF('Midterm OVPAA-F-INS-055A RAW SC'!BU81="","",'Midterm OVPAA-F-INS-055A RAW SC'!BU81/'Midterm OVPAA-F-INS-055A RAW SC'!BU$17*100)</f>
        <v/>
      </c>
      <c r="BX81" s="130" t="str">
        <f>IF('Midterm OVPAA-F-INS-055A RAW SC'!BV81="","",'Midterm OVPAA-F-INS-055A RAW SC'!BV81/'Midterm OVPAA-F-INS-055A RAW SC'!BV$17*100)</f>
        <v/>
      </c>
      <c r="BY81" s="130" t="str">
        <f>IF('Midterm OVPAA-F-INS-055A RAW SC'!BW81="","",'Midterm OVPAA-F-INS-055A RAW SC'!BW81/'Midterm OVPAA-F-INS-055A RAW SC'!BW$17*100)</f>
        <v/>
      </c>
      <c r="BZ81" s="130" t="str">
        <f>IF('Midterm OVPAA-F-INS-055A RAW SC'!BX81="","",'Midterm OVPAA-F-INS-055A RAW SC'!BX81/'Midterm OVPAA-F-INS-055A RAW SC'!BX$17*100)</f>
        <v/>
      </c>
      <c r="CA81" s="130" t="str">
        <f>IF('Midterm OVPAA-F-INS-055A RAW SC'!BY81="","",'Midterm OVPAA-F-INS-055A RAW SC'!BY81/'Midterm OVPAA-F-INS-055A RAW SC'!BY$17*100)</f>
        <v/>
      </c>
      <c r="CB81" s="130" t="str">
        <f>IF('Midterm OVPAA-F-INS-055A RAW SC'!BZ81="","",'Midterm OVPAA-F-INS-055A RAW SC'!BZ81/'Midterm OVPAA-F-INS-055A RAW SC'!BZ$17*100)</f>
        <v/>
      </c>
      <c r="CC81" s="130" t="str">
        <f>IF('Midterm OVPAA-F-INS-055A RAW SC'!CA81="","",'Midterm OVPAA-F-INS-055A RAW SC'!CA81/'Midterm OVPAA-F-INS-055A RAW SC'!CA$17*100)</f>
        <v/>
      </c>
      <c r="CD81" s="130" t="str">
        <f>IF('Midterm OVPAA-F-INS-055A RAW SC'!CB81="","",'Midterm OVPAA-F-INS-055A RAW SC'!CB81/'Midterm OVPAA-F-INS-055A RAW SC'!CB$17*100)</f>
        <v/>
      </c>
      <c r="CE81" s="130" t="str">
        <f>IF('Midterm OVPAA-F-INS-055A RAW SC'!CC81="","",'Midterm OVPAA-F-INS-055A RAW SC'!CC81/'Midterm OVPAA-F-INS-055A RAW SC'!CC$17*100)</f>
        <v/>
      </c>
      <c r="CF81" s="130" t="str">
        <f>IF('Midterm OVPAA-F-INS-055A RAW SC'!CD81="","",'Midterm OVPAA-F-INS-055A RAW SC'!CD81/'Midterm OVPAA-F-INS-055A RAW SC'!CD$17*100)</f>
        <v/>
      </c>
      <c r="CG81" s="130" t="str">
        <f>IF('Midterm OVPAA-F-INS-055A RAW SC'!CE81="","",'Midterm OVPAA-F-INS-055A RAW SC'!CE81/'Midterm OVPAA-F-INS-055A RAW SC'!CE$17*100)</f>
        <v/>
      </c>
      <c r="CH81" s="130" t="str">
        <f>IF('Midterm OVPAA-F-INS-055A RAW SC'!CF81="","",'Midterm OVPAA-F-INS-055A RAW SC'!CF81/'Midterm OVPAA-F-INS-055A RAW SC'!CF$17*100)</f>
        <v/>
      </c>
      <c r="CI81" s="130" t="str">
        <f>IF('Midterm OVPAA-F-INS-055A RAW SC'!CG81="","",'Midterm OVPAA-F-INS-055A RAW SC'!CG81/'Midterm OVPAA-F-INS-055A RAW SC'!CG$17*100)</f>
        <v/>
      </c>
      <c r="CJ81" s="130" t="str">
        <f>IF('Midterm OVPAA-F-INS-055A RAW SC'!CH81="","",'Midterm OVPAA-F-INS-055A RAW SC'!CH81/'Midterm OVPAA-F-INS-055A RAW SC'!CH$17*100)</f>
        <v/>
      </c>
      <c r="CK81" s="130" t="str">
        <f>IF('Midterm OVPAA-F-INS-055A RAW SC'!CI81="","",'Midterm OVPAA-F-INS-055A RAW SC'!CI81/'Midterm OVPAA-F-INS-055A RAW SC'!CI$17*100)</f>
        <v/>
      </c>
      <c r="CL81" s="130" t="str">
        <f>IF('Midterm OVPAA-F-INS-055A RAW SC'!CJ81="","",'Midterm OVPAA-F-INS-055A RAW SC'!CJ81/'Midterm OVPAA-F-INS-055A RAW SC'!CJ$17*100)</f>
        <v/>
      </c>
      <c r="CM81" s="130" t="str">
        <f>IF('Midterm OVPAA-F-INS-055A RAW SC'!CK81="","",'Midterm OVPAA-F-INS-055A RAW SC'!CK81/'Midterm OVPAA-F-INS-055A RAW SC'!CK$17*100)</f>
        <v/>
      </c>
      <c r="CN81" s="130" t="str">
        <f>IF('Midterm OVPAA-F-INS-055A RAW SC'!CL81="","",'Midterm OVPAA-F-INS-055A RAW SC'!CL81/'Midterm OVPAA-F-INS-055A RAW SC'!CL$17*100)</f>
        <v/>
      </c>
      <c r="CO81" s="130" t="str">
        <f>IF('Midterm OVPAA-F-INS-055A RAW SC'!CM81="","",'Midterm OVPAA-F-INS-055A RAW SC'!CM81/'Midterm OVPAA-F-INS-055A RAW SC'!CM$17*100)</f>
        <v/>
      </c>
      <c r="CP81" s="130" t="str">
        <f>IF('Midterm OVPAA-F-INS-055A RAW SC'!CN81="","",'Midterm OVPAA-F-INS-055A RAW SC'!CN81/'Midterm OVPAA-F-INS-055A RAW SC'!CN$17*100)</f>
        <v/>
      </c>
      <c r="CQ81" s="131" t="str">
        <f t="array" ref="CQ81">IF('Midterm OVPAA-F-INS-055A RAW SC'!G81="","",IF((SUMPRODUCT(--ISBLANK('Midterm OVPAA-F-INS-055A RAW SC'!BU81:CN81))=COLUMNS('Midterm OVPAA-F-INS-055A RAW SC'!BU81:CN81))=TRUE,"",(((COUNTA('Midterm OVPAA-F-INS-055A RAW SC'!$BU$17:$CN$17)+COUNTBLANK('Midterm OVPAA-F-INS-055A RAW SC'!BU81:CN81))-COLUMNS('Midterm OVPAA-F-INS-055A RAW SC'!BU81:CN81))*5+SUM(BW81:CP81))/COUNTA('Midterm OVPAA-F-INS-055A RAW SC'!$BU$17:$CN$17)))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IF('Midterm OVPAA-F-INS-055A RAW SC'!CO81="","",'Midterm OVPAA-F-INS-055A RAW SC'!CO81/'Midterm OVPAA-F-INS-055A RAW SC'!CO$17*100)</f>
        <v/>
      </c>
      <c r="CT81" s="133" t="str">
        <f>IF('Midterm OVPAA-F-INS-055A RAW SC'!CP81="","",'Midterm OVPAA-F-INS-055A RAW SC'!CP81/'Midterm OVPAA-F-INS-055A RAW SC'!CP$17*100)</f>
        <v/>
      </c>
      <c r="CU81" s="133" t="str">
        <f>IF('Midterm OVPAA-F-INS-055A RAW SC'!CQ81="","",'Midterm OVPAA-F-INS-055A RAW SC'!CQ81/'Midterm OVPAA-F-INS-055A RAW SC'!CQ$17*100)</f>
        <v/>
      </c>
      <c r="CV81" s="133" t="str">
        <f>IF('Midterm OVPAA-F-INS-055A RAW SC'!CR81="","",'Midterm OVPAA-F-INS-055A RAW SC'!CR81/'Midterm OVPAA-F-INS-055A RAW SC'!CR$17*100)</f>
        <v/>
      </c>
      <c r="CW81" s="133" t="str">
        <f>IF('Midterm OVPAA-F-INS-055A RAW SC'!CS81="","",'Midterm OVPAA-F-INS-055A RAW SC'!CS81/'Midterm OVPAA-F-INS-055A RAW SC'!CS$17*100)</f>
        <v/>
      </c>
      <c r="CX81" s="133" t="str">
        <f>IF('Midterm OVPAA-F-INS-055A RAW SC'!CT81="","",'Midterm OVPAA-F-INS-055A RAW SC'!CT81/'Midterm OVPAA-F-INS-055A RAW SC'!CT$17*100)</f>
        <v/>
      </c>
      <c r="CY81" s="133" t="str">
        <f>IF('Midterm OVPAA-F-INS-055A RAW SC'!CU81="","",'Midterm OVPAA-F-INS-055A RAW SC'!CU81/'Midterm OVPAA-F-INS-055A RAW SC'!CU$17*100)</f>
        <v/>
      </c>
      <c r="CZ81" s="133" t="str">
        <f>IF('Midterm OVPAA-F-INS-055A RAW SC'!CV81="","",'Midterm OVPAA-F-INS-055A RAW SC'!CV81/'Midterm OVPAA-F-INS-055A RAW SC'!CV$17*100)</f>
        <v/>
      </c>
      <c r="DA81" s="133" t="str">
        <f>IF('Midterm OVPAA-F-INS-055A RAW SC'!CW81="","",'Midterm OVPAA-F-INS-055A RAW SC'!CW81/'Midterm OVPAA-F-INS-055A RAW SC'!CW$17*100)</f>
        <v/>
      </c>
      <c r="DB81" s="133" t="str">
        <f>IF('Midterm OVPAA-F-INS-055A RAW SC'!CX81="","",'Midterm OVPAA-F-INS-055A RAW SC'!CX81/'Midterm OVPAA-F-INS-055A RAW SC'!CX$17*100)</f>
        <v/>
      </c>
      <c r="DC81" s="134" t="str">
        <f t="array" ref="DC81">IF('Midterm OVPAA-F-INS-055A RAW SC'!$G81="","",IF((SUMPRODUCT(--ISBLANK('Midterm OVPAA-F-INS-055A RAW SC'!CO81:CX81))=COLUMNS('Midterm OVPAA-F-INS-055A RAW SC'!CO81:CX81))=TRUE,"",(((COUNTA('Midterm OVPAA-F-INS-055A RAW SC'!$CO$17:$CX$17)+COUNTBLANK('Midterm OVPAA-F-INS-055A RAW SC'!CO81:CX81))-COLUMNS('Midterm OVPAA-F-INS-055A RAW SC'!CO81:CX81))*5+SUM(CS81:DB81))/COUNTA('Midterm OVPAA-F-INS-055A RAW SC'!$CO$17:$CX$17)))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37" t="str">
        <f t="shared" si="2"/>
        <v/>
      </c>
      <c r="DG81" s="138" t="str">
        <f t="shared" si="3"/>
        <v/>
      </c>
      <c r="DH81" s="136" t="str">
        <f t="shared" si="4"/>
        <v/>
      </c>
      <c r="DI81" s="123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IF('Midterm OVPAA-F-INS-055A RAW SC'!H82="","",'Midterm OVPAA-F-INS-055A RAW SC'!H82/'Midterm OVPAA-F-INS-055A RAW SC'!H$17*100)</f>
        <v/>
      </c>
      <c r="I82" s="126" t="str">
        <f>IF('Midterm OVPAA-F-INS-055A RAW SC'!I82="","",'Midterm OVPAA-F-INS-055A RAW SC'!I82/'Midterm OVPAA-F-INS-055A RAW SC'!I$17*100)</f>
        <v/>
      </c>
      <c r="J82" s="126" t="str">
        <f>IF('Midterm OVPAA-F-INS-055A RAW SC'!J82="","",'Midterm OVPAA-F-INS-055A RAW SC'!J82/'Midterm OVPAA-F-INS-055A RAW SC'!J$17*100)</f>
        <v/>
      </c>
      <c r="K82" s="126" t="str">
        <f>IF('Midterm OVPAA-F-INS-055A RAW SC'!K82="","",'Midterm OVPAA-F-INS-055A RAW SC'!K82/'Midterm OVPAA-F-INS-055A RAW SC'!K$17*100)</f>
        <v/>
      </c>
      <c r="L82" s="126" t="str">
        <f>IF('Midterm OVPAA-F-INS-055A RAW SC'!L82="","",'Midterm OVPAA-F-INS-055A RAW SC'!L82/'Midterm OVPAA-F-INS-055A RAW SC'!L$17*100)</f>
        <v/>
      </c>
      <c r="M82" s="126" t="str">
        <f>IF('Midterm OVPAA-F-INS-055A RAW SC'!M82="","",'Midterm OVPAA-F-INS-055A RAW SC'!M82/'Midterm OVPAA-F-INS-055A RAW SC'!M$17*100)</f>
        <v/>
      </c>
      <c r="N82" s="126" t="str">
        <f>IF('Midterm OVPAA-F-INS-055A RAW SC'!N82="","",'Midterm OVPAA-F-INS-055A RAW SC'!N82/'Midterm OVPAA-F-INS-055A RAW SC'!N$17*100)</f>
        <v/>
      </c>
      <c r="O82" s="126" t="str">
        <f>IF('Midterm OVPAA-F-INS-055A RAW SC'!O82="","",'Midterm OVPAA-F-INS-055A RAW SC'!O82/'Midterm OVPAA-F-INS-055A RAW SC'!O$17*100)</f>
        <v/>
      </c>
      <c r="P82" s="126" t="str">
        <f>IF('Midterm OVPAA-F-INS-055A RAW SC'!P82="","",'Midterm OVPAA-F-INS-055A RAW SC'!P82/'Midterm OVPAA-F-INS-055A RAW SC'!P$17*100)</f>
        <v/>
      </c>
      <c r="Q82" s="126" t="str">
        <f>IF('Midterm OVPAA-F-INS-055A RAW SC'!Q82="","",'Midterm OVPAA-F-INS-055A RAW SC'!Q82/'Midterm OVPAA-F-INS-055A RAW SC'!Q$17*100)</f>
        <v/>
      </c>
      <c r="R82" s="126" t="str">
        <f>IF('Midterm OVPAA-F-INS-055A RAW SC'!R82="","",'Midterm OVPAA-F-INS-055A RAW SC'!R82/'Midterm OVPAA-F-INS-055A RAW SC'!R$17*100)</f>
        <v/>
      </c>
      <c r="S82" s="126" t="str">
        <f>IF('Midterm OVPAA-F-INS-055A RAW SC'!S82="","",'Midterm OVPAA-F-INS-055A RAW SC'!S82/'Midterm OVPAA-F-INS-055A RAW SC'!S$17*100)</f>
        <v/>
      </c>
      <c r="T82" s="126" t="str">
        <f>IF('Midterm OVPAA-F-INS-055A RAW SC'!T82="","",'Midterm OVPAA-F-INS-055A RAW SC'!T82/'Midterm OVPAA-F-INS-055A RAW SC'!T$17*100)</f>
        <v/>
      </c>
      <c r="U82" s="126" t="str">
        <f>IF('Midterm OVPAA-F-INS-055A RAW SC'!U82="","",'Midterm OVPAA-F-INS-055A RAW SC'!U82/'Midterm OVPAA-F-INS-055A RAW SC'!U$17*100)</f>
        <v/>
      </c>
      <c r="V82" s="126" t="str">
        <f>IF('Midterm OVPAA-F-INS-055A RAW SC'!V82="","",'Midterm OVPAA-F-INS-055A RAW SC'!V82/'Midterm OVPAA-F-INS-055A RAW SC'!V$17*100)</f>
        <v/>
      </c>
      <c r="W82" s="126" t="str">
        <f>IF('Midterm OVPAA-F-INS-055A RAW SC'!W82="","",'Midterm OVPAA-F-INS-055A RAW SC'!W82/'Midterm OVPAA-F-INS-055A RAW SC'!W$17*100)</f>
        <v/>
      </c>
      <c r="X82" s="126" t="str">
        <f>IF('Midterm OVPAA-F-INS-055A RAW SC'!X82="","",'Midterm OVPAA-F-INS-055A RAW SC'!X82/'Midterm OVPAA-F-INS-055A RAW SC'!X$17*100)</f>
        <v/>
      </c>
      <c r="Y82" s="126" t="str">
        <f>IF('Midterm OVPAA-F-INS-055A RAW SC'!Y82="","",'Midterm OVPAA-F-INS-055A RAW SC'!Y82/'Midterm OVPAA-F-INS-055A RAW SC'!Y$17*100)</f>
        <v/>
      </c>
      <c r="Z82" s="126" t="str">
        <f>IF('Midterm OVPAA-F-INS-055A RAW SC'!Z82="","",'Midterm OVPAA-F-INS-055A RAW SC'!Z82/'Midterm OVPAA-F-INS-055A RAW SC'!Z$17*100)</f>
        <v/>
      </c>
      <c r="AA82" s="126" t="str">
        <f>IF('Midterm OVPAA-F-INS-055A RAW SC'!AA82="","",'Midterm OVPAA-F-INS-055A RAW SC'!AA82/'Midterm OVPAA-F-INS-055A RAW SC'!AA$17*100)</f>
        <v/>
      </c>
      <c r="AB82" s="126" t="str">
        <f>IF('Midterm OVPAA-F-INS-055A RAW SC'!AB82="","",'Midterm OVPAA-F-INS-055A RAW SC'!AB82/'Midterm OVPAA-F-INS-055A RAW SC'!AB$17*100)</f>
        <v/>
      </c>
      <c r="AC82" s="126" t="str">
        <f>IF('Midterm OVPAA-F-INS-055A RAW SC'!AC82="","",'Midterm OVPAA-F-INS-055A RAW SC'!AC82/'Midterm OVPAA-F-INS-055A RAW SC'!AC$17*100)</f>
        <v/>
      </c>
      <c r="AD82" s="126" t="str">
        <f>IF('Midterm OVPAA-F-INS-055A RAW SC'!AD82="","",'Midterm OVPAA-F-INS-055A RAW SC'!AD82/'Midterm OVPAA-F-INS-055A RAW SC'!AD$17*100)</f>
        <v/>
      </c>
      <c r="AE82" s="126" t="str">
        <f>IF('Midterm OVPAA-F-INS-055A RAW SC'!AE82="","",'Midterm OVPAA-F-INS-055A RAW SC'!AE82/'Midterm OVPAA-F-INS-055A RAW SC'!AE$17*100)</f>
        <v/>
      </c>
      <c r="AF82" s="126" t="str">
        <f>IF('Midterm OVPAA-F-INS-055A RAW SC'!AF82="","",'Midterm OVPAA-F-INS-055A RAW SC'!AF82/'Midterm OVPAA-F-INS-055A RAW SC'!AF$17*100)</f>
        <v/>
      </c>
      <c r="AG82" s="126" t="str">
        <f>IF('Midterm OVPAA-F-INS-055A RAW SC'!AG82="","",'Midterm OVPAA-F-INS-055A RAW SC'!AG82/'Midterm OVPAA-F-INS-055A RAW SC'!AG$17*100)</f>
        <v/>
      </c>
      <c r="AH82" s="126" t="str">
        <f>IF('Midterm OVPAA-F-INS-055A RAW SC'!AH82="","",'Midterm OVPAA-F-INS-055A RAW SC'!AH82/'Midterm OVPAA-F-INS-055A RAW SC'!AH$17*100)</f>
        <v/>
      </c>
      <c r="AI82" s="126" t="str">
        <f>IF('Midterm OVPAA-F-INS-055A RAW SC'!AI82="","",'Midterm OVPAA-F-INS-055A RAW SC'!AI82/'Midterm OVPAA-F-INS-055A RAW SC'!AI$17*100)</f>
        <v/>
      </c>
      <c r="AJ82" s="126" t="str">
        <f>IF('Midterm OVPAA-F-INS-055A RAW SC'!AJ82="","",'Midterm OVPAA-F-INS-055A RAW SC'!AJ82/'Midterm OVPAA-F-INS-055A RAW SC'!AJ$17*100)</f>
        <v/>
      </c>
      <c r="AK82" s="126" t="str">
        <f>IF('Midterm OVPAA-F-INS-055A RAW SC'!AK82="","",'Midterm OVPAA-F-INS-055A RAW SC'!AK82/'Midterm OVPAA-F-INS-055A RAW SC'!AK$17*100)</f>
        <v/>
      </c>
      <c r="AL82" s="126" t="str">
        <f>IF('Midterm OVPAA-F-INS-055A RAW SC'!AL82="","",'Midterm OVPAA-F-INS-055A RAW SC'!AL82/'Midterm OVPAA-F-INS-055A RAW SC'!AL$17*100)</f>
        <v/>
      </c>
      <c r="AM82" s="126" t="str">
        <f>IF('Midterm OVPAA-F-INS-055A RAW SC'!AM82="","",'Midterm OVPAA-F-INS-055A RAW SC'!AM82/'Midterm OVPAA-F-INS-055A RAW SC'!AM$17*100)</f>
        <v/>
      </c>
      <c r="AN82" s="126" t="str">
        <f>IF('Midterm OVPAA-F-INS-055A RAW SC'!AN82="","",'Midterm OVPAA-F-INS-055A RAW SC'!AN82/'Midterm OVPAA-F-INS-055A RAW SC'!AN$17*100)</f>
        <v/>
      </c>
      <c r="AO82" s="126" t="str">
        <f>IF('Midterm OVPAA-F-INS-055A RAW SC'!AO82="","",'Midterm OVPAA-F-INS-055A RAW SC'!AO82/'Midterm OVPAA-F-INS-055A RAW SC'!AO$17*100)</f>
        <v/>
      </c>
      <c r="AP82" s="126" t="str">
        <f>IF('Midterm OVPAA-F-INS-055A RAW SC'!AP82="","",'Midterm OVPAA-F-INS-055A RAW SC'!AP82/'Midterm OVPAA-F-INS-055A RAW SC'!AP$17*100)</f>
        <v/>
      </c>
      <c r="AQ82" s="126" t="str">
        <f>IF('Midterm OVPAA-F-INS-055A RAW SC'!AQ82="","",'Midterm OVPAA-F-INS-055A RAW SC'!AQ82/'Midterm OVPAA-F-INS-055A RAW SC'!AQ$17*100)</f>
        <v/>
      </c>
      <c r="AR82" s="126" t="str">
        <f>IF('Midterm OVPAA-F-INS-055A RAW SC'!AR82="","",'Midterm OVPAA-F-INS-055A RAW SC'!AR82/'Midterm OVPAA-F-INS-055A RAW SC'!AR$17*100)</f>
        <v/>
      </c>
      <c r="AS82" s="126" t="str">
        <f>IF('Midterm OVPAA-F-INS-055A RAW SC'!AS82="","",'Midterm OVPAA-F-INS-055A RAW SC'!AS82/'Midterm OVPAA-F-INS-055A RAW SC'!AS$17*100)</f>
        <v/>
      </c>
      <c r="AT82" s="126" t="str">
        <f>IF('Midterm OVPAA-F-INS-055A RAW SC'!AT82="","",'Midterm OVPAA-F-INS-055A RAW SC'!AT82/'Midterm OVPAA-F-INS-055A RAW SC'!AT$17*100)</f>
        <v/>
      </c>
      <c r="AU82" s="126" t="str">
        <f>IF('Midterm OVPAA-F-INS-055A RAW SC'!AU82="","",'Midterm OVPAA-F-INS-055A RAW SC'!AU82/'Midterm OVPAA-F-INS-055A RAW SC'!AU$17*100)</f>
        <v/>
      </c>
      <c r="AV82" s="126" t="str">
        <f>IF('Midterm OVPAA-F-INS-055A RAW SC'!AV82="","",'Midterm OVPAA-F-INS-055A RAW SC'!AV82/'Midterm OVPAA-F-INS-055A RAW SC'!AV$17*100)</f>
        <v/>
      </c>
      <c r="AW82" s="126" t="str">
        <f>IF('Midterm OVPAA-F-INS-055A RAW SC'!AW82="","",'Midterm OVPAA-F-INS-055A RAW SC'!AW82/'Midterm OVPAA-F-INS-055A RAW SC'!AW$17*100)</f>
        <v/>
      </c>
      <c r="AX82" s="126" t="str">
        <f>IF('Midterm OVPAA-F-INS-055A RAW SC'!AX82="","",'Midterm OVPAA-F-INS-055A RAW SC'!AX82/'Midterm OVPAA-F-INS-055A RAW SC'!AX$17*100)</f>
        <v/>
      </c>
      <c r="AY82" s="126" t="str">
        <f>IF('Midterm OVPAA-F-INS-055A RAW SC'!AY82="","",'Midterm OVPAA-F-INS-055A RAW SC'!AY82/'Midterm OVPAA-F-INS-055A RAW SC'!AY$17*100)</f>
        <v/>
      </c>
      <c r="AZ82" s="126" t="str">
        <f>IF('Midterm OVPAA-F-INS-055A RAW SC'!AZ82="","",'Midterm OVPAA-F-INS-055A RAW SC'!AZ82/'Midterm OVPAA-F-INS-055A RAW SC'!AZ$17*100)</f>
        <v/>
      </c>
      <c r="BA82" s="126" t="str">
        <f>IF('Midterm OVPAA-F-INS-055A RAW SC'!BA82="","",'Midterm OVPAA-F-INS-055A RAW SC'!BA82/'Midterm OVPAA-F-INS-055A RAW SC'!BA$17*100)</f>
        <v/>
      </c>
      <c r="BB82" s="126" t="str">
        <f>IF('Midterm OVPAA-F-INS-055A RAW SC'!BB82="","",'Midterm OVPAA-F-INS-055A RAW SC'!BB82/'Midterm OVPAA-F-INS-055A RAW SC'!BB$17*100)</f>
        <v/>
      </c>
      <c r="BC82" s="126" t="str">
        <f>IF('Midterm OVPAA-F-INS-055A RAW SC'!BC82="","",'Midterm OVPAA-F-INS-055A RAW SC'!BC82/'Midterm OVPAA-F-INS-055A RAW SC'!BC$17*100)</f>
        <v/>
      </c>
      <c r="BD82" s="126" t="str">
        <f>IF('Midterm OVPAA-F-INS-055A RAW SC'!BD82="","",'Midterm OVPAA-F-INS-055A RAW SC'!BD82/'Midterm OVPAA-F-INS-055A RAW SC'!BD$17*100)</f>
        <v/>
      </c>
      <c r="BE82" s="126" t="str">
        <f>IF('Midterm OVPAA-F-INS-055A RAW SC'!BE82="","",'Midterm OVPAA-F-INS-055A RAW SC'!BE82/'Midterm OVPAA-F-INS-055A RAW SC'!BE$17*100)</f>
        <v/>
      </c>
      <c r="BF82" s="126" t="str">
        <f>IF('Midterm OVPAA-F-INS-055A RAW SC'!BF82="","",'Midterm OVPAA-F-INS-055A RAW SC'!BF82/'Midterm OVPAA-F-INS-055A RAW SC'!BF$17*100)</f>
        <v/>
      </c>
      <c r="BG82" s="126" t="str">
        <f>IF('Midterm OVPAA-F-INS-055A RAW SC'!BG82="","",'Midterm OVPAA-F-INS-055A RAW SC'!BG82/'Midterm OVPAA-F-INS-055A RAW SC'!BG$17*100)</f>
        <v/>
      </c>
      <c r="BH82" s="126" t="str">
        <f>IF('Midterm OVPAA-F-INS-055A RAW SC'!BH82="","",'Midterm OVPAA-F-INS-055A RAW SC'!BH82/'Midterm OVPAA-F-INS-055A RAW SC'!BH$17*100)</f>
        <v/>
      </c>
      <c r="BI82" s="126" t="str">
        <f>IF('Midterm OVPAA-F-INS-055A RAW SC'!BI82="","",'Midterm OVPAA-F-INS-055A RAW SC'!BI82/'Midterm OVPAA-F-INS-055A RAW SC'!BI$17*100)</f>
        <v/>
      </c>
      <c r="BJ82" s="126" t="str">
        <f>IF('Midterm OVPAA-F-INS-055A RAW SC'!BJ82="","",'Midterm OVPAA-F-INS-055A RAW SC'!BJ82/'Midterm OVPAA-F-INS-055A RAW SC'!BJ$17*100)</f>
        <v/>
      </c>
      <c r="BK82" s="126" t="str">
        <f>IF('Midterm OVPAA-F-INS-055A RAW SC'!BK82="","",'Midterm OVPAA-F-INS-055A RAW SC'!BK82/'Midterm OVPAA-F-INS-055A RAW SC'!BK$17*100)</f>
        <v/>
      </c>
      <c r="BL82" s="126" t="str">
        <f>IF('Midterm OVPAA-F-INS-055A RAW SC'!BL82="","",'Midterm OVPAA-F-INS-055A RAW SC'!BL82/'Midterm OVPAA-F-INS-055A RAW SC'!BL$17*100)</f>
        <v/>
      </c>
      <c r="BM82" s="126" t="str">
        <f>IF('Midterm OVPAA-F-INS-055A RAW SC'!BM82="","",'Midterm OVPAA-F-INS-055A RAW SC'!BM82/'Midterm OVPAA-F-INS-055A RAW SC'!BM$17*100)</f>
        <v/>
      </c>
      <c r="BN82" s="126" t="str">
        <f>IF('Midterm OVPAA-F-INS-055A RAW SC'!BN82="","",'Midterm OVPAA-F-INS-055A RAW SC'!BN82/'Midterm OVPAA-F-INS-055A RAW SC'!BN$17*100)</f>
        <v/>
      </c>
      <c r="BO82" s="126" t="str">
        <f>IF('Midterm OVPAA-F-INS-055A RAW SC'!BO82="","",'Midterm OVPAA-F-INS-055A RAW SC'!BO82/'Midterm OVPAA-F-INS-055A RAW SC'!BO$17*100)</f>
        <v/>
      </c>
      <c r="BP82" s="126" t="str">
        <f>IF('Midterm OVPAA-F-INS-055A RAW SC'!BP82="","",'Midterm OVPAA-F-INS-055A RAW SC'!BP82/'Midterm OVPAA-F-INS-055A RAW SC'!BP$17*100)</f>
        <v/>
      </c>
      <c r="BQ82" s="126" t="str">
        <f>IF('Midterm OVPAA-F-INS-055A RAW SC'!BQ82="","",'Midterm OVPAA-F-INS-055A RAW SC'!BQ82/'Midterm OVPAA-F-INS-055A RAW SC'!BQ$17*100)</f>
        <v/>
      </c>
      <c r="BR82" s="126" t="str">
        <f>IF('Midterm OVPAA-F-INS-055A RAW SC'!BR82="","",'Midterm OVPAA-F-INS-055A RAW SC'!BR82/'Midterm OVPAA-F-INS-055A RAW SC'!BR$17*100)</f>
        <v/>
      </c>
      <c r="BS82" s="126" t="str">
        <f>IF('Midterm OVPAA-F-INS-055A RAW SC'!BS82="","",'Midterm OVPAA-F-INS-055A RAW SC'!BS82/'Midterm OVPAA-F-INS-055A RAW SC'!BS$17*100)</f>
        <v/>
      </c>
      <c r="BT82" s="126" t="str">
        <f>IF('Midterm OVPAA-F-INS-055A RAW SC'!BT82="","",'Midterm OVPAA-F-INS-055A RAW SC'!BT82/'Midterm OVPAA-F-INS-055A RAW SC'!BT$17*100)</f>
        <v/>
      </c>
      <c r="BU82" s="127" t="str">
        <f t="array" ref="BU82">IF('Midterm OVPAA-F-INS-055A RAW SC'!$G82="","",IF((SUMPRODUCT(--ISBLANK('Midterm OVPAA-F-INS-055A RAW SC'!H82:BT82))=COLUMNS('Midterm OVPAA-F-INS-055A RAW SC'!H82:BT82))=TRUE,"",(((COUNTA('Midterm OVPAA-F-INS-055A RAW SC'!$H$17:$BT$17)+COUNTBLANK('Midterm OVPAA-F-INS-055A RAW SC'!H82:BT82))-COLUMNS('Midterm OVPAA-F-INS-055A RAW SC'!H82:BT82))*5+SUM(H82:BT82))/COUNTA('Midterm OVPAA-F-INS-055A RAW SC'!$H$17:$BT$17)))</f>
        <v/>
      </c>
      <c r="BV82" s="128" t="str">
        <f>IF(BU82="","",VLOOKUP(BU82,IF('Midterm OVPAA-F-INS-055A RAW SC'!$V$12=0.5,TRANSMUTATION!$C$4:$D$17,TRANSMUTATION!$G$4:$H$17),2,TRUE))</f>
        <v/>
      </c>
      <c r="BW82" s="129" t="str">
        <f>IF('Midterm OVPAA-F-INS-055A RAW SC'!BU82="","",'Midterm OVPAA-F-INS-055A RAW SC'!BU82/'Midterm OVPAA-F-INS-055A RAW SC'!BU$17*100)</f>
        <v/>
      </c>
      <c r="BX82" s="130" t="str">
        <f>IF('Midterm OVPAA-F-INS-055A RAW SC'!BV82="","",'Midterm OVPAA-F-INS-055A RAW SC'!BV82/'Midterm OVPAA-F-INS-055A RAW SC'!BV$17*100)</f>
        <v/>
      </c>
      <c r="BY82" s="130" t="str">
        <f>IF('Midterm OVPAA-F-INS-055A RAW SC'!BW82="","",'Midterm OVPAA-F-INS-055A RAW SC'!BW82/'Midterm OVPAA-F-INS-055A RAW SC'!BW$17*100)</f>
        <v/>
      </c>
      <c r="BZ82" s="130" t="str">
        <f>IF('Midterm OVPAA-F-INS-055A RAW SC'!BX82="","",'Midterm OVPAA-F-INS-055A RAW SC'!BX82/'Midterm OVPAA-F-INS-055A RAW SC'!BX$17*100)</f>
        <v/>
      </c>
      <c r="CA82" s="130" t="str">
        <f>IF('Midterm OVPAA-F-INS-055A RAW SC'!BY82="","",'Midterm OVPAA-F-INS-055A RAW SC'!BY82/'Midterm OVPAA-F-INS-055A RAW SC'!BY$17*100)</f>
        <v/>
      </c>
      <c r="CB82" s="130" t="str">
        <f>IF('Midterm OVPAA-F-INS-055A RAW SC'!BZ82="","",'Midterm OVPAA-F-INS-055A RAW SC'!BZ82/'Midterm OVPAA-F-INS-055A RAW SC'!BZ$17*100)</f>
        <v/>
      </c>
      <c r="CC82" s="130" t="str">
        <f>IF('Midterm OVPAA-F-INS-055A RAW SC'!CA82="","",'Midterm OVPAA-F-INS-055A RAW SC'!CA82/'Midterm OVPAA-F-INS-055A RAW SC'!CA$17*100)</f>
        <v/>
      </c>
      <c r="CD82" s="130" t="str">
        <f>IF('Midterm OVPAA-F-INS-055A RAW SC'!CB82="","",'Midterm OVPAA-F-INS-055A RAW SC'!CB82/'Midterm OVPAA-F-INS-055A RAW SC'!CB$17*100)</f>
        <v/>
      </c>
      <c r="CE82" s="130" t="str">
        <f>IF('Midterm OVPAA-F-INS-055A RAW SC'!CC82="","",'Midterm OVPAA-F-INS-055A RAW SC'!CC82/'Midterm OVPAA-F-INS-055A RAW SC'!CC$17*100)</f>
        <v/>
      </c>
      <c r="CF82" s="130" t="str">
        <f>IF('Midterm OVPAA-F-INS-055A RAW SC'!CD82="","",'Midterm OVPAA-F-INS-055A RAW SC'!CD82/'Midterm OVPAA-F-INS-055A RAW SC'!CD$17*100)</f>
        <v/>
      </c>
      <c r="CG82" s="130" t="str">
        <f>IF('Midterm OVPAA-F-INS-055A RAW SC'!CE82="","",'Midterm OVPAA-F-INS-055A RAW SC'!CE82/'Midterm OVPAA-F-INS-055A RAW SC'!CE$17*100)</f>
        <v/>
      </c>
      <c r="CH82" s="130" t="str">
        <f>IF('Midterm OVPAA-F-INS-055A RAW SC'!CF82="","",'Midterm OVPAA-F-INS-055A RAW SC'!CF82/'Midterm OVPAA-F-INS-055A RAW SC'!CF$17*100)</f>
        <v/>
      </c>
      <c r="CI82" s="130" t="str">
        <f>IF('Midterm OVPAA-F-INS-055A RAW SC'!CG82="","",'Midterm OVPAA-F-INS-055A RAW SC'!CG82/'Midterm OVPAA-F-INS-055A RAW SC'!CG$17*100)</f>
        <v/>
      </c>
      <c r="CJ82" s="130" t="str">
        <f>IF('Midterm OVPAA-F-INS-055A RAW SC'!CH82="","",'Midterm OVPAA-F-INS-055A RAW SC'!CH82/'Midterm OVPAA-F-INS-055A RAW SC'!CH$17*100)</f>
        <v/>
      </c>
      <c r="CK82" s="130" t="str">
        <f>IF('Midterm OVPAA-F-INS-055A RAW SC'!CI82="","",'Midterm OVPAA-F-INS-055A RAW SC'!CI82/'Midterm OVPAA-F-INS-055A RAW SC'!CI$17*100)</f>
        <v/>
      </c>
      <c r="CL82" s="130" t="str">
        <f>IF('Midterm OVPAA-F-INS-055A RAW SC'!CJ82="","",'Midterm OVPAA-F-INS-055A RAW SC'!CJ82/'Midterm OVPAA-F-INS-055A RAW SC'!CJ$17*100)</f>
        <v/>
      </c>
      <c r="CM82" s="130" t="str">
        <f>IF('Midterm OVPAA-F-INS-055A RAW SC'!CK82="","",'Midterm OVPAA-F-INS-055A RAW SC'!CK82/'Midterm OVPAA-F-INS-055A RAW SC'!CK$17*100)</f>
        <v/>
      </c>
      <c r="CN82" s="130" t="str">
        <f>IF('Midterm OVPAA-F-INS-055A RAW SC'!CL82="","",'Midterm OVPAA-F-INS-055A RAW SC'!CL82/'Midterm OVPAA-F-INS-055A RAW SC'!CL$17*100)</f>
        <v/>
      </c>
      <c r="CO82" s="130" t="str">
        <f>IF('Midterm OVPAA-F-INS-055A RAW SC'!CM82="","",'Midterm OVPAA-F-INS-055A RAW SC'!CM82/'Midterm OVPAA-F-INS-055A RAW SC'!CM$17*100)</f>
        <v/>
      </c>
      <c r="CP82" s="130" t="str">
        <f>IF('Midterm OVPAA-F-INS-055A RAW SC'!CN82="","",'Midterm OVPAA-F-INS-055A RAW SC'!CN82/'Midterm OVPAA-F-INS-055A RAW SC'!CN$17*100)</f>
        <v/>
      </c>
      <c r="CQ82" s="131" t="str">
        <f t="array" ref="CQ82">IF('Midterm OVPAA-F-INS-055A RAW SC'!G82="","",IF((SUMPRODUCT(--ISBLANK('Midterm OVPAA-F-INS-055A RAW SC'!BU82:CN82))=COLUMNS('Midterm OVPAA-F-INS-055A RAW SC'!BU82:CN82))=TRUE,"",(((COUNTA('Midterm OVPAA-F-INS-055A RAW SC'!$BU$17:$CN$17)+COUNTBLANK('Midterm OVPAA-F-INS-055A RAW SC'!BU82:CN82))-COLUMNS('Midterm OVPAA-F-INS-055A RAW SC'!BU82:CN82))*5+SUM(BW82:CP82))/COUNTA('Midterm OVPAA-F-INS-055A RAW SC'!$BU$17:$CN$17)))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IF('Midterm OVPAA-F-INS-055A RAW SC'!CO82="","",'Midterm OVPAA-F-INS-055A RAW SC'!CO82/'Midterm OVPAA-F-INS-055A RAW SC'!CO$17*100)</f>
        <v/>
      </c>
      <c r="CT82" s="133" t="str">
        <f>IF('Midterm OVPAA-F-INS-055A RAW SC'!CP82="","",'Midterm OVPAA-F-INS-055A RAW SC'!CP82/'Midterm OVPAA-F-INS-055A RAW SC'!CP$17*100)</f>
        <v/>
      </c>
      <c r="CU82" s="133" t="str">
        <f>IF('Midterm OVPAA-F-INS-055A RAW SC'!CQ82="","",'Midterm OVPAA-F-INS-055A RAW SC'!CQ82/'Midterm OVPAA-F-INS-055A RAW SC'!CQ$17*100)</f>
        <v/>
      </c>
      <c r="CV82" s="133" t="str">
        <f>IF('Midterm OVPAA-F-INS-055A RAW SC'!CR82="","",'Midterm OVPAA-F-INS-055A RAW SC'!CR82/'Midterm OVPAA-F-INS-055A RAW SC'!CR$17*100)</f>
        <v/>
      </c>
      <c r="CW82" s="133" t="str">
        <f>IF('Midterm OVPAA-F-INS-055A RAW SC'!CS82="","",'Midterm OVPAA-F-INS-055A RAW SC'!CS82/'Midterm OVPAA-F-INS-055A RAW SC'!CS$17*100)</f>
        <v/>
      </c>
      <c r="CX82" s="133" t="str">
        <f>IF('Midterm OVPAA-F-INS-055A RAW SC'!CT82="","",'Midterm OVPAA-F-INS-055A RAW SC'!CT82/'Midterm OVPAA-F-INS-055A RAW SC'!CT$17*100)</f>
        <v/>
      </c>
      <c r="CY82" s="133" t="str">
        <f>IF('Midterm OVPAA-F-INS-055A RAW SC'!CU82="","",'Midterm OVPAA-F-INS-055A RAW SC'!CU82/'Midterm OVPAA-F-INS-055A RAW SC'!CU$17*100)</f>
        <v/>
      </c>
      <c r="CZ82" s="133" t="str">
        <f>IF('Midterm OVPAA-F-INS-055A RAW SC'!CV82="","",'Midterm OVPAA-F-INS-055A RAW SC'!CV82/'Midterm OVPAA-F-INS-055A RAW SC'!CV$17*100)</f>
        <v/>
      </c>
      <c r="DA82" s="133" t="str">
        <f>IF('Midterm OVPAA-F-INS-055A RAW SC'!CW82="","",'Midterm OVPAA-F-INS-055A RAW SC'!CW82/'Midterm OVPAA-F-INS-055A RAW SC'!CW$17*100)</f>
        <v/>
      </c>
      <c r="DB82" s="133" t="str">
        <f>IF('Midterm OVPAA-F-INS-055A RAW SC'!CX82="","",'Midterm OVPAA-F-INS-055A RAW SC'!CX82/'Midterm OVPAA-F-INS-055A RAW SC'!CX$17*100)</f>
        <v/>
      </c>
      <c r="DC82" s="134" t="str">
        <f t="array" ref="DC82">IF('Midterm OVPAA-F-INS-055A RAW SC'!$G82="","",IF((SUMPRODUCT(--ISBLANK('Midterm OVPAA-F-INS-055A RAW SC'!CO82:CX82))=COLUMNS('Midterm OVPAA-F-INS-055A RAW SC'!CO82:CX82))=TRUE,"",(((COUNTA('Midterm OVPAA-F-INS-055A RAW SC'!$CO$17:$CX$17)+COUNTBLANK('Midterm OVPAA-F-INS-055A RAW SC'!CO82:CX82))-COLUMNS('Midterm OVPAA-F-INS-055A RAW SC'!CO82:CX82))*5+SUM(CS82:DB82))/COUNTA('Midterm OVPAA-F-INS-055A RAW SC'!$CO$17:$CX$17)))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37" t="str">
        <f t="shared" si="2"/>
        <v/>
      </c>
      <c r="DG82" s="138" t="str">
        <f t="shared" si="3"/>
        <v/>
      </c>
      <c r="DH82" s="136" t="str">
        <f t="shared" si="4"/>
        <v/>
      </c>
      <c r="DI82" s="123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IF('Midterm OVPAA-F-INS-055A RAW SC'!H83="","",'Midterm OVPAA-F-INS-055A RAW SC'!H83/'Midterm OVPAA-F-INS-055A RAW SC'!H$17*100)</f>
        <v/>
      </c>
      <c r="I83" s="126" t="str">
        <f>IF('Midterm OVPAA-F-INS-055A RAW SC'!I83="","",'Midterm OVPAA-F-INS-055A RAW SC'!I83/'Midterm OVPAA-F-INS-055A RAW SC'!I$17*100)</f>
        <v/>
      </c>
      <c r="J83" s="126" t="str">
        <f>IF('Midterm OVPAA-F-INS-055A RAW SC'!J83="","",'Midterm OVPAA-F-INS-055A RAW SC'!J83/'Midterm OVPAA-F-INS-055A RAW SC'!J$17*100)</f>
        <v/>
      </c>
      <c r="K83" s="126" t="str">
        <f>IF('Midterm OVPAA-F-INS-055A RAW SC'!K83="","",'Midterm OVPAA-F-INS-055A RAW SC'!K83/'Midterm OVPAA-F-INS-055A RAW SC'!K$17*100)</f>
        <v/>
      </c>
      <c r="L83" s="126" t="str">
        <f>IF('Midterm OVPAA-F-INS-055A RAW SC'!L83="","",'Midterm OVPAA-F-INS-055A RAW SC'!L83/'Midterm OVPAA-F-INS-055A RAW SC'!L$17*100)</f>
        <v/>
      </c>
      <c r="M83" s="126" t="str">
        <f>IF('Midterm OVPAA-F-INS-055A RAW SC'!M83="","",'Midterm OVPAA-F-INS-055A RAW SC'!M83/'Midterm OVPAA-F-INS-055A RAW SC'!M$17*100)</f>
        <v/>
      </c>
      <c r="N83" s="126" t="str">
        <f>IF('Midterm OVPAA-F-INS-055A RAW SC'!N83="","",'Midterm OVPAA-F-INS-055A RAW SC'!N83/'Midterm OVPAA-F-INS-055A RAW SC'!N$17*100)</f>
        <v/>
      </c>
      <c r="O83" s="126" t="str">
        <f>IF('Midterm OVPAA-F-INS-055A RAW SC'!O83="","",'Midterm OVPAA-F-INS-055A RAW SC'!O83/'Midterm OVPAA-F-INS-055A RAW SC'!O$17*100)</f>
        <v/>
      </c>
      <c r="P83" s="126" t="str">
        <f>IF('Midterm OVPAA-F-INS-055A RAW SC'!P83="","",'Midterm OVPAA-F-INS-055A RAW SC'!P83/'Midterm OVPAA-F-INS-055A RAW SC'!P$17*100)</f>
        <v/>
      </c>
      <c r="Q83" s="126" t="str">
        <f>IF('Midterm OVPAA-F-INS-055A RAW SC'!Q83="","",'Midterm OVPAA-F-INS-055A RAW SC'!Q83/'Midterm OVPAA-F-INS-055A RAW SC'!Q$17*100)</f>
        <v/>
      </c>
      <c r="R83" s="126" t="str">
        <f>IF('Midterm OVPAA-F-INS-055A RAW SC'!R83="","",'Midterm OVPAA-F-INS-055A RAW SC'!R83/'Midterm OVPAA-F-INS-055A RAW SC'!R$17*100)</f>
        <v/>
      </c>
      <c r="S83" s="126" t="str">
        <f>IF('Midterm OVPAA-F-INS-055A RAW SC'!S83="","",'Midterm OVPAA-F-INS-055A RAW SC'!S83/'Midterm OVPAA-F-INS-055A RAW SC'!S$17*100)</f>
        <v/>
      </c>
      <c r="T83" s="126" t="str">
        <f>IF('Midterm OVPAA-F-INS-055A RAW SC'!T83="","",'Midterm OVPAA-F-INS-055A RAW SC'!T83/'Midterm OVPAA-F-INS-055A RAW SC'!T$17*100)</f>
        <v/>
      </c>
      <c r="U83" s="126" t="str">
        <f>IF('Midterm OVPAA-F-INS-055A RAW SC'!U83="","",'Midterm OVPAA-F-INS-055A RAW SC'!U83/'Midterm OVPAA-F-INS-055A RAW SC'!U$17*100)</f>
        <v/>
      </c>
      <c r="V83" s="126" t="str">
        <f>IF('Midterm OVPAA-F-INS-055A RAW SC'!V83="","",'Midterm OVPAA-F-INS-055A RAW SC'!V83/'Midterm OVPAA-F-INS-055A RAW SC'!V$17*100)</f>
        <v/>
      </c>
      <c r="W83" s="126" t="str">
        <f>IF('Midterm OVPAA-F-INS-055A RAW SC'!W83="","",'Midterm OVPAA-F-INS-055A RAW SC'!W83/'Midterm OVPAA-F-INS-055A RAW SC'!W$17*100)</f>
        <v/>
      </c>
      <c r="X83" s="126" t="str">
        <f>IF('Midterm OVPAA-F-INS-055A RAW SC'!X83="","",'Midterm OVPAA-F-INS-055A RAW SC'!X83/'Midterm OVPAA-F-INS-055A RAW SC'!X$17*100)</f>
        <v/>
      </c>
      <c r="Y83" s="126" t="str">
        <f>IF('Midterm OVPAA-F-INS-055A RAW SC'!Y83="","",'Midterm OVPAA-F-INS-055A RAW SC'!Y83/'Midterm OVPAA-F-INS-055A RAW SC'!Y$17*100)</f>
        <v/>
      </c>
      <c r="Z83" s="126" t="str">
        <f>IF('Midterm OVPAA-F-INS-055A RAW SC'!Z83="","",'Midterm OVPAA-F-INS-055A RAW SC'!Z83/'Midterm OVPAA-F-INS-055A RAW SC'!Z$17*100)</f>
        <v/>
      </c>
      <c r="AA83" s="126" t="str">
        <f>IF('Midterm OVPAA-F-INS-055A RAW SC'!AA83="","",'Midterm OVPAA-F-INS-055A RAW SC'!AA83/'Midterm OVPAA-F-INS-055A RAW SC'!AA$17*100)</f>
        <v/>
      </c>
      <c r="AB83" s="126" t="str">
        <f>IF('Midterm OVPAA-F-INS-055A RAW SC'!AB83="","",'Midterm OVPAA-F-INS-055A RAW SC'!AB83/'Midterm OVPAA-F-INS-055A RAW SC'!AB$17*100)</f>
        <v/>
      </c>
      <c r="AC83" s="126" t="str">
        <f>IF('Midterm OVPAA-F-INS-055A RAW SC'!AC83="","",'Midterm OVPAA-F-INS-055A RAW SC'!AC83/'Midterm OVPAA-F-INS-055A RAW SC'!AC$17*100)</f>
        <v/>
      </c>
      <c r="AD83" s="126" t="str">
        <f>IF('Midterm OVPAA-F-INS-055A RAW SC'!AD83="","",'Midterm OVPAA-F-INS-055A RAW SC'!AD83/'Midterm OVPAA-F-INS-055A RAW SC'!AD$17*100)</f>
        <v/>
      </c>
      <c r="AE83" s="126" t="str">
        <f>IF('Midterm OVPAA-F-INS-055A RAW SC'!AE83="","",'Midterm OVPAA-F-INS-055A RAW SC'!AE83/'Midterm OVPAA-F-INS-055A RAW SC'!AE$17*100)</f>
        <v/>
      </c>
      <c r="AF83" s="126" t="str">
        <f>IF('Midterm OVPAA-F-INS-055A RAW SC'!AF83="","",'Midterm OVPAA-F-INS-055A RAW SC'!AF83/'Midterm OVPAA-F-INS-055A RAW SC'!AF$17*100)</f>
        <v/>
      </c>
      <c r="AG83" s="126" t="str">
        <f>IF('Midterm OVPAA-F-INS-055A RAW SC'!AG83="","",'Midterm OVPAA-F-INS-055A RAW SC'!AG83/'Midterm OVPAA-F-INS-055A RAW SC'!AG$17*100)</f>
        <v/>
      </c>
      <c r="AH83" s="126" t="str">
        <f>IF('Midterm OVPAA-F-INS-055A RAW SC'!AH83="","",'Midterm OVPAA-F-INS-055A RAW SC'!AH83/'Midterm OVPAA-F-INS-055A RAW SC'!AH$17*100)</f>
        <v/>
      </c>
      <c r="AI83" s="126" t="str">
        <f>IF('Midterm OVPAA-F-INS-055A RAW SC'!AI83="","",'Midterm OVPAA-F-INS-055A RAW SC'!AI83/'Midterm OVPAA-F-INS-055A RAW SC'!AI$17*100)</f>
        <v/>
      </c>
      <c r="AJ83" s="126" t="str">
        <f>IF('Midterm OVPAA-F-INS-055A RAW SC'!AJ83="","",'Midterm OVPAA-F-INS-055A RAW SC'!AJ83/'Midterm OVPAA-F-INS-055A RAW SC'!AJ$17*100)</f>
        <v/>
      </c>
      <c r="AK83" s="126" t="str">
        <f>IF('Midterm OVPAA-F-INS-055A RAW SC'!AK83="","",'Midterm OVPAA-F-INS-055A RAW SC'!AK83/'Midterm OVPAA-F-INS-055A RAW SC'!AK$17*100)</f>
        <v/>
      </c>
      <c r="AL83" s="126" t="str">
        <f>IF('Midterm OVPAA-F-INS-055A RAW SC'!AL83="","",'Midterm OVPAA-F-INS-055A RAW SC'!AL83/'Midterm OVPAA-F-INS-055A RAW SC'!AL$17*100)</f>
        <v/>
      </c>
      <c r="AM83" s="126" t="str">
        <f>IF('Midterm OVPAA-F-INS-055A RAW SC'!AM83="","",'Midterm OVPAA-F-INS-055A RAW SC'!AM83/'Midterm OVPAA-F-INS-055A RAW SC'!AM$17*100)</f>
        <v/>
      </c>
      <c r="AN83" s="126" t="str">
        <f>IF('Midterm OVPAA-F-INS-055A RAW SC'!AN83="","",'Midterm OVPAA-F-INS-055A RAW SC'!AN83/'Midterm OVPAA-F-INS-055A RAW SC'!AN$17*100)</f>
        <v/>
      </c>
      <c r="AO83" s="126" t="str">
        <f>IF('Midterm OVPAA-F-INS-055A RAW SC'!AO83="","",'Midterm OVPAA-F-INS-055A RAW SC'!AO83/'Midterm OVPAA-F-INS-055A RAW SC'!AO$17*100)</f>
        <v/>
      </c>
      <c r="AP83" s="126" t="str">
        <f>IF('Midterm OVPAA-F-INS-055A RAW SC'!AP83="","",'Midterm OVPAA-F-INS-055A RAW SC'!AP83/'Midterm OVPAA-F-INS-055A RAW SC'!AP$17*100)</f>
        <v/>
      </c>
      <c r="AQ83" s="126" t="str">
        <f>IF('Midterm OVPAA-F-INS-055A RAW SC'!AQ83="","",'Midterm OVPAA-F-INS-055A RAW SC'!AQ83/'Midterm OVPAA-F-INS-055A RAW SC'!AQ$17*100)</f>
        <v/>
      </c>
      <c r="AR83" s="126" t="str">
        <f>IF('Midterm OVPAA-F-INS-055A RAW SC'!AR83="","",'Midterm OVPAA-F-INS-055A RAW SC'!AR83/'Midterm OVPAA-F-INS-055A RAW SC'!AR$17*100)</f>
        <v/>
      </c>
      <c r="AS83" s="126" t="str">
        <f>IF('Midterm OVPAA-F-INS-055A RAW SC'!AS83="","",'Midterm OVPAA-F-INS-055A RAW SC'!AS83/'Midterm OVPAA-F-INS-055A RAW SC'!AS$17*100)</f>
        <v/>
      </c>
      <c r="AT83" s="126" t="str">
        <f>IF('Midterm OVPAA-F-INS-055A RAW SC'!AT83="","",'Midterm OVPAA-F-INS-055A RAW SC'!AT83/'Midterm OVPAA-F-INS-055A RAW SC'!AT$17*100)</f>
        <v/>
      </c>
      <c r="AU83" s="126" t="str">
        <f>IF('Midterm OVPAA-F-INS-055A RAW SC'!AU83="","",'Midterm OVPAA-F-INS-055A RAW SC'!AU83/'Midterm OVPAA-F-INS-055A RAW SC'!AU$17*100)</f>
        <v/>
      </c>
      <c r="AV83" s="126" t="str">
        <f>IF('Midterm OVPAA-F-INS-055A RAW SC'!AV83="","",'Midterm OVPAA-F-INS-055A RAW SC'!AV83/'Midterm OVPAA-F-INS-055A RAW SC'!AV$17*100)</f>
        <v/>
      </c>
      <c r="AW83" s="126" t="str">
        <f>IF('Midterm OVPAA-F-INS-055A RAW SC'!AW83="","",'Midterm OVPAA-F-INS-055A RAW SC'!AW83/'Midterm OVPAA-F-INS-055A RAW SC'!AW$17*100)</f>
        <v/>
      </c>
      <c r="AX83" s="126" t="str">
        <f>IF('Midterm OVPAA-F-INS-055A RAW SC'!AX83="","",'Midterm OVPAA-F-INS-055A RAW SC'!AX83/'Midterm OVPAA-F-INS-055A RAW SC'!AX$17*100)</f>
        <v/>
      </c>
      <c r="AY83" s="126" t="str">
        <f>IF('Midterm OVPAA-F-INS-055A RAW SC'!AY83="","",'Midterm OVPAA-F-INS-055A RAW SC'!AY83/'Midterm OVPAA-F-INS-055A RAW SC'!AY$17*100)</f>
        <v/>
      </c>
      <c r="AZ83" s="126" t="str">
        <f>IF('Midterm OVPAA-F-INS-055A RAW SC'!AZ83="","",'Midterm OVPAA-F-INS-055A RAW SC'!AZ83/'Midterm OVPAA-F-INS-055A RAW SC'!AZ$17*100)</f>
        <v/>
      </c>
      <c r="BA83" s="126" t="str">
        <f>IF('Midterm OVPAA-F-INS-055A RAW SC'!BA83="","",'Midterm OVPAA-F-INS-055A RAW SC'!BA83/'Midterm OVPAA-F-INS-055A RAW SC'!BA$17*100)</f>
        <v/>
      </c>
      <c r="BB83" s="126" t="str">
        <f>IF('Midterm OVPAA-F-INS-055A RAW SC'!BB83="","",'Midterm OVPAA-F-INS-055A RAW SC'!BB83/'Midterm OVPAA-F-INS-055A RAW SC'!BB$17*100)</f>
        <v/>
      </c>
      <c r="BC83" s="126" t="str">
        <f>IF('Midterm OVPAA-F-INS-055A RAW SC'!BC83="","",'Midterm OVPAA-F-INS-055A RAW SC'!BC83/'Midterm OVPAA-F-INS-055A RAW SC'!BC$17*100)</f>
        <v/>
      </c>
      <c r="BD83" s="126" t="str">
        <f>IF('Midterm OVPAA-F-INS-055A RAW SC'!BD83="","",'Midterm OVPAA-F-INS-055A RAW SC'!BD83/'Midterm OVPAA-F-INS-055A RAW SC'!BD$17*100)</f>
        <v/>
      </c>
      <c r="BE83" s="126" t="str">
        <f>IF('Midterm OVPAA-F-INS-055A RAW SC'!BE83="","",'Midterm OVPAA-F-INS-055A RAW SC'!BE83/'Midterm OVPAA-F-INS-055A RAW SC'!BE$17*100)</f>
        <v/>
      </c>
      <c r="BF83" s="126" t="str">
        <f>IF('Midterm OVPAA-F-INS-055A RAW SC'!BF83="","",'Midterm OVPAA-F-INS-055A RAW SC'!BF83/'Midterm OVPAA-F-INS-055A RAW SC'!BF$17*100)</f>
        <v/>
      </c>
      <c r="BG83" s="126" t="str">
        <f>IF('Midterm OVPAA-F-INS-055A RAW SC'!BG83="","",'Midterm OVPAA-F-INS-055A RAW SC'!BG83/'Midterm OVPAA-F-INS-055A RAW SC'!BG$17*100)</f>
        <v/>
      </c>
      <c r="BH83" s="126" t="str">
        <f>IF('Midterm OVPAA-F-INS-055A RAW SC'!BH83="","",'Midterm OVPAA-F-INS-055A RAW SC'!BH83/'Midterm OVPAA-F-INS-055A RAW SC'!BH$17*100)</f>
        <v/>
      </c>
      <c r="BI83" s="126" t="str">
        <f>IF('Midterm OVPAA-F-INS-055A RAW SC'!BI83="","",'Midterm OVPAA-F-INS-055A RAW SC'!BI83/'Midterm OVPAA-F-INS-055A RAW SC'!BI$17*100)</f>
        <v/>
      </c>
      <c r="BJ83" s="126" t="str">
        <f>IF('Midterm OVPAA-F-INS-055A RAW SC'!BJ83="","",'Midterm OVPAA-F-INS-055A RAW SC'!BJ83/'Midterm OVPAA-F-INS-055A RAW SC'!BJ$17*100)</f>
        <v/>
      </c>
      <c r="BK83" s="126" t="str">
        <f>IF('Midterm OVPAA-F-INS-055A RAW SC'!BK83="","",'Midterm OVPAA-F-INS-055A RAW SC'!BK83/'Midterm OVPAA-F-INS-055A RAW SC'!BK$17*100)</f>
        <v/>
      </c>
      <c r="BL83" s="126" t="str">
        <f>IF('Midterm OVPAA-F-INS-055A RAW SC'!BL83="","",'Midterm OVPAA-F-INS-055A RAW SC'!BL83/'Midterm OVPAA-F-INS-055A RAW SC'!BL$17*100)</f>
        <v/>
      </c>
      <c r="BM83" s="126" t="str">
        <f>IF('Midterm OVPAA-F-INS-055A RAW SC'!BM83="","",'Midterm OVPAA-F-INS-055A RAW SC'!BM83/'Midterm OVPAA-F-INS-055A RAW SC'!BM$17*100)</f>
        <v/>
      </c>
      <c r="BN83" s="126" t="str">
        <f>IF('Midterm OVPAA-F-INS-055A RAW SC'!BN83="","",'Midterm OVPAA-F-INS-055A RAW SC'!BN83/'Midterm OVPAA-F-INS-055A RAW SC'!BN$17*100)</f>
        <v/>
      </c>
      <c r="BO83" s="126" t="str">
        <f>IF('Midterm OVPAA-F-INS-055A RAW SC'!BO83="","",'Midterm OVPAA-F-INS-055A RAW SC'!BO83/'Midterm OVPAA-F-INS-055A RAW SC'!BO$17*100)</f>
        <v/>
      </c>
      <c r="BP83" s="126" t="str">
        <f>IF('Midterm OVPAA-F-INS-055A RAW SC'!BP83="","",'Midterm OVPAA-F-INS-055A RAW SC'!BP83/'Midterm OVPAA-F-INS-055A RAW SC'!BP$17*100)</f>
        <v/>
      </c>
      <c r="BQ83" s="126" t="str">
        <f>IF('Midterm OVPAA-F-INS-055A RAW SC'!BQ83="","",'Midterm OVPAA-F-INS-055A RAW SC'!BQ83/'Midterm OVPAA-F-INS-055A RAW SC'!BQ$17*100)</f>
        <v/>
      </c>
      <c r="BR83" s="126" t="str">
        <f>IF('Midterm OVPAA-F-INS-055A RAW SC'!BR83="","",'Midterm OVPAA-F-INS-055A RAW SC'!BR83/'Midterm OVPAA-F-INS-055A RAW SC'!BR$17*100)</f>
        <v/>
      </c>
      <c r="BS83" s="126" t="str">
        <f>IF('Midterm OVPAA-F-INS-055A RAW SC'!BS83="","",'Midterm OVPAA-F-INS-055A RAW SC'!BS83/'Midterm OVPAA-F-INS-055A RAW SC'!BS$17*100)</f>
        <v/>
      </c>
      <c r="BT83" s="126" t="str">
        <f>IF('Midterm OVPAA-F-INS-055A RAW SC'!BT83="","",'Midterm OVPAA-F-INS-055A RAW SC'!BT83/'Midterm OVPAA-F-INS-055A RAW SC'!BT$17*100)</f>
        <v/>
      </c>
      <c r="BU83" s="127" t="str">
        <f t="array" ref="BU83">IF('Midterm OVPAA-F-INS-055A RAW SC'!$G83="","",IF((SUMPRODUCT(--ISBLANK('Midterm OVPAA-F-INS-055A RAW SC'!H83:BT83))=COLUMNS('Midterm OVPAA-F-INS-055A RAW SC'!H83:BT83))=TRUE,"",(((COUNTA('Midterm OVPAA-F-INS-055A RAW SC'!$H$17:$BT$17)+COUNTBLANK('Midterm OVPAA-F-INS-055A RAW SC'!H83:BT83))-COLUMNS('Midterm OVPAA-F-INS-055A RAW SC'!H83:BT83))*5+SUM(H83:BT83))/COUNTA('Midterm OVPAA-F-INS-055A RAW SC'!$H$17:$BT$17)))</f>
        <v/>
      </c>
      <c r="BV83" s="128" t="str">
        <f>IF(BU83="","",VLOOKUP(BU83,IF('Midterm OVPAA-F-INS-055A RAW SC'!$V$12=0.5,TRANSMUTATION!$C$4:$D$17,TRANSMUTATION!$G$4:$H$17),2,TRUE))</f>
        <v/>
      </c>
      <c r="BW83" s="129" t="str">
        <f>IF('Midterm OVPAA-F-INS-055A RAW SC'!BU83="","",'Midterm OVPAA-F-INS-055A RAW SC'!BU83/'Midterm OVPAA-F-INS-055A RAW SC'!BU$17*100)</f>
        <v/>
      </c>
      <c r="BX83" s="130" t="str">
        <f>IF('Midterm OVPAA-F-INS-055A RAW SC'!BV83="","",'Midterm OVPAA-F-INS-055A RAW SC'!BV83/'Midterm OVPAA-F-INS-055A RAW SC'!BV$17*100)</f>
        <v/>
      </c>
      <c r="BY83" s="130" t="str">
        <f>IF('Midterm OVPAA-F-INS-055A RAW SC'!BW83="","",'Midterm OVPAA-F-INS-055A RAW SC'!BW83/'Midterm OVPAA-F-INS-055A RAW SC'!BW$17*100)</f>
        <v/>
      </c>
      <c r="BZ83" s="130" t="str">
        <f>IF('Midterm OVPAA-F-INS-055A RAW SC'!BX83="","",'Midterm OVPAA-F-INS-055A RAW SC'!BX83/'Midterm OVPAA-F-INS-055A RAW SC'!BX$17*100)</f>
        <v/>
      </c>
      <c r="CA83" s="130" t="str">
        <f>IF('Midterm OVPAA-F-INS-055A RAW SC'!BY83="","",'Midterm OVPAA-F-INS-055A RAW SC'!BY83/'Midterm OVPAA-F-INS-055A RAW SC'!BY$17*100)</f>
        <v/>
      </c>
      <c r="CB83" s="130" t="str">
        <f>IF('Midterm OVPAA-F-INS-055A RAW SC'!BZ83="","",'Midterm OVPAA-F-INS-055A RAW SC'!BZ83/'Midterm OVPAA-F-INS-055A RAW SC'!BZ$17*100)</f>
        <v/>
      </c>
      <c r="CC83" s="130" t="str">
        <f>IF('Midterm OVPAA-F-INS-055A RAW SC'!CA83="","",'Midterm OVPAA-F-INS-055A RAW SC'!CA83/'Midterm OVPAA-F-INS-055A RAW SC'!CA$17*100)</f>
        <v/>
      </c>
      <c r="CD83" s="130" t="str">
        <f>IF('Midterm OVPAA-F-INS-055A RAW SC'!CB83="","",'Midterm OVPAA-F-INS-055A RAW SC'!CB83/'Midterm OVPAA-F-INS-055A RAW SC'!CB$17*100)</f>
        <v/>
      </c>
      <c r="CE83" s="130" t="str">
        <f>IF('Midterm OVPAA-F-INS-055A RAW SC'!CC83="","",'Midterm OVPAA-F-INS-055A RAW SC'!CC83/'Midterm OVPAA-F-INS-055A RAW SC'!CC$17*100)</f>
        <v/>
      </c>
      <c r="CF83" s="130" t="str">
        <f>IF('Midterm OVPAA-F-INS-055A RAW SC'!CD83="","",'Midterm OVPAA-F-INS-055A RAW SC'!CD83/'Midterm OVPAA-F-INS-055A RAW SC'!CD$17*100)</f>
        <v/>
      </c>
      <c r="CG83" s="130" t="str">
        <f>IF('Midterm OVPAA-F-INS-055A RAW SC'!CE83="","",'Midterm OVPAA-F-INS-055A RAW SC'!CE83/'Midterm OVPAA-F-INS-055A RAW SC'!CE$17*100)</f>
        <v/>
      </c>
      <c r="CH83" s="130" t="str">
        <f>IF('Midterm OVPAA-F-INS-055A RAW SC'!CF83="","",'Midterm OVPAA-F-INS-055A RAW SC'!CF83/'Midterm OVPAA-F-INS-055A RAW SC'!CF$17*100)</f>
        <v/>
      </c>
      <c r="CI83" s="130" t="str">
        <f>IF('Midterm OVPAA-F-INS-055A RAW SC'!CG83="","",'Midterm OVPAA-F-INS-055A RAW SC'!CG83/'Midterm OVPAA-F-INS-055A RAW SC'!CG$17*100)</f>
        <v/>
      </c>
      <c r="CJ83" s="130" t="str">
        <f>IF('Midterm OVPAA-F-INS-055A RAW SC'!CH83="","",'Midterm OVPAA-F-INS-055A RAW SC'!CH83/'Midterm OVPAA-F-INS-055A RAW SC'!CH$17*100)</f>
        <v/>
      </c>
      <c r="CK83" s="130" t="str">
        <f>IF('Midterm OVPAA-F-INS-055A RAW SC'!CI83="","",'Midterm OVPAA-F-INS-055A RAW SC'!CI83/'Midterm OVPAA-F-INS-055A RAW SC'!CI$17*100)</f>
        <v/>
      </c>
      <c r="CL83" s="130" t="str">
        <f>IF('Midterm OVPAA-F-INS-055A RAW SC'!CJ83="","",'Midterm OVPAA-F-INS-055A RAW SC'!CJ83/'Midterm OVPAA-F-INS-055A RAW SC'!CJ$17*100)</f>
        <v/>
      </c>
      <c r="CM83" s="130" t="str">
        <f>IF('Midterm OVPAA-F-INS-055A RAW SC'!CK83="","",'Midterm OVPAA-F-INS-055A RAW SC'!CK83/'Midterm OVPAA-F-INS-055A RAW SC'!CK$17*100)</f>
        <v/>
      </c>
      <c r="CN83" s="130" t="str">
        <f>IF('Midterm OVPAA-F-INS-055A RAW SC'!CL83="","",'Midterm OVPAA-F-INS-055A RAW SC'!CL83/'Midterm OVPAA-F-INS-055A RAW SC'!CL$17*100)</f>
        <v/>
      </c>
      <c r="CO83" s="130" t="str">
        <f>IF('Midterm OVPAA-F-INS-055A RAW SC'!CM83="","",'Midterm OVPAA-F-INS-055A RAW SC'!CM83/'Midterm OVPAA-F-INS-055A RAW SC'!CM$17*100)</f>
        <v/>
      </c>
      <c r="CP83" s="130" t="str">
        <f>IF('Midterm OVPAA-F-INS-055A RAW SC'!CN83="","",'Midterm OVPAA-F-INS-055A RAW SC'!CN83/'Midterm OVPAA-F-INS-055A RAW SC'!CN$17*100)</f>
        <v/>
      </c>
      <c r="CQ83" s="131" t="str">
        <f t="array" ref="CQ83">IF('Midterm OVPAA-F-INS-055A RAW SC'!G83="","",IF((SUMPRODUCT(--ISBLANK('Midterm OVPAA-F-INS-055A RAW SC'!BU83:CN83))=COLUMNS('Midterm OVPAA-F-INS-055A RAW SC'!BU83:CN83))=TRUE,"",(((COUNTA('Midterm OVPAA-F-INS-055A RAW SC'!$BU$17:$CN$17)+COUNTBLANK('Midterm OVPAA-F-INS-055A RAW SC'!BU83:CN83))-COLUMNS('Midterm OVPAA-F-INS-055A RAW SC'!BU83:CN83))*5+SUM(BW83:CP83))/COUNTA('Midterm OVPAA-F-INS-055A RAW SC'!$BU$17:$CN$17)))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IF('Midterm OVPAA-F-INS-055A RAW SC'!CO83="","",'Midterm OVPAA-F-INS-055A RAW SC'!CO83/'Midterm OVPAA-F-INS-055A RAW SC'!CO$17*100)</f>
        <v/>
      </c>
      <c r="CT83" s="133" t="str">
        <f>IF('Midterm OVPAA-F-INS-055A RAW SC'!CP83="","",'Midterm OVPAA-F-INS-055A RAW SC'!CP83/'Midterm OVPAA-F-INS-055A RAW SC'!CP$17*100)</f>
        <v/>
      </c>
      <c r="CU83" s="133" t="str">
        <f>IF('Midterm OVPAA-F-INS-055A RAW SC'!CQ83="","",'Midterm OVPAA-F-INS-055A RAW SC'!CQ83/'Midterm OVPAA-F-INS-055A RAW SC'!CQ$17*100)</f>
        <v/>
      </c>
      <c r="CV83" s="133" t="str">
        <f>IF('Midterm OVPAA-F-INS-055A RAW SC'!CR83="","",'Midterm OVPAA-F-INS-055A RAW SC'!CR83/'Midterm OVPAA-F-INS-055A RAW SC'!CR$17*100)</f>
        <v/>
      </c>
      <c r="CW83" s="133" t="str">
        <f>IF('Midterm OVPAA-F-INS-055A RAW SC'!CS83="","",'Midterm OVPAA-F-INS-055A RAW SC'!CS83/'Midterm OVPAA-F-INS-055A RAW SC'!CS$17*100)</f>
        <v/>
      </c>
      <c r="CX83" s="133" t="str">
        <f>IF('Midterm OVPAA-F-INS-055A RAW SC'!CT83="","",'Midterm OVPAA-F-INS-055A RAW SC'!CT83/'Midterm OVPAA-F-INS-055A RAW SC'!CT$17*100)</f>
        <v/>
      </c>
      <c r="CY83" s="133" t="str">
        <f>IF('Midterm OVPAA-F-INS-055A RAW SC'!CU83="","",'Midterm OVPAA-F-INS-055A RAW SC'!CU83/'Midterm OVPAA-F-INS-055A RAW SC'!CU$17*100)</f>
        <v/>
      </c>
      <c r="CZ83" s="133" t="str">
        <f>IF('Midterm OVPAA-F-INS-055A RAW SC'!CV83="","",'Midterm OVPAA-F-INS-055A RAW SC'!CV83/'Midterm OVPAA-F-INS-055A RAW SC'!CV$17*100)</f>
        <v/>
      </c>
      <c r="DA83" s="133" t="str">
        <f>IF('Midterm OVPAA-F-INS-055A RAW SC'!CW83="","",'Midterm OVPAA-F-INS-055A RAW SC'!CW83/'Midterm OVPAA-F-INS-055A RAW SC'!CW$17*100)</f>
        <v/>
      </c>
      <c r="DB83" s="133" t="str">
        <f>IF('Midterm OVPAA-F-INS-055A RAW SC'!CX83="","",'Midterm OVPAA-F-INS-055A RAW SC'!CX83/'Midterm OVPAA-F-INS-055A RAW SC'!CX$17*100)</f>
        <v/>
      </c>
      <c r="DC83" s="134" t="str">
        <f t="array" ref="DC83">IF('Midterm OVPAA-F-INS-055A RAW SC'!$G83="","",IF((SUMPRODUCT(--ISBLANK('Midterm OVPAA-F-INS-055A RAW SC'!CO83:CX83))=COLUMNS('Midterm OVPAA-F-INS-055A RAW SC'!CO83:CX83))=TRUE,"",(((COUNTA('Midterm OVPAA-F-INS-055A RAW SC'!$CO$17:$CX$17)+COUNTBLANK('Midterm OVPAA-F-INS-055A RAW SC'!CO83:CX83))-COLUMNS('Midterm OVPAA-F-INS-055A RAW SC'!CO83:CX83))*5+SUM(CS83:DB83))/COUNTA('Midterm OVPAA-F-INS-055A RAW SC'!$CO$17:$CX$17)))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37" t="str">
        <f t="shared" si="2"/>
        <v/>
      </c>
      <c r="DG83" s="138" t="str">
        <f t="shared" si="3"/>
        <v/>
      </c>
      <c r="DH83" s="136" t="str">
        <f t="shared" si="4"/>
        <v/>
      </c>
      <c r="DI83" s="123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IF('Midterm OVPAA-F-INS-055A RAW SC'!H84="","",'Midterm OVPAA-F-INS-055A RAW SC'!H84/'Midterm OVPAA-F-INS-055A RAW SC'!H$17*100)</f>
        <v/>
      </c>
      <c r="I84" s="126" t="str">
        <f>IF('Midterm OVPAA-F-INS-055A RAW SC'!I84="","",'Midterm OVPAA-F-INS-055A RAW SC'!I84/'Midterm OVPAA-F-INS-055A RAW SC'!I$17*100)</f>
        <v/>
      </c>
      <c r="J84" s="126" t="str">
        <f>IF('Midterm OVPAA-F-INS-055A RAW SC'!J84="","",'Midterm OVPAA-F-INS-055A RAW SC'!J84/'Midterm OVPAA-F-INS-055A RAW SC'!J$17*100)</f>
        <v/>
      </c>
      <c r="K84" s="126" t="str">
        <f>IF('Midterm OVPAA-F-INS-055A RAW SC'!K84="","",'Midterm OVPAA-F-INS-055A RAW SC'!K84/'Midterm OVPAA-F-INS-055A RAW SC'!K$17*100)</f>
        <v/>
      </c>
      <c r="L84" s="126" t="str">
        <f>IF('Midterm OVPAA-F-INS-055A RAW SC'!L84="","",'Midterm OVPAA-F-INS-055A RAW SC'!L84/'Midterm OVPAA-F-INS-055A RAW SC'!L$17*100)</f>
        <v/>
      </c>
      <c r="M84" s="126" t="str">
        <f>IF('Midterm OVPAA-F-INS-055A RAW SC'!M84="","",'Midterm OVPAA-F-INS-055A RAW SC'!M84/'Midterm OVPAA-F-INS-055A RAW SC'!M$17*100)</f>
        <v/>
      </c>
      <c r="N84" s="126" t="str">
        <f>IF('Midterm OVPAA-F-INS-055A RAW SC'!N84="","",'Midterm OVPAA-F-INS-055A RAW SC'!N84/'Midterm OVPAA-F-INS-055A RAW SC'!N$17*100)</f>
        <v/>
      </c>
      <c r="O84" s="126" t="str">
        <f>IF('Midterm OVPAA-F-INS-055A RAW SC'!O84="","",'Midterm OVPAA-F-INS-055A RAW SC'!O84/'Midterm OVPAA-F-INS-055A RAW SC'!O$17*100)</f>
        <v/>
      </c>
      <c r="P84" s="126" t="str">
        <f>IF('Midterm OVPAA-F-INS-055A RAW SC'!P84="","",'Midterm OVPAA-F-INS-055A RAW SC'!P84/'Midterm OVPAA-F-INS-055A RAW SC'!P$17*100)</f>
        <v/>
      </c>
      <c r="Q84" s="126" t="str">
        <f>IF('Midterm OVPAA-F-INS-055A RAW SC'!Q84="","",'Midterm OVPAA-F-INS-055A RAW SC'!Q84/'Midterm OVPAA-F-INS-055A RAW SC'!Q$17*100)</f>
        <v/>
      </c>
      <c r="R84" s="126" t="str">
        <f>IF('Midterm OVPAA-F-INS-055A RAW SC'!R84="","",'Midterm OVPAA-F-INS-055A RAW SC'!R84/'Midterm OVPAA-F-INS-055A RAW SC'!R$17*100)</f>
        <v/>
      </c>
      <c r="S84" s="126" t="str">
        <f>IF('Midterm OVPAA-F-INS-055A RAW SC'!S84="","",'Midterm OVPAA-F-INS-055A RAW SC'!S84/'Midterm OVPAA-F-INS-055A RAW SC'!S$17*100)</f>
        <v/>
      </c>
      <c r="T84" s="126" t="str">
        <f>IF('Midterm OVPAA-F-INS-055A RAW SC'!T84="","",'Midterm OVPAA-F-INS-055A RAW SC'!T84/'Midterm OVPAA-F-INS-055A RAW SC'!T$17*100)</f>
        <v/>
      </c>
      <c r="U84" s="126" t="str">
        <f>IF('Midterm OVPAA-F-INS-055A RAW SC'!U84="","",'Midterm OVPAA-F-INS-055A RAW SC'!U84/'Midterm OVPAA-F-INS-055A RAW SC'!U$17*100)</f>
        <v/>
      </c>
      <c r="V84" s="126" t="str">
        <f>IF('Midterm OVPAA-F-INS-055A RAW SC'!V84="","",'Midterm OVPAA-F-INS-055A RAW SC'!V84/'Midterm OVPAA-F-INS-055A RAW SC'!V$17*100)</f>
        <v/>
      </c>
      <c r="W84" s="126" t="str">
        <f>IF('Midterm OVPAA-F-INS-055A RAW SC'!W84="","",'Midterm OVPAA-F-INS-055A RAW SC'!W84/'Midterm OVPAA-F-INS-055A RAW SC'!W$17*100)</f>
        <v/>
      </c>
      <c r="X84" s="126" t="str">
        <f>IF('Midterm OVPAA-F-INS-055A RAW SC'!X84="","",'Midterm OVPAA-F-INS-055A RAW SC'!X84/'Midterm OVPAA-F-INS-055A RAW SC'!X$17*100)</f>
        <v/>
      </c>
      <c r="Y84" s="126" t="str">
        <f>IF('Midterm OVPAA-F-INS-055A RAW SC'!Y84="","",'Midterm OVPAA-F-INS-055A RAW SC'!Y84/'Midterm OVPAA-F-INS-055A RAW SC'!Y$17*100)</f>
        <v/>
      </c>
      <c r="Z84" s="126" t="str">
        <f>IF('Midterm OVPAA-F-INS-055A RAW SC'!Z84="","",'Midterm OVPAA-F-INS-055A RAW SC'!Z84/'Midterm OVPAA-F-INS-055A RAW SC'!Z$17*100)</f>
        <v/>
      </c>
      <c r="AA84" s="126" t="str">
        <f>IF('Midterm OVPAA-F-INS-055A RAW SC'!AA84="","",'Midterm OVPAA-F-INS-055A RAW SC'!AA84/'Midterm OVPAA-F-INS-055A RAW SC'!AA$17*100)</f>
        <v/>
      </c>
      <c r="AB84" s="126" t="str">
        <f>IF('Midterm OVPAA-F-INS-055A RAW SC'!AB84="","",'Midterm OVPAA-F-INS-055A RAW SC'!AB84/'Midterm OVPAA-F-INS-055A RAW SC'!AB$17*100)</f>
        <v/>
      </c>
      <c r="AC84" s="126" t="str">
        <f>IF('Midterm OVPAA-F-INS-055A RAW SC'!AC84="","",'Midterm OVPAA-F-INS-055A RAW SC'!AC84/'Midterm OVPAA-F-INS-055A RAW SC'!AC$17*100)</f>
        <v/>
      </c>
      <c r="AD84" s="126" t="str">
        <f>IF('Midterm OVPAA-F-INS-055A RAW SC'!AD84="","",'Midterm OVPAA-F-INS-055A RAW SC'!AD84/'Midterm OVPAA-F-INS-055A RAW SC'!AD$17*100)</f>
        <v/>
      </c>
      <c r="AE84" s="126" t="str">
        <f>IF('Midterm OVPAA-F-INS-055A RAW SC'!AE84="","",'Midterm OVPAA-F-INS-055A RAW SC'!AE84/'Midterm OVPAA-F-INS-055A RAW SC'!AE$17*100)</f>
        <v/>
      </c>
      <c r="AF84" s="126" t="str">
        <f>IF('Midterm OVPAA-F-INS-055A RAW SC'!AF84="","",'Midterm OVPAA-F-INS-055A RAW SC'!AF84/'Midterm OVPAA-F-INS-055A RAW SC'!AF$17*100)</f>
        <v/>
      </c>
      <c r="AG84" s="126" t="str">
        <f>IF('Midterm OVPAA-F-INS-055A RAW SC'!AG84="","",'Midterm OVPAA-F-INS-055A RAW SC'!AG84/'Midterm OVPAA-F-INS-055A RAW SC'!AG$17*100)</f>
        <v/>
      </c>
      <c r="AH84" s="126" t="str">
        <f>IF('Midterm OVPAA-F-INS-055A RAW SC'!AH84="","",'Midterm OVPAA-F-INS-055A RAW SC'!AH84/'Midterm OVPAA-F-INS-055A RAW SC'!AH$17*100)</f>
        <v/>
      </c>
      <c r="AI84" s="126" t="str">
        <f>IF('Midterm OVPAA-F-INS-055A RAW SC'!AI84="","",'Midterm OVPAA-F-INS-055A RAW SC'!AI84/'Midterm OVPAA-F-INS-055A RAW SC'!AI$17*100)</f>
        <v/>
      </c>
      <c r="AJ84" s="126" t="str">
        <f>IF('Midterm OVPAA-F-INS-055A RAW SC'!AJ84="","",'Midterm OVPAA-F-INS-055A RAW SC'!AJ84/'Midterm OVPAA-F-INS-055A RAW SC'!AJ$17*100)</f>
        <v/>
      </c>
      <c r="AK84" s="126" t="str">
        <f>IF('Midterm OVPAA-F-INS-055A RAW SC'!AK84="","",'Midterm OVPAA-F-INS-055A RAW SC'!AK84/'Midterm OVPAA-F-INS-055A RAW SC'!AK$17*100)</f>
        <v/>
      </c>
      <c r="AL84" s="126" t="str">
        <f>IF('Midterm OVPAA-F-INS-055A RAW SC'!AL84="","",'Midterm OVPAA-F-INS-055A RAW SC'!AL84/'Midterm OVPAA-F-INS-055A RAW SC'!AL$17*100)</f>
        <v/>
      </c>
      <c r="AM84" s="126" t="str">
        <f>IF('Midterm OVPAA-F-INS-055A RAW SC'!AM84="","",'Midterm OVPAA-F-INS-055A RAW SC'!AM84/'Midterm OVPAA-F-INS-055A RAW SC'!AM$17*100)</f>
        <v/>
      </c>
      <c r="AN84" s="126" t="str">
        <f>IF('Midterm OVPAA-F-INS-055A RAW SC'!AN84="","",'Midterm OVPAA-F-INS-055A RAW SC'!AN84/'Midterm OVPAA-F-INS-055A RAW SC'!AN$17*100)</f>
        <v/>
      </c>
      <c r="AO84" s="126" t="str">
        <f>IF('Midterm OVPAA-F-INS-055A RAW SC'!AO84="","",'Midterm OVPAA-F-INS-055A RAW SC'!AO84/'Midterm OVPAA-F-INS-055A RAW SC'!AO$17*100)</f>
        <v/>
      </c>
      <c r="AP84" s="126" t="str">
        <f>IF('Midterm OVPAA-F-INS-055A RAW SC'!AP84="","",'Midterm OVPAA-F-INS-055A RAW SC'!AP84/'Midterm OVPAA-F-INS-055A RAW SC'!AP$17*100)</f>
        <v/>
      </c>
      <c r="AQ84" s="126" t="str">
        <f>IF('Midterm OVPAA-F-INS-055A RAW SC'!AQ84="","",'Midterm OVPAA-F-INS-055A RAW SC'!AQ84/'Midterm OVPAA-F-INS-055A RAW SC'!AQ$17*100)</f>
        <v/>
      </c>
      <c r="AR84" s="126" t="str">
        <f>IF('Midterm OVPAA-F-INS-055A RAW SC'!AR84="","",'Midterm OVPAA-F-INS-055A RAW SC'!AR84/'Midterm OVPAA-F-INS-055A RAW SC'!AR$17*100)</f>
        <v/>
      </c>
      <c r="AS84" s="126" t="str">
        <f>IF('Midterm OVPAA-F-INS-055A RAW SC'!AS84="","",'Midterm OVPAA-F-INS-055A RAW SC'!AS84/'Midterm OVPAA-F-INS-055A RAW SC'!AS$17*100)</f>
        <v/>
      </c>
      <c r="AT84" s="126" t="str">
        <f>IF('Midterm OVPAA-F-INS-055A RAW SC'!AT84="","",'Midterm OVPAA-F-INS-055A RAW SC'!AT84/'Midterm OVPAA-F-INS-055A RAW SC'!AT$17*100)</f>
        <v/>
      </c>
      <c r="AU84" s="126" t="str">
        <f>IF('Midterm OVPAA-F-INS-055A RAW SC'!AU84="","",'Midterm OVPAA-F-INS-055A RAW SC'!AU84/'Midterm OVPAA-F-INS-055A RAW SC'!AU$17*100)</f>
        <v/>
      </c>
      <c r="AV84" s="126" t="str">
        <f>IF('Midterm OVPAA-F-INS-055A RAW SC'!AV84="","",'Midterm OVPAA-F-INS-055A RAW SC'!AV84/'Midterm OVPAA-F-INS-055A RAW SC'!AV$17*100)</f>
        <v/>
      </c>
      <c r="AW84" s="126" t="str">
        <f>IF('Midterm OVPAA-F-INS-055A RAW SC'!AW84="","",'Midterm OVPAA-F-INS-055A RAW SC'!AW84/'Midterm OVPAA-F-INS-055A RAW SC'!AW$17*100)</f>
        <v/>
      </c>
      <c r="AX84" s="126" t="str">
        <f>IF('Midterm OVPAA-F-INS-055A RAW SC'!AX84="","",'Midterm OVPAA-F-INS-055A RAW SC'!AX84/'Midterm OVPAA-F-INS-055A RAW SC'!AX$17*100)</f>
        <v/>
      </c>
      <c r="AY84" s="126" t="str">
        <f>IF('Midterm OVPAA-F-INS-055A RAW SC'!AY84="","",'Midterm OVPAA-F-INS-055A RAW SC'!AY84/'Midterm OVPAA-F-INS-055A RAW SC'!AY$17*100)</f>
        <v/>
      </c>
      <c r="AZ84" s="126" t="str">
        <f>IF('Midterm OVPAA-F-INS-055A RAW SC'!AZ84="","",'Midterm OVPAA-F-INS-055A RAW SC'!AZ84/'Midterm OVPAA-F-INS-055A RAW SC'!AZ$17*100)</f>
        <v/>
      </c>
      <c r="BA84" s="126" t="str">
        <f>IF('Midterm OVPAA-F-INS-055A RAW SC'!BA84="","",'Midterm OVPAA-F-INS-055A RAW SC'!BA84/'Midterm OVPAA-F-INS-055A RAW SC'!BA$17*100)</f>
        <v/>
      </c>
      <c r="BB84" s="126" t="str">
        <f>IF('Midterm OVPAA-F-INS-055A RAW SC'!BB84="","",'Midterm OVPAA-F-INS-055A RAW SC'!BB84/'Midterm OVPAA-F-INS-055A RAW SC'!BB$17*100)</f>
        <v/>
      </c>
      <c r="BC84" s="126" t="str">
        <f>IF('Midterm OVPAA-F-INS-055A RAW SC'!BC84="","",'Midterm OVPAA-F-INS-055A RAW SC'!BC84/'Midterm OVPAA-F-INS-055A RAW SC'!BC$17*100)</f>
        <v/>
      </c>
      <c r="BD84" s="126" t="str">
        <f>IF('Midterm OVPAA-F-INS-055A RAW SC'!BD84="","",'Midterm OVPAA-F-INS-055A RAW SC'!BD84/'Midterm OVPAA-F-INS-055A RAW SC'!BD$17*100)</f>
        <v/>
      </c>
      <c r="BE84" s="126" t="str">
        <f>IF('Midterm OVPAA-F-INS-055A RAW SC'!BE84="","",'Midterm OVPAA-F-INS-055A RAW SC'!BE84/'Midterm OVPAA-F-INS-055A RAW SC'!BE$17*100)</f>
        <v/>
      </c>
      <c r="BF84" s="126" t="str">
        <f>IF('Midterm OVPAA-F-INS-055A RAW SC'!BF84="","",'Midterm OVPAA-F-INS-055A RAW SC'!BF84/'Midterm OVPAA-F-INS-055A RAW SC'!BF$17*100)</f>
        <v/>
      </c>
      <c r="BG84" s="126" t="str">
        <f>IF('Midterm OVPAA-F-INS-055A RAW SC'!BG84="","",'Midterm OVPAA-F-INS-055A RAW SC'!BG84/'Midterm OVPAA-F-INS-055A RAW SC'!BG$17*100)</f>
        <v/>
      </c>
      <c r="BH84" s="126" t="str">
        <f>IF('Midterm OVPAA-F-INS-055A RAW SC'!BH84="","",'Midterm OVPAA-F-INS-055A RAW SC'!BH84/'Midterm OVPAA-F-INS-055A RAW SC'!BH$17*100)</f>
        <v/>
      </c>
      <c r="BI84" s="126" t="str">
        <f>IF('Midterm OVPAA-F-INS-055A RAW SC'!BI84="","",'Midterm OVPAA-F-INS-055A RAW SC'!BI84/'Midterm OVPAA-F-INS-055A RAW SC'!BI$17*100)</f>
        <v/>
      </c>
      <c r="BJ84" s="126" t="str">
        <f>IF('Midterm OVPAA-F-INS-055A RAW SC'!BJ84="","",'Midterm OVPAA-F-INS-055A RAW SC'!BJ84/'Midterm OVPAA-F-INS-055A RAW SC'!BJ$17*100)</f>
        <v/>
      </c>
      <c r="BK84" s="126" t="str">
        <f>IF('Midterm OVPAA-F-INS-055A RAW SC'!BK84="","",'Midterm OVPAA-F-INS-055A RAW SC'!BK84/'Midterm OVPAA-F-INS-055A RAW SC'!BK$17*100)</f>
        <v/>
      </c>
      <c r="BL84" s="126" t="str">
        <f>IF('Midterm OVPAA-F-INS-055A RAW SC'!BL84="","",'Midterm OVPAA-F-INS-055A RAW SC'!BL84/'Midterm OVPAA-F-INS-055A RAW SC'!BL$17*100)</f>
        <v/>
      </c>
      <c r="BM84" s="126" t="str">
        <f>IF('Midterm OVPAA-F-INS-055A RAW SC'!BM84="","",'Midterm OVPAA-F-INS-055A RAW SC'!BM84/'Midterm OVPAA-F-INS-055A RAW SC'!BM$17*100)</f>
        <v/>
      </c>
      <c r="BN84" s="126" t="str">
        <f>IF('Midterm OVPAA-F-INS-055A RAW SC'!BN84="","",'Midterm OVPAA-F-INS-055A RAW SC'!BN84/'Midterm OVPAA-F-INS-055A RAW SC'!BN$17*100)</f>
        <v/>
      </c>
      <c r="BO84" s="126" t="str">
        <f>IF('Midterm OVPAA-F-INS-055A RAW SC'!BO84="","",'Midterm OVPAA-F-INS-055A RAW SC'!BO84/'Midterm OVPAA-F-INS-055A RAW SC'!BO$17*100)</f>
        <v/>
      </c>
      <c r="BP84" s="126" t="str">
        <f>IF('Midterm OVPAA-F-INS-055A RAW SC'!BP84="","",'Midterm OVPAA-F-INS-055A RAW SC'!BP84/'Midterm OVPAA-F-INS-055A RAW SC'!BP$17*100)</f>
        <v/>
      </c>
      <c r="BQ84" s="126" t="str">
        <f>IF('Midterm OVPAA-F-INS-055A RAW SC'!BQ84="","",'Midterm OVPAA-F-INS-055A RAW SC'!BQ84/'Midterm OVPAA-F-INS-055A RAW SC'!BQ$17*100)</f>
        <v/>
      </c>
      <c r="BR84" s="126" t="str">
        <f>IF('Midterm OVPAA-F-INS-055A RAW SC'!BR84="","",'Midterm OVPAA-F-INS-055A RAW SC'!BR84/'Midterm OVPAA-F-INS-055A RAW SC'!BR$17*100)</f>
        <v/>
      </c>
      <c r="BS84" s="126" t="str">
        <f>IF('Midterm OVPAA-F-INS-055A RAW SC'!BS84="","",'Midterm OVPAA-F-INS-055A RAW SC'!BS84/'Midterm OVPAA-F-INS-055A RAW SC'!BS$17*100)</f>
        <v/>
      </c>
      <c r="BT84" s="126" t="str">
        <f>IF('Midterm OVPAA-F-INS-055A RAW SC'!BT84="","",'Midterm OVPAA-F-INS-055A RAW SC'!BT84/'Midterm OVPAA-F-INS-055A RAW SC'!BT$17*100)</f>
        <v/>
      </c>
      <c r="BU84" s="127" t="str">
        <f t="array" ref="BU84">IF('Midterm OVPAA-F-INS-055A RAW SC'!$G84="","",IF((SUMPRODUCT(--ISBLANK('Midterm OVPAA-F-INS-055A RAW SC'!H84:BT84))=COLUMNS('Midterm OVPAA-F-INS-055A RAW SC'!H84:BT84))=TRUE,"",(((COUNTA('Midterm OVPAA-F-INS-055A RAW SC'!$H$17:$BT$17)+COUNTBLANK('Midterm OVPAA-F-INS-055A RAW SC'!H84:BT84))-COLUMNS('Midterm OVPAA-F-INS-055A RAW SC'!H84:BT84))*5+SUM(H84:BT84))/COUNTA('Midterm OVPAA-F-INS-055A RAW SC'!$H$17:$BT$17)))</f>
        <v/>
      </c>
      <c r="BV84" s="128" t="str">
        <f>IF(BU84="","",VLOOKUP(BU84,IF('Midterm OVPAA-F-INS-055A RAW SC'!$V$12=0.5,TRANSMUTATION!$C$4:$D$17,TRANSMUTATION!$G$4:$H$17),2,TRUE))</f>
        <v/>
      </c>
      <c r="BW84" s="129" t="str">
        <f>IF('Midterm OVPAA-F-INS-055A RAW SC'!BU84="","",'Midterm OVPAA-F-INS-055A RAW SC'!BU84/'Midterm OVPAA-F-INS-055A RAW SC'!BU$17*100)</f>
        <v/>
      </c>
      <c r="BX84" s="130" t="str">
        <f>IF('Midterm OVPAA-F-INS-055A RAW SC'!BV84="","",'Midterm OVPAA-F-INS-055A RAW SC'!BV84/'Midterm OVPAA-F-INS-055A RAW SC'!BV$17*100)</f>
        <v/>
      </c>
      <c r="BY84" s="130" t="str">
        <f>IF('Midterm OVPAA-F-INS-055A RAW SC'!BW84="","",'Midterm OVPAA-F-INS-055A RAW SC'!BW84/'Midterm OVPAA-F-INS-055A RAW SC'!BW$17*100)</f>
        <v/>
      </c>
      <c r="BZ84" s="130" t="str">
        <f>IF('Midterm OVPAA-F-INS-055A RAW SC'!BX84="","",'Midterm OVPAA-F-INS-055A RAW SC'!BX84/'Midterm OVPAA-F-INS-055A RAW SC'!BX$17*100)</f>
        <v/>
      </c>
      <c r="CA84" s="130" t="str">
        <f>IF('Midterm OVPAA-F-INS-055A RAW SC'!BY84="","",'Midterm OVPAA-F-INS-055A RAW SC'!BY84/'Midterm OVPAA-F-INS-055A RAW SC'!BY$17*100)</f>
        <v/>
      </c>
      <c r="CB84" s="130" t="str">
        <f>IF('Midterm OVPAA-F-INS-055A RAW SC'!BZ84="","",'Midterm OVPAA-F-INS-055A RAW SC'!BZ84/'Midterm OVPAA-F-INS-055A RAW SC'!BZ$17*100)</f>
        <v/>
      </c>
      <c r="CC84" s="130" t="str">
        <f>IF('Midterm OVPAA-F-INS-055A RAW SC'!CA84="","",'Midterm OVPAA-F-INS-055A RAW SC'!CA84/'Midterm OVPAA-F-INS-055A RAW SC'!CA$17*100)</f>
        <v/>
      </c>
      <c r="CD84" s="130" t="str">
        <f>IF('Midterm OVPAA-F-INS-055A RAW SC'!CB84="","",'Midterm OVPAA-F-INS-055A RAW SC'!CB84/'Midterm OVPAA-F-INS-055A RAW SC'!CB$17*100)</f>
        <v/>
      </c>
      <c r="CE84" s="130" t="str">
        <f>IF('Midterm OVPAA-F-INS-055A RAW SC'!CC84="","",'Midterm OVPAA-F-INS-055A RAW SC'!CC84/'Midterm OVPAA-F-INS-055A RAW SC'!CC$17*100)</f>
        <v/>
      </c>
      <c r="CF84" s="130" t="str">
        <f>IF('Midterm OVPAA-F-INS-055A RAW SC'!CD84="","",'Midterm OVPAA-F-INS-055A RAW SC'!CD84/'Midterm OVPAA-F-INS-055A RAW SC'!CD$17*100)</f>
        <v/>
      </c>
      <c r="CG84" s="130" t="str">
        <f>IF('Midterm OVPAA-F-INS-055A RAW SC'!CE84="","",'Midterm OVPAA-F-INS-055A RAW SC'!CE84/'Midterm OVPAA-F-INS-055A RAW SC'!CE$17*100)</f>
        <v/>
      </c>
      <c r="CH84" s="130" t="str">
        <f>IF('Midterm OVPAA-F-INS-055A RAW SC'!CF84="","",'Midterm OVPAA-F-INS-055A RAW SC'!CF84/'Midterm OVPAA-F-INS-055A RAW SC'!CF$17*100)</f>
        <v/>
      </c>
      <c r="CI84" s="130" t="str">
        <f>IF('Midterm OVPAA-F-INS-055A RAW SC'!CG84="","",'Midterm OVPAA-F-INS-055A RAW SC'!CG84/'Midterm OVPAA-F-INS-055A RAW SC'!CG$17*100)</f>
        <v/>
      </c>
      <c r="CJ84" s="130" t="str">
        <f>IF('Midterm OVPAA-F-INS-055A RAW SC'!CH84="","",'Midterm OVPAA-F-INS-055A RAW SC'!CH84/'Midterm OVPAA-F-INS-055A RAW SC'!CH$17*100)</f>
        <v/>
      </c>
      <c r="CK84" s="130" t="str">
        <f>IF('Midterm OVPAA-F-INS-055A RAW SC'!CI84="","",'Midterm OVPAA-F-INS-055A RAW SC'!CI84/'Midterm OVPAA-F-INS-055A RAW SC'!CI$17*100)</f>
        <v/>
      </c>
      <c r="CL84" s="130" t="str">
        <f>IF('Midterm OVPAA-F-INS-055A RAW SC'!CJ84="","",'Midterm OVPAA-F-INS-055A RAW SC'!CJ84/'Midterm OVPAA-F-INS-055A RAW SC'!CJ$17*100)</f>
        <v/>
      </c>
      <c r="CM84" s="130" t="str">
        <f>IF('Midterm OVPAA-F-INS-055A RAW SC'!CK84="","",'Midterm OVPAA-F-INS-055A RAW SC'!CK84/'Midterm OVPAA-F-INS-055A RAW SC'!CK$17*100)</f>
        <v/>
      </c>
      <c r="CN84" s="130" t="str">
        <f>IF('Midterm OVPAA-F-INS-055A RAW SC'!CL84="","",'Midterm OVPAA-F-INS-055A RAW SC'!CL84/'Midterm OVPAA-F-INS-055A RAW SC'!CL$17*100)</f>
        <v/>
      </c>
      <c r="CO84" s="130" t="str">
        <f>IF('Midterm OVPAA-F-INS-055A RAW SC'!CM84="","",'Midterm OVPAA-F-INS-055A RAW SC'!CM84/'Midterm OVPAA-F-INS-055A RAW SC'!CM$17*100)</f>
        <v/>
      </c>
      <c r="CP84" s="130" t="str">
        <f>IF('Midterm OVPAA-F-INS-055A RAW SC'!CN84="","",'Midterm OVPAA-F-INS-055A RAW SC'!CN84/'Midterm OVPAA-F-INS-055A RAW SC'!CN$17*100)</f>
        <v/>
      </c>
      <c r="CQ84" s="131" t="str">
        <f t="array" ref="CQ84">IF('Midterm OVPAA-F-INS-055A RAW SC'!G84="","",IF((SUMPRODUCT(--ISBLANK('Midterm OVPAA-F-INS-055A RAW SC'!BU84:CN84))=COLUMNS('Midterm OVPAA-F-INS-055A RAW SC'!BU84:CN84))=TRUE,"",(((COUNTA('Midterm OVPAA-F-INS-055A RAW SC'!$BU$17:$CN$17)+COUNTBLANK('Midterm OVPAA-F-INS-055A RAW SC'!BU84:CN84))-COLUMNS('Midterm OVPAA-F-INS-055A RAW SC'!BU84:CN84))*5+SUM(BW84:CP84))/COUNTA('Midterm OVPAA-F-INS-055A RAW SC'!$BU$17:$CN$17)))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IF('Midterm OVPAA-F-INS-055A RAW SC'!CO84="","",'Midterm OVPAA-F-INS-055A RAW SC'!CO84/'Midterm OVPAA-F-INS-055A RAW SC'!CO$17*100)</f>
        <v/>
      </c>
      <c r="CT84" s="133" t="str">
        <f>IF('Midterm OVPAA-F-INS-055A RAW SC'!CP84="","",'Midterm OVPAA-F-INS-055A RAW SC'!CP84/'Midterm OVPAA-F-INS-055A RAW SC'!CP$17*100)</f>
        <v/>
      </c>
      <c r="CU84" s="133" t="str">
        <f>IF('Midterm OVPAA-F-INS-055A RAW SC'!CQ84="","",'Midterm OVPAA-F-INS-055A RAW SC'!CQ84/'Midterm OVPAA-F-INS-055A RAW SC'!CQ$17*100)</f>
        <v/>
      </c>
      <c r="CV84" s="133" t="str">
        <f>IF('Midterm OVPAA-F-INS-055A RAW SC'!CR84="","",'Midterm OVPAA-F-INS-055A RAW SC'!CR84/'Midterm OVPAA-F-INS-055A RAW SC'!CR$17*100)</f>
        <v/>
      </c>
      <c r="CW84" s="133" t="str">
        <f>IF('Midterm OVPAA-F-INS-055A RAW SC'!CS84="","",'Midterm OVPAA-F-INS-055A RAW SC'!CS84/'Midterm OVPAA-F-INS-055A RAW SC'!CS$17*100)</f>
        <v/>
      </c>
      <c r="CX84" s="133" t="str">
        <f>IF('Midterm OVPAA-F-INS-055A RAW SC'!CT84="","",'Midterm OVPAA-F-INS-055A RAW SC'!CT84/'Midterm OVPAA-F-INS-055A RAW SC'!CT$17*100)</f>
        <v/>
      </c>
      <c r="CY84" s="133" t="str">
        <f>IF('Midterm OVPAA-F-INS-055A RAW SC'!CU84="","",'Midterm OVPAA-F-INS-055A RAW SC'!CU84/'Midterm OVPAA-F-INS-055A RAW SC'!CU$17*100)</f>
        <v/>
      </c>
      <c r="CZ84" s="133" t="str">
        <f>IF('Midterm OVPAA-F-INS-055A RAW SC'!CV84="","",'Midterm OVPAA-F-INS-055A RAW SC'!CV84/'Midterm OVPAA-F-INS-055A RAW SC'!CV$17*100)</f>
        <v/>
      </c>
      <c r="DA84" s="133" t="str">
        <f>IF('Midterm OVPAA-F-INS-055A RAW SC'!CW84="","",'Midterm OVPAA-F-INS-055A RAW SC'!CW84/'Midterm OVPAA-F-INS-055A RAW SC'!CW$17*100)</f>
        <v/>
      </c>
      <c r="DB84" s="133" t="str">
        <f>IF('Midterm OVPAA-F-INS-055A RAW SC'!CX84="","",'Midterm OVPAA-F-INS-055A RAW SC'!CX84/'Midterm OVPAA-F-INS-055A RAW SC'!CX$17*100)</f>
        <v/>
      </c>
      <c r="DC84" s="134" t="str">
        <f t="array" ref="DC84">IF('Midterm OVPAA-F-INS-055A RAW SC'!$G84="","",IF((SUMPRODUCT(--ISBLANK('Midterm OVPAA-F-INS-055A RAW SC'!CO84:CX84))=COLUMNS('Midterm OVPAA-F-INS-055A RAW SC'!CO84:CX84))=TRUE,"",(((COUNTA('Midterm OVPAA-F-INS-055A RAW SC'!$CO$17:$CX$17)+COUNTBLANK('Midterm OVPAA-F-INS-055A RAW SC'!CO84:CX84))-COLUMNS('Midterm OVPAA-F-INS-055A RAW SC'!CO84:CX84))*5+SUM(CS84:DB84))/COUNTA('Midterm OVPAA-F-INS-055A RAW SC'!$CO$17:$CX$17)))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37" t="str">
        <f t="shared" si="2"/>
        <v/>
      </c>
      <c r="DG84" s="138" t="str">
        <f t="shared" si="3"/>
        <v/>
      </c>
      <c r="DH84" s="136" t="str">
        <f t="shared" si="4"/>
        <v/>
      </c>
      <c r="DI84" s="123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IF('Midterm OVPAA-F-INS-055A RAW SC'!H85="","",'Midterm OVPAA-F-INS-055A RAW SC'!H85/'Midterm OVPAA-F-INS-055A RAW SC'!H$17*100)</f>
        <v/>
      </c>
      <c r="I85" s="126" t="str">
        <f>IF('Midterm OVPAA-F-INS-055A RAW SC'!I85="","",'Midterm OVPAA-F-INS-055A RAW SC'!I85/'Midterm OVPAA-F-INS-055A RAW SC'!I$17*100)</f>
        <v/>
      </c>
      <c r="J85" s="126" t="str">
        <f>IF('Midterm OVPAA-F-INS-055A RAW SC'!J85="","",'Midterm OVPAA-F-INS-055A RAW SC'!J85/'Midterm OVPAA-F-INS-055A RAW SC'!J$17*100)</f>
        <v/>
      </c>
      <c r="K85" s="126" t="str">
        <f>IF('Midterm OVPAA-F-INS-055A RAW SC'!K85="","",'Midterm OVPAA-F-INS-055A RAW SC'!K85/'Midterm OVPAA-F-INS-055A RAW SC'!K$17*100)</f>
        <v/>
      </c>
      <c r="L85" s="126" t="str">
        <f>IF('Midterm OVPAA-F-INS-055A RAW SC'!L85="","",'Midterm OVPAA-F-INS-055A RAW SC'!L85/'Midterm OVPAA-F-INS-055A RAW SC'!L$17*100)</f>
        <v/>
      </c>
      <c r="M85" s="126" t="str">
        <f>IF('Midterm OVPAA-F-INS-055A RAW SC'!M85="","",'Midterm OVPAA-F-INS-055A RAW SC'!M85/'Midterm OVPAA-F-INS-055A RAW SC'!M$17*100)</f>
        <v/>
      </c>
      <c r="N85" s="126" t="str">
        <f>IF('Midterm OVPAA-F-INS-055A RAW SC'!N85="","",'Midterm OVPAA-F-INS-055A RAW SC'!N85/'Midterm OVPAA-F-INS-055A RAW SC'!N$17*100)</f>
        <v/>
      </c>
      <c r="O85" s="126" t="str">
        <f>IF('Midterm OVPAA-F-INS-055A RAW SC'!O85="","",'Midterm OVPAA-F-INS-055A RAW SC'!O85/'Midterm OVPAA-F-INS-055A RAW SC'!O$17*100)</f>
        <v/>
      </c>
      <c r="P85" s="126" t="str">
        <f>IF('Midterm OVPAA-F-INS-055A RAW SC'!P85="","",'Midterm OVPAA-F-INS-055A RAW SC'!P85/'Midterm OVPAA-F-INS-055A RAW SC'!P$17*100)</f>
        <v/>
      </c>
      <c r="Q85" s="126" t="str">
        <f>IF('Midterm OVPAA-F-INS-055A RAW SC'!Q85="","",'Midterm OVPAA-F-INS-055A RAW SC'!Q85/'Midterm OVPAA-F-INS-055A RAW SC'!Q$17*100)</f>
        <v/>
      </c>
      <c r="R85" s="126" t="str">
        <f>IF('Midterm OVPAA-F-INS-055A RAW SC'!R85="","",'Midterm OVPAA-F-INS-055A RAW SC'!R85/'Midterm OVPAA-F-INS-055A RAW SC'!R$17*100)</f>
        <v/>
      </c>
      <c r="S85" s="126" t="str">
        <f>IF('Midterm OVPAA-F-INS-055A RAW SC'!S85="","",'Midterm OVPAA-F-INS-055A RAW SC'!S85/'Midterm OVPAA-F-INS-055A RAW SC'!S$17*100)</f>
        <v/>
      </c>
      <c r="T85" s="126" t="str">
        <f>IF('Midterm OVPAA-F-INS-055A RAW SC'!T85="","",'Midterm OVPAA-F-INS-055A RAW SC'!T85/'Midterm OVPAA-F-INS-055A RAW SC'!T$17*100)</f>
        <v/>
      </c>
      <c r="U85" s="126" t="str">
        <f>IF('Midterm OVPAA-F-INS-055A RAW SC'!U85="","",'Midterm OVPAA-F-INS-055A RAW SC'!U85/'Midterm OVPAA-F-INS-055A RAW SC'!U$17*100)</f>
        <v/>
      </c>
      <c r="V85" s="126" t="str">
        <f>IF('Midterm OVPAA-F-INS-055A RAW SC'!V85="","",'Midterm OVPAA-F-INS-055A RAW SC'!V85/'Midterm OVPAA-F-INS-055A RAW SC'!V$17*100)</f>
        <v/>
      </c>
      <c r="W85" s="126" t="str">
        <f>IF('Midterm OVPAA-F-INS-055A RAW SC'!W85="","",'Midterm OVPAA-F-INS-055A RAW SC'!W85/'Midterm OVPAA-F-INS-055A RAW SC'!W$17*100)</f>
        <v/>
      </c>
      <c r="X85" s="126" t="str">
        <f>IF('Midterm OVPAA-F-INS-055A RAW SC'!X85="","",'Midterm OVPAA-F-INS-055A RAW SC'!X85/'Midterm OVPAA-F-INS-055A RAW SC'!X$17*100)</f>
        <v/>
      </c>
      <c r="Y85" s="126" t="str">
        <f>IF('Midterm OVPAA-F-INS-055A RAW SC'!Y85="","",'Midterm OVPAA-F-INS-055A RAW SC'!Y85/'Midterm OVPAA-F-INS-055A RAW SC'!Y$17*100)</f>
        <v/>
      </c>
      <c r="Z85" s="126" t="str">
        <f>IF('Midterm OVPAA-F-INS-055A RAW SC'!Z85="","",'Midterm OVPAA-F-INS-055A RAW SC'!Z85/'Midterm OVPAA-F-INS-055A RAW SC'!Z$17*100)</f>
        <v/>
      </c>
      <c r="AA85" s="126" t="str">
        <f>IF('Midterm OVPAA-F-INS-055A RAW SC'!AA85="","",'Midterm OVPAA-F-INS-055A RAW SC'!AA85/'Midterm OVPAA-F-INS-055A RAW SC'!AA$17*100)</f>
        <v/>
      </c>
      <c r="AB85" s="126" t="str">
        <f>IF('Midterm OVPAA-F-INS-055A RAW SC'!AB85="","",'Midterm OVPAA-F-INS-055A RAW SC'!AB85/'Midterm OVPAA-F-INS-055A RAW SC'!AB$17*100)</f>
        <v/>
      </c>
      <c r="AC85" s="126" t="str">
        <f>IF('Midterm OVPAA-F-INS-055A RAW SC'!AC85="","",'Midterm OVPAA-F-INS-055A RAW SC'!AC85/'Midterm OVPAA-F-INS-055A RAW SC'!AC$17*100)</f>
        <v/>
      </c>
      <c r="AD85" s="126" t="str">
        <f>IF('Midterm OVPAA-F-INS-055A RAW SC'!AD85="","",'Midterm OVPAA-F-INS-055A RAW SC'!AD85/'Midterm OVPAA-F-INS-055A RAW SC'!AD$17*100)</f>
        <v/>
      </c>
      <c r="AE85" s="126" t="str">
        <f>IF('Midterm OVPAA-F-INS-055A RAW SC'!AE85="","",'Midterm OVPAA-F-INS-055A RAW SC'!AE85/'Midterm OVPAA-F-INS-055A RAW SC'!AE$17*100)</f>
        <v/>
      </c>
      <c r="AF85" s="126" t="str">
        <f>IF('Midterm OVPAA-F-INS-055A RAW SC'!AF85="","",'Midterm OVPAA-F-INS-055A RAW SC'!AF85/'Midterm OVPAA-F-INS-055A RAW SC'!AF$17*100)</f>
        <v/>
      </c>
      <c r="AG85" s="126" t="str">
        <f>IF('Midterm OVPAA-F-INS-055A RAW SC'!AG85="","",'Midterm OVPAA-F-INS-055A RAW SC'!AG85/'Midterm OVPAA-F-INS-055A RAW SC'!AG$17*100)</f>
        <v/>
      </c>
      <c r="AH85" s="126" t="str">
        <f>IF('Midterm OVPAA-F-INS-055A RAW SC'!AH85="","",'Midterm OVPAA-F-INS-055A RAW SC'!AH85/'Midterm OVPAA-F-INS-055A RAW SC'!AH$17*100)</f>
        <v/>
      </c>
      <c r="AI85" s="126" t="str">
        <f>IF('Midterm OVPAA-F-INS-055A RAW SC'!AI85="","",'Midterm OVPAA-F-INS-055A RAW SC'!AI85/'Midterm OVPAA-F-INS-055A RAW SC'!AI$17*100)</f>
        <v/>
      </c>
      <c r="AJ85" s="126" t="str">
        <f>IF('Midterm OVPAA-F-INS-055A RAW SC'!AJ85="","",'Midterm OVPAA-F-INS-055A RAW SC'!AJ85/'Midterm OVPAA-F-INS-055A RAW SC'!AJ$17*100)</f>
        <v/>
      </c>
      <c r="AK85" s="126" t="str">
        <f>IF('Midterm OVPAA-F-INS-055A RAW SC'!AK85="","",'Midterm OVPAA-F-INS-055A RAW SC'!AK85/'Midterm OVPAA-F-INS-055A RAW SC'!AK$17*100)</f>
        <v/>
      </c>
      <c r="AL85" s="126" t="str">
        <f>IF('Midterm OVPAA-F-INS-055A RAW SC'!AL85="","",'Midterm OVPAA-F-INS-055A RAW SC'!AL85/'Midterm OVPAA-F-INS-055A RAW SC'!AL$17*100)</f>
        <v/>
      </c>
      <c r="AM85" s="126" t="str">
        <f>IF('Midterm OVPAA-F-INS-055A RAW SC'!AM85="","",'Midterm OVPAA-F-INS-055A RAW SC'!AM85/'Midterm OVPAA-F-INS-055A RAW SC'!AM$17*100)</f>
        <v/>
      </c>
      <c r="AN85" s="126" t="str">
        <f>IF('Midterm OVPAA-F-INS-055A RAW SC'!AN85="","",'Midterm OVPAA-F-INS-055A RAW SC'!AN85/'Midterm OVPAA-F-INS-055A RAW SC'!AN$17*100)</f>
        <v/>
      </c>
      <c r="AO85" s="126" t="str">
        <f>IF('Midterm OVPAA-F-INS-055A RAW SC'!AO85="","",'Midterm OVPAA-F-INS-055A RAW SC'!AO85/'Midterm OVPAA-F-INS-055A RAW SC'!AO$17*100)</f>
        <v/>
      </c>
      <c r="AP85" s="126" t="str">
        <f>IF('Midterm OVPAA-F-INS-055A RAW SC'!AP85="","",'Midterm OVPAA-F-INS-055A RAW SC'!AP85/'Midterm OVPAA-F-INS-055A RAW SC'!AP$17*100)</f>
        <v/>
      </c>
      <c r="AQ85" s="126" t="str">
        <f>IF('Midterm OVPAA-F-INS-055A RAW SC'!AQ85="","",'Midterm OVPAA-F-INS-055A RAW SC'!AQ85/'Midterm OVPAA-F-INS-055A RAW SC'!AQ$17*100)</f>
        <v/>
      </c>
      <c r="AR85" s="126" t="str">
        <f>IF('Midterm OVPAA-F-INS-055A RAW SC'!AR85="","",'Midterm OVPAA-F-INS-055A RAW SC'!AR85/'Midterm OVPAA-F-INS-055A RAW SC'!AR$17*100)</f>
        <v/>
      </c>
      <c r="AS85" s="126" t="str">
        <f>IF('Midterm OVPAA-F-INS-055A RAW SC'!AS85="","",'Midterm OVPAA-F-INS-055A RAW SC'!AS85/'Midterm OVPAA-F-INS-055A RAW SC'!AS$17*100)</f>
        <v/>
      </c>
      <c r="AT85" s="126" t="str">
        <f>IF('Midterm OVPAA-F-INS-055A RAW SC'!AT85="","",'Midterm OVPAA-F-INS-055A RAW SC'!AT85/'Midterm OVPAA-F-INS-055A RAW SC'!AT$17*100)</f>
        <v/>
      </c>
      <c r="AU85" s="126" t="str">
        <f>IF('Midterm OVPAA-F-INS-055A RAW SC'!AU85="","",'Midterm OVPAA-F-INS-055A RAW SC'!AU85/'Midterm OVPAA-F-INS-055A RAW SC'!AU$17*100)</f>
        <v/>
      </c>
      <c r="AV85" s="126" t="str">
        <f>IF('Midterm OVPAA-F-INS-055A RAW SC'!AV85="","",'Midterm OVPAA-F-INS-055A RAW SC'!AV85/'Midterm OVPAA-F-INS-055A RAW SC'!AV$17*100)</f>
        <v/>
      </c>
      <c r="AW85" s="126" t="str">
        <f>IF('Midterm OVPAA-F-INS-055A RAW SC'!AW85="","",'Midterm OVPAA-F-INS-055A RAW SC'!AW85/'Midterm OVPAA-F-INS-055A RAW SC'!AW$17*100)</f>
        <v/>
      </c>
      <c r="AX85" s="126" t="str">
        <f>IF('Midterm OVPAA-F-INS-055A RAW SC'!AX85="","",'Midterm OVPAA-F-INS-055A RAW SC'!AX85/'Midterm OVPAA-F-INS-055A RAW SC'!AX$17*100)</f>
        <v/>
      </c>
      <c r="AY85" s="126" t="str">
        <f>IF('Midterm OVPAA-F-INS-055A RAW SC'!AY85="","",'Midterm OVPAA-F-INS-055A RAW SC'!AY85/'Midterm OVPAA-F-INS-055A RAW SC'!AY$17*100)</f>
        <v/>
      </c>
      <c r="AZ85" s="126" t="str">
        <f>IF('Midterm OVPAA-F-INS-055A RAW SC'!AZ85="","",'Midterm OVPAA-F-INS-055A RAW SC'!AZ85/'Midterm OVPAA-F-INS-055A RAW SC'!AZ$17*100)</f>
        <v/>
      </c>
      <c r="BA85" s="126" t="str">
        <f>IF('Midterm OVPAA-F-INS-055A RAW SC'!BA85="","",'Midterm OVPAA-F-INS-055A RAW SC'!BA85/'Midterm OVPAA-F-INS-055A RAW SC'!BA$17*100)</f>
        <v/>
      </c>
      <c r="BB85" s="126" t="str">
        <f>IF('Midterm OVPAA-F-INS-055A RAW SC'!BB85="","",'Midterm OVPAA-F-INS-055A RAW SC'!BB85/'Midterm OVPAA-F-INS-055A RAW SC'!BB$17*100)</f>
        <v/>
      </c>
      <c r="BC85" s="126" t="str">
        <f>IF('Midterm OVPAA-F-INS-055A RAW SC'!BC85="","",'Midterm OVPAA-F-INS-055A RAW SC'!BC85/'Midterm OVPAA-F-INS-055A RAW SC'!BC$17*100)</f>
        <v/>
      </c>
      <c r="BD85" s="126" t="str">
        <f>IF('Midterm OVPAA-F-INS-055A RAW SC'!BD85="","",'Midterm OVPAA-F-INS-055A RAW SC'!BD85/'Midterm OVPAA-F-INS-055A RAW SC'!BD$17*100)</f>
        <v/>
      </c>
      <c r="BE85" s="126" t="str">
        <f>IF('Midterm OVPAA-F-INS-055A RAW SC'!BE85="","",'Midterm OVPAA-F-INS-055A RAW SC'!BE85/'Midterm OVPAA-F-INS-055A RAW SC'!BE$17*100)</f>
        <v/>
      </c>
      <c r="BF85" s="126" t="str">
        <f>IF('Midterm OVPAA-F-INS-055A RAW SC'!BF85="","",'Midterm OVPAA-F-INS-055A RAW SC'!BF85/'Midterm OVPAA-F-INS-055A RAW SC'!BF$17*100)</f>
        <v/>
      </c>
      <c r="BG85" s="126" t="str">
        <f>IF('Midterm OVPAA-F-INS-055A RAW SC'!BG85="","",'Midterm OVPAA-F-INS-055A RAW SC'!BG85/'Midterm OVPAA-F-INS-055A RAW SC'!BG$17*100)</f>
        <v/>
      </c>
      <c r="BH85" s="126" t="str">
        <f>IF('Midterm OVPAA-F-INS-055A RAW SC'!BH85="","",'Midterm OVPAA-F-INS-055A RAW SC'!BH85/'Midterm OVPAA-F-INS-055A RAW SC'!BH$17*100)</f>
        <v/>
      </c>
      <c r="BI85" s="126" t="str">
        <f>IF('Midterm OVPAA-F-INS-055A RAW SC'!BI85="","",'Midterm OVPAA-F-INS-055A RAW SC'!BI85/'Midterm OVPAA-F-INS-055A RAW SC'!BI$17*100)</f>
        <v/>
      </c>
      <c r="BJ85" s="126" t="str">
        <f>IF('Midterm OVPAA-F-INS-055A RAW SC'!BJ85="","",'Midterm OVPAA-F-INS-055A RAW SC'!BJ85/'Midterm OVPAA-F-INS-055A RAW SC'!BJ$17*100)</f>
        <v/>
      </c>
      <c r="BK85" s="126" t="str">
        <f>IF('Midterm OVPAA-F-INS-055A RAW SC'!BK85="","",'Midterm OVPAA-F-INS-055A RAW SC'!BK85/'Midterm OVPAA-F-INS-055A RAW SC'!BK$17*100)</f>
        <v/>
      </c>
      <c r="BL85" s="126" t="str">
        <f>IF('Midterm OVPAA-F-INS-055A RAW SC'!BL85="","",'Midterm OVPAA-F-INS-055A RAW SC'!BL85/'Midterm OVPAA-F-INS-055A RAW SC'!BL$17*100)</f>
        <v/>
      </c>
      <c r="BM85" s="126" t="str">
        <f>IF('Midterm OVPAA-F-INS-055A RAW SC'!BM85="","",'Midterm OVPAA-F-INS-055A RAW SC'!BM85/'Midterm OVPAA-F-INS-055A RAW SC'!BM$17*100)</f>
        <v/>
      </c>
      <c r="BN85" s="126" t="str">
        <f>IF('Midterm OVPAA-F-INS-055A RAW SC'!BN85="","",'Midterm OVPAA-F-INS-055A RAW SC'!BN85/'Midterm OVPAA-F-INS-055A RAW SC'!BN$17*100)</f>
        <v/>
      </c>
      <c r="BO85" s="126" t="str">
        <f>IF('Midterm OVPAA-F-INS-055A RAW SC'!BO85="","",'Midterm OVPAA-F-INS-055A RAW SC'!BO85/'Midterm OVPAA-F-INS-055A RAW SC'!BO$17*100)</f>
        <v/>
      </c>
      <c r="BP85" s="126" t="str">
        <f>IF('Midterm OVPAA-F-INS-055A RAW SC'!BP85="","",'Midterm OVPAA-F-INS-055A RAW SC'!BP85/'Midterm OVPAA-F-INS-055A RAW SC'!BP$17*100)</f>
        <v/>
      </c>
      <c r="BQ85" s="126" t="str">
        <f>IF('Midterm OVPAA-F-INS-055A RAW SC'!BQ85="","",'Midterm OVPAA-F-INS-055A RAW SC'!BQ85/'Midterm OVPAA-F-INS-055A RAW SC'!BQ$17*100)</f>
        <v/>
      </c>
      <c r="BR85" s="126" t="str">
        <f>IF('Midterm OVPAA-F-INS-055A RAW SC'!BR85="","",'Midterm OVPAA-F-INS-055A RAW SC'!BR85/'Midterm OVPAA-F-INS-055A RAW SC'!BR$17*100)</f>
        <v/>
      </c>
      <c r="BS85" s="126" t="str">
        <f>IF('Midterm OVPAA-F-INS-055A RAW SC'!BS85="","",'Midterm OVPAA-F-INS-055A RAW SC'!BS85/'Midterm OVPAA-F-INS-055A RAW SC'!BS$17*100)</f>
        <v/>
      </c>
      <c r="BT85" s="126" t="str">
        <f>IF('Midterm OVPAA-F-INS-055A RAW SC'!BT85="","",'Midterm OVPAA-F-INS-055A RAW SC'!BT85/'Midterm OVPAA-F-INS-055A RAW SC'!BT$17*100)</f>
        <v/>
      </c>
      <c r="BU85" s="127" t="str">
        <f t="array" ref="BU85">IF('Midterm OVPAA-F-INS-055A RAW SC'!$G85="","",IF((SUMPRODUCT(--ISBLANK('Midterm OVPAA-F-INS-055A RAW SC'!H85:BT85))=COLUMNS('Midterm OVPAA-F-INS-055A RAW SC'!H85:BT85))=TRUE,"",(((COUNTA('Midterm OVPAA-F-INS-055A RAW SC'!$H$17:$BT$17)+COUNTBLANK('Midterm OVPAA-F-INS-055A RAW SC'!H85:BT85))-COLUMNS('Midterm OVPAA-F-INS-055A RAW SC'!H85:BT85))*5+SUM(H85:BT85))/COUNTA('Midterm OVPAA-F-INS-055A RAW SC'!$H$17:$BT$17)))</f>
        <v/>
      </c>
      <c r="BV85" s="128" t="str">
        <f>IF(BU85="","",VLOOKUP(BU85,IF('Midterm OVPAA-F-INS-055A RAW SC'!$V$12=0.5,TRANSMUTATION!$C$4:$D$17,TRANSMUTATION!$G$4:$H$17),2,TRUE))</f>
        <v/>
      </c>
      <c r="BW85" s="129" t="str">
        <f>IF('Midterm OVPAA-F-INS-055A RAW SC'!BU85="","",'Midterm OVPAA-F-INS-055A RAW SC'!BU85/'Midterm OVPAA-F-INS-055A RAW SC'!BU$17*100)</f>
        <v/>
      </c>
      <c r="BX85" s="130" t="str">
        <f>IF('Midterm OVPAA-F-INS-055A RAW SC'!BV85="","",'Midterm OVPAA-F-INS-055A RAW SC'!BV85/'Midterm OVPAA-F-INS-055A RAW SC'!BV$17*100)</f>
        <v/>
      </c>
      <c r="BY85" s="130" t="str">
        <f>IF('Midterm OVPAA-F-INS-055A RAW SC'!BW85="","",'Midterm OVPAA-F-INS-055A RAW SC'!BW85/'Midterm OVPAA-F-INS-055A RAW SC'!BW$17*100)</f>
        <v/>
      </c>
      <c r="BZ85" s="130" t="str">
        <f>IF('Midterm OVPAA-F-INS-055A RAW SC'!BX85="","",'Midterm OVPAA-F-INS-055A RAW SC'!BX85/'Midterm OVPAA-F-INS-055A RAW SC'!BX$17*100)</f>
        <v/>
      </c>
      <c r="CA85" s="130" t="str">
        <f>IF('Midterm OVPAA-F-INS-055A RAW SC'!BY85="","",'Midterm OVPAA-F-INS-055A RAW SC'!BY85/'Midterm OVPAA-F-INS-055A RAW SC'!BY$17*100)</f>
        <v/>
      </c>
      <c r="CB85" s="130" t="str">
        <f>IF('Midterm OVPAA-F-INS-055A RAW SC'!BZ85="","",'Midterm OVPAA-F-INS-055A RAW SC'!BZ85/'Midterm OVPAA-F-INS-055A RAW SC'!BZ$17*100)</f>
        <v/>
      </c>
      <c r="CC85" s="130" t="str">
        <f>IF('Midterm OVPAA-F-INS-055A RAW SC'!CA85="","",'Midterm OVPAA-F-INS-055A RAW SC'!CA85/'Midterm OVPAA-F-INS-055A RAW SC'!CA$17*100)</f>
        <v/>
      </c>
      <c r="CD85" s="130" t="str">
        <f>IF('Midterm OVPAA-F-INS-055A RAW SC'!CB85="","",'Midterm OVPAA-F-INS-055A RAW SC'!CB85/'Midterm OVPAA-F-INS-055A RAW SC'!CB$17*100)</f>
        <v/>
      </c>
      <c r="CE85" s="130" t="str">
        <f>IF('Midterm OVPAA-F-INS-055A RAW SC'!CC85="","",'Midterm OVPAA-F-INS-055A RAW SC'!CC85/'Midterm OVPAA-F-INS-055A RAW SC'!CC$17*100)</f>
        <v/>
      </c>
      <c r="CF85" s="130" t="str">
        <f>IF('Midterm OVPAA-F-INS-055A RAW SC'!CD85="","",'Midterm OVPAA-F-INS-055A RAW SC'!CD85/'Midterm OVPAA-F-INS-055A RAW SC'!CD$17*100)</f>
        <v/>
      </c>
      <c r="CG85" s="130" t="str">
        <f>IF('Midterm OVPAA-F-INS-055A RAW SC'!CE85="","",'Midterm OVPAA-F-INS-055A RAW SC'!CE85/'Midterm OVPAA-F-INS-055A RAW SC'!CE$17*100)</f>
        <v/>
      </c>
      <c r="CH85" s="130" t="str">
        <f>IF('Midterm OVPAA-F-INS-055A RAW SC'!CF85="","",'Midterm OVPAA-F-INS-055A RAW SC'!CF85/'Midterm OVPAA-F-INS-055A RAW SC'!CF$17*100)</f>
        <v/>
      </c>
      <c r="CI85" s="130" t="str">
        <f>IF('Midterm OVPAA-F-INS-055A RAW SC'!CG85="","",'Midterm OVPAA-F-INS-055A RAW SC'!CG85/'Midterm OVPAA-F-INS-055A RAW SC'!CG$17*100)</f>
        <v/>
      </c>
      <c r="CJ85" s="130" t="str">
        <f>IF('Midterm OVPAA-F-INS-055A RAW SC'!CH85="","",'Midterm OVPAA-F-INS-055A RAW SC'!CH85/'Midterm OVPAA-F-INS-055A RAW SC'!CH$17*100)</f>
        <v/>
      </c>
      <c r="CK85" s="130" t="str">
        <f>IF('Midterm OVPAA-F-INS-055A RAW SC'!CI85="","",'Midterm OVPAA-F-INS-055A RAW SC'!CI85/'Midterm OVPAA-F-INS-055A RAW SC'!CI$17*100)</f>
        <v/>
      </c>
      <c r="CL85" s="130" t="str">
        <f>IF('Midterm OVPAA-F-INS-055A RAW SC'!CJ85="","",'Midterm OVPAA-F-INS-055A RAW SC'!CJ85/'Midterm OVPAA-F-INS-055A RAW SC'!CJ$17*100)</f>
        <v/>
      </c>
      <c r="CM85" s="130" t="str">
        <f>IF('Midterm OVPAA-F-INS-055A RAW SC'!CK85="","",'Midterm OVPAA-F-INS-055A RAW SC'!CK85/'Midterm OVPAA-F-INS-055A RAW SC'!CK$17*100)</f>
        <v/>
      </c>
      <c r="CN85" s="130" t="str">
        <f>IF('Midterm OVPAA-F-INS-055A RAW SC'!CL85="","",'Midterm OVPAA-F-INS-055A RAW SC'!CL85/'Midterm OVPAA-F-INS-055A RAW SC'!CL$17*100)</f>
        <v/>
      </c>
      <c r="CO85" s="130" t="str">
        <f>IF('Midterm OVPAA-F-INS-055A RAW SC'!CM85="","",'Midterm OVPAA-F-INS-055A RAW SC'!CM85/'Midterm OVPAA-F-INS-055A RAW SC'!CM$17*100)</f>
        <v/>
      </c>
      <c r="CP85" s="130" t="str">
        <f>IF('Midterm OVPAA-F-INS-055A RAW SC'!CN85="","",'Midterm OVPAA-F-INS-055A RAW SC'!CN85/'Midterm OVPAA-F-INS-055A RAW SC'!CN$17*100)</f>
        <v/>
      </c>
      <c r="CQ85" s="131" t="str">
        <f t="array" ref="CQ85">IF('Midterm OVPAA-F-INS-055A RAW SC'!G85="","",IF((SUMPRODUCT(--ISBLANK('Midterm OVPAA-F-INS-055A RAW SC'!BU85:CN85))=COLUMNS('Midterm OVPAA-F-INS-055A RAW SC'!BU85:CN85))=TRUE,"",(((COUNTA('Midterm OVPAA-F-INS-055A RAW SC'!$BU$17:$CN$17)+COUNTBLANK('Midterm OVPAA-F-INS-055A RAW SC'!BU85:CN85))-COLUMNS('Midterm OVPAA-F-INS-055A RAW SC'!BU85:CN85))*5+SUM(BW85:CP85))/COUNTA('Midterm OVPAA-F-INS-055A RAW SC'!$BU$17:$CN$17)))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IF('Midterm OVPAA-F-INS-055A RAW SC'!CO85="","",'Midterm OVPAA-F-INS-055A RAW SC'!CO85/'Midterm OVPAA-F-INS-055A RAW SC'!CO$17*100)</f>
        <v/>
      </c>
      <c r="CT85" s="133" t="str">
        <f>IF('Midterm OVPAA-F-INS-055A RAW SC'!CP85="","",'Midterm OVPAA-F-INS-055A RAW SC'!CP85/'Midterm OVPAA-F-INS-055A RAW SC'!CP$17*100)</f>
        <v/>
      </c>
      <c r="CU85" s="133" t="str">
        <f>IF('Midterm OVPAA-F-INS-055A RAW SC'!CQ85="","",'Midterm OVPAA-F-INS-055A RAW SC'!CQ85/'Midterm OVPAA-F-INS-055A RAW SC'!CQ$17*100)</f>
        <v/>
      </c>
      <c r="CV85" s="133" t="str">
        <f>IF('Midterm OVPAA-F-INS-055A RAW SC'!CR85="","",'Midterm OVPAA-F-INS-055A RAW SC'!CR85/'Midterm OVPAA-F-INS-055A RAW SC'!CR$17*100)</f>
        <v/>
      </c>
      <c r="CW85" s="133" t="str">
        <f>IF('Midterm OVPAA-F-INS-055A RAW SC'!CS85="","",'Midterm OVPAA-F-INS-055A RAW SC'!CS85/'Midterm OVPAA-F-INS-055A RAW SC'!CS$17*100)</f>
        <v/>
      </c>
      <c r="CX85" s="133" t="str">
        <f>IF('Midterm OVPAA-F-INS-055A RAW SC'!CT85="","",'Midterm OVPAA-F-INS-055A RAW SC'!CT85/'Midterm OVPAA-F-INS-055A RAW SC'!CT$17*100)</f>
        <v/>
      </c>
      <c r="CY85" s="133" t="str">
        <f>IF('Midterm OVPAA-F-INS-055A RAW SC'!CU85="","",'Midterm OVPAA-F-INS-055A RAW SC'!CU85/'Midterm OVPAA-F-INS-055A RAW SC'!CU$17*100)</f>
        <v/>
      </c>
      <c r="CZ85" s="133" t="str">
        <f>IF('Midterm OVPAA-F-INS-055A RAW SC'!CV85="","",'Midterm OVPAA-F-INS-055A RAW SC'!CV85/'Midterm OVPAA-F-INS-055A RAW SC'!CV$17*100)</f>
        <v/>
      </c>
      <c r="DA85" s="133" t="str">
        <f>IF('Midterm OVPAA-F-INS-055A RAW SC'!CW85="","",'Midterm OVPAA-F-INS-055A RAW SC'!CW85/'Midterm OVPAA-F-INS-055A RAW SC'!CW$17*100)</f>
        <v/>
      </c>
      <c r="DB85" s="133" t="str">
        <f>IF('Midterm OVPAA-F-INS-055A RAW SC'!CX85="","",'Midterm OVPAA-F-INS-055A RAW SC'!CX85/'Midterm OVPAA-F-INS-055A RAW SC'!CX$17*100)</f>
        <v/>
      </c>
      <c r="DC85" s="134" t="str">
        <f t="array" ref="DC85">IF('Midterm OVPAA-F-INS-055A RAW SC'!$G85="","",IF((SUMPRODUCT(--ISBLANK('Midterm OVPAA-F-INS-055A RAW SC'!CO85:CX85))=COLUMNS('Midterm OVPAA-F-INS-055A RAW SC'!CO85:CX85))=TRUE,"",(((COUNTA('Midterm OVPAA-F-INS-055A RAW SC'!$CO$17:$CX$17)+COUNTBLANK('Midterm OVPAA-F-INS-055A RAW SC'!CO85:CX85))-COLUMNS('Midterm OVPAA-F-INS-055A RAW SC'!CO85:CX85))*5+SUM(CS85:DB85))/COUNTA('Midterm OVPAA-F-INS-055A RAW SC'!$CO$17:$CX$17)))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37" t="str">
        <f t="shared" si="2"/>
        <v/>
      </c>
      <c r="DG85" s="138" t="str">
        <f t="shared" si="3"/>
        <v/>
      </c>
      <c r="DH85" s="136" t="str">
        <f t="shared" si="4"/>
        <v/>
      </c>
      <c r="DI85" s="123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IF('Midterm OVPAA-F-INS-055A RAW SC'!H86="","",'Midterm OVPAA-F-INS-055A RAW SC'!H86/'Midterm OVPAA-F-INS-055A RAW SC'!H$17*100)</f>
        <v/>
      </c>
      <c r="I86" s="126" t="str">
        <f>IF('Midterm OVPAA-F-INS-055A RAW SC'!I86="","",'Midterm OVPAA-F-INS-055A RAW SC'!I86/'Midterm OVPAA-F-INS-055A RAW SC'!I$17*100)</f>
        <v/>
      </c>
      <c r="J86" s="126" t="str">
        <f>IF('Midterm OVPAA-F-INS-055A RAW SC'!J86="","",'Midterm OVPAA-F-INS-055A RAW SC'!J86/'Midterm OVPAA-F-INS-055A RAW SC'!J$17*100)</f>
        <v/>
      </c>
      <c r="K86" s="126" t="str">
        <f>IF('Midterm OVPAA-F-INS-055A RAW SC'!K86="","",'Midterm OVPAA-F-INS-055A RAW SC'!K86/'Midterm OVPAA-F-INS-055A RAW SC'!K$17*100)</f>
        <v/>
      </c>
      <c r="L86" s="126" t="str">
        <f>IF('Midterm OVPAA-F-INS-055A RAW SC'!L86="","",'Midterm OVPAA-F-INS-055A RAW SC'!L86/'Midterm OVPAA-F-INS-055A RAW SC'!L$17*100)</f>
        <v/>
      </c>
      <c r="M86" s="126" t="str">
        <f>IF('Midterm OVPAA-F-INS-055A RAW SC'!M86="","",'Midterm OVPAA-F-INS-055A RAW SC'!M86/'Midterm OVPAA-F-INS-055A RAW SC'!M$17*100)</f>
        <v/>
      </c>
      <c r="N86" s="126" t="str">
        <f>IF('Midterm OVPAA-F-INS-055A RAW SC'!N86="","",'Midterm OVPAA-F-INS-055A RAW SC'!N86/'Midterm OVPAA-F-INS-055A RAW SC'!N$17*100)</f>
        <v/>
      </c>
      <c r="O86" s="126" t="str">
        <f>IF('Midterm OVPAA-F-INS-055A RAW SC'!O86="","",'Midterm OVPAA-F-INS-055A RAW SC'!O86/'Midterm OVPAA-F-INS-055A RAW SC'!O$17*100)</f>
        <v/>
      </c>
      <c r="P86" s="126" t="str">
        <f>IF('Midterm OVPAA-F-INS-055A RAW SC'!P86="","",'Midterm OVPAA-F-INS-055A RAW SC'!P86/'Midterm OVPAA-F-INS-055A RAW SC'!P$17*100)</f>
        <v/>
      </c>
      <c r="Q86" s="126" t="str">
        <f>IF('Midterm OVPAA-F-INS-055A RAW SC'!Q86="","",'Midterm OVPAA-F-INS-055A RAW SC'!Q86/'Midterm OVPAA-F-INS-055A RAW SC'!Q$17*100)</f>
        <v/>
      </c>
      <c r="R86" s="126" t="str">
        <f>IF('Midterm OVPAA-F-INS-055A RAW SC'!R86="","",'Midterm OVPAA-F-INS-055A RAW SC'!R86/'Midterm OVPAA-F-INS-055A RAW SC'!R$17*100)</f>
        <v/>
      </c>
      <c r="S86" s="126" t="str">
        <f>IF('Midterm OVPAA-F-INS-055A RAW SC'!S86="","",'Midterm OVPAA-F-INS-055A RAW SC'!S86/'Midterm OVPAA-F-INS-055A RAW SC'!S$17*100)</f>
        <v/>
      </c>
      <c r="T86" s="126" t="str">
        <f>IF('Midterm OVPAA-F-INS-055A RAW SC'!T86="","",'Midterm OVPAA-F-INS-055A RAW SC'!T86/'Midterm OVPAA-F-INS-055A RAW SC'!T$17*100)</f>
        <v/>
      </c>
      <c r="U86" s="126" t="str">
        <f>IF('Midterm OVPAA-F-INS-055A RAW SC'!U86="","",'Midterm OVPAA-F-INS-055A RAW SC'!U86/'Midterm OVPAA-F-INS-055A RAW SC'!U$17*100)</f>
        <v/>
      </c>
      <c r="V86" s="126" t="str">
        <f>IF('Midterm OVPAA-F-INS-055A RAW SC'!V86="","",'Midterm OVPAA-F-INS-055A RAW SC'!V86/'Midterm OVPAA-F-INS-055A RAW SC'!V$17*100)</f>
        <v/>
      </c>
      <c r="W86" s="126" t="str">
        <f>IF('Midterm OVPAA-F-INS-055A RAW SC'!W86="","",'Midterm OVPAA-F-INS-055A RAW SC'!W86/'Midterm OVPAA-F-INS-055A RAW SC'!W$17*100)</f>
        <v/>
      </c>
      <c r="X86" s="126" t="str">
        <f>IF('Midterm OVPAA-F-INS-055A RAW SC'!X86="","",'Midterm OVPAA-F-INS-055A RAW SC'!X86/'Midterm OVPAA-F-INS-055A RAW SC'!X$17*100)</f>
        <v/>
      </c>
      <c r="Y86" s="126" t="str">
        <f>IF('Midterm OVPAA-F-INS-055A RAW SC'!Y86="","",'Midterm OVPAA-F-INS-055A RAW SC'!Y86/'Midterm OVPAA-F-INS-055A RAW SC'!Y$17*100)</f>
        <v/>
      </c>
      <c r="Z86" s="126" t="str">
        <f>IF('Midterm OVPAA-F-INS-055A RAW SC'!Z86="","",'Midterm OVPAA-F-INS-055A RAW SC'!Z86/'Midterm OVPAA-F-INS-055A RAW SC'!Z$17*100)</f>
        <v/>
      </c>
      <c r="AA86" s="126" t="str">
        <f>IF('Midterm OVPAA-F-INS-055A RAW SC'!AA86="","",'Midterm OVPAA-F-INS-055A RAW SC'!AA86/'Midterm OVPAA-F-INS-055A RAW SC'!AA$17*100)</f>
        <v/>
      </c>
      <c r="AB86" s="126" t="str">
        <f>IF('Midterm OVPAA-F-INS-055A RAW SC'!AB86="","",'Midterm OVPAA-F-INS-055A RAW SC'!AB86/'Midterm OVPAA-F-INS-055A RAW SC'!AB$17*100)</f>
        <v/>
      </c>
      <c r="AC86" s="126" t="str">
        <f>IF('Midterm OVPAA-F-INS-055A RAW SC'!AC86="","",'Midterm OVPAA-F-INS-055A RAW SC'!AC86/'Midterm OVPAA-F-INS-055A RAW SC'!AC$17*100)</f>
        <v/>
      </c>
      <c r="AD86" s="126" t="str">
        <f>IF('Midterm OVPAA-F-INS-055A RAW SC'!AD86="","",'Midterm OVPAA-F-INS-055A RAW SC'!AD86/'Midterm OVPAA-F-INS-055A RAW SC'!AD$17*100)</f>
        <v/>
      </c>
      <c r="AE86" s="126" t="str">
        <f>IF('Midterm OVPAA-F-INS-055A RAW SC'!AE86="","",'Midterm OVPAA-F-INS-055A RAW SC'!AE86/'Midterm OVPAA-F-INS-055A RAW SC'!AE$17*100)</f>
        <v/>
      </c>
      <c r="AF86" s="126" t="str">
        <f>IF('Midterm OVPAA-F-INS-055A RAW SC'!AF86="","",'Midterm OVPAA-F-INS-055A RAW SC'!AF86/'Midterm OVPAA-F-INS-055A RAW SC'!AF$17*100)</f>
        <v/>
      </c>
      <c r="AG86" s="126" t="str">
        <f>IF('Midterm OVPAA-F-INS-055A RAW SC'!AG86="","",'Midterm OVPAA-F-INS-055A RAW SC'!AG86/'Midterm OVPAA-F-INS-055A RAW SC'!AG$17*100)</f>
        <v/>
      </c>
      <c r="AH86" s="126" t="str">
        <f>IF('Midterm OVPAA-F-INS-055A RAW SC'!AH86="","",'Midterm OVPAA-F-INS-055A RAW SC'!AH86/'Midterm OVPAA-F-INS-055A RAW SC'!AH$17*100)</f>
        <v/>
      </c>
      <c r="AI86" s="126" t="str">
        <f>IF('Midterm OVPAA-F-INS-055A RAW SC'!AI86="","",'Midterm OVPAA-F-INS-055A RAW SC'!AI86/'Midterm OVPAA-F-INS-055A RAW SC'!AI$17*100)</f>
        <v/>
      </c>
      <c r="AJ86" s="126" t="str">
        <f>IF('Midterm OVPAA-F-INS-055A RAW SC'!AJ86="","",'Midterm OVPAA-F-INS-055A RAW SC'!AJ86/'Midterm OVPAA-F-INS-055A RAW SC'!AJ$17*100)</f>
        <v/>
      </c>
      <c r="AK86" s="126" t="str">
        <f>IF('Midterm OVPAA-F-INS-055A RAW SC'!AK86="","",'Midterm OVPAA-F-INS-055A RAW SC'!AK86/'Midterm OVPAA-F-INS-055A RAW SC'!AK$17*100)</f>
        <v/>
      </c>
      <c r="AL86" s="126" t="str">
        <f>IF('Midterm OVPAA-F-INS-055A RAW SC'!AL86="","",'Midterm OVPAA-F-INS-055A RAW SC'!AL86/'Midterm OVPAA-F-INS-055A RAW SC'!AL$17*100)</f>
        <v/>
      </c>
      <c r="AM86" s="126" t="str">
        <f>IF('Midterm OVPAA-F-INS-055A RAW SC'!AM86="","",'Midterm OVPAA-F-INS-055A RAW SC'!AM86/'Midterm OVPAA-F-INS-055A RAW SC'!AM$17*100)</f>
        <v/>
      </c>
      <c r="AN86" s="126" t="str">
        <f>IF('Midterm OVPAA-F-INS-055A RAW SC'!AN86="","",'Midterm OVPAA-F-INS-055A RAW SC'!AN86/'Midterm OVPAA-F-INS-055A RAW SC'!AN$17*100)</f>
        <v/>
      </c>
      <c r="AO86" s="126" t="str">
        <f>IF('Midterm OVPAA-F-INS-055A RAW SC'!AO86="","",'Midterm OVPAA-F-INS-055A RAW SC'!AO86/'Midterm OVPAA-F-INS-055A RAW SC'!AO$17*100)</f>
        <v/>
      </c>
      <c r="AP86" s="126" t="str">
        <f>IF('Midterm OVPAA-F-INS-055A RAW SC'!AP86="","",'Midterm OVPAA-F-INS-055A RAW SC'!AP86/'Midterm OVPAA-F-INS-055A RAW SC'!AP$17*100)</f>
        <v/>
      </c>
      <c r="AQ86" s="126" t="str">
        <f>IF('Midterm OVPAA-F-INS-055A RAW SC'!AQ86="","",'Midterm OVPAA-F-INS-055A RAW SC'!AQ86/'Midterm OVPAA-F-INS-055A RAW SC'!AQ$17*100)</f>
        <v/>
      </c>
      <c r="AR86" s="126" t="str">
        <f>IF('Midterm OVPAA-F-INS-055A RAW SC'!AR86="","",'Midterm OVPAA-F-INS-055A RAW SC'!AR86/'Midterm OVPAA-F-INS-055A RAW SC'!AR$17*100)</f>
        <v/>
      </c>
      <c r="AS86" s="126" t="str">
        <f>IF('Midterm OVPAA-F-INS-055A RAW SC'!AS86="","",'Midterm OVPAA-F-INS-055A RAW SC'!AS86/'Midterm OVPAA-F-INS-055A RAW SC'!AS$17*100)</f>
        <v/>
      </c>
      <c r="AT86" s="126" t="str">
        <f>IF('Midterm OVPAA-F-INS-055A RAW SC'!AT86="","",'Midterm OVPAA-F-INS-055A RAW SC'!AT86/'Midterm OVPAA-F-INS-055A RAW SC'!AT$17*100)</f>
        <v/>
      </c>
      <c r="AU86" s="126" t="str">
        <f>IF('Midterm OVPAA-F-INS-055A RAW SC'!AU86="","",'Midterm OVPAA-F-INS-055A RAW SC'!AU86/'Midterm OVPAA-F-INS-055A RAW SC'!AU$17*100)</f>
        <v/>
      </c>
      <c r="AV86" s="126" t="str">
        <f>IF('Midterm OVPAA-F-INS-055A RAW SC'!AV86="","",'Midterm OVPAA-F-INS-055A RAW SC'!AV86/'Midterm OVPAA-F-INS-055A RAW SC'!AV$17*100)</f>
        <v/>
      </c>
      <c r="AW86" s="126" t="str">
        <f>IF('Midterm OVPAA-F-INS-055A RAW SC'!AW86="","",'Midterm OVPAA-F-INS-055A RAW SC'!AW86/'Midterm OVPAA-F-INS-055A RAW SC'!AW$17*100)</f>
        <v/>
      </c>
      <c r="AX86" s="126" t="str">
        <f>IF('Midterm OVPAA-F-INS-055A RAW SC'!AX86="","",'Midterm OVPAA-F-INS-055A RAW SC'!AX86/'Midterm OVPAA-F-INS-055A RAW SC'!AX$17*100)</f>
        <v/>
      </c>
      <c r="AY86" s="126" t="str">
        <f>IF('Midterm OVPAA-F-INS-055A RAW SC'!AY86="","",'Midterm OVPAA-F-INS-055A RAW SC'!AY86/'Midterm OVPAA-F-INS-055A RAW SC'!AY$17*100)</f>
        <v/>
      </c>
      <c r="AZ86" s="126" t="str">
        <f>IF('Midterm OVPAA-F-INS-055A RAW SC'!AZ86="","",'Midterm OVPAA-F-INS-055A RAW SC'!AZ86/'Midterm OVPAA-F-INS-055A RAW SC'!AZ$17*100)</f>
        <v/>
      </c>
      <c r="BA86" s="126" t="str">
        <f>IF('Midterm OVPAA-F-INS-055A RAW SC'!BA86="","",'Midterm OVPAA-F-INS-055A RAW SC'!BA86/'Midterm OVPAA-F-INS-055A RAW SC'!BA$17*100)</f>
        <v/>
      </c>
      <c r="BB86" s="126" t="str">
        <f>IF('Midterm OVPAA-F-INS-055A RAW SC'!BB86="","",'Midterm OVPAA-F-INS-055A RAW SC'!BB86/'Midterm OVPAA-F-INS-055A RAW SC'!BB$17*100)</f>
        <v/>
      </c>
      <c r="BC86" s="126" t="str">
        <f>IF('Midterm OVPAA-F-INS-055A RAW SC'!BC86="","",'Midterm OVPAA-F-INS-055A RAW SC'!BC86/'Midterm OVPAA-F-INS-055A RAW SC'!BC$17*100)</f>
        <v/>
      </c>
      <c r="BD86" s="126" t="str">
        <f>IF('Midterm OVPAA-F-INS-055A RAW SC'!BD86="","",'Midterm OVPAA-F-INS-055A RAW SC'!BD86/'Midterm OVPAA-F-INS-055A RAW SC'!BD$17*100)</f>
        <v/>
      </c>
      <c r="BE86" s="126" t="str">
        <f>IF('Midterm OVPAA-F-INS-055A RAW SC'!BE86="","",'Midterm OVPAA-F-INS-055A RAW SC'!BE86/'Midterm OVPAA-F-INS-055A RAW SC'!BE$17*100)</f>
        <v/>
      </c>
      <c r="BF86" s="126" t="str">
        <f>IF('Midterm OVPAA-F-INS-055A RAW SC'!BF86="","",'Midterm OVPAA-F-INS-055A RAW SC'!BF86/'Midterm OVPAA-F-INS-055A RAW SC'!BF$17*100)</f>
        <v/>
      </c>
      <c r="BG86" s="126" t="str">
        <f>IF('Midterm OVPAA-F-INS-055A RAW SC'!BG86="","",'Midterm OVPAA-F-INS-055A RAW SC'!BG86/'Midterm OVPAA-F-INS-055A RAW SC'!BG$17*100)</f>
        <v/>
      </c>
      <c r="BH86" s="126" t="str">
        <f>IF('Midterm OVPAA-F-INS-055A RAW SC'!BH86="","",'Midterm OVPAA-F-INS-055A RAW SC'!BH86/'Midterm OVPAA-F-INS-055A RAW SC'!BH$17*100)</f>
        <v/>
      </c>
      <c r="BI86" s="126" t="str">
        <f>IF('Midterm OVPAA-F-INS-055A RAW SC'!BI86="","",'Midterm OVPAA-F-INS-055A RAW SC'!BI86/'Midterm OVPAA-F-INS-055A RAW SC'!BI$17*100)</f>
        <v/>
      </c>
      <c r="BJ86" s="126" t="str">
        <f>IF('Midterm OVPAA-F-INS-055A RAW SC'!BJ86="","",'Midterm OVPAA-F-INS-055A RAW SC'!BJ86/'Midterm OVPAA-F-INS-055A RAW SC'!BJ$17*100)</f>
        <v/>
      </c>
      <c r="BK86" s="126" t="str">
        <f>IF('Midterm OVPAA-F-INS-055A RAW SC'!BK86="","",'Midterm OVPAA-F-INS-055A RAW SC'!BK86/'Midterm OVPAA-F-INS-055A RAW SC'!BK$17*100)</f>
        <v/>
      </c>
      <c r="BL86" s="126" t="str">
        <f>IF('Midterm OVPAA-F-INS-055A RAW SC'!BL86="","",'Midterm OVPAA-F-INS-055A RAW SC'!BL86/'Midterm OVPAA-F-INS-055A RAW SC'!BL$17*100)</f>
        <v/>
      </c>
      <c r="BM86" s="126" t="str">
        <f>IF('Midterm OVPAA-F-INS-055A RAW SC'!BM86="","",'Midterm OVPAA-F-INS-055A RAW SC'!BM86/'Midterm OVPAA-F-INS-055A RAW SC'!BM$17*100)</f>
        <v/>
      </c>
      <c r="BN86" s="126" t="str">
        <f>IF('Midterm OVPAA-F-INS-055A RAW SC'!BN86="","",'Midterm OVPAA-F-INS-055A RAW SC'!BN86/'Midterm OVPAA-F-INS-055A RAW SC'!BN$17*100)</f>
        <v/>
      </c>
      <c r="BO86" s="126" t="str">
        <f>IF('Midterm OVPAA-F-INS-055A RAW SC'!BO86="","",'Midterm OVPAA-F-INS-055A RAW SC'!BO86/'Midterm OVPAA-F-INS-055A RAW SC'!BO$17*100)</f>
        <v/>
      </c>
      <c r="BP86" s="126" t="str">
        <f>IF('Midterm OVPAA-F-INS-055A RAW SC'!BP86="","",'Midterm OVPAA-F-INS-055A RAW SC'!BP86/'Midterm OVPAA-F-INS-055A RAW SC'!BP$17*100)</f>
        <v/>
      </c>
      <c r="BQ86" s="126" t="str">
        <f>IF('Midterm OVPAA-F-INS-055A RAW SC'!BQ86="","",'Midterm OVPAA-F-INS-055A RAW SC'!BQ86/'Midterm OVPAA-F-INS-055A RAW SC'!BQ$17*100)</f>
        <v/>
      </c>
      <c r="BR86" s="126" t="str">
        <f>IF('Midterm OVPAA-F-INS-055A RAW SC'!BR86="","",'Midterm OVPAA-F-INS-055A RAW SC'!BR86/'Midterm OVPAA-F-INS-055A RAW SC'!BR$17*100)</f>
        <v/>
      </c>
      <c r="BS86" s="126" t="str">
        <f>IF('Midterm OVPAA-F-INS-055A RAW SC'!BS86="","",'Midterm OVPAA-F-INS-055A RAW SC'!BS86/'Midterm OVPAA-F-INS-055A RAW SC'!BS$17*100)</f>
        <v/>
      </c>
      <c r="BT86" s="126" t="str">
        <f>IF('Midterm OVPAA-F-INS-055A RAW SC'!BT86="","",'Midterm OVPAA-F-INS-055A RAW SC'!BT86/'Midterm OVPAA-F-INS-055A RAW SC'!BT$17*100)</f>
        <v/>
      </c>
      <c r="BU86" s="127" t="str">
        <f t="array" ref="BU86">IF('Midterm OVPAA-F-INS-055A RAW SC'!$G86="","",IF((SUMPRODUCT(--ISBLANK('Midterm OVPAA-F-INS-055A RAW SC'!H86:BT86))=COLUMNS('Midterm OVPAA-F-INS-055A RAW SC'!H86:BT86))=TRUE,"",(((COUNTA('Midterm OVPAA-F-INS-055A RAW SC'!$H$17:$BT$17)+COUNTBLANK('Midterm OVPAA-F-INS-055A RAW SC'!H86:BT86))-COLUMNS('Midterm OVPAA-F-INS-055A RAW SC'!H86:BT86))*5+SUM(H86:BT86))/COUNTA('Midterm OVPAA-F-INS-055A RAW SC'!$H$17:$BT$17)))</f>
        <v/>
      </c>
      <c r="BV86" s="128" t="str">
        <f>IF(BU86="","",VLOOKUP(BU86,IF('Midterm OVPAA-F-INS-055A RAW SC'!$V$12=0.5,TRANSMUTATION!$C$4:$D$17,TRANSMUTATION!$G$4:$H$17),2,TRUE))</f>
        <v/>
      </c>
      <c r="BW86" s="129" t="str">
        <f>IF('Midterm OVPAA-F-INS-055A RAW SC'!BU86="","",'Midterm OVPAA-F-INS-055A RAW SC'!BU86/'Midterm OVPAA-F-INS-055A RAW SC'!BU$17*100)</f>
        <v/>
      </c>
      <c r="BX86" s="130" t="str">
        <f>IF('Midterm OVPAA-F-INS-055A RAW SC'!BV86="","",'Midterm OVPAA-F-INS-055A RAW SC'!BV86/'Midterm OVPAA-F-INS-055A RAW SC'!BV$17*100)</f>
        <v/>
      </c>
      <c r="BY86" s="130" t="str">
        <f>IF('Midterm OVPAA-F-INS-055A RAW SC'!BW86="","",'Midterm OVPAA-F-INS-055A RAW SC'!BW86/'Midterm OVPAA-F-INS-055A RAW SC'!BW$17*100)</f>
        <v/>
      </c>
      <c r="BZ86" s="130" t="str">
        <f>IF('Midterm OVPAA-F-INS-055A RAW SC'!BX86="","",'Midterm OVPAA-F-INS-055A RAW SC'!BX86/'Midterm OVPAA-F-INS-055A RAW SC'!BX$17*100)</f>
        <v/>
      </c>
      <c r="CA86" s="130" t="str">
        <f>IF('Midterm OVPAA-F-INS-055A RAW SC'!BY86="","",'Midterm OVPAA-F-INS-055A RAW SC'!BY86/'Midterm OVPAA-F-INS-055A RAW SC'!BY$17*100)</f>
        <v/>
      </c>
      <c r="CB86" s="130" t="str">
        <f>IF('Midterm OVPAA-F-INS-055A RAW SC'!BZ86="","",'Midterm OVPAA-F-INS-055A RAW SC'!BZ86/'Midterm OVPAA-F-INS-055A RAW SC'!BZ$17*100)</f>
        <v/>
      </c>
      <c r="CC86" s="130" t="str">
        <f>IF('Midterm OVPAA-F-INS-055A RAW SC'!CA86="","",'Midterm OVPAA-F-INS-055A RAW SC'!CA86/'Midterm OVPAA-F-INS-055A RAW SC'!CA$17*100)</f>
        <v/>
      </c>
      <c r="CD86" s="130" t="str">
        <f>IF('Midterm OVPAA-F-INS-055A RAW SC'!CB86="","",'Midterm OVPAA-F-INS-055A RAW SC'!CB86/'Midterm OVPAA-F-INS-055A RAW SC'!CB$17*100)</f>
        <v/>
      </c>
      <c r="CE86" s="130" t="str">
        <f>IF('Midterm OVPAA-F-INS-055A RAW SC'!CC86="","",'Midterm OVPAA-F-INS-055A RAW SC'!CC86/'Midterm OVPAA-F-INS-055A RAW SC'!CC$17*100)</f>
        <v/>
      </c>
      <c r="CF86" s="130" t="str">
        <f>IF('Midterm OVPAA-F-INS-055A RAW SC'!CD86="","",'Midterm OVPAA-F-INS-055A RAW SC'!CD86/'Midterm OVPAA-F-INS-055A RAW SC'!CD$17*100)</f>
        <v/>
      </c>
      <c r="CG86" s="130" t="str">
        <f>IF('Midterm OVPAA-F-INS-055A RAW SC'!CE86="","",'Midterm OVPAA-F-INS-055A RAW SC'!CE86/'Midterm OVPAA-F-INS-055A RAW SC'!CE$17*100)</f>
        <v/>
      </c>
      <c r="CH86" s="130" t="str">
        <f>IF('Midterm OVPAA-F-INS-055A RAW SC'!CF86="","",'Midterm OVPAA-F-INS-055A RAW SC'!CF86/'Midterm OVPAA-F-INS-055A RAW SC'!CF$17*100)</f>
        <v/>
      </c>
      <c r="CI86" s="130" t="str">
        <f>IF('Midterm OVPAA-F-INS-055A RAW SC'!CG86="","",'Midterm OVPAA-F-INS-055A RAW SC'!CG86/'Midterm OVPAA-F-INS-055A RAW SC'!CG$17*100)</f>
        <v/>
      </c>
      <c r="CJ86" s="130" t="str">
        <f>IF('Midterm OVPAA-F-INS-055A RAW SC'!CH86="","",'Midterm OVPAA-F-INS-055A RAW SC'!CH86/'Midterm OVPAA-F-INS-055A RAW SC'!CH$17*100)</f>
        <v/>
      </c>
      <c r="CK86" s="130" t="str">
        <f>IF('Midterm OVPAA-F-INS-055A RAW SC'!CI86="","",'Midterm OVPAA-F-INS-055A RAW SC'!CI86/'Midterm OVPAA-F-INS-055A RAW SC'!CI$17*100)</f>
        <v/>
      </c>
      <c r="CL86" s="130" t="str">
        <f>IF('Midterm OVPAA-F-INS-055A RAW SC'!CJ86="","",'Midterm OVPAA-F-INS-055A RAW SC'!CJ86/'Midterm OVPAA-F-INS-055A RAW SC'!CJ$17*100)</f>
        <v/>
      </c>
      <c r="CM86" s="130" t="str">
        <f>IF('Midterm OVPAA-F-INS-055A RAW SC'!CK86="","",'Midterm OVPAA-F-INS-055A RAW SC'!CK86/'Midterm OVPAA-F-INS-055A RAW SC'!CK$17*100)</f>
        <v/>
      </c>
      <c r="CN86" s="130" t="str">
        <f>IF('Midterm OVPAA-F-INS-055A RAW SC'!CL86="","",'Midterm OVPAA-F-INS-055A RAW SC'!CL86/'Midterm OVPAA-F-INS-055A RAW SC'!CL$17*100)</f>
        <v/>
      </c>
      <c r="CO86" s="130" t="str">
        <f>IF('Midterm OVPAA-F-INS-055A RAW SC'!CM86="","",'Midterm OVPAA-F-INS-055A RAW SC'!CM86/'Midterm OVPAA-F-INS-055A RAW SC'!CM$17*100)</f>
        <v/>
      </c>
      <c r="CP86" s="130" t="str">
        <f>IF('Midterm OVPAA-F-INS-055A RAW SC'!CN86="","",'Midterm OVPAA-F-INS-055A RAW SC'!CN86/'Midterm OVPAA-F-INS-055A RAW SC'!CN$17*100)</f>
        <v/>
      </c>
      <c r="CQ86" s="131" t="str">
        <f t="array" ref="CQ86">IF('Midterm OVPAA-F-INS-055A RAW SC'!G86="","",IF((SUMPRODUCT(--ISBLANK('Midterm OVPAA-F-INS-055A RAW SC'!BU86:CN86))=COLUMNS('Midterm OVPAA-F-INS-055A RAW SC'!BU86:CN86))=TRUE,"",(((COUNTA('Midterm OVPAA-F-INS-055A RAW SC'!$BU$17:$CN$17)+COUNTBLANK('Midterm OVPAA-F-INS-055A RAW SC'!BU86:CN86))-COLUMNS('Midterm OVPAA-F-INS-055A RAW SC'!BU86:CN86))*5+SUM(BW86:CP86))/COUNTA('Midterm OVPAA-F-INS-055A RAW SC'!$BU$17:$CN$17)))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IF('Midterm OVPAA-F-INS-055A RAW SC'!CO86="","",'Midterm OVPAA-F-INS-055A RAW SC'!CO86/'Midterm OVPAA-F-INS-055A RAW SC'!CO$17*100)</f>
        <v/>
      </c>
      <c r="CT86" s="133" t="str">
        <f>IF('Midterm OVPAA-F-INS-055A RAW SC'!CP86="","",'Midterm OVPAA-F-INS-055A RAW SC'!CP86/'Midterm OVPAA-F-INS-055A RAW SC'!CP$17*100)</f>
        <v/>
      </c>
      <c r="CU86" s="133" t="str">
        <f>IF('Midterm OVPAA-F-INS-055A RAW SC'!CQ86="","",'Midterm OVPAA-F-INS-055A RAW SC'!CQ86/'Midterm OVPAA-F-INS-055A RAW SC'!CQ$17*100)</f>
        <v/>
      </c>
      <c r="CV86" s="133" t="str">
        <f>IF('Midterm OVPAA-F-INS-055A RAW SC'!CR86="","",'Midterm OVPAA-F-INS-055A RAW SC'!CR86/'Midterm OVPAA-F-INS-055A RAW SC'!CR$17*100)</f>
        <v/>
      </c>
      <c r="CW86" s="133" t="str">
        <f>IF('Midterm OVPAA-F-INS-055A RAW SC'!CS86="","",'Midterm OVPAA-F-INS-055A RAW SC'!CS86/'Midterm OVPAA-F-INS-055A RAW SC'!CS$17*100)</f>
        <v/>
      </c>
      <c r="CX86" s="133" t="str">
        <f>IF('Midterm OVPAA-F-INS-055A RAW SC'!CT86="","",'Midterm OVPAA-F-INS-055A RAW SC'!CT86/'Midterm OVPAA-F-INS-055A RAW SC'!CT$17*100)</f>
        <v/>
      </c>
      <c r="CY86" s="133" t="str">
        <f>IF('Midterm OVPAA-F-INS-055A RAW SC'!CU86="","",'Midterm OVPAA-F-INS-055A RAW SC'!CU86/'Midterm OVPAA-F-INS-055A RAW SC'!CU$17*100)</f>
        <v/>
      </c>
      <c r="CZ86" s="133" t="str">
        <f>IF('Midterm OVPAA-F-INS-055A RAW SC'!CV86="","",'Midterm OVPAA-F-INS-055A RAW SC'!CV86/'Midterm OVPAA-F-INS-055A RAW SC'!CV$17*100)</f>
        <v/>
      </c>
      <c r="DA86" s="133" t="str">
        <f>IF('Midterm OVPAA-F-INS-055A RAW SC'!CW86="","",'Midterm OVPAA-F-INS-055A RAW SC'!CW86/'Midterm OVPAA-F-INS-055A RAW SC'!CW$17*100)</f>
        <v/>
      </c>
      <c r="DB86" s="133" t="str">
        <f>IF('Midterm OVPAA-F-INS-055A RAW SC'!CX86="","",'Midterm OVPAA-F-INS-055A RAW SC'!CX86/'Midterm OVPAA-F-INS-055A RAW SC'!CX$17*100)</f>
        <v/>
      </c>
      <c r="DC86" s="134" t="str">
        <f t="array" ref="DC86">IF('Midterm OVPAA-F-INS-055A RAW SC'!$G86="","",IF((SUMPRODUCT(--ISBLANK('Midterm OVPAA-F-INS-055A RAW SC'!CO86:CX86))=COLUMNS('Midterm OVPAA-F-INS-055A RAW SC'!CO86:CX86))=TRUE,"",(((COUNTA('Midterm OVPAA-F-INS-055A RAW SC'!$CO$17:$CX$17)+COUNTBLANK('Midterm OVPAA-F-INS-055A RAW SC'!CO86:CX86))-COLUMNS('Midterm OVPAA-F-INS-055A RAW SC'!CO86:CX86))*5+SUM(CS86:DB86))/COUNTA('Midterm OVPAA-F-INS-055A RAW SC'!$CO$17:$CX$17)))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37" t="str">
        <f t="shared" si="2"/>
        <v/>
      </c>
      <c r="DG86" s="138" t="str">
        <f t="shared" si="3"/>
        <v/>
      </c>
      <c r="DH86" s="136" t="str">
        <f t="shared" si="4"/>
        <v/>
      </c>
      <c r="DI86" s="123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IF('Midterm OVPAA-F-INS-055A RAW SC'!H87="","",'Midterm OVPAA-F-INS-055A RAW SC'!H87/'Midterm OVPAA-F-INS-055A RAW SC'!H$17*100)</f>
        <v/>
      </c>
      <c r="I87" s="126" t="str">
        <f>IF('Midterm OVPAA-F-INS-055A RAW SC'!I87="","",'Midterm OVPAA-F-INS-055A RAW SC'!I87/'Midterm OVPAA-F-INS-055A RAW SC'!I$17*100)</f>
        <v/>
      </c>
      <c r="J87" s="126" t="str">
        <f>IF('Midterm OVPAA-F-INS-055A RAW SC'!J87="","",'Midterm OVPAA-F-INS-055A RAW SC'!J87/'Midterm OVPAA-F-INS-055A RAW SC'!J$17*100)</f>
        <v/>
      </c>
      <c r="K87" s="126" t="str">
        <f>IF('Midterm OVPAA-F-INS-055A RAW SC'!K87="","",'Midterm OVPAA-F-INS-055A RAW SC'!K87/'Midterm OVPAA-F-INS-055A RAW SC'!K$17*100)</f>
        <v/>
      </c>
      <c r="L87" s="126" t="str">
        <f>IF('Midterm OVPAA-F-INS-055A RAW SC'!L87="","",'Midterm OVPAA-F-INS-055A RAW SC'!L87/'Midterm OVPAA-F-INS-055A RAW SC'!L$17*100)</f>
        <v/>
      </c>
      <c r="M87" s="126" t="str">
        <f>IF('Midterm OVPAA-F-INS-055A RAW SC'!M87="","",'Midterm OVPAA-F-INS-055A RAW SC'!M87/'Midterm OVPAA-F-INS-055A RAW SC'!M$17*100)</f>
        <v/>
      </c>
      <c r="N87" s="126" t="str">
        <f>IF('Midterm OVPAA-F-INS-055A RAW SC'!N87="","",'Midterm OVPAA-F-INS-055A RAW SC'!N87/'Midterm OVPAA-F-INS-055A RAW SC'!N$17*100)</f>
        <v/>
      </c>
      <c r="O87" s="126" t="str">
        <f>IF('Midterm OVPAA-F-INS-055A RAW SC'!O87="","",'Midterm OVPAA-F-INS-055A RAW SC'!O87/'Midterm OVPAA-F-INS-055A RAW SC'!O$17*100)</f>
        <v/>
      </c>
      <c r="P87" s="126" t="str">
        <f>IF('Midterm OVPAA-F-INS-055A RAW SC'!P87="","",'Midterm OVPAA-F-INS-055A RAW SC'!P87/'Midterm OVPAA-F-INS-055A RAW SC'!P$17*100)</f>
        <v/>
      </c>
      <c r="Q87" s="126" t="str">
        <f>IF('Midterm OVPAA-F-INS-055A RAW SC'!Q87="","",'Midterm OVPAA-F-INS-055A RAW SC'!Q87/'Midterm OVPAA-F-INS-055A RAW SC'!Q$17*100)</f>
        <v/>
      </c>
      <c r="R87" s="126" t="str">
        <f>IF('Midterm OVPAA-F-INS-055A RAW SC'!R87="","",'Midterm OVPAA-F-INS-055A RAW SC'!R87/'Midterm OVPAA-F-INS-055A RAW SC'!R$17*100)</f>
        <v/>
      </c>
      <c r="S87" s="126" t="str">
        <f>IF('Midterm OVPAA-F-INS-055A RAW SC'!S87="","",'Midterm OVPAA-F-INS-055A RAW SC'!S87/'Midterm OVPAA-F-INS-055A RAW SC'!S$17*100)</f>
        <v/>
      </c>
      <c r="T87" s="126" t="str">
        <f>IF('Midterm OVPAA-F-INS-055A RAW SC'!T87="","",'Midterm OVPAA-F-INS-055A RAW SC'!T87/'Midterm OVPAA-F-INS-055A RAW SC'!T$17*100)</f>
        <v/>
      </c>
      <c r="U87" s="126" t="str">
        <f>IF('Midterm OVPAA-F-INS-055A RAW SC'!U87="","",'Midterm OVPAA-F-INS-055A RAW SC'!U87/'Midterm OVPAA-F-INS-055A RAW SC'!U$17*100)</f>
        <v/>
      </c>
      <c r="V87" s="126" t="str">
        <f>IF('Midterm OVPAA-F-INS-055A RAW SC'!V87="","",'Midterm OVPAA-F-INS-055A RAW SC'!V87/'Midterm OVPAA-F-INS-055A RAW SC'!V$17*100)</f>
        <v/>
      </c>
      <c r="W87" s="126" t="str">
        <f>IF('Midterm OVPAA-F-INS-055A RAW SC'!W87="","",'Midterm OVPAA-F-INS-055A RAW SC'!W87/'Midterm OVPAA-F-INS-055A RAW SC'!W$17*100)</f>
        <v/>
      </c>
      <c r="X87" s="126" t="str">
        <f>IF('Midterm OVPAA-F-INS-055A RAW SC'!X87="","",'Midterm OVPAA-F-INS-055A RAW SC'!X87/'Midterm OVPAA-F-INS-055A RAW SC'!X$17*100)</f>
        <v/>
      </c>
      <c r="Y87" s="126" t="str">
        <f>IF('Midterm OVPAA-F-INS-055A RAW SC'!Y87="","",'Midterm OVPAA-F-INS-055A RAW SC'!Y87/'Midterm OVPAA-F-INS-055A RAW SC'!Y$17*100)</f>
        <v/>
      </c>
      <c r="Z87" s="126" t="str">
        <f>IF('Midterm OVPAA-F-INS-055A RAW SC'!Z87="","",'Midterm OVPAA-F-INS-055A RAW SC'!Z87/'Midterm OVPAA-F-INS-055A RAW SC'!Z$17*100)</f>
        <v/>
      </c>
      <c r="AA87" s="126" t="str">
        <f>IF('Midterm OVPAA-F-INS-055A RAW SC'!AA87="","",'Midterm OVPAA-F-INS-055A RAW SC'!AA87/'Midterm OVPAA-F-INS-055A RAW SC'!AA$17*100)</f>
        <v/>
      </c>
      <c r="AB87" s="126" t="str">
        <f>IF('Midterm OVPAA-F-INS-055A RAW SC'!AB87="","",'Midterm OVPAA-F-INS-055A RAW SC'!AB87/'Midterm OVPAA-F-INS-055A RAW SC'!AB$17*100)</f>
        <v/>
      </c>
      <c r="AC87" s="126" t="str">
        <f>IF('Midterm OVPAA-F-INS-055A RAW SC'!AC87="","",'Midterm OVPAA-F-INS-055A RAW SC'!AC87/'Midterm OVPAA-F-INS-055A RAW SC'!AC$17*100)</f>
        <v/>
      </c>
      <c r="AD87" s="126" t="str">
        <f>IF('Midterm OVPAA-F-INS-055A RAW SC'!AD87="","",'Midterm OVPAA-F-INS-055A RAW SC'!AD87/'Midterm OVPAA-F-INS-055A RAW SC'!AD$17*100)</f>
        <v/>
      </c>
      <c r="AE87" s="126" t="str">
        <f>IF('Midterm OVPAA-F-INS-055A RAW SC'!AE87="","",'Midterm OVPAA-F-INS-055A RAW SC'!AE87/'Midterm OVPAA-F-INS-055A RAW SC'!AE$17*100)</f>
        <v/>
      </c>
      <c r="AF87" s="126" t="str">
        <f>IF('Midterm OVPAA-F-INS-055A RAW SC'!AF87="","",'Midterm OVPAA-F-INS-055A RAW SC'!AF87/'Midterm OVPAA-F-INS-055A RAW SC'!AF$17*100)</f>
        <v/>
      </c>
      <c r="AG87" s="126" t="str">
        <f>IF('Midterm OVPAA-F-INS-055A RAW SC'!AG87="","",'Midterm OVPAA-F-INS-055A RAW SC'!AG87/'Midterm OVPAA-F-INS-055A RAW SC'!AG$17*100)</f>
        <v/>
      </c>
      <c r="AH87" s="126" t="str">
        <f>IF('Midterm OVPAA-F-INS-055A RAW SC'!AH87="","",'Midterm OVPAA-F-INS-055A RAW SC'!AH87/'Midterm OVPAA-F-INS-055A RAW SC'!AH$17*100)</f>
        <v/>
      </c>
      <c r="AI87" s="126" t="str">
        <f>IF('Midterm OVPAA-F-INS-055A RAW SC'!AI87="","",'Midterm OVPAA-F-INS-055A RAW SC'!AI87/'Midterm OVPAA-F-INS-055A RAW SC'!AI$17*100)</f>
        <v/>
      </c>
      <c r="AJ87" s="126" t="str">
        <f>IF('Midterm OVPAA-F-INS-055A RAW SC'!AJ87="","",'Midterm OVPAA-F-INS-055A RAW SC'!AJ87/'Midterm OVPAA-F-INS-055A RAW SC'!AJ$17*100)</f>
        <v/>
      </c>
      <c r="AK87" s="126" t="str">
        <f>IF('Midterm OVPAA-F-INS-055A RAW SC'!AK87="","",'Midterm OVPAA-F-INS-055A RAW SC'!AK87/'Midterm OVPAA-F-INS-055A RAW SC'!AK$17*100)</f>
        <v/>
      </c>
      <c r="AL87" s="126" t="str">
        <f>IF('Midterm OVPAA-F-INS-055A RAW SC'!AL87="","",'Midterm OVPAA-F-INS-055A RAW SC'!AL87/'Midterm OVPAA-F-INS-055A RAW SC'!AL$17*100)</f>
        <v/>
      </c>
      <c r="AM87" s="126" t="str">
        <f>IF('Midterm OVPAA-F-INS-055A RAW SC'!AM87="","",'Midterm OVPAA-F-INS-055A RAW SC'!AM87/'Midterm OVPAA-F-INS-055A RAW SC'!AM$17*100)</f>
        <v/>
      </c>
      <c r="AN87" s="126" t="str">
        <f>IF('Midterm OVPAA-F-INS-055A RAW SC'!AN87="","",'Midterm OVPAA-F-INS-055A RAW SC'!AN87/'Midterm OVPAA-F-INS-055A RAW SC'!AN$17*100)</f>
        <v/>
      </c>
      <c r="AO87" s="126" t="str">
        <f>IF('Midterm OVPAA-F-INS-055A RAW SC'!AO87="","",'Midterm OVPAA-F-INS-055A RAW SC'!AO87/'Midterm OVPAA-F-INS-055A RAW SC'!AO$17*100)</f>
        <v/>
      </c>
      <c r="AP87" s="126" t="str">
        <f>IF('Midterm OVPAA-F-INS-055A RAW SC'!AP87="","",'Midterm OVPAA-F-INS-055A RAW SC'!AP87/'Midterm OVPAA-F-INS-055A RAW SC'!AP$17*100)</f>
        <v/>
      </c>
      <c r="AQ87" s="126" t="str">
        <f>IF('Midterm OVPAA-F-INS-055A RAW SC'!AQ87="","",'Midterm OVPAA-F-INS-055A RAW SC'!AQ87/'Midterm OVPAA-F-INS-055A RAW SC'!AQ$17*100)</f>
        <v/>
      </c>
      <c r="AR87" s="126" t="str">
        <f>IF('Midterm OVPAA-F-INS-055A RAW SC'!AR87="","",'Midterm OVPAA-F-INS-055A RAW SC'!AR87/'Midterm OVPAA-F-INS-055A RAW SC'!AR$17*100)</f>
        <v/>
      </c>
      <c r="AS87" s="126" t="str">
        <f>IF('Midterm OVPAA-F-INS-055A RAW SC'!AS87="","",'Midterm OVPAA-F-INS-055A RAW SC'!AS87/'Midterm OVPAA-F-INS-055A RAW SC'!AS$17*100)</f>
        <v/>
      </c>
      <c r="AT87" s="126" t="str">
        <f>IF('Midterm OVPAA-F-INS-055A RAW SC'!AT87="","",'Midterm OVPAA-F-INS-055A RAW SC'!AT87/'Midterm OVPAA-F-INS-055A RAW SC'!AT$17*100)</f>
        <v/>
      </c>
      <c r="AU87" s="126" t="str">
        <f>IF('Midterm OVPAA-F-INS-055A RAW SC'!AU87="","",'Midterm OVPAA-F-INS-055A RAW SC'!AU87/'Midterm OVPAA-F-INS-055A RAW SC'!AU$17*100)</f>
        <v/>
      </c>
      <c r="AV87" s="126" t="str">
        <f>IF('Midterm OVPAA-F-INS-055A RAW SC'!AV87="","",'Midterm OVPAA-F-INS-055A RAW SC'!AV87/'Midterm OVPAA-F-INS-055A RAW SC'!AV$17*100)</f>
        <v/>
      </c>
      <c r="AW87" s="126" t="str">
        <f>IF('Midterm OVPAA-F-INS-055A RAW SC'!AW87="","",'Midterm OVPAA-F-INS-055A RAW SC'!AW87/'Midterm OVPAA-F-INS-055A RAW SC'!AW$17*100)</f>
        <v/>
      </c>
      <c r="AX87" s="126" t="str">
        <f>IF('Midterm OVPAA-F-INS-055A RAW SC'!AX87="","",'Midterm OVPAA-F-INS-055A RAW SC'!AX87/'Midterm OVPAA-F-INS-055A RAW SC'!AX$17*100)</f>
        <v/>
      </c>
      <c r="AY87" s="126" t="str">
        <f>IF('Midterm OVPAA-F-INS-055A RAW SC'!AY87="","",'Midterm OVPAA-F-INS-055A RAW SC'!AY87/'Midterm OVPAA-F-INS-055A RAW SC'!AY$17*100)</f>
        <v/>
      </c>
      <c r="AZ87" s="126" t="str">
        <f>IF('Midterm OVPAA-F-INS-055A RAW SC'!AZ87="","",'Midterm OVPAA-F-INS-055A RAW SC'!AZ87/'Midterm OVPAA-F-INS-055A RAW SC'!AZ$17*100)</f>
        <v/>
      </c>
      <c r="BA87" s="126" t="str">
        <f>IF('Midterm OVPAA-F-INS-055A RAW SC'!BA87="","",'Midterm OVPAA-F-INS-055A RAW SC'!BA87/'Midterm OVPAA-F-INS-055A RAW SC'!BA$17*100)</f>
        <v/>
      </c>
      <c r="BB87" s="126" t="str">
        <f>IF('Midterm OVPAA-F-INS-055A RAW SC'!BB87="","",'Midterm OVPAA-F-INS-055A RAW SC'!BB87/'Midterm OVPAA-F-INS-055A RAW SC'!BB$17*100)</f>
        <v/>
      </c>
      <c r="BC87" s="126" t="str">
        <f>IF('Midterm OVPAA-F-INS-055A RAW SC'!BC87="","",'Midterm OVPAA-F-INS-055A RAW SC'!BC87/'Midterm OVPAA-F-INS-055A RAW SC'!BC$17*100)</f>
        <v/>
      </c>
      <c r="BD87" s="126" t="str">
        <f>IF('Midterm OVPAA-F-INS-055A RAW SC'!BD87="","",'Midterm OVPAA-F-INS-055A RAW SC'!BD87/'Midterm OVPAA-F-INS-055A RAW SC'!BD$17*100)</f>
        <v/>
      </c>
      <c r="BE87" s="126" t="str">
        <f>IF('Midterm OVPAA-F-INS-055A RAW SC'!BE87="","",'Midterm OVPAA-F-INS-055A RAW SC'!BE87/'Midterm OVPAA-F-INS-055A RAW SC'!BE$17*100)</f>
        <v/>
      </c>
      <c r="BF87" s="126" t="str">
        <f>IF('Midterm OVPAA-F-INS-055A RAW SC'!BF87="","",'Midterm OVPAA-F-INS-055A RAW SC'!BF87/'Midterm OVPAA-F-INS-055A RAW SC'!BF$17*100)</f>
        <v/>
      </c>
      <c r="BG87" s="126" t="str">
        <f>IF('Midterm OVPAA-F-INS-055A RAW SC'!BG87="","",'Midterm OVPAA-F-INS-055A RAW SC'!BG87/'Midterm OVPAA-F-INS-055A RAW SC'!BG$17*100)</f>
        <v/>
      </c>
      <c r="BH87" s="126" t="str">
        <f>IF('Midterm OVPAA-F-INS-055A RAW SC'!BH87="","",'Midterm OVPAA-F-INS-055A RAW SC'!BH87/'Midterm OVPAA-F-INS-055A RAW SC'!BH$17*100)</f>
        <v/>
      </c>
      <c r="BI87" s="126" t="str">
        <f>IF('Midterm OVPAA-F-INS-055A RAW SC'!BI87="","",'Midterm OVPAA-F-INS-055A RAW SC'!BI87/'Midterm OVPAA-F-INS-055A RAW SC'!BI$17*100)</f>
        <v/>
      </c>
      <c r="BJ87" s="126" t="str">
        <f>IF('Midterm OVPAA-F-INS-055A RAW SC'!BJ87="","",'Midterm OVPAA-F-INS-055A RAW SC'!BJ87/'Midterm OVPAA-F-INS-055A RAW SC'!BJ$17*100)</f>
        <v/>
      </c>
      <c r="BK87" s="126" t="str">
        <f>IF('Midterm OVPAA-F-INS-055A RAW SC'!BK87="","",'Midterm OVPAA-F-INS-055A RAW SC'!BK87/'Midterm OVPAA-F-INS-055A RAW SC'!BK$17*100)</f>
        <v/>
      </c>
      <c r="BL87" s="126" t="str">
        <f>IF('Midterm OVPAA-F-INS-055A RAW SC'!BL87="","",'Midterm OVPAA-F-INS-055A RAW SC'!BL87/'Midterm OVPAA-F-INS-055A RAW SC'!BL$17*100)</f>
        <v/>
      </c>
      <c r="BM87" s="126" t="str">
        <f>IF('Midterm OVPAA-F-INS-055A RAW SC'!BM87="","",'Midterm OVPAA-F-INS-055A RAW SC'!BM87/'Midterm OVPAA-F-INS-055A RAW SC'!BM$17*100)</f>
        <v/>
      </c>
      <c r="BN87" s="126" t="str">
        <f>IF('Midterm OVPAA-F-INS-055A RAW SC'!BN87="","",'Midterm OVPAA-F-INS-055A RAW SC'!BN87/'Midterm OVPAA-F-INS-055A RAW SC'!BN$17*100)</f>
        <v/>
      </c>
      <c r="BO87" s="126" t="str">
        <f>IF('Midterm OVPAA-F-INS-055A RAW SC'!BO87="","",'Midterm OVPAA-F-INS-055A RAW SC'!BO87/'Midterm OVPAA-F-INS-055A RAW SC'!BO$17*100)</f>
        <v/>
      </c>
      <c r="BP87" s="126" t="str">
        <f>IF('Midterm OVPAA-F-INS-055A RAW SC'!BP87="","",'Midterm OVPAA-F-INS-055A RAW SC'!BP87/'Midterm OVPAA-F-INS-055A RAW SC'!BP$17*100)</f>
        <v/>
      </c>
      <c r="BQ87" s="126" t="str">
        <f>IF('Midterm OVPAA-F-INS-055A RAW SC'!BQ87="","",'Midterm OVPAA-F-INS-055A RAW SC'!BQ87/'Midterm OVPAA-F-INS-055A RAW SC'!BQ$17*100)</f>
        <v/>
      </c>
      <c r="BR87" s="126" t="str">
        <f>IF('Midterm OVPAA-F-INS-055A RAW SC'!BR87="","",'Midterm OVPAA-F-INS-055A RAW SC'!BR87/'Midterm OVPAA-F-INS-055A RAW SC'!BR$17*100)</f>
        <v/>
      </c>
      <c r="BS87" s="126" t="str">
        <f>IF('Midterm OVPAA-F-INS-055A RAW SC'!BS87="","",'Midterm OVPAA-F-INS-055A RAW SC'!BS87/'Midterm OVPAA-F-INS-055A RAW SC'!BS$17*100)</f>
        <v/>
      </c>
      <c r="BT87" s="126" t="str">
        <f>IF('Midterm OVPAA-F-INS-055A RAW SC'!BT87="","",'Midterm OVPAA-F-INS-055A RAW SC'!BT87/'Midterm OVPAA-F-INS-055A RAW SC'!BT$17*100)</f>
        <v/>
      </c>
      <c r="BU87" s="127" t="str">
        <f t="array" ref="BU87">IF('Midterm OVPAA-F-INS-055A RAW SC'!$G87="","",IF((SUMPRODUCT(--ISBLANK('Midterm OVPAA-F-INS-055A RAW SC'!H87:BT87))=COLUMNS('Midterm OVPAA-F-INS-055A RAW SC'!H87:BT87))=TRUE,"",(((COUNTA('Midterm OVPAA-F-INS-055A RAW SC'!$H$17:$BT$17)+COUNTBLANK('Midterm OVPAA-F-INS-055A RAW SC'!H87:BT87))-COLUMNS('Midterm OVPAA-F-INS-055A RAW SC'!H87:BT87))*5+SUM(H87:BT87))/COUNTA('Midterm OVPAA-F-INS-055A RAW SC'!$H$17:$BT$17)))</f>
        <v/>
      </c>
      <c r="BV87" s="128" t="str">
        <f>IF(BU87="","",VLOOKUP(BU87,IF('Midterm OVPAA-F-INS-055A RAW SC'!$V$12=0.5,TRANSMUTATION!$C$4:$D$17,TRANSMUTATION!$G$4:$H$17),2,TRUE))</f>
        <v/>
      </c>
      <c r="BW87" s="129" t="str">
        <f>IF('Midterm OVPAA-F-INS-055A RAW SC'!BU87="","",'Midterm OVPAA-F-INS-055A RAW SC'!BU87/'Midterm OVPAA-F-INS-055A RAW SC'!BU$17*100)</f>
        <v/>
      </c>
      <c r="BX87" s="130" t="str">
        <f>IF('Midterm OVPAA-F-INS-055A RAW SC'!BV87="","",'Midterm OVPAA-F-INS-055A RAW SC'!BV87/'Midterm OVPAA-F-INS-055A RAW SC'!BV$17*100)</f>
        <v/>
      </c>
      <c r="BY87" s="130" t="str">
        <f>IF('Midterm OVPAA-F-INS-055A RAW SC'!BW87="","",'Midterm OVPAA-F-INS-055A RAW SC'!BW87/'Midterm OVPAA-F-INS-055A RAW SC'!BW$17*100)</f>
        <v/>
      </c>
      <c r="BZ87" s="130" t="str">
        <f>IF('Midterm OVPAA-F-INS-055A RAW SC'!BX87="","",'Midterm OVPAA-F-INS-055A RAW SC'!BX87/'Midterm OVPAA-F-INS-055A RAW SC'!BX$17*100)</f>
        <v/>
      </c>
      <c r="CA87" s="130" t="str">
        <f>IF('Midterm OVPAA-F-INS-055A RAW SC'!BY87="","",'Midterm OVPAA-F-INS-055A RAW SC'!BY87/'Midterm OVPAA-F-INS-055A RAW SC'!BY$17*100)</f>
        <v/>
      </c>
      <c r="CB87" s="130" t="str">
        <f>IF('Midterm OVPAA-F-INS-055A RAW SC'!BZ87="","",'Midterm OVPAA-F-INS-055A RAW SC'!BZ87/'Midterm OVPAA-F-INS-055A RAW SC'!BZ$17*100)</f>
        <v/>
      </c>
      <c r="CC87" s="130" t="str">
        <f>IF('Midterm OVPAA-F-INS-055A RAW SC'!CA87="","",'Midterm OVPAA-F-INS-055A RAW SC'!CA87/'Midterm OVPAA-F-INS-055A RAW SC'!CA$17*100)</f>
        <v/>
      </c>
      <c r="CD87" s="130" t="str">
        <f>IF('Midterm OVPAA-F-INS-055A RAW SC'!CB87="","",'Midterm OVPAA-F-INS-055A RAW SC'!CB87/'Midterm OVPAA-F-INS-055A RAW SC'!CB$17*100)</f>
        <v/>
      </c>
      <c r="CE87" s="130" t="str">
        <f>IF('Midterm OVPAA-F-INS-055A RAW SC'!CC87="","",'Midterm OVPAA-F-INS-055A RAW SC'!CC87/'Midterm OVPAA-F-INS-055A RAW SC'!CC$17*100)</f>
        <v/>
      </c>
      <c r="CF87" s="130" t="str">
        <f>IF('Midterm OVPAA-F-INS-055A RAW SC'!CD87="","",'Midterm OVPAA-F-INS-055A RAW SC'!CD87/'Midterm OVPAA-F-INS-055A RAW SC'!CD$17*100)</f>
        <v/>
      </c>
      <c r="CG87" s="130" t="str">
        <f>IF('Midterm OVPAA-F-INS-055A RAW SC'!CE87="","",'Midterm OVPAA-F-INS-055A RAW SC'!CE87/'Midterm OVPAA-F-INS-055A RAW SC'!CE$17*100)</f>
        <v/>
      </c>
      <c r="CH87" s="130" t="str">
        <f>IF('Midterm OVPAA-F-INS-055A RAW SC'!CF87="","",'Midterm OVPAA-F-INS-055A RAW SC'!CF87/'Midterm OVPAA-F-INS-055A RAW SC'!CF$17*100)</f>
        <v/>
      </c>
      <c r="CI87" s="130" t="str">
        <f>IF('Midterm OVPAA-F-INS-055A RAW SC'!CG87="","",'Midterm OVPAA-F-INS-055A RAW SC'!CG87/'Midterm OVPAA-F-INS-055A RAW SC'!CG$17*100)</f>
        <v/>
      </c>
      <c r="CJ87" s="130" t="str">
        <f>IF('Midterm OVPAA-F-INS-055A RAW SC'!CH87="","",'Midterm OVPAA-F-INS-055A RAW SC'!CH87/'Midterm OVPAA-F-INS-055A RAW SC'!CH$17*100)</f>
        <v/>
      </c>
      <c r="CK87" s="130" t="str">
        <f>IF('Midterm OVPAA-F-INS-055A RAW SC'!CI87="","",'Midterm OVPAA-F-INS-055A RAW SC'!CI87/'Midterm OVPAA-F-INS-055A RAW SC'!CI$17*100)</f>
        <v/>
      </c>
      <c r="CL87" s="130" t="str">
        <f>IF('Midterm OVPAA-F-INS-055A RAW SC'!CJ87="","",'Midterm OVPAA-F-INS-055A RAW SC'!CJ87/'Midterm OVPAA-F-INS-055A RAW SC'!CJ$17*100)</f>
        <v/>
      </c>
      <c r="CM87" s="130" t="str">
        <f>IF('Midterm OVPAA-F-INS-055A RAW SC'!CK87="","",'Midterm OVPAA-F-INS-055A RAW SC'!CK87/'Midterm OVPAA-F-INS-055A RAW SC'!CK$17*100)</f>
        <v/>
      </c>
      <c r="CN87" s="130" t="str">
        <f>IF('Midterm OVPAA-F-INS-055A RAW SC'!CL87="","",'Midterm OVPAA-F-INS-055A RAW SC'!CL87/'Midterm OVPAA-F-INS-055A RAW SC'!CL$17*100)</f>
        <v/>
      </c>
      <c r="CO87" s="130" t="str">
        <f>IF('Midterm OVPAA-F-INS-055A RAW SC'!CM87="","",'Midterm OVPAA-F-INS-055A RAW SC'!CM87/'Midterm OVPAA-F-INS-055A RAW SC'!CM$17*100)</f>
        <v/>
      </c>
      <c r="CP87" s="130" t="str">
        <f>IF('Midterm OVPAA-F-INS-055A RAW SC'!CN87="","",'Midterm OVPAA-F-INS-055A RAW SC'!CN87/'Midterm OVPAA-F-INS-055A RAW SC'!CN$17*100)</f>
        <v/>
      </c>
      <c r="CQ87" s="131" t="str">
        <f t="array" ref="CQ87">IF('Midterm OVPAA-F-INS-055A RAW SC'!G87="","",IF((SUMPRODUCT(--ISBLANK('Midterm OVPAA-F-INS-055A RAW SC'!BU87:CN87))=COLUMNS('Midterm OVPAA-F-INS-055A RAW SC'!BU87:CN87))=TRUE,"",(((COUNTA('Midterm OVPAA-F-INS-055A RAW SC'!$BU$17:$CN$17)+COUNTBLANK('Midterm OVPAA-F-INS-055A RAW SC'!BU87:CN87))-COLUMNS('Midterm OVPAA-F-INS-055A RAW SC'!BU87:CN87))*5+SUM(BW87:CP87))/COUNTA('Midterm OVPAA-F-INS-055A RAW SC'!$BU$17:$CN$17)))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IF('Midterm OVPAA-F-INS-055A RAW SC'!CO87="","",'Midterm OVPAA-F-INS-055A RAW SC'!CO87/'Midterm OVPAA-F-INS-055A RAW SC'!CO$17*100)</f>
        <v/>
      </c>
      <c r="CT87" s="133" t="str">
        <f>IF('Midterm OVPAA-F-INS-055A RAW SC'!CP87="","",'Midterm OVPAA-F-INS-055A RAW SC'!CP87/'Midterm OVPAA-F-INS-055A RAW SC'!CP$17*100)</f>
        <v/>
      </c>
      <c r="CU87" s="133" t="str">
        <f>IF('Midterm OVPAA-F-INS-055A RAW SC'!CQ87="","",'Midterm OVPAA-F-INS-055A RAW SC'!CQ87/'Midterm OVPAA-F-INS-055A RAW SC'!CQ$17*100)</f>
        <v/>
      </c>
      <c r="CV87" s="133" t="str">
        <f>IF('Midterm OVPAA-F-INS-055A RAW SC'!CR87="","",'Midterm OVPAA-F-INS-055A RAW SC'!CR87/'Midterm OVPAA-F-INS-055A RAW SC'!CR$17*100)</f>
        <v/>
      </c>
      <c r="CW87" s="133" t="str">
        <f>IF('Midterm OVPAA-F-INS-055A RAW SC'!CS87="","",'Midterm OVPAA-F-INS-055A RAW SC'!CS87/'Midterm OVPAA-F-INS-055A RAW SC'!CS$17*100)</f>
        <v/>
      </c>
      <c r="CX87" s="133" t="str">
        <f>IF('Midterm OVPAA-F-INS-055A RAW SC'!CT87="","",'Midterm OVPAA-F-INS-055A RAW SC'!CT87/'Midterm OVPAA-F-INS-055A RAW SC'!CT$17*100)</f>
        <v/>
      </c>
      <c r="CY87" s="133" t="str">
        <f>IF('Midterm OVPAA-F-INS-055A RAW SC'!CU87="","",'Midterm OVPAA-F-INS-055A RAW SC'!CU87/'Midterm OVPAA-F-INS-055A RAW SC'!CU$17*100)</f>
        <v/>
      </c>
      <c r="CZ87" s="133" t="str">
        <f>IF('Midterm OVPAA-F-INS-055A RAW SC'!CV87="","",'Midterm OVPAA-F-INS-055A RAW SC'!CV87/'Midterm OVPAA-F-INS-055A RAW SC'!CV$17*100)</f>
        <v/>
      </c>
      <c r="DA87" s="133" t="str">
        <f>IF('Midterm OVPAA-F-INS-055A RAW SC'!CW87="","",'Midterm OVPAA-F-INS-055A RAW SC'!CW87/'Midterm OVPAA-F-INS-055A RAW SC'!CW$17*100)</f>
        <v/>
      </c>
      <c r="DB87" s="133" t="str">
        <f>IF('Midterm OVPAA-F-INS-055A RAW SC'!CX87="","",'Midterm OVPAA-F-INS-055A RAW SC'!CX87/'Midterm OVPAA-F-INS-055A RAW SC'!CX$17*100)</f>
        <v/>
      </c>
      <c r="DC87" s="134" t="str">
        <f t="array" ref="DC87">IF('Midterm OVPAA-F-INS-055A RAW SC'!$G87="","",IF((SUMPRODUCT(--ISBLANK('Midterm OVPAA-F-INS-055A RAW SC'!CO87:CX87))=COLUMNS('Midterm OVPAA-F-INS-055A RAW SC'!CO87:CX87))=TRUE,"",(((COUNTA('Midterm OVPAA-F-INS-055A RAW SC'!$CO$17:$CX$17)+COUNTBLANK('Midterm OVPAA-F-INS-055A RAW SC'!CO87:CX87))-COLUMNS('Midterm OVPAA-F-INS-055A RAW SC'!CO87:CX87))*5+SUM(CS87:DB87))/COUNTA('Midterm OVPAA-F-INS-055A RAW SC'!$CO$17:$CX$17)))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37" t="str">
        <f t="shared" si="2"/>
        <v/>
      </c>
      <c r="DG87" s="138" t="str">
        <f t="shared" si="3"/>
        <v/>
      </c>
      <c r="DH87" s="136" t="str">
        <f t="shared" si="4"/>
        <v/>
      </c>
      <c r="DI87" s="123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IF('Midterm OVPAA-F-INS-055A RAW SC'!H88="","",'Midterm OVPAA-F-INS-055A RAW SC'!H88/'Midterm OVPAA-F-INS-055A RAW SC'!H$17*100)</f>
        <v/>
      </c>
      <c r="I88" s="126" t="str">
        <f>IF('Midterm OVPAA-F-INS-055A RAW SC'!I88="","",'Midterm OVPAA-F-INS-055A RAW SC'!I88/'Midterm OVPAA-F-INS-055A RAW SC'!I$17*100)</f>
        <v/>
      </c>
      <c r="J88" s="126" t="str">
        <f>IF('Midterm OVPAA-F-INS-055A RAW SC'!J88="","",'Midterm OVPAA-F-INS-055A RAW SC'!J88/'Midterm OVPAA-F-INS-055A RAW SC'!J$17*100)</f>
        <v/>
      </c>
      <c r="K88" s="126" t="str">
        <f>IF('Midterm OVPAA-F-INS-055A RAW SC'!K88="","",'Midterm OVPAA-F-INS-055A RAW SC'!K88/'Midterm OVPAA-F-INS-055A RAW SC'!K$17*100)</f>
        <v/>
      </c>
      <c r="L88" s="126" t="str">
        <f>IF('Midterm OVPAA-F-INS-055A RAW SC'!L88="","",'Midterm OVPAA-F-INS-055A RAW SC'!L88/'Midterm OVPAA-F-INS-055A RAW SC'!L$17*100)</f>
        <v/>
      </c>
      <c r="M88" s="126" t="str">
        <f>IF('Midterm OVPAA-F-INS-055A RAW SC'!M88="","",'Midterm OVPAA-F-INS-055A RAW SC'!M88/'Midterm OVPAA-F-INS-055A RAW SC'!M$17*100)</f>
        <v/>
      </c>
      <c r="N88" s="126" t="str">
        <f>IF('Midterm OVPAA-F-INS-055A RAW SC'!N88="","",'Midterm OVPAA-F-INS-055A RAW SC'!N88/'Midterm OVPAA-F-INS-055A RAW SC'!N$17*100)</f>
        <v/>
      </c>
      <c r="O88" s="126" t="str">
        <f>IF('Midterm OVPAA-F-INS-055A RAW SC'!O88="","",'Midterm OVPAA-F-INS-055A RAW SC'!O88/'Midterm OVPAA-F-INS-055A RAW SC'!O$17*100)</f>
        <v/>
      </c>
      <c r="P88" s="126" t="str">
        <f>IF('Midterm OVPAA-F-INS-055A RAW SC'!P88="","",'Midterm OVPAA-F-INS-055A RAW SC'!P88/'Midterm OVPAA-F-INS-055A RAW SC'!P$17*100)</f>
        <v/>
      </c>
      <c r="Q88" s="126" t="str">
        <f>IF('Midterm OVPAA-F-INS-055A RAW SC'!Q88="","",'Midterm OVPAA-F-INS-055A RAW SC'!Q88/'Midterm OVPAA-F-INS-055A RAW SC'!Q$17*100)</f>
        <v/>
      </c>
      <c r="R88" s="126" t="str">
        <f>IF('Midterm OVPAA-F-INS-055A RAW SC'!R88="","",'Midterm OVPAA-F-INS-055A RAW SC'!R88/'Midterm OVPAA-F-INS-055A RAW SC'!R$17*100)</f>
        <v/>
      </c>
      <c r="S88" s="126" t="str">
        <f>IF('Midterm OVPAA-F-INS-055A RAW SC'!S88="","",'Midterm OVPAA-F-INS-055A RAW SC'!S88/'Midterm OVPAA-F-INS-055A RAW SC'!S$17*100)</f>
        <v/>
      </c>
      <c r="T88" s="126" t="str">
        <f>IF('Midterm OVPAA-F-INS-055A RAW SC'!T88="","",'Midterm OVPAA-F-INS-055A RAW SC'!T88/'Midterm OVPAA-F-INS-055A RAW SC'!T$17*100)</f>
        <v/>
      </c>
      <c r="U88" s="126" t="str">
        <f>IF('Midterm OVPAA-F-INS-055A RAW SC'!U88="","",'Midterm OVPAA-F-INS-055A RAW SC'!U88/'Midterm OVPAA-F-INS-055A RAW SC'!U$17*100)</f>
        <v/>
      </c>
      <c r="V88" s="126" t="str">
        <f>IF('Midterm OVPAA-F-INS-055A RAW SC'!V88="","",'Midterm OVPAA-F-INS-055A RAW SC'!V88/'Midterm OVPAA-F-INS-055A RAW SC'!V$17*100)</f>
        <v/>
      </c>
      <c r="W88" s="126" t="str">
        <f>IF('Midterm OVPAA-F-INS-055A RAW SC'!W88="","",'Midterm OVPAA-F-INS-055A RAW SC'!W88/'Midterm OVPAA-F-INS-055A RAW SC'!W$17*100)</f>
        <v/>
      </c>
      <c r="X88" s="126" t="str">
        <f>IF('Midterm OVPAA-F-INS-055A RAW SC'!X88="","",'Midterm OVPAA-F-INS-055A RAW SC'!X88/'Midterm OVPAA-F-INS-055A RAW SC'!X$17*100)</f>
        <v/>
      </c>
      <c r="Y88" s="126" t="str">
        <f>IF('Midterm OVPAA-F-INS-055A RAW SC'!Y88="","",'Midterm OVPAA-F-INS-055A RAW SC'!Y88/'Midterm OVPAA-F-INS-055A RAW SC'!Y$17*100)</f>
        <v/>
      </c>
      <c r="Z88" s="126" t="str">
        <f>IF('Midterm OVPAA-F-INS-055A RAW SC'!Z88="","",'Midterm OVPAA-F-INS-055A RAW SC'!Z88/'Midterm OVPAA-F-INS-055A RAW SC'!Z$17*100)</f>
        <v/>
      </c>
      <c r="AA88" s="126" t="str">
        <f>IF('Midterm OVPAA-F-INS-055A RAW SC'!AA88="","",'Midterm OVPAA-F-INS-055A RAW SC'!AA88/'Midterm OVPAA-F-INS-055A RAW SC'!AA$17*100)</f>
        <v/>
      </c>
      <c r="AB88" s="126" t="str">
        <f>IF('Midterm OVPAA-F-INS-055A RAW SC'!AB88="","",'Midterm OVPAA-F-INS-055A RAW SC'!AB88/'Midterm OVPAA-F-INS-055A RAW SC'!AB$17*100)</f>
        <v/>
      </c>
      <c r="AC88" s="126" t="str">
        <f>IF('Midterm OVPAA-F-INS-055A RAW SC'!AC88="","",'Midterm OVPAA-F-INS-055A RAW SC'!AC88/'Midterm OVPAA-F-INS-055A RAW SC'!AC$17*100)</f>
        <v/>
      </c>
      <c r="AD88" s="126" t="str">
        <f>IF('Midterm OVPAA-F-INS-055A RAW SC'!AD88="","",'Midterm OVPAA-F-INS-055A RAW SC'!AD88/'Midterm OVPAA-F-INS-055A RAW SC'!AD$17*100)</f>
        <v/>
      </c>
      <c r="AE88" s="126" t="str">
        <f>IF('Midterm OVPAA-F-INS-055A RAW SC'!AE88="","",'Midterm OVPAA-F-INS-055A RAW SC'!AE88/'Midterm OVPAA-F-INS-055A RAW SC'!AE$17*100)</f>
        <v/>
      </c>
      <c r="AF88" s="126" t="str">
        <f>IF('Midterm OVPAA-F-INS-055A RAW SC'!AF88="","",'Midterm OVPAA-F-INS-055A RAW SC'!AF88/'Midterm OVPAA-F-INS-055A RAW SC'!AF$17*100)</f>
        <v/>
      </c>
      <c r="AG88" s="126" t="str">
        <f>IF('Midterm OVPAA-F-INS-055A RAW SC'!AG88="","",'Midterm OVPAA-F-INS-055A RAW SC'!AG88/'Midterm OVPAA-F-INS-055A RAW SC'!AG$17*100)</f>
        <v/>
      </c>
      <c r="AH88" s="126" t="str">
        <f>IF('Midterm OVPAA-F-INS-055A RAW SC'!AH88="","",'Midterm OVPAA-F-INS-055A RAW SC'!AH88/'Midterm OVPAA-F-INS-055A RAW SC'!AH$17*100)</f>
        <v/>
      </c>
      <c r="AI88" s="126" t="str">
        <f>IF('Midterm OVPAA-F-INS-055A RAW SC'!AI88="","",'Midterm OVPAA-F-INS-055A RAW SC'!AI88/'Midterm OVPAA-F-INS-055A RAW SC'!AI$17*100)</f>
        <v/>
      </c>
      <c r="AJ88" s="126" t="str">
        <f>IF('Midterm OVPAA-F-INS-055A RAW SC'!AJ88="","",'Midterm OVPAA-F-INS-055A RAW SC'!AJ88/'Midterm OVPAA-F-INS-055A RAW SC'!AJ$17*100)</f>
        <v/>
      </c>
      <c r="AK88" s="126" t="str">
        <f>IF('Midterm OVPAA-F-INS-055A RAW SC'!AK88="","",'Midterm OVPAA-F-INS-055A RAW SC'!AK88/'Midterm OVPAA-F-INS-055A RAW SC'!AK$17*100)</f>
        <v/>
      </c>
      <c r="AL88" s="126" t="str">
        <f>IF('Midterm OVPAA-F-INS-055A RAW SC'!AL88="","",'Midterm OVPAA-F-INS-055A RAW SC'!AL88/'Midterm OVPAA-F-INS-055A RAW SC'!AL$17*100)</f>
        <v/>
      </c>
      <c r="AM88" s="126" t="str">
        <f>IF('Midterm OVPAA-F-INS-055A RAW SC'!AM88="","",'Midterm OVPAA-F-INS-055A RAW SC'!AM88/'Midterm OVPAA-F-INS-055A RAW SC'!AM$17*100)</f>
        <v/>
      </c>
      <c r="AN88" s="126" t="str">
        <f>IF('Midterm OVPAA-F-INS-055A RAW SC'!AN88="","",'Midterm OVPAA-F-INS-055A RAW SC'!AN88/'Midterm OVPAA-F-INS-055A RAW SC'!AN$17*100)</f>
        <v/>
      </c>
      <c r="AO88" s="126" t="str">
        <f>IF('Midterm OVPAA-F-INS-055A RAW SC'!AO88="","",'Midterm OVPAA-F-INS-055A RAW SC'!AO88/'Midterm OVPAA-F-INS-055A RAW SC'!AO$17*100)</f>
        <v/>
      </c>
      <c r="AP88" s="126" t="str">
        <f>IF('Midterm OVPAA-F-INS-055A RAW SC'!AP88="","",'Midterm OVPAA-F-INS-055A RAW SC'!AP88/'Midterm OVPAA-F-INS-055A RAW SC'!AP$17*100)</f>
        <v/>
      </c>
      <c r="AQ88" s="126" t="str">
        <f>IF('Midterm OVPAA-F-INS-055A RAW SC'!AQ88="","",'Midterm OVPAA-F-INS-055A RAW SC'!AQ88/'Midterm OVPAA-F-INS-055A RAW SC'!AQ$17*100)</f>
        <v/>
      </c>
      <c r="AR88" s="126" t="str">
        <f>IF('Midterm OVPAA-F-INS-055A RAW SC'!AR88="","",'Midterm OVPAA-F-INS-055A RAW SC'!AR88/'Midterm OVPAA-F-INS-055A RAW SC'!AR$17*100)</f>
        <v/>
      </c>
      <c r="AS88" s="126" t="str">
        <f>IF('Midterm OVPAA-F-INS-055A RAW SC'!AS88="","",'Midterm OVPAA-F-INS-055A RAW SC'!AS88/'Midterm OVPAA-F-INS-055A RAW SC'!AS$17*100)</f>
        <v/>
      </c>
      <c r="AT88" s="126" t="str">
        <f>IF('Midterm OVPAA-F-INS-055A RAW SC'!AT88="","",'Midterm OVPAA-F-INS-055A RAW SC'!AT88/'Midterm OVPAA-F-INS-055A RAW SC'!AT$17*100)</f>
        <v/>
      </c>
      <c r="AU88" s="126" t="str">
        <f>IF('Midterm OVPAA-F-INS-055A RAW SC'!AU88="","",'Midterm OVPAA-F-INS-055A RAW SC'!AU88/'Midterm OVPAA-F-INS-055A RAW SC'!AU$17*100)</f>
        <v/>
      </c>
      <c r="AV88" s="126" t="str">
        <f>IF('Midterm OVPAA-F-INS-055A RAW SC'!AV88="","",'Midterm OVPAA-F-INS-055A RAW SC'!AV88/'Midterm OVPAA-F-INS-055A RAW SC'!AV$17*100)</f>
        <v/>
      </c>
      <c r="AW88" s="126" t="str">
        <f>IF('Midterm OVPAA-F-INS-055A RAW SC'!AW88="","",'Midterm OVPAA-F-INS-055A RAW SC'!AW88/'Midterm OVPAA-F-INS-055A RAW SC'!AW$17*100)</f>
        <v/>
      </c>
      <c r="AX88" s="126" t="str">
        <f>IF('Midterm OVPAA-F-INS-055A RAW SC'!AX88="","",'Midterm OVPAA-F-INS-055A RAW SC'!AX88/'Midterm OVPAA-F-INS-055A RAW SC'!AX$17*100)</f>
        <v/>
      </c>
      <c r="AY88" s="126" t="str">
        <f>IF('Midterm OVPAA-F-INS-055A RAW SC'!AY88="","",'Midterm OVPAA-F-INS-055A RAW SC'!AY88/'Midterm OVPAA-F-INS-055A RAW SC'!AY$17*100)</f>
        <v/>
      </c>
      <c r="AZ88" s="126" t="str">
        <f>IF('Midterm OVPAA-F-INS-055A RAW SC'!AZ88="","",'Midterm OVPAA-F-INS-055A RAW SC'!AZ88/'Midterm OVPAA-F-INS-055A RAW SC'!AZ$17*100)</f>
        <v/>
      </c>
      <c r="BA88" s="126" t="str">
        <f>IF('Midterm OVPAA-F-INS-055A RAW SC'!BA88="","",'Midterm OVPAA-F-INS-055A RAW SC'!BA88/'Midterm OVPAA-F-INS-055A RAW SC'!BA$17*100)</f>
        <v/>
      </c>
      <c r="BB88" s="126" t="str">
        <f>IF('Midterm OVPAA-F-INS-055A RAW SC'!BB88="","",'Midterm OVPAA-F-INS-055A RAW SC'!BB88/'Midterm OVPAA-F-INS-055A RAW SC'!BB$17*100)</f>
        <v/>
      </c>
      <c r="BC88" s="126" t="str">
        <f>IF('Midterm OVPAA-F-INS-055A RAW SC'!BC88="","",'Midterm OVPAA-F-INS-055A RAW SC'!BC88/'Midterm OVPAA-F-INS-055A RAW SC'!BC$17*100)</f>
        <v/>
      </c>
      <c r="BD88" s="126" t="str">
        <f>IF('Midterm OVPAA-F-INS-055A RAW SC'!BD88="","",'Midterm OVPAA-F-INS-055A RAW SC'!BD88/'Midterm OVPAA-F-INS-055A RAW SC'!BD$17*100)</f>
        <v/>
      </c>
      <c r="BE88" s="126" t="str">
        <f>IF('Midterm OVPAA-F-INS-055A RAW SC'!BE88="","",'Midterm OVPAA-F-INS-055A RAW SC'!BE88/'Midterm OVPAA-F-INS-055A RAW SC'!BE$17*100)</f>
        <v/>
      </c>
      <c r="BF88" s="126" t="str">
        <f>IF('Midterm OVPAA-F-INS-055A RAW SC'!BF88="","",'Midterm OVPAA-F-INS-055A RAW SC'!BF88/'Midterm OVPAA-F-INS-055A RAW SC'!BF$17*100)</f>
        <v/>
      </c>
      <c r="BG88" s="126" t="str">
        <f>IF('Midterm OVPAA-F-INS-055A RAW SC'!BG88="","",'Midterm OVPAA-F-INS-055A RAW SC'!BG88/'Midterm OVPAA-F-INS-055A RAW SC'!BG$17*100)</f>
        <v/>
      </c>
      <c r="BH88" s="126" t="str">
        <f>IF('Midterm OVPAA-F-INS-055A RAW SC'!BH88="","",'Midterm OVPAA-F-INS-055A RAW SC'!BH88/'Midterm OVPAA-F-INS-055A RAW SC'!BH$17*100)</f>
        <v/>
      </c>
      <c r="BI88" s="126" t="str">
        <f>IF('Midterm OVPAA-F-INS-055A RAW SC'!BI88="","",'Midterm OVPAA-F-INS-055A RAW SC'!BI88/'Midterm OVPAA-F-INS-055A RAW SC'!BI$17*100)</f>
        <v/>
      </c>
      <c r="BJ88" s="126" t="str">
        <f>IF('Midterm OVPAA-F-INS-055A RAW SC'!BJ88="","",'Midterm OVPAA-F-INS-055A RAW SC'!BJ88/'Midterm OVPAA-F-INS-055A RAW SC'!BJ$17*100)</f>
        <v/>
      </c>
      <c r="BK88" s="126" t="str">
        <f>IF('Midterm OVPAA-F-INS-055A RAW SC'!BK88="","",'Midterm OVPAA-F-INS-055A RAW SC'!BK88/'Midterm OVPAA-F-INS-055A RAW SC'!BK$17*100)</f>
        <v/>
      </c>
      <c r="BL88" s="126" t="str">
        <f>IF('Midterm OVPAA-F-INS-055A RAW SC'!BL88="","",'Midterm OVPAA-F-INS-055A RAW SC'!BL88/'Midterm OVPAA-F-INS-055A RAW SC'!BL$17*100)</f>
        <v/>
      </c>
      <c r="BM88" s="126" t="str">
        <f>IF('Midterm OVPAA-F-INS-055A RAW SC'!BM88="","",'Midterm OVPAA-F-INS-055A RAW SC'!BM88/'Midterm OVPAA-F-INS-055A RAW SC'!BM$17*100)</f>
        <v/>
      </c>
      <c r="BN88" s="126" t="str">
        <f>IF('Midterm OVPAA-F-INS-055A RAW SC'!BN88="","",'Midterm OVPAA-F-INS-055A RAW SC'!BN88/'Midterm OVPAA-F-INS-055A RAW SC'!BN$17*100)</f>
        <v/>
      </c>
      <c r="BO88" s="126" t="str">
        <f>IF('Midterm OVPAA-F-INS-055A RAW SC'!BO88="","",'Midterm OVPAA-F-INS-055A RAW SC'!BO88/'Midterm OVPAA-F-INS-055A RAW SC'!BO$17*100)</f>
        <v/>
      </c>
      <c r="BP88" s="126" t="str">
        <f>IF('Midterm OVPAA-F-INS-055A RAW SC'!BP88="","",'Midterm OVPAA-F-INS-055A RAW SC'!BP88/'Midterm OVPAA-F-INS-055A RAW SC'!BP$17*100)</f>
        <v/>
      </c>
      <c r="BQ88" s="126" t="str">
        <f>IF('Midterm OVPAA-F-INS-055A RAW SC'!BQ88="","",'Midterm OVPAA-F-INS-055A RAW SC'!BQ88/'Midterm OVPAA-F-INS-055A RAW SC'!BQ$17*100)</f>
        <v/>
      </c>
      <c r="BR88" s="126" t="str">
        <f>IF('Midterm OVPAA-F-INS-055A RAW SC'!BR88="","",'Midterm OVPAA-F-INS-055A RAW SC'!BR88/'Midterm OVPAA-F-INS-055A RAW SC'!BR$17*100)</f>
        <v/>
      </c>
      <c r="BS88" s="126" t="str">
        <f>IF('Midterm OVPAA-F-INS-055A RAW SC'!BS88="","",'Midterm OVPAA-F-INS-055A RAW SC'!BS88/'Midterm OVPAA-F-INS-055A RAW SC'!BS$17*100)</f>
        <v/>
      </c>
      <c r="BT88" s="126" t="str">
        <f>IF('Midterm OVPAA-F-INS-055A RAW SC'!BT88="","",'Midterm OVPAA-F-INS-055A RAW SC'!BT88/'Midterm OVPAA-F-INS-055A RAW SC'!BT$17*100)</f>
        <v/>
      </c>
      <c r="BU88" s="127" t="str">
        <f t="array" ref="BU88">IF('Midterm OVPAA-F-INS-055A RAW SC'!$G88="","",IF((SUMPRODUCT(--ISBLANK('Midterm OVPAA-F-INS-055A RAW SC'!H88:BT88))=COLUMNS('Midterm OVPAA-F-INS-055A RAW SC'!H88:BT88))=TRUE,"",(((COUNTA('Midterm OVPAA-F-INS-055A RAW SC'!$H$17:$BT$17)+COUNTBLANK('Midterm OVPAA-F-INS-055A RAW SC'!H88:BT88))-COLUMNS('Midterm OVPAA-F-INS-055A RAW SC'!H88:BT88))*5+SUM(H88:BT88))/COUNTA('Midterm OVPAA-F-INS-055A RAW SC'!$H$17:$BT$17)))</f>
        <v/>
      </c>
      <c r="BV88" s="128" t="str">
        <f>IF(BU88="","",VLOOKUP(BU88,IF('Midterm OVPAA-F-INS-055A RAW SC'!$V$12=0.5,TRANSMUTATION!$C$4:$D$17,TRANSMUTATION!$G$4:$H$17),2,TRUE))</f>
        <v/>
      </c>
      <c r="BW88" s="129" t="str">
        <f>IF('Midterm OVPAA-F-INS-055A RAW SC'!BU88="","",'Midterm OVPAA-F-INS-055A RAW SC'!BU88/'Midterm OVPAA-F-INS-055A RAW SC'!BU$17*100)</f>
        <v/>
      </c>
      <c r="BX88" s="130" t="str">
        <f>IF('Midterm OVPAA-F-INS-055A RAW SC'!BV88="","",'Midterm OVPAA-F-INS-055A RAW SC'!BV88/'Midterm OVPAA-F-INS-055A RAW SC'!BV$17*100)</f>
        <v/>
      </c>
      <c r="BY88" s="130" t="str">
        <f>IF('Midterm OVPAA-F-INS-055A RAW SC'!BW88="","",'Midterm OVPAA-F-INS-055A RAW SC'!BW88/'Midterm OVPAA-F-INS-055A RAW SC'!BW$17*100)</f>
        <v/>
      </c>
      <c r="BZ88" s="130" t="str">
        <f>IF('Midterm OVPAA-F-INS-055A RAW SC'!BX88="","",'Midterm OVPAA-F-INS-055A RAW SC'!BX88/'Midterm OVPAA-F-INS-055A RAW SC'!BX$17*100)</f>
        <v/>
      </c>
      <c r="CA88" s="130" t="str">
        <f>IF('Midterm OVPAA-F-INS-055A RAW SC'!BY88="","",'Midterm OVPAA-F-INS-055A RAW SC'!BY88/'Midterm OVPAA-F-INS-055A RAW SC'!BY$17*100)</f>
        <v/>
      </c>
      <c r="CB88" s="130" t="str">
        <f>IF('Midterm OVPAA-F-INS-055A RAW SC'!BZ88="","",'Midterm OVPAA-F-INS-055A RAW SC'!BZ88/'Midterm OVPAA-F-INS-055A RAW SC'!BZ$17*100)</f>
        <v/>
      </c>
      <c r="CC88" s="130" t="str">
        <f>IF('Midterm OVPAA-F-INS-055A RAW SC'!CA88="","",'Midterm OVPAA-F-INS-055A RAW SC'!CA88/'Midterm OVPAA-F-INS-055A RAW SC'!CA$17*100)</f>
        <v/>
      </c>
      <c r="CD88" s="130" t="str">
        <f>IF('Midterm OVPAA-F-INS-055A RAW SC'!CB88="","",'Midterm OVPAA-F-INS-055A RAW SC'!CB88/'Midterm OVPAA-F-INS-055A RAW SC'!CB$17*100)</f>
        <v/>
      </c>
      <c r="CE88" s="130" t="str">
        <f>IF('Midterm OVPAA-F-INS-055A RAW SC'!CC88="","",'Midterm OVPAA-F-INS-055A RAW SC'!CC88/'Midterm OVPAA-F-INS-055A RAW SC'!CC$17*100)</f>
        <v/>
      </c>
      <c r="CF88" s="130" t="str">
        <f>IF('Midterm OVPAA-F-INS-055A RAW SC'!CD88="","",'Midterm OVPAA-F-INS-055A RAW SC'!CD88/'Midterm OVPAA-F-INS-055A RAW SC'!CD$17*100)</f>
        <v/>
      </c>
      <c r="CG88" s="130" t="str">
        <f>IF('Midterm OVPAA-F-INS-055A RAW SC'!CE88="","",'Midterm OVPAA-F-INS-055A RAW SC'!CE88/'Midterm OVPAA-F-INS-055A RAW SC'!CE$17*100)</f>
        <v/>
      </c>
      <c r="CH88" s="130" t="str">
        <f>IF('Midterm OVPAA-F-INS-055A RAW SC'!CF88="","",'Midterm OVPAA-F-INS-055A RAW SC'!CF88/'Midterm OVPAA-F-INS-055A RAW SC'!CF$17*100)</f>
        <v/>
      </c>
      <c r="CI88" s="130" t="str">
        <f>IF('Midterm OVPAA-F-INS-055A RAW SC'!CG88="","",'Midterm OVPAA-F-INS-055A RAW SC'!CG88/'Midterm OVPAA-F-INS-055A RAW SC'!CG$17*100)</f>
        <v/>
      </c>
      <c r="CJ88" s="130" t="str">
        <f>IF('Midterm OVPAA-F-INS-055A RAW SC'!CH88="","",'Midterm OVPAA-F-INS-055A RAW SC'!CH88/'Midterm OVPAA-F-INS-055A RAW SC'!CH$17*100)</f>
        <v/>
      </c>
      <c r="CK88" s="130" t="str">
        <f>IF('Midterm OVPAA-F-INS-055A RAW SC'!CI88="","",'Midterm OVPAA-F-INS-055A RAW SC'!CI88/'Midterm OVPAA-F-INS-055A RAW SC'!CI$17*100)</f>
        <v/>
      </c>
      <c r="CL88" s="130" t="str">
        <f>IF('Midterm OVPAA-F-INS-055A RAW SC'!CJ88="","",'Midterm OVPAA-F-INS-055A RAW SC'!CJ88/'Midterm OVPAA-F-INS-055A RAW SC'!CJ$17*100)</f>
        <v/>
      </c>
      <c r="CM88" s="130" t="str">
        <f>IF('Midterm OVPAA-F-INS-055A RAW SC'!CK88="","",'Midterm OVPAA-F-INS-055A RAW SC'!CK88/'Midterm OVPAA-F-INS-055A RAW SC'!CK$17*100)</f>
        <v/>
      </c>
      <c r="CN88" s="130" t="str">
        <f>IF('Midterm OVPAA-F-INS-055A RAW SC'!CL88="","",'Midterm OVPAA-F-INS-055A RAW SC'!CL88/'Midterm OVPAA-F-INS-055A RAW SC'!CL$17*100)</f>
        <v/>
      </c>
      <c r="CO88" s="130" t="str">
        <f>IF('Midterm OVPAA-F-INS-055A RAW SC'!CM88="","",'Midterm OVPAA-F-INS-055A RAW SC'!CM88/'Midterm OVPAA-F-INS-055A RAW SC'!CM$17*100)</f>
        <v/>
      </c>
      <c r="CP88" s="130" t="str">
        <f>IF('Midterm OVPAA-F-INS-055A RAW SC'!CN88="","",'Midterm OVPAA-F-INS-055A RAW SC'!CN88/'Midterm OVPAA-F-INS-055A RAW SC'!CN$17*100)</f>
        <v/>
      </c>
      <c r="CQ88" s="131" t="str">
        <f t="array" ref="CQ88">IF('Midterm OVPAA-F-INS-055A RAW SC'!G88="","",IF((SUMPRODUCT(--ISBLANK('Midterm OVPAA-F-INS-055A RAW SC'!BU88:CN88))=COLUMNS('Midterm OVPAA-F-INS-055A RAW SC'!BU88:CN88))=TRUE,"",(((COUNTA('Midterm OVPAA-F-INS-055A RAW SC'!$BU$17:$CN$17)+COUNTBLANK('Midterm OVPAA-F-INS-055A RAW SC'!BU88:CN88))-COLUMNS('Midterm OVPAA-F-INS-055A RAW SC'!BU88:CN88))*5+SUM(BW88:CP88))/COUNTA('Midterm OVPAA-F-INS-055A RAW SC'!$BU$17:$CN$17)))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IF('Midterm OVPAA-F-INS-055A RAW SC'!CO88="","",'Midterm OVPAA-F-INS-055A RAW SC'!CO88/'Midterm OVPAA-F-INS-055A RAW SC'!CO$17*100)</f>
        <v/>
      </c>
      <c r="CT88" s="133" t="str">
        <f>IF('Midterm OVPAA-F-INS-055A RAW SC'!CP88="","",'Midterm OVPAA-F-INS-055A RAW SC'!CP88/'Midterm OVPAA-F-INS-055A RAW SC'!CP$17*100)</f>
        <v/>
      </c>
      <c r="CU88" s="133" t="str">
        <f>IF('Midterm OVPAA-F-INS-055A RAW SC'!CQ88="","",'Midterm OVPAA-F-INS-055A RAW SC'!CQ88/'Midterm OVPAA-F-INS-055A RAW SC'!CQ$17*100)</f>
        <v/>
      </c>
      <c r="CV88" s="133" t="str">
        <f>IF('Midterm OVPAA-F-INS-055A RAW SC'!CR88="","",'Midterm OVPAA-F-INS-055A RAW SC'!CR88/'Midterm OVPAA-F-INS-055A RAW SC'!CR$17*100)</f>
        <v/>
      </c>
      <c r="CW88" s="133" t="str">
        <f>IF('Midterm OVPAA-F-INS-055A RAW SC'!CS88="","",'Midterm OVPAA-F-INS-055A RAW SC'!CS88/'Midterm OVPAA-F-INS-055A RAW SC'!CS$17*100)</f>
        <v/>
      </c>
      <c r="CX88" s="133" t="str">
        <f>IF('Midterm OVPAA-F-INS-055A RAW SC'!CT88="","",'Midterm OVPAA-F-INS-055A RAW SC'!CT88/'Midterm OVPAA-F-INS-055A RAW SC'!CT$17*100)</f>
        <v/>
      </c>
      <c r="CY88" s="133" t="str">
        <f>IF('Midterm OVPAA-F-INS-055A RAW SC'!CU88="","",'Midterm OVPAA-F-INS-055A RAW SC'!CU88/'Midterm OVPAA-F-INS-055A RAW SC'!CU$17*100)</f>
        <v/>
      </c>
      <c r="CZ88" s="133" t="str">
        <f>IF('Midterm OVPAA-F-INS-055A RAW SC'!CV88="","",'Midterm OVPAA-F-INS-055A RAW SC'!CV88/'Midterm OVPAA-F-INS-055A RAW SC'!CV$17*100)</f>
        <v/>
      </c>
      <c r="DA88" s="133" t="str">
        <f>IF('Midterm OVPAA-F-INS-055A RAW SC'!CW88="","",'Midterm OVPAA-F-INS-055A RAW SC'!CW88/'Midterm OVPAA-F-INS-055A RAW SC'!CW$17*100)</f>
        <v/>
      </c>
      <c r="DB88" s="133" t="str">
        <f>IF('Midterm OVPAA-F-INS-055A RAW SC'!CX88="","",'Midterm OVPAA-F-INS-055A RAW SC'!CX88/'Midterm OVPAA-F-INS-055A RAW SC'!CX$17*100)</f>
        <v/>
      </c>
      <c r="DC88" s="134" t="str">
        <f t="array" ref="DC88">IF('Midterm OVPAA-F-INS-055A RAW SC'!$G88="","",IF((SUMPRODUCT(--ISBLANK('Midterm OVPAA-F-INS-055A RAW SC'!CO88:CX88))=COLUMNS('Midterm OVPAA-F-INS-055A RAW SC'!CO88:CX88))=TRUE,"",(((COUNTA('Midterm OVPAA-F-INS-055A RAW SC'!$CO$17:$CX$17)+COUNTBLANK('Midterm OVPAA-F-INS-055A RAW SC'!CO88:CX88))-COLUMNS('Midterm OVPAA-F-INS-055A RAW SC'!CO88:CX88))*5+SUM(CS88:DB88))/COUNTA('Midterm OVPAA-F-INS-055A RAW SC'!$CO$17:$CX$17)))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37" t="str">
        <f t="shared" si="2"/>
        <v/>
      </c>
      <c r="DG88" s="138" t="str">
        <f t="shared" si="3"/>
        <v/>
      </c>
      <c r="DH88" s="136" t="str">
        <f t="shared" si="4"/>
        <v/>
      </c>
      <c r="DI88" s="123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IF('Midterm OVPAA-F-INS-055A RAW SC'!H89="","",'Midterm OVPAA-F-INS-055A RAW SC'!H89/'Midterm OVPAA-F-INS-055A RAW SC'!H$17*100)</f>
        <v/>
      </c>
      <c r="I89" s="126" t="str">
        <f>IF('Midterm OVPAA-F-INS-055A RAW SC'!I89="","",'Midterm OVPAA-F-INS-055A RAW SC'!I89/'Midterm OVPAA-F-INS-055A RAW SC'!I$17*100)</f>
        <v/>
      </c>
      <c r="J89" s="126" t="str">
        <f>IF('Midterm OVPAA-F-INS-055A RAW SC'!J89="","",'Midterm OVPAA-F-INS-055A RAW SC'!J89/'Midterm OVPAA-F-INS-055A RAW SC'!J$17*100)</f>
        <v/>
      </c>
      <c r="K89" s="126" t="str">
        <f>IF('Midterm OVPAA-F-INS-055A RAW SC'!K89="","",'Midterm OVPAA-F-INS-055A RAW SC'!K89/'Midterm OVPAA-F-INS-055A RAW SC'!K$17*100)</f>
        <v/>
      </c>
      <c r="L89" s="126" t="str">
        <f>IF('Midterm OVPAA-F-INS-055A RAW SC'!L89="","",'Midterm OVPAA-F-INS-055A RAW SC'!L89/'Midterm OVPAA-F-INS-055A RAW SC'!L$17*100)</f>
        <v/>
      </c>
      <c r="M89" s="126" t="str">
        <f>IF('Midterm OVPAA-F-INS-055A RAW SC'!M89="","",'Midterm OVPAA-F-INS-055A RAW SC'!M89/'Midterm OVPAA-F-INS-055A RAW SC'!M$17*100)</f>
        <v/>
      </c>
      <c r="N89" s="126" t="str">
        <f>IF('Midterm OVPAA-F-INS-055A RAW SC'!N89="","",'Midterm OVPAA-F-INS-055A RAW SC'!N89/'Midterm OVPAA-F-INS-055A RAW SC'!N$17*100)</f>
        <v/>
      </c>
      <c r="O89" s="126" t="str">
        <f>IF('Midterm OVPAA-F-INS-055A RAW SC'!O89="","",'Midterm OVPAA-F-INS-055A RAW SC'!O89/'Midterm OVPAA-F-INS-055A RAW SC'!O$17*100)</f>
        <v/>
      </c>
      <c r="P89" s="126" t="str">
        <f>IF('Midterm OVPAA-F-INS-055A RAW SC'!P89="","",'Midterm OVPAA-F-INS-055A RAW SC'!P89/'Midterm OVPAA-F-INS-055A RAW SC'!P$17*100)</f>
        <v/>
      </c>
      <c r="Q89" s="126" t="str">
        <f>IF('Midterm OVPAA-F-INS-055A RAW SC'!Q89="","",'Midterm OVPAA-F-INS-055A RAW SC'!Q89/'Midterm OVPAA-F-INS-055A RAW SC'!Q$17*100)</f>
        <v/>
      </c>
      <c r="R89" s="126" t="str">
        <f>IF('Midterm OVPAA-F-INS-055A RAW SC'!R89="","",'Midterm OVPAA-F-INS-055A RAW SC'!R89/'Midterm OVPAA-F-INS-055A RAW SC'!R$17*100)</f>
        <v/>
      </c>
      <c r="S89" s="126" t="str">
        <f>IF('Midterm OVPAA-F-INS-055A RAW SC'!S89="","",'Midterm OVPAA-F-INS-055A RAW SC'!S89/'Midterm OVPAA-F-INS-055A RAW SC'!S$17*100)</f>
        <v/>
      </c>
      <c r="T89" s="126" t="str">
        <f>IF('Midterm OVPAA-F-INS-055A RAW SC'!T89="","",'Midterm OVPAA-F-INS-055A RAW SC'!T89/'Midterm OVPAA-F-INS-055A RAW SC'!T$17*100)</f>
        <v/>
      </c>
      <c r="U89" s="126" t="str">
        <f>IF('Midterm OVPAA-F-INS-055A RAW SC'!U89="","",'Midterm OVPAA-F-INS-055A RAW SC'!U89/'Midterm OVPAA-F-INS-055A RAW SC'!U$17*100)</f>
        <v/>
      </c>
      <c r="V89" s="126" t="str">
        <f>IF('Midterm OVPAA-F-INS-055A RAW SC'!V89="","",'Midterm OVPAA-F-INS-055A RAW SC'!V89/'Midterm OVPAA-F-INS-055A RAW SC'!V$17*100)</f>
        <v/>
      </c>
      <c r="W89" s="126" t="str">
        <f>IF('Midterm OVPAA-F-INS-055A RAW SC'!W89="","",'Midterm OVPAA-F-INS-055A RAW SC'!W89/'Midterm OVPAA-F-INS-055A RAW SC'!W$17*100)</f>
        <v/>
      </c>
      <c r="X89" s="126" t="str">
        <f>IF('Midterm OVPAA-F-INS-055A RAW SC'!X89="","",'Midterm OVPAA-F-INS-055A RAW SC'!X89/'Midterm OVPAA-F-INS-055A RAW SC'!X$17*100)</f>
        <v/>
      </c>
      <c r="Y89" s="126" t="str">
        <f>IF('Midterm OVPAA-F-INS-055A RAW SC'!Y89="","",'Midterm OVPAA-F-INS-055A RAW SC'!Y89/'Midterm OVPAA-F-INS-055A RAW SC'!Y$17*100)</f>
        <v/>
      </c>
      <c r="Z89" s="126" t="str">
        <f>IF('Midterm OVPAA-F-INS-055A RAW SC'!Z89="","",'Midterm OVPAA-F-INS-055A RAW SC'!Z89/'Midterm OVPAA-F-INS-055A RAW SC'!Z$17*100)</f>
        <v/>
      </c>
      <c r="AA89" s="126" t="str">
        <f>IF('Midterm OVPAA-F-INS-055A RAW SC'!AA89="","",'Midterm OVPAA-F-INS-055A RAW SC'!AA89/'Midterm OVPAA-F-INS-055A RAW SC'!AA$17*100)</f>
        <v/>
      </c>
      <c r="AB89" s="126" t="str">
        <f>IF('Midterm OVPAA-F-INS-055A RAW SC'!AB89="","",'Midterm OVPAA-F-INS-055A RAW SC'!AB89/'Midterm OVPAA-F-INS-055A RAW SC'!AB$17*100)</f>
        <v/>
      </c>
      <c r="AC89" s="126" t="str">
        <f>IF('Midterm OVPAA-F-INS-055A RAW SC'!AC89="","",'Midterm OVPAA-F-INS-055A RAW SC'!AC89/'Midterm OVPAA-F-INS-055A RAW SC'!AC$17*100)</f>
        <v/>
      </c>
      <c r="AD89" s="126" t="str">
        <f>IF('Midterm OVPAA-F-INS-055A RAW SC'!AD89="","",'Midterm OVPAA-F-INS-055A RAW SC'!AD89/'Midterm OVPAA-F-INS-055A RAW SC'!AD$17*100)</f>
        <v/>
      </c>
      <c r="AE89" s="126" t="str">
        <f>IF('Midterm OVPAA-F-INS-055A RAW SC'!AE89="","",'Midterm OVPAA-F-INS-055A RAW SC'!AE89/'Midterm OVPAA-F-INS-055A RAW SC'!AE$17*100)</f>
        <v/>
      </c>
      <c r="AF89" s="126" t="str">
        <f>IF('Midterm OVPAA-F-INS-055A RAW SC'!AF89="","",'Midterm OVPAA-F-INS-055A RAW SC'!AF89/'Midterm OVPAA-F-INS-055A RAW SC'!AF$17*100)</f>
        <v/>
      </c>
      <c r="AG89" s="126" t="str">
        <f>IF('Midterm OVPAA-F-INS-055A RAW SC'!AG89="","",'Midterm OVPAA-F-INS-055A RAW SC'!AG89/'Midterm OVPAA-F-INS-055A RAW SC'!AG$17*100)</f>
        <v/>
      </c>
      <c r="AH89" s="126" t="str">
        <f>IF('Midterm OVPAA-F-INS-055A RAW SC'!AH89="","",'Midterm OVPAA-F-INS-055A RAW SC'!AH89/'Midterm OVPAA-F-INS-055A RAW SC'!AH$17*100)</f>
        <v/>
      </c>
      <c r="AI89" s="126" t="str">
        <f>IF('Midterm OVPAA-F-INS-055A RAW SC'!AI89="","",'Midterm OVPAA-F-INS-055A RAW SC'!AI89/'Midterm OVPAA-F-INS-055A RAW SC'!AI$17*100)</f>
        <v/>
      </c>
      <c r="AJ89" s="126" t="str">
        <f>IF('Midterm OVPAA-F-INS-055A RAW SC'!AJ89="","",'Midterm OVPAA-F-INS-055A RAW SC'!AJ89/'Midterm OVPAA-F-INS-055A RAW SC'!AJ$17*100)</f>
        <v/>
      </c>
      <c r="AK89" s="126" t="str">
        <f>IF('Midterm OVPAA-F-INS-055A RAW SC'!AK89="","",'Midterm OVPAA-F-INS-055A RAW SC'!AK89/'Midterm OVPAA-F-INS-055A RAW SC'!AK$17*100)</f>
        <v/>
      </c>
      <c r="AL89" s="126" t="str">
        <f>IF('Midterm OVPAA-F-INS-055A RAW SC'!AL89="","",'Midterm OVPAA-F-INS-055A RAW SC'!AL89/'Midterm OVPAA-F-INS-055A RAW SC'!AL$17*100)</f>
        <v/>
      </c>
      <c r="AM89" s="126" t="str">
        <f>IF('Midterm OVPAA-F-INS-055A RAW SC'!AM89="","",'Midterm OVPAA-F-INS-055A RAW SC'!AM89/'Midterm OVPAA-F-INS-055A RAW SC'!AM$17*100)</f>
        <v/>
      </c>
      <c r="AN89" s="126" t="str">
        <f>IF('Midterm OVPAA-F-INS-055A RAW SC'!AN89="","",'Midterm OVPAA-F-INS-055A RAW SC'!AN89/'Midterm OVPAA-F-INS-055A RAW SC'!AN$17*100)</f>
        <v/>
      </c>
      <c r="AO89" s="126" t="str">
        <f>IF('Midterm OVPAA-F-INS-055A RAW SC'!AO89="","",'Midterm OVPAA-F-INS-055A RAW SC'!AO89/'Midterm OVPAA-F-INS-055A RAW SC'!AO$17*100)</f>
        <v/>
      </c>
      <c r="AP89" s="126" t="str">
        <f>IF('Midterm OVPAA-F-INS-055A RAW SC'!AP89="","",'Midterm OVPAA-F-INS-055A RAW SC'!AP89/'Midterm OVPAA-F-INS-055A RAW SC'!AP$17*100)</f>
        <v/>
      </c>
      <c r="AQ89" s="126" t="str">
        <f>IF('Midterm OVPAA-F-INS-055A RAW SC'!AQ89="","",'Midterm OVPAA-F-INS-055A RAW SC'!AQ89/'Midterm OVPAA-F-INS-055A RAW SC'!AQ$17*100)</f>
        <v/>
      </c>
      <c r="AR89" s="126" t="str">
        <f>IF('Midterm OVPAA-F-INS-055A RAW SC'!AR89="","",'Midterm OVPAA-F-INS-055A RAW SC'!AR89/'Midterm OVPAA-F-INS-055A RAW SC'!AR$17*100)</f>
        <v/>
      </c>
      <c r="AS89" s="126" t="str">
        <f>IF('Midterm OVPAA-F-INS-055A RAW SC'!AS89="","",'Midterm OVPAA-F-INS-055A RAW SC'!AS89/'Midterm OVPAA-F-INS-055A RAW SC'!AS$17*100)</f>
        <v/>
      </c>
      <c r="AT89" s="126" t="str">
        <f>IF('Midterm OVPAA-F-INS-055A RAW SC'!AT89="","",'Midterm OVPAA-F-INS-055A RAW SC'!AT89/'Midterm OVPAA-F-INS-055A RAW SC'!AT$17*100)</f>
        <v/>
      </c>
      <c r="AU89" s="126" t="str">
        <f>IF('Midterm OVPAA-F-INS-055A RAW SC'!AU89="","",'Midterm OVPAA-F-INS-055A RAW SC'!AU89/'Midterm OVPAA-F-INS-055A RAW SC'!AU$17*100)</f>
        <v/>
      </c>
      <c r="AV89" s="126" t="str">
        <f>IF('Midterm OVPAA-F-INS-055A RAW SC'!AV89="","",'Midterm OVPAA-F-INS-055A RAW SC'!AV89/'Midterm OVPAA-F-INS-055A RAW SC'!AV$17*100)</f>
        <v/>
      </c>
      <c r="AW89" s="126" t="str">
        <f>IF('Midterm OVPAA-F-INS-055A RAW SC'!AW89="","",'Midterm OVPAA-F-INS-055A RAW SC'!AW89/'Midterm OVPAA-F-INS-055A RAW SC'!AW$17*100)</f>
        <v/>
      </c>
      <c r="AX89" s="126" t="str">
        <f>IF('Midterm OVPAA-F-INS-055A RAW SC'!AX89="","",'Midterm OVPAA-F-INS-055A RAW SC'!AX89/'Midterm OVPAA-F-INS-055A RAW SC'!AX$17*100)</f>
        <v/>
      </c>
      <c r="AY89" s="126" t="str">
        <f>IF('Midterm OVPAA-F-INS-055A RAW SC'!AY89="","",'Midterm OVPAA-F-INS-055A RAW SC'!AY89/'Midterm OVPAA-F-INS-055A RAW SC'!AY$17*100)</f>
        <v/>
      </c>
      <c r="AZ89" s="126" t="str">
        <f>IF('Midterm OVPAA-F-INS-055A RAW SC'!AZ89="","",'Midterm OVPAA-F-INS-055A RAW SC'!AZ89/'Midterm OVPAA-F-INS-055A RAW SC'!AZ$17*100)</f>
        <v/>
      </c>
      <c r="BA89" s="126" t="str">
        <f>IF('Midterm OVPAA-F-INS-055A RAW SC'!BA89="","",'Midterm OVPAA-F-INS-055A RAW SC'!BA89/'Midterm OVPAA-F-INS-055A RAW SC'!BA$17*100)</f>
        <v/>
      </c>
      <c r="BB89" s="126" t="str">
        <f>IF('Midterm OVPAA-F-INS-055A RAW SC'!BB89="","",'Midterm OVPAA-F-INS-055A RAW SC'!BB89/'Midterm OVPAA-F-INS-055A RAW SC'!BB$17*100)</f>
        <v/>
      </c>
      <c r="BC89" s="126" t="str">
        <f>IF('Midterm OVPAA-F-INS-055A RAW SC'!BC89="","",'Midterm OVPAA-F-INS-055A RAW SC'!BC89/'Midterm OVPAA-F-INS-055A RAW SC'!BC$17*100)</f>
        <v/>
      </c>
      <c r="BD89" s="126" t="str">
        <f>IF('Midterm OVPAA-F-INS-055A RAW SC'!BD89="","",'Midterm OVPAA-F-INS-055A RAW SC'!BD89/'Midterm OVPAA-F-INS-055A RAW SC'!BD$17*100)</f>
        <v/>
      </c>
      <c r="BE89" s="126" t="str">
        <f>IF('Midterm OVPAA-F-INS-055A RAW SC'!BE89="","",'Midterm OVPAA-F-INS-055A RAW SC'!BE89/'Midterm OVPAA-F-INS-055A RAW SC'!BE$17*100)</f>
        <v/>
      </c>
      <c r="BF89" s="126" t="str">
        <f>IF('Midterm OVPAA-F-INS-055A RAW SC'!BF89="","",'Midterm OVPAA-F-INS-055A RAW SC'!BF89/'Midterm OVPAA-F-INS-055A RAW SC'!BF$17*100)</f>
        <v/>
      </c>
      <c r="BG89" s="126" t="str">
        <f>IF('Midterm OVPAA-F-INS-055A RAW SC'!BG89="","",'Midterm OVPAA-F-INS-055A RAW SC'!BG89/'Midterm OVPAA-F-INS-055A RAW SC'!BG$17*100)</f>
        <v/>
      </c>
      <c r="BH89" s="126" t="str">
        <f>IF('Midterm OVPAA-F-INS-055A RAW SC'!BH89="","",'Midterm OVPAA-F-INS-055A RAW SC'!BH89/'Midterm OVPAA-F-INS-055A RAW SC'!BH$17*100)</f>
        <v/>
      </c>
      <c r="BI89" s="126" t="str">
        <f>IF('Midterm OVPAA-F-INS-055A RAW SC'!BI89="","",'Midterm OVPAA-F-INS-055A RAW SC'!BI89/'Midterm OVPAA-F-INS-055A RAW SC'!BI$17*100)</f>
        <v/>
      </c>
      <c r="BJ89" s="126" t="str">
        <f>IF('Midterm OVPAA-F-INS-055A RAW SC'!BJ89="","",'Midterm OVPAA-F-INS-055A RAW SC'!BJ89/'Midterm OVPAA-F-INS-055A RAW SC'!BJ$17*100)</f>
        <v/>
      </c>
      <c r="BK89" s="126" t="str">
        <f>IF('Midterm OVPAA-F-INS-055A RAW SC'!BK89="","",'Midterm OVPAA-F-INS-055A RAW SC'!BK89/'Midterm OVPAA-F-INS-055A RAW SC'!BK$17*100)</f>
        <v/>
      </c>
      <c r="BL89" s="126" t="str">
        <f>IF('Midterm OVPAA-F-INS-055A RAW SC'!BL89="","",'Midterm OVPAA-F-INS-055A RAW SC'!BL89/'Midterm OVPAA-F-INS-055A RAW SC'!BL$17*100)</f>
        <v/>
      </c>
      <c r="BM89" s="126" t="str">
        <f>IF('Midterm OVPAA-F-INS-055A RAW SC'!BM89="","",'Midterm OVPAA-F-INS-055A RAW SC'!BM89/'Midterm OVPAA-F-INS-055A RAW SC'!BM$17*100)</f>
        <v/>
      </c>
      <c r="BN89" s="126" t="str">
        <f>IF('Midterm OVPAA-F-INS-055A RAW SC'!BN89="","",'Midterm OVPAA-F-INS-055A RAW SC'!BN89/'Midterm OVPAA-F-INS-055A RAW SC'!BN$17*100)</f>
        <v/>
      </c>
      <c r="BO89" s="126" t="str">
        <f>IF('Midterm OVPAA-F-INS-055A RAW SC'!BO89="","",'Midterm OVPAA-F-INS-055A RAW SC'!BO89/'Midterm OVPAA-F-INS-055A RAW SC'!BO$17*100)</f>
        <v/>
      </c>
      <c r="BP89" s="126" t="str">
        <f>IF('Midterm OVPAA-F-INS-055A RAW SC'!BP89="","",'Midterm OVPAA-F-INS-055A RAW SC'!BP89/'Midterm OVPAA-F-INS-055A RAW SC'!BP$17*100)</f>
        <v/>
      </c>
      <c r="BQ89" s="126" t="str">
        <f>IF('Midterm OVPAA-F-INS-055A RAW SC'!BQ89="","",'Midterm OVPAA-F-INS-055A RAW SC'!BQ89/'Midterm OVPAA-F-INS-055A RAW SC'!BQ$17*100)</f>
        <v/>
      </c>
      <c r="BR89" s="126" t="str">
        <f>IF('Midterm OVPAA-F-INS-055A RAW SC'!BR89="","",'Midterm OVPAA-F-INS-055A RAW SC'!BR89/'Midterm OVPAA-F-INS-055A RAW SC'!BR$17*100)</f>
        <v/>
      </c>
      <c r="BS89" s="126" t="str">
        <f>IF('Midterm OVPAA-F-INS-055A RAW SC'!BS89="","",'Midterm OVPAA-F-INS-055A RAW SC'!BS89/'Midterm OVPAA-F-INS-055A RAW SC'!BS$17*100)</f>
        <v/>
      </c>
      <c r="BT89" s="126" t="str">
        <f>IF('Midterm OVPAA-F-INS-055A RAW SC'!BT89="","",'Midterm OVPAA-F-INS-055A RAW SC'!BT89/'Midterm OVPAA-F-INS-055A RAW SC'!BT$17*100)</f>
        <v/>
      </c>
      <c r="BU89" s="127" t="str">
        <f t="array" ref="BU89">IF('Midterm OVPAA-F-INS-055A RAW SC'!$G89="","",IF((SUMPRODUCT(--ISBLANK('Midterm OVPAA-F-INS-055A RAW SC'!H89:BT89))=COLUMNS('Midterm OVPAA-F-INS-055A RAW SC'!H89:BT89))=TRUE,"",(((COUNTA('Midterm OVPAA-F-INS-055A RAW SC'!$H$17:$BT$17)+COUNTBLANK('Midterm OVPAA-F-INS-055A RAW SC'!H89:BT89))-COLUMNS('Midterm OVPAA-F-INS-055A RAW SC'!H89:BT89))*5+SUM(H89:BT89))/COUNTA('Midterm OVPAA-F-INS-055A RAW SC'!$H$17:$BT$17)))</f>
        <v/>
      </c>
      <c r="BV89" s="128" t="str">
        <f>IF(BU89="","",VLOOKUP(BU89,IF('Midterm OVPAA-F-INS-055A RAW SC'!$V$12=0.5,TRANSMUTATION!$C$4:$D$17,TRANSMUTATION!$G$4:$H$17),2,TRUE))</f>
        <v/>
      </c>
      <c r="BW89" s="129" t="str">
        <f>IF('Midterm OVPAA-F-INS-055A RAW SC'!BU89="","",'Midterm OVPAA-F-INS-055A RAW SC'!BU89/'Midterm OVPAA-F-INS-055A RAW SC'!BU$17*100)</f>
        <v/>
      </c>
      <c r="BX89" s="130" t="str">
        <f>IF('Midterm OVPAA-F-INS-055A RAW SC'!BV89="","",'Midterm OVPAA-F-INS-055A RAW SC'!BV89/'Midterm OVPAA-F-INS-055A RAW SC'!BV$17*100)</f>
        <v/>
      </c>
      <c r="BY89" s="130" t="str">
        <f>IF('Midterm OVPAA-F-INS-055A RAW SC'!BW89="","",'Midterm OVPAA-F-INS-055A RAW SC'!BW89/'Midterm OVPAA-F-INS-055A RAW SC'!BW$17*100)</f>
        <v/>
      </c>
      <c r="BZ89" s="130" t="str">
        <f>IF('Midterm OVPAA-F-INS-055A RAW SC'!BX89="","",'Midterm OVPAA-F-INS-055A RAW SC'!BX89/'Midterm OVPAA-F-INS-055A RAW SC'!BX$17*100)</f>
        <v/>
      </c>
      <c r="CA89" s="130" t="str">
        <f>IF('Midterm OVPAA-F-INS-055A RAW SC'!BY89="","",'Midterm OVPAA-F-INS-055A RAW SC'!BY89/'Midterm OVPAA-F-INS-055A RAW SC'!BY$17*100)</f>
        <v/>
      </c>
      <c r="CB89" s="130" t="str">
        <f>IF('Midterm OVPAA-F-INS-055A RAW SC'!BZ89="","",'Midterm OVPAA-F-INS-055A RAW SC'!BZ89/'Midterm OVPAA-F-INS-055A RAW SC'!BZ$17*100)</f>
        <v/>
      </c>
      <c r="CC89" s="130" t="str">
        <f>IF('Midterm OVPAA-F-INS-055A RAW SC'!CA89="","",'Midterm OVPAA-F-INS-055A RAW SC'!CA89/'Midterm OVPAA-F-INS-055A RAW SC'!CA$17*100)</f>
        <v/>
      </c>
      <c r="CD89" s="130" t="str">
        <f>IF('Midterm OVPAA-F-INS-055A RAW SC'!CB89="","",'Midterm OVPAA-F-INS-055A RAW SC'!CB89/'Midterm OVPAA-F-INS-055A RAW SC'!CB$17*100)</f>
        <v/>
      </c>
      <c r="CE89" s="130" t="str">
        <f>IF('Midterm OVPAA-F-INS-055A RAW SC'!CC89="","",'Midterm OVPAA-F-INS-055A RAW SC'!CC89/'Midterm OVPAA-F-INS-055A RAW SC'!CC$17*100)</f>
        <v/>
      </c>
      <c r="CF89" s="130" t="str">
        <f>IF('Midterm OVPAA-F-INS-055A RAW SC'!CD89="","",'Midterm OVPAA-F-INS-055A RAW SC'!CD89/'Midterm OVPAA-F-INS-055A RAW SC'!CD$17*100)</f>
        <v/>
      </c>
      <c r="CG89" s="130" t="str">
        <f>IF('Midterm OVPAA-F-INS-055A RAW SC'!CE89="","",'Midterm OVPAA-F-INS-055A RAW SC'!CE89/'Midterm OVPAA-F-INS-055A RAW SC'!CE$17*100)</f>
        <v/>
      </c>
      <c r="CH89" s="130" t="str">
        <f>IF('Midterm OVPAA-F-INS-055A RAW SC'!CF89="","",'Midterm OVPAA-F-INS-055A RAW SC'!CF89/'Midterm OVPAA-F-INS-055A RAW SC'!CF$17*100)</f>
        <v/>
      </c>
      <c r="CI89" s="130" t="str">
        <f>IF('Midterm OVPAA-F-INS-055A RAW SC'!CG89="","",'Midterm OVPAA-F-INS-055A RAW SC'!CG89/'Midterm OVPAA-F-INS-055A RAW SC'!CG$17*100)</f>
        <v/>
      </c>
      <c r="CJ89" s="130" t="str">
        <f>IF('Midterm OVPAA-F-INS-055A RAW SC'!CH89="","",'Midterm OVPAA-F-INS-055A RAW SC'!CH89/'Midterm OVPAA-F-INS-055A RAW SC'!CH$17*100)</f>
        <v/>
      </c>
      <c r="CK89" s="130" t="str">
        <f>IF('Midterm OVPAA-F-INS-055A RAW SC'!CI89="","",'Midterm OVPAA-F-INS-055A RAW SC'!CI89/'Midterm OVPAA-F-INS-055A RAW SC'!CI$17*100)</f>
        <v/>
      </c>
      <c r="CL89" s="130" t="str">
        <f>IF('Midterm OVPAA-F-INS-055A RAW SC'!CJ89="","",'Midterm OVPAA-F-INS-055A RAW SC'!CJ89/'Midterm OVPAA-F-INS-055A RAW SC'!CJ$17*100)</f>
        <v/>
      </c>
      <c r="CM89" s="130" t="str">
        <f>IF('Midterm OVPAA-F-INS-055A RAW SC'!CK89="","",'Midterm OVPAA-F-INS-055A RAW SC'!CK89/'Midterm OVPAA-F-INS-055A RAW SC'!CK$17*100)</f>
        <v/>
      </c>
      <c r="CN89" s="130" t="str">
        <f>IF('Midterm OVPAA-F-INS-055A RAW SC'!CL89="","",'Midterm OVPAA-F-INS-055A RAW SC'!CL89/'Midterm OVPAA-F-INS-055A RAW SC'!CL$17*100)</f>
        <v/>
      </c>
      <c r="CO89" s="130" t="str">
        <f>IF('Midterm OVPAA-F-INS-055A RAW SC'!CM89="","",'Midterm OVPAA-F-INS-055A RAW SC'!CM89/'Midterm OVPAA-F-INS-055A RAW SC'!CM$17*100)</f>
        <v/>
      </c>
      <c r="CP89" s="130" t="str">
        <f>IF('Midterm OVPAA-F-INS-055A RAW SC'!CN89="","",'Midterm OVPAA-F-INS-055A RAW SC'!CN89/'Midterm OVPAA-F-INS-055A RAW SC'!CN$17*100)</f>
        <v/>
      </c>
      <c r="CQ89" s="131" t="str">
        <f t="array" ref="CQ89">IF('Midterm OVPAA-F-INS-055A RAW SC'!G89="","",IF((SUMPRODUCT(--ISBLANK('Midterm OVPAA-F-INS-055A RAW SC'!BU89:CN89))=COLUMNS('Midterm OVPAA-F-INS-055A RAW SC'!BU89:CN89))=TRUE,"",(((COUNTA('Midterm OVPAA-F-INS-055A RAW SC'!$BU$17:$CN$17)+COUNTBLANK('Midterm OVPAA-F-INS-055A RAW SC'!BU89:CN89))-COLUMNS('Midterm OVPAA-F-INS-055A RAW SC'!BU89:CN89))*5+SUM(BW89:CP89))/COUNTA('Midterm OVPAA-F-INS-055A RAW SC'!$BU$17:$CN$17)))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IF('Midterm OVPAA-F-INS-055A RAW SC'!CO89="","",'Midterm OVPAA-F-INS-055A RAW SC'!CO89/'Midterm OVPAA-F-INS-055A RAW SC'!CO$17*100)</f>
        <v/>
      </c>
      <c r="CT89" s="133" t="str">
        <f>IF('Midterm OVPAA-F-INS-055A RAW SC'!CP89="","",'Midterm OVPAA-F-INS-055A RAW SC'!CP89/'Midterm OVPAA-F-INS-055A RAW SC'!CP$17*100)</f>
        <v/>
      </c>
      <c r="CU89" s="133" t="str">
        <f>IF('Midterm OVPAA-F-INS-055A RAW SC'!CQ89="","",'Midterm OVPAA-F-INS-055A RAW SC'!CQ89/'Midterm OVPAA-F-INS-055A RAW SC'!CQ$17*100)</f>
        <v/>
      </c>
      <c r="CV89" s="133" t="str">
        <f>IF('Midterm OVPAA-F-INS-055A RAW SC'!CR89="","",'Midterm OVPAA-F-INS-055A RAW SC'!CR89/'Midterm OVPAA-F-INS-055A RAW SC'!CR$17*100)</f>
        <v/>
      </c>
      <c r="CW89" s="133" t="str">
        <f>IF('Midterm OVPAA-F-INS-055A RAW SC'!CS89="","",'Midterm OVPAA-F-INS-055A RAW SC'!CS89/'Midterm OVPAA-F-INS-055A RAW SC'!CS$17*100)</f>
        <v/>
      </c>
      <c r="CX89" s="133" t="str">
        <f>IF('Midterm OVPAA-F-INS-055A RAW SC'!CT89="","",'Midterm OVPAA-F-INS-055A RAW SC'!CT89/'Midterm OVPAA-F-INS-055A RAW SC'!CT$17*100)</f>
        <v/>
      </c>
      <c r="CY89" s="133" t="str">
        <f>IF('Midterm OVPAA-F-INS-055A RAW SC'!CU89="","",'Midterm OVPAA-F-INS-055A RAW SC'!CU89/'Midterm OVPAA-F-INS-055A RAW SC'!CU$17*100)</f>
        <v/>
      </c>
      <c r="CZ89" s="133" t="str">
        <f>IF('Midterm OVPAA-F-INS-055A RAW SC'!CV89="","",'Midterm OVPAA-F-INS-055A RAW SC'!CV89/'Midterm OVPAA-F-INS-055A RAW SC'!CV$17*100)</f>
        <v/>
      </c>
      <c r="DA89" s="133" t="str">
        <f>IF('Midterm OVPAA-F-INS-055A RAW SC'!CW89="","",'Midterm OVPAA-F-INS-055A RAW SC'!CW89/'Midterm OVPAA-F-INS-055A RAW SC'!CW$17*100)</f>
        <v/>
      </c>
      <c r="DB89" s="133" t="str">
        <f>IF('Midterm OVPAA-F-INS-055A RAW SC'!CX89="","",'Midterm OVPAA-F-INS-055A RAW SC'!CX89/'Midterm OVPAA-F-INS-055A RAW SC'!CX$17*100)</f>
        <v/>
      </c>
      <c r="DC89" s="134" t="str">
        <f t="array" ref="DC89">IF('Midterm OVPAA-F-INS-055A RAW SC'!$G89="","",IF((SUMPRODUCT(--ISBLANK('Midterm OVPAA-F-INS-055A RAW SC'!CO89:CX89))=COLUMNS('Midterm OVPAA-F-INS-055A RAW SC'!CO89:CX89))=TRUE,"",(((COUNTA('Midterm OVPAA-F-INS-055A RAW SC'!$CO$17:$CX$17)+COUNTBLANK('Midterm OVPAA-F-INS-055A RAW SC'!CO89:CX89))-COLUMNS('Midterm OVPAA-F-INS-055A RAW SC'!CO89:CX89))*5+SUM(CS89:DB89))/COUNTA('Midterm OVPAA-F-INS-055A RAW SC'!$CO$17:$CX$17)))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37" t="str">
        <f t="shared" si="2"/>
        <v/>
      </c>
      <c r="DG89" s="138" t="str">
        <f t="shared" si="3"/>
        <v/>
      </c>
      <c r="DH89" s="136" t="str">
        <f t="shared" si="4"/>
        <v/>
      </c>
      <c r="DI89" s="123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IF('Midterm OVPAA-F-INS-055A RAW SC'!H90="","",'Midterm OVPAA-F-INS-055A RAW SC'!H90/'Midterm OVPAA-F-INS-055A RAW SC'!H$17*100)</f>
        <v/>
      </c>
      <c r="I90" s="126" t="str">
        <f>IF('Midterm OVPAA-F-INS-055A RAW SC'!I90="","",'Midterm OVPAA-F-INS-055A RAW SC'!I90/'Midterm OVPAA-F-INS-055A RAW SC'!I$17*100)</f>
        <v/>
      </c>
      <c r="J90" s="126" t="str">
        <f>IF('Midterm OVPAA-F-INS-055A RAW SC'!J90="","",'Midterm OVPAA-F-INS-055A RAW SC'!J90/'Midterm OVPAA-F-INS-055A RAW SC'!J$17*100)</f>
        <v/>
      </c>
      <c r="K90" s="126" t="str">
        <f>IF('Midterm OVPAA-F-INS-055A RAW SC'!K90="","",'Midterm OVPAA-F-INS-055A RAW SC'!K90/'Midterm OVPAA-F-INS-055A RAW SC'!K$17*100)</f>
        <v/>
      </c>
      <c r="L90" s="126" t="str">
        <f>IF('Midterm OVPAA-F-INS-055A RAW SC'!L90="","",'Midterm OVPAA-F-INS-055A RAW SC'!L90/'Midterm OVPAA-F-INS-055A RAW SC'!L$17*100)</f>
        <v/>
      </c>
      <c r="M90" s="126" t="str">
        <f>IF('Midterm OVPAA-F-INS-055A RAW SC'!M90="","",'Midterm OVPAA-F-INS-055A RAW SC'!M90/'Midterm OVPAA-F-INS-055A RAW SC'!M$17*100)</f>
        <v/>
      </c>
      <c r="N90" s="126" t="str">
        <f>IF('Midterm OVPAA-F-INS-055A RAW SC'!N90="","",'Midterm OVPAA-F-INS-055A RAW SC'!N90/'Midterm OVPAA-F-INS-055A RAW SC'!N$17*100)</f>
        <v/>
      </c>
      <c r="O90" s="126" t="str">
        <f>IF('Midterm OVPAA-F-INS-055A RAW SC'!O90="","",'Midterm OVPAA-F-INS-055A RAW SC'!O90/'Midterm OVPAA-F-INS-055A RAW SC'!O$17*100)</f>
        <v/>
      </c>
      <c r="P90" s="126" t="str">
        <f>IF('Midterm OVPAA-F-INS-055A RAW SC'!P90="","",'Midterm OVPAA-F-INS-055A RAW SC'!P90/'Midterm OVPAA-F-INS-055A RAW SC'!P$17*100)</f>
        <v/>
      </c>
      <c r="Q90" s="126" t="str">
        <f>IF('Midterm OVPAA-F-INS-055A RAW SC'!Q90="","",'Midterm OVPAA-F-INS-055A RAW SC'!Q90/'Midterm OVPAA-F-INS-055A RAW SC'!Q$17*100)</f>
        <v/>
      </c>
      <c r="R90" s="126" t="str">
        <f>IF('Midterm OVPAA-F-INS-055A RAW SC'!R90="","",'Midterm OVPAA-F-INS-055A RAW SC'!R90/'Midterm OVPAA-F-INS-055A RAW SC'!R$17*100)</f>
        <v/>
      </c>
      <c r="S90" s="126" t="str">
        <f>IF('Midterm OVPAA-F-INS-055A RAW SC'!S90="","",'Midterm OVPAA-F-INS-055A RAW SC'!S90/'Midterm OVPAA-F-INS-055A RAW SC'!S$17*100)</f>
        <v/>
      </c>
      <c r="T90" s="126" t="str">
        <f>IF('Midterm OVPAA-F-INS-055A RAW SC'!T90="","",'Midterm OVPAA-F-INS-055A RAW SC'!T90/'Midterm OVPAA-F-INS-055A RAW SC'!T$17*100)</f>
        <v/>
      </c>
      <c r="U90" s="126" t="str">
        <f>IF('Midterm OVPAA-F-INS-055A RAW SC'!U90="","",'Midterm OVPAA-F-INS-055A RAW SC'!U90/'Midterm OVPAA-F-INS-055A RAW SC'!U$17*100)</f>
        <v/>
      </c>
      <c r="V90" s="126" t="str">
        <f>IF('Midterm OVPAA-F-INS-055A RAW SC'!V90="","",'Midterm OVPAA-F-INS-055A RAW SC'!V90/'Midterm OVPAA-F-INS-055A RAW SC'!V$17*100)</f>
        <v/>
      </c>
      <c r="W90" s="126" t="str">
        <f>IF('Midterm OVPAA-F-INS-055A RAW SC'!W90="","",'Midterm OVPAA-F-INS-055A RAW SC'!W90/'Midterm OVPAA-F-INS-055A RAW SC'!W$17*100)</f>
        <v/>
      </c>
      <c r="X90" s="126" t="str">
        <f>IF('Midterm OVPAA-F-INS-055A RAW SC'!X90="","",'Midterm OVPAA-F-INS-055A RAW SC'!X90/'Midterm OVPAA-F-INS-055A RAW SC'!X$17*100)</f>
        <v/>
      </c>
      <c r="Y90" s="126" t="str">
        <f>IF('Midterm OVPAA-F-INS-055A RAW SC'!Y90="","",'Midterm OVPAA-F-INS-055A RAW SC'!Y90/'Midterm OVPAA-F-INS-055A RAW SC'!Y$17*100)</f>
        <v/>
      </c>
      <c r="Z90" s="126" t="str">
        <f>IF('Midterm OVPAA-F-INS-055A RAW SC'!Z90="","",'Midterm OVPAA-F-INS-055A RAW SC'!Z90/'Midterm OVPAA-F-INS-055A RAW SC'!Z$17*100)</f>
        <v/>
      </c>
      <c r="AA90" s="126" t="str">
        <f>IF('Midterm OVPAA-F-INS-055A RAW SC'!AA90="","",'Midterm OVPAA-F-INS-055A RAW SC'!AA90/'Midterm OVPAA-F-INS-055A RAW SC'!AA$17*100)</f>
        <v/>
      </c>
      <c r="AB90" s="126" t="str">
        <f>IF('Midterm OVPAA-F-INS-055A RAW SC'!AB90="","",'Midterm OVPAA-F-INS-055A RAW SC'!AB90/'Midterm OVPAA-F-INS-055A RAW SC'!AB$17*100)</f>
        <v/>
      </c>
      <c r="AC90" s="126" t="str">
        <f>IF('Midterm OVPAA-F-INS-055A RAW SC'!AC90="","",'Midterm OVPAA-F-INS-055A RAW SC'!AC90/'Midterm OVPAA-F-INS-055A RAW SC'!AC$17*100)</f>
        <v/>
      </c>
      <c r="AD90" s="126" t="str">
        <f>IF('Midterm OVPAA-F-INS-055A RAW SC'!AD90="","",'Midterm OVPAA-F-INS-055A RAW SC'!AD90/'Midterm OVPAA-F-INS-055A RAW SC'!AD$17*100)</f>
        <v/>
      </c>
      <c r="AE90" s="126" t="str">
        <f>IF('Midterm OVPAA-F-INS-055A RAW SC'!AE90="","",'Midterm OVPAA-F-INS-055A RAW SC'!AE90/'Midterm OVPAA-F-INS-055A RAW SC'!AE$17*100)</f>
        <v/>
      </c>
      <c r="AF90" s="126" t="str">
        <f>IF('Midterm OVPAA-F-INS-055A RAW SC'!AF90="","",'Midterm OVPAA-F-INS-055A RAW SC'!AF90/'Midterm OVPAA-F-INS-055A RAW SC'!AF$17*100)</f>
        <v/>
      </c>
      <c r="AG90" s="126" t="str">
        <f>IF('Midterm OVPAA-F-INS-055A RAW SC'!AG90="","",'Midterm OVPAA-F-INS-055A RAW SC'!AG90/'Midterm OVPAA-F-INS-055A RAW SC'!AG$17*100)</f>
        <v/>
      </c>
      <c r="AH90" s="126" t="str">
        <f>IF('Midterm OVPAA-F-INS-055A RAW SC'!AH90="","",'Midterm OVPAA-F-INS-055A RAW SC'!AH90/'Midterm OVPAA-F-INS-055A RAW SC'!AH$17*100)</f>
        <v/>
      </c>
      <c r="AI90" s="126" t="str">
        <f>IF('Midterm OVPAA-F-INS-055A RAW SC'!AI90="","",'Midterm OVPAA-F-INS-055A RAW SC'!AI90/'Midterm OVPAA-F-INS-055A RAW SC'!AI$17*100)</f>
        <v/>
      </c>
      <c r="AJ90" s="126" t="str">
        <f>IF('Midterm OVPAA-F-INS-055A RAW SC'!AJ90="","",'Midterm OVPAA-F-INS-055A RAW SC'!AJ90/'Midterm OVPAA-F-INS-055A RAW SC'!AJ$17*100)</f>
        <v/>
      </c>
      <c r="AK90" s="126" t="str">
        <f>IF('Midterm OVPAA-F-INS-055A RAW SC'!AK90="","",'Midterm OVPAA-F-INS-055A RAW SC'!AK90/'Midterm OVPAA-F-INS-055A RAW SC'!AK$17*100)</f>
        <v/>
      </c>
      <c r="AL90" s="126" t="str">
        <f>IF('Midterm OVPAA-F-INS-055A RAW SC'!AL90="","",'Midterm OVPAA-F-INS-055A RAW SC'!AL90/'Midterm OVPAA-F-INS-055A RAW SC'!AL$17*100)</f>
        <v/>
      </c>
      <c r="AM90" s="126" t="str">
        <f>IF('Midterm OVPAA-F-INS-055A RAW SC'!AM90="","",'Midterm OVPAA-F-INS-055A RAW SC'!AM90/'Midterm OVPAA-F-INS-055A RAW SC'!AM$17*100)</f>
        <v/>
      </c>
      <c r="AN90" s="126" t="str">
        <f>IF('Midterm OVPAA-F-INS-055A RAW SC'!AN90="","",'Midterm OVPAA-F-INS-055A RAW SC'!AN90/'Midterm OVPAA-F-INS-055A RAW SC'!AN$17*100)</f>
        <v/>
      </c>
      <c r="AO90" s="126" t="str">
        <f>IF('Midterm OVPAA-F-INS-055A RAW SC'!AO90="","",'Midterm OVPAA-F-INS-055A RAW SC'!AO90/'Midterm OVPAA-F-INS-055A RAW SC'!AO$17*100)</f>
        <v/>
      </c>
      <c r="AP90" s="126" t="str">
        <f>IF('Midterm OVPAA-F-INS-055A RAW SC'!AP90="","",'Midterm OVPAA-F-INS-055A RAW SC'!AP90/'Midterm OVPAA-F-INS-055A RAW SC'!AP$17*100)</f>
        <v/>
      </c>
      <c r="AQ90" s="126" t="str">
        <f>IF('Midterm OVPAA-F-INS-055A RAW SC'!AQ90="","",'Midterm OVPAA-F-INS-055A RAW SC'!AQ90/'Midterm OVPAA-F-INS-055A RAW SC'!AQ$17*100)</f>
        <v/>
      </c>
      <c r="AR90" s="126" t="str">
        <f>IF('Midterm OVPAA-F-INS-055A RAW SC'!AR90="","",'Midterm OVPAA-F-INS-055A RAW SC'!AR90/'Midterm OVPAA-F-INS-055A RAW SC'!AR$17*100)</f>
        <v/>
      </c>
      <c r="AS90" s="126" t="str">
        <f>IF('Midterm OVPAA-F-INS-055A RAW SC'!AS90="","",'Midterm OVPAA-F-INS-055A RAW SC'!AS90/'Midterm OVPAA-F-INS-055A RAW SC'!AS$17*100)</f>
        <v/>
      </c>
      <c r="AT90" s="126" t="str">
        <f>IF('Midterm OVPAA-F-INS-055A RAW SC'!AT90="","",'Midterm OVPAA-F-INS-055A RAW SC'!AT90/'Midterm OVPAA-F-INS-055A RAW SC'!AT$17*100)</f>
        <v/>
      </c>
      <c r="AU90" s="126" t="str">
        <f>IF('Midterm OVPAA-F-INS-055A RAW SC'!AU90="","",'Midterm OVPAA-F-INS-055A RAW SC'!AU90/'Midterm OVPAA-F-INS-055A RAW SC'!AU$17*100)</f>
        <v/>
      </c>
      <c r="AV90" s="126" t="str">
        <f>IF('Midterm OVPAA-F-INS-055A RAW SC'!AV90="","",'Midterm OVPAA-F-INS-055A RAW SC'!AV90/'Midterm OVPAA-F-INS-055A RAW SC'!AV$17*100)</f>
        <v/>
      </c>
      <c r="AW90" s="126" t="str">
        <f>IF('Midterm OVPAA-F-INS-055A RAW SC'!AW90="","",'Midterm OVPAA-F-INS-055A RAW SC'!AW90/'Midterm OVPAA-F-INS-055A RAW SC'!AW$17*100)</f>
        <v/>
      </c>
      <c r="AX90" s="126" t="str">
        <f>IF('Midterm OVPAA-F-INS-055A RAW SC'!AX90="","",'Midterm OVPAA-F-INS-055A RAW SC'!AX90/'Midterm OVPAA-F-INS-055A RAW SC'!AX$17*100)</f>
        <v/>
      </c>
      <c r="AY90" s="126" t="str">
        <f>IF('Midterm OVPAA-F-INS-055A RAW SC'!AY90="","",'Midterm OVPAA-F-INS-055A RAW SC'!AY90/'Midterm OVPAA-F-INS-055A RAW SC'!AY$17*100)</f>
        <v/>
      </c>
      <c r="AZ90" s="126" t="str">
        <f>IF('Midterm OVPAA-F-INS-055A RAW SC'!AZ90="","",'Midterm OVPAA-F-INS-055A RAW SC'!AZ90/'Midterm OVPAA-F-INS-055A RAW SC'!AZ$17*100)</f>
        <v/>
      </c>
      <c r="BA90" s="126" t="str">
        <f>IF('Midterm OVPAA-F-INS-055A RAW SC'!BA90="","",'Midterm OVPAA-F-INS-055A RAW SC'!BA90/'Midterm OVPAA-F-INS-055A RAW SC'!BA$17*100)</f>
        <v/>
      </c>
      <c r="BB90" s="126" t="str">
        <f>IF('Midterm OVPAA-F-INS-055A RAW SC'!BB90="","",'Midterm OVPAA-F-INS-055A RAW SC'!BB90/'Midterm OVPAA-F-INS-055A RAW SC'!BB$17*100)</f>
        <v/>
      </c>
      <c r="BC90" s="126" t="str">
        <f>IF('Midterm OVPAA-F-INS-055A RAW SC'!BC90="","",'Midterm OVPAA-F-INS-055A RAW SC'!BC90/'Midterm OVPAA-F-INS-055A RAW SC'!BC$17*100)</f>
        <v/>
      </c>
      <c r="BD90" s="126" t="str">
        <f>IF('Midterm OVPAA-F-INS-055A RAW SC'!BD90="","",'Midterm OVPAA-F-INS-055A RAW SC'!BD90/'Midterm OVPAA-F-INS-055A RAW SC'!BD$17*100)</f>
        <v/>
      </c>
      <c r="BE90" s="126" t="str">
        <f>IF('Midterm OVPAA-F-INS-055A RAW SC'!BE90="","",'Midterm OVPAA-F-INS-055A RAW SC'!BE90/'Midterm OVPAA-F-INS-055A RAW SC'!BE$17*100)</f>
        <v/>
      </c>
      <c r="BF90" s="126" t="str">
        <f>IF('Midterm OVPAA-F-INS-055A RAW SC'!BF90="","",'Midterm OVPAA-F-INS-055A RAW SC'!BF90/'Midterm OVPAA-F-INS-055A RAW SC'!BF$17*100)</f>
        <v/>
      </c>
      <c r="BG90" s="126" t="str">
        <f>IF('Midterm OVPAA-F-INS-055A RAW SC'!BG90="","",'Midterm OVPAA-F-INS-055A RAW SC'!BG90/'Midterm OVPAA-F-INS-055A RAW SC'!BG$17*100)</f>
        <v/>
      </c>
      <c r="BH90" s="126" t="str">
        <f>IF('Midterm OVPAA-F-INS-055A RAW SC'!BH90="","",'Midterm OVPAA-F-INS-055A RAW SC'!BH90/'Midterm OVPAA-F-INS-055A RAW SC'!BH$17*100)</f>
        <v/>
      </c>
      <c r="BI90" s="126" t="str">
        <f>IF('Midterm OVPAA-F-INS-055A RAW SC'!BI90="","",'Midterm OVPAA-F-INS-055A RAW SC'!BI90/'Midterm OVPAA-F-INS-055A RAW SC'!BI$17*100)</f>
        <v/>
      </c>
      <c r="BJ90" s="126" t="str">
        <f>IF('Midterm OVPAA-F-INS-055A RAW SC'!BJ90="","",'Midterm OVPAA-F-INS-055A RAW SC'!BJ90/'Midterm OVPAA-F-INS-055A RAW SC'!BJ$17*100)</f>
        <v/>
      </c>
      <c r="BK90" s="126" t="str">
        <f>IF('Midterm OVPAA-F-INS-055A RAW SC'!BK90="","",'Midterm OVPAA-F-INS-055A RAW SC'!BK90/'Midterm OVPAA-F-INS-055A RAW SC'!BK$17*100)</f>
        <v/>
      </c>
      <c r="BL90" s="126" t="str">
        <f>IF('Midterm OVPAA-F-INS-055A RAW SC'!BL90="","",'Midterm OVPAA-F-INS-055A RAW SC'!BL90/'Midterm OVPAA-F-INS-055A RAW SC'!BL$17*100)</f>
        <v/>
      </c>
      <c r="BM90" s="126" t="str">
        <f>IF('Midterm OVPAA-F-INS-055A RAW SC'!BM90="","",'Midterm OVPAA-F-INS-055A RAW SC'!BM90/'Midterm OVPAA-F-INS-055A RAW SC'!BM$17*100)</f>
        <v/>
      </c>
      <c r="BN90" s="126" t="str">
        <f>IF('Midterm OVPAA-F-INS-055A RAW SC'!BN90="","",'Midterm OVPAA-F-INS-055A RAW SC'!BN90/'Midterm OVPAA-F-INS-055A RAW SC'!BN$17*100)</f>
        <v/>
      </c>
      <c r="BO90" s="126" t="str">
        <f>IF('Midterm OVPAA-F-INS-055A RAW SC'!BO90="","",'Midterm OVPAA-F-INS-055A RAW SC'!BO90/'Midterm OVPAA-F-INS-055A RAW SC'!BO$17*100)</f>
        <v/>
      </c>
      <c r="BP90" s="126" t="str">
        <f>IF('Midterm OVPAA-F-INS-055A RAW SC'!BP90="","",'Midterm OVPAA-F-INS-055A RAW SC'!BP90/'Midterm OVPAA-F-INS-055A RAW SC'!BP$17*100)</f>
        <v/>
      </c>
      <c r="BQ90" s="126" t="str">
        <f>IF('Midterm OVPAA-F-INS-055A RAW SC'!BQ90="","",'Midterm OVPAA-F-INS-055A RAW SC'!BQ90/'Midterm OVPAA-F-INS-055A RAW SC'!BQ$17*100)</f>
        <v/>
      </c>
      <c r="BR90" s="126" t="str">
        <f>IF('Midterm OVPAA-F-INS-055A RAW SC'!BR90="","",'Midterm OVPAA-F-INS-055A RAW SC'!BR90/'Midterm OVPAA-F-INS-055A RAW SC'!BR$17*100)</f>
        <v/>
      </c>
      <c r="BS90" s="126" t="str">
        <f>IF('Midterm OVPAA-F-INS-055A RAW SC'!BS90="","",'Midterm OVPAA-F-INS-055A RAW SC'!BS90/'Midterm OVPAA-F-INS-055A RAW SC'!BS$17*100)</f>
        <v/>
      </c>
      <c r="BT90" s="126" t="str">
        <f>IF('Midterm OVPAA-F-INS-055A RAW SC'!BT90="","",'Midterm OVPAA-F-INS-055A RAW SC'!BT90/'Midterm OVPAA-F-INS-055A RAW SC'!BT$17*100)</f>
        <v/>
      </c>
      <c r="BU90" s="127" t="str">
        <f t="array" ref="BU90">IF('Midterm OVPAA-F-INS-055A RAW SC'!$G90="","",IF((SUMPRODUCT(--ISBLANK('Midterm OVPAA-F-INS-055A RAW SC'!H90:BT90))=COLUMNS('Midterm OVPAA-F-INS-055A RAW SC'!H90:BT90))=TRUE,"",(((COUNTA('Midterm OVPAA-F-INS-055A RAW SC'!$H$17:$BT$17)+COUNTBLANK('Midterm OVPAA-F-INS-055A RAW SC'!H90:BT90))-COLUMNS('Midterm OVPAA-F-INS-055A RAW SC'!H90:BT90))*5+SUM(H90:BT90))/COUNTA('Midterm OVPAA-F-INS-055A RAW SC'!$H$17:$BT$17)))</f>
        <v/>
      </c>
      <c r="BV90" s="128" t="str">
        <f>IF(BU90="","",VLOOKUP(BU90,IF('Midterm OVPAA-F-INS-055A RAW SC'!$V$12=0.5,TRANSMUTATION!$C$4:$D$17,TRANSMUTATION!$G$4:$H$17),2,TRUE))</f>
        <v/>
      </c>
      <c r="BW90" s="129" t="str">
        <f>IF('Midterm OVPAA-F-INS-055A RAW SC'!BU90="","",'Midterm OVPAA-F-INS-055A RAW SC'!BU90/'Midterm OVPAA-F-INS-055A RAW SC'!BU$17*100)</f>
        <v/>
      </c>
      <c r="BX90" s="130" t="str">
        <f>IF('Midterm OVPAA-F-INS-055A RAW SC'!BV90="","",'Midterm OVPAA-F-INS-055A RAW SC'!BV90/'Midterm OVPAA-F-INS-055A RAW SC'!BV$17*100)</f>
        <v/>
      </c>
      <c r="BY90" s="130" t="str">
        <f>IF('Midterm OVPAA-F-INS-055A RAW SC'!BW90="","",'Midterm OVPAA-F-INS-055A RAW SC'!BW90/'Midterm OVPAA-F-INS-055A RAW SC'!BW$17*100)</f>
        <v/>
      </c>
      <c r="BZ90" s="130" t="str">
        <f>IF('Midterm OVPAA-F-INS-055A RAW SC'!BX90="","",'Midterm OVPAA-F-INS-055A RAW SC'!BX90/'Midterm OVPAA-F-INS-055A RAW SC'!BX$17*100)</f>
        <v/>
      </c>
      <c r="CA90" s="130" t="str">
        <f>IF('Midterm OVPAA-F-INS-055A RAW SC'!BY90="","",'Midterm OVPAA-F-INS-055A RAW SC'!BY90/'Midterm OVPAA-F-INS-055A RAW SC'!BY$17*100)</f>
        <v/>
      </c>
      <c r="CB90" s="130" t="str">
        <f>IF('Midterm OVPAA-F-INS-055A RAW SC'!BZ90="","",'Midterm OVPAA-F-INS-055A RAW SC'!BZ90/'Midterm OVPAA-F-INS-055A RAW SC'!BZ$17*100)</f>
        <v/>
      </c>
      <c r="CC90" s="130" t="str">
        <f>IF('Midterm OVPAA-F-INS-055A RAW SC'!CA90="","",'Midterm OVPAA-F-INS-055A RAW SC'!CA90/'Midterm OVPAA-F-INS-055A RAW SC'!CA$17*100)</f>
        <v/>
      </c>
      <c r="CD90" s="130" t="str">
        <f>IF('Midterm OVPAA-F-INS-055A RAW SC'!CB90="","",'Midterm OVPAA-F-INS-055A RAW SC'!CB90/'Midterm OVPAA-F-INS-055A RAW SC'!CB$17*100)</f>
        <v/>
      </c>
      <c r="CE90" s="130" t="str">
        <f>IF('Midterm OVPAA-F-INS-055A RAW SC'!CC90="","",'Midterm OVPAA-F-INS-055A RAW SC'!CC90/'Midterm OVPAA-F-INS-055A RAW SC'!CC$17*100)</f>
        <v/>
      </c>
      <c r="CF90" s="130" t="str">
        <f>IF('Midterm OVPAA-F-INS-055A RAW SC'!CD90="","",'Midterm OVPAA-F-INS-055A RAW SC'!CD90/'Midterm OVPAA-F-INS-055A RAW SC'!CD$17*100)</f>
        <v/>
      </c>
      <c r="CG90" s="130" t="str">
        <f>IF('Midterm OVPAA-F-INS-055A RAW SC'!CE90="","",'Midterm OVPAA-F-INS-055A RAW SC'!CE90/'Midterm OVPAA-F-INS-055A RAW SC'!CE$17*100)</f>
        <v/>
      </c>
      <c r="CH90" s="130" t="str">
        <f>IF('Midterm OVPAA-F-INS-055A RAW SC'!CF90="","",'Midterm OVPAA-F-INS-055A RAW SC'!CF90/'Midterm OVPAA-F-INS-055A RAW SC'!CF$17*100)</f>
        <v/>
      </c>
      <c r="CI90" s="130" t="str">
        <f>IF('Midterm OVPAA-F-INS-055A RAW SC'!CG90="","",'Midterm OVPAA-F-INS-055A RAW SC'!CG90/'Midterm OVPAA-F-INS-055A RAW SC'!CG$17*100)</f>
        <v/>
      </c>
      <c r="CJ90" s="130" t="str">
        <f>IF('Midterm OVPAA-F-INS-055A RAW SC'!CH90="","",'Midterm OVPAA-F-INS-055A RAW SC'!CH90/'Midterm OVPAA-F-INS-055A RAW SC'!CH$17*100)</f>
        <v/>
      </c>
      <c r="CK90" s="130" t="str">
        <f>IF('Midterm OVPAA-F-INS-055A RAW SC'!CI90="","",'Midterm OVPAA-F-INS-055A RAW SC'!CI90/'Midterm OVPAA-F-INS-055A RAW SC'!CI$17*100)</f>
        <v/>
      </c>
      <c r="CL90" s="130" t="str">
        <f>IF('Midterm OVPAA-F-INS-055A RAW SC'!CJ90="","",'Midterm OVPAA-F-INS-055A RAW SC'!CJ90/'Midterm OVPAA-F-INS-055A RAW SC'!CJ$17*100)</f>
        <v/>
      </c>
      <c r="CM90" s="130" t="str">
        <f>IF('Midterm OVPAA-F-INS-055A RAW SC'!CK90="","",'Midterm OVPAA-F-INS-055A RAW SC'!CK90/'Midterm OVPAA-F-INS-055A RAW SC'!CK$17*100)</f>
        <v/>
      </c>
      <c r="CN90" s="130" t="str">
        <f>IF('Midterm OVPAA-F-INS-055A RAW SC'!CL90="","",'Midterm OVPAA-F-INS-055A RAW SC'!CL90/'Midterm OVPAA-F-INS-055A RAW SC'!CL$17*100)</f>
        <v/>
      </c>
      <c r="CO90" s="130" t="str">
        <f>IF('Midterm OVPAA-F-INS-055A RAW SC'!CM90="","",'Midterm OVPAA-F-INS-055A RAW SC'!CM90/'Midterm OVPAA-F-INS-055A RAW SC'!CM$17*100)</f>
        <v/>
      </c>
      <c r="CP90" s="130" t="str">
        <f>IF('Midterm OVPAA-F-INS-055A RAW SC'!CN90="","",'Midterm OVPAA-F-INS-055A RAW SC'!CN90/'Midterm OVPAA-F-INS-055A RAW SC'!CN$17*100)</f>
        <v/>
      </c>
      <c r="CQ90" s="131" t="str">
        <f t="array" ref="CQ90">IF('Midterm OVPAA-F-INS-055A RAW SC'!G90="","",IF((SUMPRODUCT(--ISBLANK('Midterm OVPAA-F-INS-055A RAW SC'!BU90:CN90))=COLUMNS('Midterm OVPAA-F-INS-055A RAW SC'!BU90:CN90))=TRUE,"",(((COUNTA('Midterm OVPAA-F-INS-055A RAW SC'!$BU$17:$CN$17)+COUNTBLANK('Midterm OVPAA-F-INS-055A RAW SC'!BU90:CN90))-COLUMNS('Midterm OVPAA-F-INS-055A RAW SC'!BU90:CN90))*5+SUM(BW90:CP90))/COUNTA('Midterm OVPAA-F-INS-055A RAW SC'!$BU$17:$CN$17)))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IF('Midterm OVPAA-F-INS-055A RAW SC'!CO90="","",'Midterm OVPAA-F-INS-055A RAW SC'!CO90/'Midterm OVPAA-F-INS-055A RAW SC'!CO$17*100)</f>
        <v/>
      </c>
      <c r="CT90" s="133" t="str">
        <f>IF('Midterm OVPAA-F-INS-055A RAW SC'!CP90="","",'Midterm OVPAA-F-INS-055A RAW SC'!CP90/'Midterm OVPAA-F-INS-055A RAW SC'!CP$17*100)</f>
        <v/>
      </c>
      <c r="CU90" s="133" t="str">
        <f>IF('Midterm OVPAA-F-INS-055A RAW SC'!CQ90="","",'Midterm OVPAA-F-INS-055A RAW SC'!CQ90/'Midterm OVPAA-F-INS-055A RAW SC'!CQ$17*100)</f>
        <v/>
      </c>
      <c r="CV90" s="133" t="str">
        <f>IF('Midterm OVPAA-F-INS-055A RAW SC'!CR90="","",'Midterm OVPAA-F-INS-055A RAW SC'!CR90/'Midterm OVPAA-F-INS-055A RAW SC'!CR$17*100)</f>
        <v/>
      </c>
      <c r="CW90" s="133" t="str">
        <f>IF('Midterm OVPAA-F-INS-055A RAW SC'!CS90="","",'Midterm OVPAA-F-INS-055A RAW SC'!CS90/'Midterm OVPAA-F-INS-055A RAW SC'!CS$17*100)</f>
        <v/>
      </c>
      <c r="CX90" s="133" t="str">
        <f>IF('Midterm OVPAA-F-INS-055A RAW SC'!CT90="","",'Midterm OVPAA-F-INS-055A RAW SC'!CT90/'Midterm OVPAA-F-INS-055A RAW SC'!CT$17*100)</f>
        <v/>
      </c>
      <c r="CY90" s="133" t="str">
        <f>IF('Midterm OVPAA-F-INS-055A RAW SC'!CU90="","",'Midterm OVPAA-F-INS-055A RAW SC'!CU90/'Midterm OVPAA-F-INS-055A RAW SC'!CU$17*100)</f>
        <v/>
      </c>
      <c r="CZ90" s="133" t="str">
        <f>IF('Midterm OVPAA-F-INS-055A RAW SC'!CV90="","",'Midterm OVPAA-F-INS-055A RAW SC'!CV90/'Midterm OVPAA-F-INS-055A RAW SC'!CV$17*100)</f>
        <v/>
      </c>
      <c r="DA90" s="133" t="str">
        <f>IF('Midterm OVPAA-F-INS-055A RAW SC'!CW90="","",'Midterm OVPAA-F-INS-055A RAW SC'!CW90/'Midterm OVPAA-F-INS-055A RAW SC'!CW$17*100)</f>
        <v/>
      </c>
      <c r="DB90" s="133" t="str">
        <f>IF('Midterm OVPAA-F-INS-055A RAW SC'!CX90="","",'Midterm OVPAA-F-INS-055A RAW SC'!CX90/'Midterm OVPAA-F-INS-055A RAW SC'!CX$17*100)</f>
        <v/>
      </c>
      <c r="DC90" s="134" t="str">
        <f t="array" ref="DC90">IF('Midterm OVPAA-F-INS-055A RAW SC'!$G90="","",IF((SUMPRODUCT(--ISBLANK('Midterm OVPAA-F-INS-055A RAW SC'!CO90:CX90))=COLUMNS('Midterm OVPAA-F-INS-055A RAW SC'!CO90:CX90))=TRUE,"",(((COUNTA('Midterm OVPAA-F-INS-055A RAW SC'!$CO$17:$CX$17)+COUNTBLANK('Midterm OVPAA-F-INS-055A RAW SC'!CO90:CX90))-COLUMNS('Midterm OVPAA-F-INS-055A RAW SC'!CO90:CX90))*5+SUM(CS90:DB90))/COUNTA('Midterm OVPAA-F-INS-055A RAW SC'!$CO$17:$CX$17)))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37" t="str">
        <f t="shared" si="2"/>
        <v/>
      </c>
      <c r="DG90" s="138" t="str">
        <f t="shared" si="3"/>
        <v/>
      </c>
      <c r="DH90" s="136" t="str">
        <f t="shared" si="4"/>
        <v/>
      </c>
      <c r="DI90" s="123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IF('Midterm OVPAA-F-INS-055A RAW SC'!H91="","",'Midterm OVPAA-F-INS-055A RAW SC'!H91/'Midterm OVPAA-F-INS-055A RAW SC'!H$17*100)</f>
        <v/>
      </c>
      <c r="I91" s="126" t="str">
        <f>IF('Midterm OVPAA-F-INS-055A RAW SC'!I91="","",'Midterm OVPAA-F-INS-055A RAW SC'!I91/'Midterm OVPAA-F-INS-055A RAW SC'!I$17*100)</f>
        <v/>
      </c>
      <c r="J91" s="126" t="str">
        <f>IF('Midterm OVPAA-F-INS-055A RAW SC'!J91="","",'Midterm OVPAA-F-INS-055A RAW SC'!J91/'Midterm OVPAA-F-INS-055A RAW SC'!J$17*100)</f>
        <v/>
      </c>
      <c r="K91" s="126" t="str">
        <f>IF('Midterm OVPAA-F-INS-055A RAW SC'!K91="","",'Midterm OVPAA-F-INS-055A RAW SC'!K91/'Midterm OVPAA-F-INS-055A RAW SC'!K$17*100)</f>
        <v/>
      </c>
      <c r="L91" s="126" t="str">
        <f>IF('Midterm OVPAA-F-INS-055A RAW SC'!L91="","",'Midterm OVPAA-F-INS-055A RAW SC'!L91/'Midterm OVPAA-F-INS-055A RAW SC'!L$17*100)</f>
        <v/>
      </c>
      <c r="M91" s="126" t="str">
        <f>IF('Midterm OVPAA-F-INS-055A RAW SC'!M91="","",'Midterm OVPAA-F-INS-055A RAW SC'!M91/'Midterm OVPAA-F-INS-055A RAW SC'!M$17*100)</f>
        <v/>
      </c>
      <c r="N91" s="126" t="str">
        <f>IF('Midterm OVPAA-F-INS-055A RAW SC'!N91="","",'Midterm OVPAA-F-INS-055A RAW SC'!N91/'Midterm OVPAA-F-INS-055A RAW SC'!N$17*100)</f>
        <v/>
      </c>
      <c r="O91" s="126" t="str">
        <f>IF('Midterm OVPAA-F-INS-055A RAW SC'!O91="","",'Midterm OVPAA-F-INS-055A RAW SC'!O91/'Midterm OVPAA-F-INS-055A RAW SC'!O$17*100)</f>
        <v/>
      </c>
      <c r="P91" s="126" t="str">
        <f>IF('Midterm OVPAA-F-INS-055A RAW SC'!P91="","",'Midterm OVPAA-F-INS-055A RAW SC'!P91/'Midterm OVPAA-F-INS-055A RAW SC'!P$17*100)</f>
        <v/>
      </c>
      <c r="Q91" s="126" t="str">
        <f>IF('Midterm OVPAA-F-INS-055A RAW SC'!Q91="","",'Midterm OVPAA-F-INS-055A RAW SC'!Q91/'Midterm OVPAA-F-INS-055A RAW SC'!Q$17*100)</f>
        <v/>
      </c>
      <c r="R91" s="126" t="str">
        <f>IF('Midterm OVPAA-F-INS-055A RAW SC'!R91="","",'Midterm OVPAA-F-INS-055A RAW SC'!R91/'Midterm OVPAA-F-INS-055A RAW SC'!R$17*100)</f>
        <v/>
      </c>
      <c r="S91" s="126" t="str">
        <f>IF('Midterm OVPAA-F-INS-055A RAW SC'!S91="","",'Midterm OVPAA-F-INS-055A RAW SC'!S91/'Midterm OVPAA-F-INS-055A RAW SC'!S$17*100)</f>
        <v/>
      </c>
      <c r="T91" s="126" t="str">
        <f>IF('Midterm OVPAA-F-INS-055A RAW SC'!T91="","",'Midterm OVPAA-F-INS-055A RAW SC'!T91/'Midterm OVPAA-F-INS-055A RAW SC'!T$17*100)</f>
        <v/>
      </c>
      <c r="U91" s="126" t="str">
        <f>IF('Midterm OVPAA-F-INS-055A RAW SC'!U91="","",'Midterm OVPAA-F-INS-055A RAW SC'!U91/'Midterm OVPAA-F-INS-055A RAW SC'!U$17*100)</f>
        <v/>
      </c>
      <c r="V91" s="126" t="str">
        <f>IF('Midterm OVPAA-F-INS-055A RAW SC'!V91="","",'Midterm OVPAA-F-INS-055A RAW SC'!V91/'Midterm OVPAA-F-INS-055A RAW SC'!V$17*100)</f>
        <v/>
      </c>
      <c r="W91" s="126" t="str">
        <f>IF('Midterm OVPAA-F-INS-055A RAW SC'!W91="","",'Midterm OVPAA-F-INS-055A RAW SC'!W91/'Midterm OVPAA-F-INS-055A RAW SC'!W$17*100)</f>
        <v/>
      </c>
      <c r="X91" s="126" t="str">
        <f>IF('Midterm OVPAA-F-INS-055A RAW SC'!X91="","",'Midterm OVPAA-F-INS-055A RAW SC'!X91/'Midterm OVPAA-F-INS-055A RAW SC'!X$17*100)</f>
        <v/>
      </c>
      <c r="Y91" s="126" t="str">
        <f>IF('Midterm OVPAA-F-INS-055A RAW SC'!Y91="","",'Midterm OVPAA-F-INS-055A RAW SC'!Y91/'Midterm OVPAA-F-INS-055A RAW SC'!Y$17*100)</f>
        <v/>
      </c>
      <c r="Z91" s="126" t="str">
        <f>IF('Midterm OVPAA-F-INS-055A RAW SC'!Z91="","",'Midterm OVPAA-F-INS-055A RAW SC'!Z91/'Midterm OVPAA-F-INS-055A RAW SC'!Z$17*100)</f>
        <v/>
      </c>
      <c r="AA91" s="126" t="str">
        <f>IF('Midterm OVPAA-F-INS-055A RAW SC'!AA91="","",'Midterm OVPAA-F-INS-055A RAW SC'!AA91/'Midterm OVPAA-F-INS-055A RAW SC'!AA$17*100)</f>
        <v/>
      </c>
      <c r="AB91" s="126" t="str">
        <f>IF('Midterm OVPAA-F-INS-055A RAW SC'!AB91="","",'Midterm OVPAA-F-INS-055A RAW SC'!AB91/'Midterm OVPAA-F-INS-055A RAW SC'!AB$17*100)</f>
        <v/>
      </c>
      <c r="AC91" s="126" t="str">
        <f>IF('Midterm OVPAA-F-INS-055A RAW SC'!AC91="","",'Midterm OVPAA-F-INS-055A RAW SC'!AC91/'Midterm OVPAA-F-INS-055A RAW SC'!AC$17*100)</f>
        <v/>
      </c>
      <c r="AD91" s="126" t="str">
        <f>IF('Midterm OVPAA-F-INS-055A RAW SC'!AD91="","",'Midterm OVPAA-F-INS-055A RAW SC'!AD91/'Midterm OVPAA-F-INS-055A RAW SC'!AD$17*100)</f>
        <v/>
      </c>
      <c r="AE91" s="126" t="str">
        <f>IF('Midterm OVPAA-F-INS-055A RAW SC'!AE91="","",'Midterm OVPAA-F-INS-055A RAW SC'!AE91/'Midterm OVPAA-F-INS-055A RAW SC'!AE$17*100)</f>
        <v/>
      </c>
      <c r="AF91" s="126" t="str">
        <f>IF('Midterm OVPAA-F-INS-055A RAW SC'!AF91="","",'Midterm OVPAA-F-INS-055A RAW SC'!AF91/'Midterm OVPAA-F-INS-055A RAW SC'!AF$17*100)</f>
        <v/>
      </c>
      <c r="AG91" s="126" t="str">
        <f>IF('Midterm OVPAA-F-INS-055A RAW SC'!AG91="","",'Midterm OVPAA-F-INS-055A RAW SC'!AG91/'Midterm OVPAA-F-INS-055A RAW SC'!AG$17*100)</f>
        <v/>
      </c>
      <c r="AH91" s="126" t="str">
        <f>IF('Midterm OVPAA-F-INS-055A RAW SC'!AH91="","",'Midterm OVPAA-F-INS-055A RAW SC'!AH91/'Midterm OVPAA-F-INS-055A RAW SC'!AH$17*100)</f>
        <v/>
      </c>
      <c r="AI91" s="126" t="str">
        <f>IF('Midterm OVPAA-F-INS-055A RAW SC'!AI91="","",'Midterm OVPAA-F-INS-055A RAW SC'!AI91/'Midterm OVPAA-F-INS-055A RAW SC'!AI$17*100)</f>
        <v/>
      </c>
      <c r="AJ91" s="126" t="str">
        <f>IF('Midterm OVPAA-F-INS-055A RAW SC'!AJ91="","",'Midterm OVPAA-F-INS-055A RAW SC'!AJ91/'Midterm OVPAA-F-INS-055A RAW SC'!AJ$17*100)</f>
        <v/>
      </c>
      <c r="AK91" s="126" t="str">
        <f>IF('Midterm OVPAA-F-INS-055A RAW SC'!AK91="","",'Midterm OVPAA-F-INS-055A RAW SC'!AK91/'Midterm OVPAA-F-INS-055A RAW SC'!AK$17*100)</f>
        <v/>
      </c>
      <c r="AL91" s="126" t="str">
        <f>IF('Midterm OVPAA-F-INS-055A RAW SC'!AL91="","",'Midterm OVPAA-F-INS-055A RAW SC'!AL91/'Midterm OVPAA-F-INS-055A RAW SC'!AL$17*100)</f>
        <v/>
      </c>
      <c r="AM91" s="126" t="str">
        <f>IF('Midterm OVPAA-F-INS-055A RAW SC'!AM91="","",'Midterm OVPAA-F-INS-055A RAW SC'!AM91/'Midterm OVPAA-F-INS-055A RAW SC'!AM$17*100)</f>
        <v/>
      </c>
      <c r="AN91" s="126" t="str">
        <f>IF('Midterm OVPAA-F-INS-055A RAW SC'!AN91="","",'Midterm OVPAA-F-INS-055A RAW SC'!AN91/'Midterm OVPAA-F-INS-055A RAW SC'!AN$17*100)</f>
        <v/>
      </c>
      <c r="AO91" s="126" t="str">
        <f>IF('Midterm OVPAA-F-INS-055A RAW SC'!AO91="","",'Midterm OVPAA-F-INS-055A RAW SC'!AO91/'Midterm OVPAA-F-INS-055A RAW SC'!AO$17*100)</f>
        <v/>
      </c>
      <c r="AP91" s="126" t="str">
        <f>IF('Midterm OVPAA-F-INS-055A RAW SC'!AP91="","",'Midterm OVPAA-F-INS-055A RAW SC'!AP91/'Midterm OVPAA-F-INS-055A RAW SC'!AP$17*100)</f>
        <v/>
      </c>
      <c r="AQ91" s="126" t="str">
        <f>IF('Midterm OVPAA-F-INS-055A RAW SC'!AQ91="","",'Midterm OVPAA-F-INS-055A RAW SC'!AQ91/'Midterm OVPAA-F-INS-055A RAW SC'!AQ$17*100)</f>
        <v/>
      </c>
      <c r="AR91" s="126" t="str">
        <f>IF('Midterm OVPAA-F-INS-055A RAW SC'!AR91="","",'Midterm OVPAA-F-INS-055A RAW SC'!AR91/'Midterm OVPAA-F-INS-055A RAW SC'!AR$17*100)</f>
        <v/>
      </c>
      <c r="AS91" s="126" t="str">
        <f>IF('Midterm OVPAA-F-INS-055A RAW SC'!AS91="","",'Midterm OVPAA-F-INS-055A RAW SC'!AS91/'Midterm OVPAA-F-INS-055A RAW SC'!AS$17*100)</f>
        <v/>
      </c>
      <c r="AT91" s="126" t="str">
        <f>IF('Midterm OVPAA-F-INS-055A RAW SC'!AT91="","",'Midterm OVPAA-F-INS-055A RAW SC'!AT91/'Midterm OVPAA-F-INS-055A RAW SC'!AT$17*100)</f>
        <v/>
      </c>
      <c r="AU91" s="126" t="str">
        <f>IF('Midterm OVPAA-F-INS-055A RAW SC'!AU91="","",'Midterm OVPAA-F-INS-055A RAW SC'!AU91/'Midterm OVPAA-F-INS-055A RAW SC'!AU$17*100)</f>
        <v/>
      </c>
      <c r="AV91" s="126" t="str">
        <f>IF('Midterm OVPAA-F-INS-055A RAW SC'!AV91="","",'Midterm OVPAA-F-INS-055A RAW SC'!AV91/'Midterm OVPAA-F-INS-055A RAW SC'!AV$17*100)</f>
        <v/>
      </c>
      <c r="AW91" s="126" t="str">
        <f>IF('Midterm OVPAA-F-INS-055A RAW SC'!AW91="","",'Midterm OVPAA-F-INS-055A RAW SC'!AW91/'Midterm OVPAA-F-INS-055A RAW SC'!AW$17*100)</f>
        <v/>
      </c>
      <c r="AX91" s="126" t="str">
        <f>IF('Midterm OVPAA-F-INS-055A RAW SC'!AX91="","",'Midterm OVPAA-F-INS-055A RAW SC'!AX91/'Midterm OVPAA-F-INS-055A RAW SC'!AX$17*100)</f>
        <v/>
      </c>
      <c r="AY91" s="126" t="str">
        <f>IF('Midterm OVPAA-F-INS-055A RAW SC'!AY91="","",'Midterm OVPAA-F-INS-055A RAW SC'!AY91/'Midterm OVPAA-F-INS-055A RAW SC'!AY$17*100)</f>
        <v/>
      </c>
      <c r="AZ91" s="126" t="str">
        <f>IF('Midterm OVPAA-F-INS-055A RAW SC'!AZ91="","",'Midterm OVPAA-F-INS-055A RAW SC'!AZ91/'Midterm OVPAA-F-INS-055A RAW SC'!AZ$17*100)</f>
        <v/>
      </c>
      <c r="BA91" s="126" t="str">
        <f>IF('Midterm OVPAA-F-INS-055A RAW SC'!BA91="","",'Midterm OVPAA-F-INS-055A RAW SC'!BA91/'Midterm OVPAA-F-INS-055A RAW SC'!BA$17*100)</f>
        <v/>
      </c>
      <c r="BB91" s="126" t="str">
        <f>IF('Midterm OVPAA-F-INS-055A RAW SC'!BB91="","",'Midterm OVPAA-F-INS-055A RAW SC'!BB91/'Midterm OVPAA-F-INS-055A RAW SC'!BB$17*100)</f>
        <v/>
      </c>
      <c r="BC91" s="126" t="str">
        <f>IF('Midterm OVPAA-F-INS-055A RAW SC'!BC91="","",'Midterm OVPAA-F-INS-055A RAW SC'!BC91/'Midterm OVPAA-F-INS-055A RAW SC'!BC$17*100)</f>
        <v/>
      </c>
      <c r="BD91" s="126" t="str">
        <f>IF('Midterm OVPAA-F-INS-055A RAW SC'!BD91="","",'Midterm OVPAA-F-INS-055A RAW SC'!BD91/'Midterm OVPAA-F-INS-055A RAW SC'!BD$17*100)</f>
        <v/>
      </c>
      <c r="BE91" s="126" t="str">
        <f>IF('Midterm OVPAA-F-INS-055A RAW SC'!BE91="","",'Midterm OVPAA-F-INS-055A RAW SC'!BE91/'Midterm OVPAA-F-INS-055A RAW SC'!BE$17*100)</f>
        <v/>
      </c>
      <c r="BF91" s="126" t="str">
        <f>IF('Midterm OVPAA-F-INS-055A RAW SC'!BF91="","",'Midterm OVPAA-F-INS-055A RAW SC'!BF91/'Midterm OVPAA-F-INS-055A RAW SC'!BF$17*100)</f>
        <v/>
      </c>
      <c r="BG91" s="126" t="str">
        <f>IF('Midterm OVPAA-F-INS-055A RAW SC'!BG91="","",'Midterm OVPAA-F-INS-055A RAW SC'!BG91/'Midterm OVPAA-F-INS-055A RAW SC'!BG$17*100)</f>
        <v/>
      </c>
      <c r="BH91" s="126" t="str">
        <f>IF('Midterm OVPAA-F-INS-055A RAW SC'!BH91="","",'Midterm OVPAA-F-INS-055A RAW SC'!BH91/'Midterm OVPAA-F-INS-055A RAW SC'!BH$17*100)</f>
        <v/>
      </c>
      <c r="BI91" s="126" t="str">
        <f>IF('Midterm OVPAA-F-INS-055A RAW SC'!BI91="","",'Midterm OVPAA-F-INS-055A RAW SC'!BI91/'Midterm OVPAA-F-INS-055A RAW SC'!BI$17*100)</f>
        <v/>
      </c>
      <c r="BJ91" s="126" t="str">
        <f>IF('Midterm OVPAA-F-INS-055A RAW SC'!BJ91="","",'Midterm OVPAA-F-INS-055A RAW SC'!BJ91/'Midterm OVPAA-F-INS-055A RAW SC'!BJ$17*100)</f>
        <v/>
      </c>
      <c r="BK91" s="126" t="str">
        <f>IF('Midterm OVPAA-F-INS-055A RAW SC'!BK91="","",'Midterm OVPAA-F-INS-055A RAW SC'!BK91/'Midterm OVPAA-F-INS-055A RAW SC'!BK$17*100)</f>
        <v/>
      </c>
      <c r="BL91" s="126" t="str">
        <f>IF('Midterm OVPAA-F-INS-055A RAW SC'!BL91="","",'Midterm OVPAA-F-INS-055A RAW SC'!BL91/'Midterm OVPAA-F-INS-055A RAW SC'!BL$17*100)</f>
        <v/>
      </c>
      <c r="BM91" s="126" t="str">
        <f>IF('Midterm OVPAA-F-INS-055A RAW SC'!BM91="","",'Midterm OVPAA-F-INS-055A RAW SC'!BM91/'Midterm OVPAA-F-INS-055A RAW SC'!BM$17*100)</f>
        <v/>
      </c>
      <c r="BN91" s="126" t="str">
        <f>IF('Midterm OVPAA-F-INS-055A RAW SC'!BN91="","",'Midterm OVPAA-F-INS-055A RAW SC'!BN91/'Midterm OVPAA-F-INS-055A RAW SC'!BN$17*100)</f>
        <v/>
      </c>
      <c r="BO91" s="126" t="str">
        <f>IF('Midterm OVPAA-F-INS-055A RAW SC'!BO91="","",'Midterm OVPAA-F-INS-055A RAW SC'!BO91/'Midterm OVPAA-F-INS-055A RAW SC'!BO$17*100)</f>
        <v/>
      </c>
      <c r="BP91" s="126" t="str">
        <f>IF('Midterm OVPAA-F-INS-055A RAW SC'!BP91="","",'Midterm OVPAA-F-INS-055A RAW SC'!BP91/'Midterm OVPAA-F-INS-055A RAW SC'!BP$17*100)</f>
        <v/>
      </c>
      <c r="BQ91" s="126" t="str">
        <f>IF('Midterm OVPAA-F-INS-055A RAW SC'!BQ91="","",'Midterm OVPAA-F-INS-055A RAW SC'!BQ91/'Midterm OVPAA-F-INS-055A RAW SC'!BQ$17*100)</f>
        <v/>
      </c>
      <c r="BR91" s="126" t="str">
        <f>IF('Midterm OVPAA-F-INS-055A RAW SC'!BR91="","",'Midterm OVPAA-F-INS-055A RAW SC'!BR91/'Midterm OVPAA-F-INS-055A RAW SC'!BR$17*100)</f>
        <v/>
      </c>
      <c r="BS91" s="126" t="str">
        <f>IF('Midterm OVPAA-F-INS-055A RAW SC'!BS91="","",'Midterm OVPAA-F-INS-055A RAW SC'!BS91/'Midterm OVPAA-F-INS-055A RAW SC'!BS$17*100)</f>
        <v/>
      </c>
      <c r="BT91" s="126" t="str">
        <f>IF('Midterm OVPAA-F-INS-055A RAW SC'!BT91="","",'Midterm OVPAA-F-INS-055A RAW SC'!BT91/'Midterm OVPAA-F-INS-055A RAW SC'!BT$17*100)</f>
        <v/>
      </c>
      <c r="BU91" s="127" t="str">
        <f t="array" ref="BU91">IF('Midterm OVPAA-F-INS-055A RAW SC'!$G91="","",IF((SUMPRODUCT(--ISBLANK('Midterm OVPAA-F-INS-055A RAW SC'!H91:BT91))=COLUMNS('Midterm OVPAA-F-INS-055A RAW SC'!H91:BT91))=TRUE,"",(((COUNTA('Midterm OVPAA-F-INS-055A RAW SC'!$H$17:$BT$17)+COUNTBLANK('Midterm OVPAA-F-INS-055A RAW SC'!H91:BT91))-COLUMNS('Midterm OVPAA-F-INS-055A RAW SC'!H91:BT91))*5+SUM(H91:BT91))/COUNTA('Midterm OVPAA-F-INS-055A RAW SC'!$H$17:$BT$17)))</f>
        <v/>
      </c>
      <c r="BV91" s="128" t="str">
        <f>IF(BU91="","",VLOOKUP(BU91,IF('Midterm OVPAA-F-INS-055A RAW SC'!$V$12=0.5,TRANSMUTATION!$C$4:$D$17,TRANSMUTATION!$G$4:$H$17),2,TRUE))</f>
        <v/>
      </c>
      <c r="BW91" s="129" t="str">
        <f>IF('Midterm OVPAA-F-INS-055A RAW SC'!BU91="","",'Midterm OVPAA-F-INS-055A RAW SC'!BU91/'Midterm OVPAA-F-INS-055A RAW SC'!BU$17*100)</f>
        <v/>
      </c>
      <c r="BX91" s="130" t="str">
        <f>IF('Midterm OVPAA-F-INS-055A RAW SC'!BV91="","",'Midterm OVPAA-F-INS-055A RAW SC'!BV91/'Midterm OVPAA-F-INS-055A RAW SC'!BV$17*100)</f>
        <v/>
      </c>
      <c r="BY91" s="130" t="str">
        <f>IF('Midterm OVPAA-F-INS-055A RAW SC'!BW91="","",'Midterm OVPAA-F-INS-055A RAW SC'!BW91/'Midterm OVPAA-F-INS-055A RAW SC'!BW$17*100)</f>
        <v/>
      </c>
      <c r="BZ91" s="130" t="str">
        <f>IF('Midterm OVPAA-F-INS-055A RAW SC'!BX91="","",'Midterm OVPAA-F-INS-055A RAW SC'!BX91/'Midterm OVPAA-F-INS-055A RAW SC'!BX$17*100)</f>
        <v/>
      </c>
      <c r="CA91" s="130" t="str">
        <f>IF('Midterm OVPAA-F-INS-055A RAW SC'!BY91="","",'Midterm OVPAA-F-INS-055A RAW SC'!BY91/'Midterm OVPAA-F-INS-055A RAW SC'!BY$17*100)</f>
        <v/>
      </c>
      <c r="CB91" s="130" t="str">
        <f>IF('Midterm OVPAA-F-INS-055A RAW SC'!BZ91="","",'Midterm OVPAA-F-INS-055A RAW SC'!BZ91/'Midterm OVPAA-F-INS-055A RAW SC'!BZ$17*100)</f>
        <v/>
      </c>
      <c r="CC91" s="130" t="str">
        <f>IF('Midterm OVPAA-F-INS-055A RAW SC'!CA91="","",'Midterm OVPAA-F-INS-055A RAW SC'!CA91/'Midterm OVPAA-F-INS-055A RAW SC'!CA$17*100)</f>
        <v/>
      </c>
      <c r="CD91" s="130" t="str">
        <f>IF('Midterm OVPAA-F-INS-055A RAW SC'!CB91="","",'Midterm OVPAA-F-INS-055A RAW SC'!CB91/'Midterm OVPAA-F-INS-055A RAW SC'!CB$17*100)</f>
        <v/>
      </c>
      <c r="CE91" s="130" t="str">
        <f>IF('Midterm OVPAA-F-INS-055A RAW SC'!CC91="","",'Midterm OVPAA-F-INS-055A RAW SC'!CC91/'Midterm OVPAA-F-INS-055A RAW SC'!CC$17*100)</f>
        <v/>
      </c>
      <c r="CF91" s="130" t="str">
        <f>IF('Midterm OVPAA-F-INS-055A RAW SC'!CD91="","",'Midterm OVPAA-F-INS-055A RAW SC'!CD91/'Midterm OVPAA-F-INS-055A RAW SC'!CD$17*100)</f>
        <v/>
      </c>
      <c r="CG91" s="130" t="str">
        <f>IF('Midterm OVPAA-F-INS-055A RAW SC'!CE91="","",'Midterm OVPAA-F-INS-055A RAW SC'!CE91/'Midterm OVPAA-F-INS-055A RAW SC'!CE$17*100)</f>
        <v/>
      </c>
      <c r="CH91" s="130" t="str">
        <f>IF('Midterm OVPAA-F-INS-055A RAW SC'!CF91="","",'Midterm OVPAA-F-INS-055A RAW SC'!CF91/'Midterm OVPAA-F-INS-055A RAW SC'!CF$17*100)</f>
        <v/>
      </c>
      <c r="CI91" s="130" t="str">
        <f>IF('Midterm OVPAA-F-INS-055A RAW SC'!CG91="","",'Midterm OVPAA-F-INS-055A RAW SC'!CG91/'Midterm OVPAA-F-INS-055A RAW SC'!CG$17*100)</f>
        <v/>
      </c>
      <c r="CJ91" s="130" t="str">
        <f>IF('Midterm OVPAA-F-INS-055A RAW SC'!CH91="","",'Midterm OVPAA-F-INS-055A RAW SC'!CH91/'Midterm OVPAA-F-INS-055A RAW SC'!CH$17*100)</f>
        <v/>
      </c>
      <c r="CK91" s="130" t="str">
        <f>IF('Midterm OVPAA-F-INS-055A RAW SC'!CI91="","",'Midterm OVPAA-F-INS-055A RAW SC'!CI91/'Midterm OVPAA-F-INS-055A RAW SC'!CI$17*100)</f>
        <v/>
      </c>
      <c r="CL91" s="130" t="str">
        <f>IF('Midterm OVPAA-F-INS-055A RAW SC'!CJ91="","",'Midterm OVPAA-F-INS-055A RAW SC'!CJ91/'Midterm OVPAA-F-INS-055A RAW SC'!CJ$17*100)</f>
        <v/>
      </c>
      <c r="CM91" s="130" t="str">
        <f>IF('Midterm OVPAA-F-INS-055A RAW SC'!CK91="","",'Midterm OVPAA-F-INS-055A RAW SC'!CK91/'Midterm OVPAA-F-INS-055A RAW SC'!CK$17*100)</f>
        <v/>
      </c>
      <c r="CN91" s="130" t="str">
        <f>IF('Midterm OVPAA-F-INS-055A RAW SC'!CL91="","",'Midterm OVPAA-F-INS-055A RAW SC'!CL91/'Midterm OVPAA-F-INS-055A RAW SC'!CL$17*100)</f>
        <v/>
      </c>
      <c r="CO91" s="130" t="str">
        <f>IF('Midterm OVPAA-F-INS-055A RAW SC'!CM91="","",'Midterm OVPAA-F-INS-055A RAW SC'!CM91/'Midterm OVPAA-F-INS-055A RAW SC'!CM$17*100)</f>
        <v/>
      </c>
      <c r="CP91" s="130" t="str">
        <f>IF('Midterm OVPAA-F-INS-055A RAW SC'!CN91="","",'Midterm OVPAA-F-INS-055A RAW SC'!CN91/'Midterm OVPAA-F-INS-055A RAW SC'!CN$17*100)</f>
        <v/>
      </c>
      <c r="CQ91" s="131" t="str">
        <f t="array" ref="CQ91">IF('Midterm OVPAA-F-INS-055A RAW SC'!G91="","",IF((SUMPRODUCT(--ISBLANK('Midterm OVPAA-F-INS-055A RAW SC'!BU91:CN91))=COLUMNS('Midterm OVPAA-F-INS-055A RAW SC'!BU91:CN91))=TRUE,"",(((COUNTA('Midterm OVPAA-F-INS-055A RAW SC'!$BU$17:$CN$17)+COUNTBLANK('Midterm OVPAA-F-INS-055A RAW SC'!BU91:CN91))-COLUMNS('Midterm OVPAA-F-INS-055A RAW SC'!BU91:CN91))*5+SUM(BW91:CP91))/COUNTA('Midterm OVPAA-F-INS-055A RAW SC'!$BU$17:$CN$17)))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IF('Midterm OVPAA-F-INS-055A RAW SC'!CO91="","",'Midterm OVPAA-F-INS-055A RAW SC'!CO91/'Midterm OVPAA-F-INS-055A RAW SC'!CO$17*100)</f>
        <v/>
      </c>
      <c r="CT91" s="133" t="str">
        <f>IF('Midterm OVPAA-F-INS-055A RAW SC'!CP91="","",'Midterm OVPAA-F-INS-055A RAW SC'!CP91/'Midterm OVPAA-F-INS-055A RAW SC'!CP$17*100)</f>
        <v/>
      </c>
      <c r="CU91" s="133" t="str">
        <f>IF('Midterm OVPAA-F-INS-055A RAW SC'!CQ91="","",'Midterm OVPAA-F-INS-055A RAW SC'!CQ91/'Midterm OVPAA-F-INS-055A RAW SC'!CQ$17*100)</f>
        <v/>
      </c>
      <c r="CV91" s="133" t="str">
        <f>IF('Midterm OVPAA-F-INS-055A RAW SC'!CR91="","",'Midterm OVPAA-F-INS-055A RAW SC'!CR91/'Midterm OVPAA-F-INS-055A RAW SC'!CR$17*100)</f>
        <v/>
      </c>
      <c r="CW91" s="133" t="str">
        <f>IF('Midterm OVPAA-F-INS-055A RAW SC'!CS91="","",'Midterm OVPAA-F-INS-055A RAW SC'!CS91/'Midterm OVPAA-F-INS-055A RAW SC'!CS$17*100)</f>
        <v/>
      </c>
      <c r="CX91" s="133" t="str">
        <f>IF('Midterm OVPAA-F-INS-055A RAW SC'!CT91="","",'Midterm OVPAA-F-INS-055A RAW SC'!CT91/'Midterm OVPAA-F-INS-055A RAW SC'!CT$17*100)</f>
        <v/>
      </c>
      <c r="CY91" s="133" t="str">
        <f>IF('Midterm OVPAA-F-INS-055A RAW SC'!CU91="","",'Midterm OVPAA-F-INS-055A RAW SC'!CU91/'Midterm OVPAA-F-INS-055A RAW SC'!CU$17*100)</f>
        <v/>
      </c>
      <c r="CZ91" s="133" t="str">
        <f>IF('Midterm OVPAA-F-INS-055A RAW SC'!CV91="","",'Midterm OVPAA-F-INS-055A RAW SC'!CV91/'Midterm OVPAA-F-INS-055A RAW SC'!CV$17*100)</f>
        <v/>
      </c>
      <c r="DA91" s="133" t="str">
        <f>IF('Midterm OVPAA-F-INS-055A RAW SC'!CW91="","",'Midterm OVPAA-F-INS-055A RAW SC'!CW91/'Midterm OVPAA-F-INS-055A RAW SC'!CW$17*100)</f>
        <v/>
      </c>
      <c r="DB91" s="133" t="str">
        <f>IF('Midterm OVPAA-F-INS-055A RAW SC'!CX91="","",'Midterm OVPAA-F-INS-055A RAW SC'!CX91/'Midterm OVPAA-F-INS-055A RAW SC'!CX$17*100)</f>
        <v/>
      </c>
      <c r="DC91" s="134" t="str">
        <f t="array" ref="DC91">IF('Midterm OVPAA-F-INS-055A RAW SC'!$G91="","",IF((SUMPRODUCT(--ISBLANK('Midterm OVPAA-F-INS-055A RAW SC'!CO91:CX91))=COLUMNS('Midterm OVPAA-F-INS-055A RAW SC'!CO91:CX91))=TRUE,"",(((COUNTA('Midterm OVPAA-F-INS-055A RAW SC'!$CO$17:$CX$17)+COUNTBLANK('Midterm OVPAA-F-INS-055A RAW SC'!CO91:CX91))-COLUMNS('Midterm OVPAA-F-INS-055A RAW SC'!CO91:CX91))*5+SUM(CS91:DB91))/COUNTA('Midterm OVPAA-F-INS-055A RAW SC'!$CO$17:$CX$17)))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37" t="str">
        <f t="shared" si="2"/>
        <v/>
      </c>
      <c r="DG91" s="138" t="str">
        <f t="shared" si="3"/>
        <v/>
      </c>
      <c r="DH91" s="136" t="str">
        <f t="shared" si="4"/>
        <v/>
      </c>
      <c r="DI91" s="123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IF('Midterm OVPAA-F-INS-055A RAW SC'!H92="","",'Midterm OVPAA-F-INS-055A RAW SC'!H92/'Midterm OVPAA-F-INS-055A RAW SC'!H$17*100)</f>
        <v/>
      </c>
      <c r="I92" s="126" t="str">
        <f>IF('Midterm OVPAA-F-INS-055A RAW SC'!I92="","",'Midterm OVPAA-F-INS-055A RAW SC'!I92/'Midterm OVPAA-F-INS-055A RAW SC'!I$17*100)</f>
        <v/>
      </c>
      <c r="J92" s="126" t="str">
        <f>IF('Midterm OVPAA-F-INS-055A RAW SC'!J92="","",'Midterm OVPAA-F-INS-055A RAW SC'!J92/'Midterm OVPAA-F-INS-055A RAW SC'!J$17*100)</f>
        <v/>
      </c>
      <c r="K92" s="126" t="str">
        <f>IF('Midterm OVPAA-F-INS-055A RAW SC'!K92="","",'Midterm OVPAA-F-INS-055A RAW SC'!K92/'Midterm OVPAA-F-INS-055A RAW SC'!K$17*100)</f>
        <v/>
      </c>
      <c r="L92" s="126" t="str">
        <f>IF('Midterm OVPAA-F-INS-055A RAW SC'!L92="","",'Midterm OVPAA-F-INS-055A RAW SC'!L92/'Midterm OVPAA-F-INS-055A RAW SC'!L$17*100)</f>
        <v/>
      </c>
      <c r="M92" s="126" t="str">
        <f>IF('Midterm OVPAA-F-INS-055A RAW SC'!M92="","",'Midterm OVPAA-F-INS-055A RAW SC'!M92/'Midterm OVPAA-F-INS-055A RAW SC'!M$17*100)</f>
        <v/>
      </c>
      <c r="N92" s="126" t="str">
        <f>IF('Midterm OVPAA-F-INS-055A RAW SC'!N92="","",'Midterm OVPAA-F-INS-055A RAW SC'!N92/'Midterm OVPAA-F-INS-055A RAW SC'!N$17*100)</f>
        <v/>
      </c>
      <c r="O92" s="126" t="str">
        <f>IF('Midterm OVPAA-F-INS-055A RAW SC'!O92="","",'Midterm OVPAA-F-INS-055A RAW SC'!O92/'Midterm OVPAA-F-INS-055A RAW SC'!O$17*100)</f>
        <v/>
      </c>
      <c r="P92" s="126" t="str">
        <f>IF('Midterm OVPAA-F-INS-055A RAW SC'!P92="","",'Midterm OVPAA-F-INS-055A RAW SC'!P92/'Midterm OVPAA-F-INS-055A RAW SC'!P$17*100)</f>
        <v/>
      </c>
      <c r="Q92" s="126" t="str">
        <f>IF('Midterm OVPAA-F-INS-055A RAW SC'!Q92="","",'Midterm OVPAA-F-INS-055A RAW SC'!Q92/'Midterm OVPAA-F-INS-055A RAW SC'!Q$17*100)</f>
        <v/>
      </c>
      <c r="R92" s="126" t="str">
        <f>IF('Midterm OVPAA-F-INS-055A RAW SC'!R92="","",'Midterm OVPAA-F-INS-055A RAW SC'!R92/'Midterm OVPAA-F-INS-055A RAW SC'!R$17*100)</f>
        <v/>
      </c>
      <c r="S92" s="126" t="str">
        <f>IF('Midterm OVPAA-F-INS-055A RAW SC'!S92="","",'Midterm OVPAA-F-INS-055A RAW SC'!S92/'Midterm OVPAA-F-INS-055A RAW SC'!S$17*100)</f>
        <v/>
      </c>
      <c r="T92" s="126" t="str">
        <f>IF('Midterm OVPAA-F-INS-055A RAW SC'!T92="","",'Midterm OVPAA-F-INS-055A RAW SC'!T92/'Midterm OVPAA-F-INS-055A RAW SC'!T$17*100)</f>
        <v/>
      </c>
      <c r="U92" s="126" t="str">
        <f>IF('Midterm OVPAA-F-INS-055A RAW SC'!U92="","",'Midterm OVPAA-F-INS-055A RAW SC'!U92/'Midterm OVPAA-F-INS-055A RAW SC'!U$17*100)</f>
        <v/>
      </c>
      <c r="V92" s="126" t="str">
        <f>IF('Midterm OVPAA-F-INS-055A RAW SC'!V92="","",'Midterm OVPAA-F-INS-055A RAW SC'!V92/'Midterm OVPAA-F-INS-055A RAW SC'!V$17*100)</f>
        <v/>
      </c>
      <c r="W92" s="126" t="str">
        <f>IF('Midterm OVPAA-F-INS-055A RAW SC'!W92="","",'Midterm OVPAA-F-INS-055A RAW SC'!W92/'Midterm OVPAA-F-INS-055A RAW SC'!W$17*100)</f>
        <v/>
      </c>
      <c r="X92" s="126" t="str">
        <f>IF('Midterm OVPAA-F-INS-055A RAW SC'!X92="","",'Midterm OVPAA-F-INS-055A RAW SC'!X92/'Midterm OVPAA-F-INS-055A RAW SC'!X$17*100)</f>
        <v/>
      </c>
      <c r="Y92" s="126" t="str">
        <f>IF('Midterm OVPAA-F-INS-055A RAW SC'!Y92="","",'Midterm OVPAA-F-INS-055A RAW SC'!Y92/'Midterm OVPAA-F-INS-055A RAW SC'!Y$17*100)</f>
        <v/>
      </c>
      <c r="Z92" s="126" t="str">
        <f>IF('Midterm OVPAA-F-INS-055A RAW SC'!Z92="","",'Midterm OVPAA-F-INS-055A RAW SC'!Z92/'Midterm OVPAA-F-INS-055A RAW SC'!Z$17*100)</f>
        <v/>
      </c>
      <c r="AA92" s="126" t="str">
        <f>IF('Midterm OVPAA-F-INS-055A RAW SC'!AA92="","",'Midterm OVPAA-F-INS-055A RAW SC'!AA92/'Midterm OVPAA-F-INS-055A RAW SC'!AA$17*100)</f>
        <v/>
      </c>
      <c r="AB92" s="126" t="str">
        <f>IF('Midterm OVPAA-F-INS-055A RAW SC'!AB92="","",'Midterm OVPAA-F-INS-055A RAW SC'!AB92/'Midterm OVPAA-F-INS-055A RAW SC'!AB$17*100)</f>
        <v/>
      </c>
      <c r="AC92" s="126" t="str">
        <f>IF('Midterm OVPAA-F-INS-055A RAW SC'!AC92="","",'Midterm OVPAA-F-INS-055A RAW SC'!AC92/'Midterm OVPAA-F-INS-055A RAW SC'!AC$17*100)</f>
        <v/>
      </c>
      <c r="AD92" s="126" t="str">
        <f>IF('Midterm OVPAA-F-INS-055A RAW SC'!AD92="","",'Midterm OVPAA-F-INS-055A RAW SC'!AD92/'Midterm OVPAA-F-INS-055A RAW SC'!AD$17*100)</f>
        <v/>
      </c>
      <c r="AE92" s="126" t="str">
        <f>IF('Midterm OVPAA-F-INS-055A RAW SC'!AE92="","",'Midterm OVPAA-F-INS-055A RAW SC'!AE92/'Midterm OVPAA-F-INS-055A RAW SC'!AE$17*100)</f>
        <v/>
      </c>
      <c r="AF92" s="126" t="str">
        <f>IF('Midterm OVPAA-F-INS-055A RAW SC'!AF92="","",'Midterm OVPAA-F-INS-055A RAW SC'!AF92/'Midterm OVPAA-F-INS-055A RAW SC'!AF$17*100)</f>
        <v/>
      </c>
      <c r="AG92" s="126" t="str">
        <f>IF('Midterm OVPAA-F-INS-055A RAW SC'!AG92="","",'Midterm OVPAA-F-INS-055A RAW SC'!AG92/'Midterm OVPAA-F-INS-055A RAW SC'!AG$17*100)</f>
        <v/>
      </c>
      <c r="AH92" s="126" t="str">
        <f>IF('Midterm OVPAA-F-INS-055A RAW SC'!AH92="","",'Midterm OVPAA-F-INS-055A RAW SC'!AH92/'Midterm OVPAA-F-INS-055A RAW SC'!AH$17*100)</f>
        <v/>
      </c>
      <c r="AI92" s="126" t="str">
        <f>IF('Midterm OVPAA-F-INS-055A RAW SC'!AI92="","",'Midterm OVPAA-F-INS-055A RAW SC'!AI92/'Midterm OVPAA-F-INS-055A RAW SC'!AI$17*100)</f>
        <v/>
      </c>
      <c r="AJ92" s="126" t="str">
        <f>IF('Midterm OVPAA-F-INS-055A RAW SC'!AJ92="","",'Midterm OVPAA-F-INS-055A RAW SC'!AJ92/'Midterm OVPAA-F-INS-055A RAW SC'!AJ$17*100)</f>
        <v/>
      </c>
      <c r="AK92" s="126" t="str">
        <f>IF('Midterm OVPAA-F-INS-055A RAW SC'!AK92="","",'Midterm OVPAA-F-INS-055A RAW SC'!AK92/'Midterm OVPAA-F-INS-055A RAW SC'!AK$17*100)</f>
        <v/>
      </c>
      <c r="AL92" s="126" t="str">
        <f>IF('Midterm OVPAA-F-INS-055A RAW SC'!AL92="","",'Midterm OVPAA-F-INS-055A RAW SC'!AL92/'Midterm OVPAA-F-INS-055A RAW SC'!AL$17*100)</f>
        <v/>
      </c>
      <c r="AM92" s="126" t="str">
        <f>IF('Midterm OVPAA-F-INS-055A RAW SC'!AM92="","",'Midterm OVPAA-F-INS-055A RAW SC'!AM92/'Midterm OVPAA-F-INS-055A RAW SC'!AM$17*100)</f>
        <v/>
      </c>
      <c r="AN92" s="126" t="str">
        <f>IF('Midterm OVPAA-F-INS-055A RAW SC'!AN92="","",'Midterm OVPAA-F-INS-055A RAW SC'!AN92/'Midterm OVPAA-F-INS-055A RAW SC'!AN$17*100)</f>
        <v/>
      </c>
      <c r="AO92" s="126" t="str">
        <f>IF('Midterm OVPAA-F-INS-055A RAW SC'!AO92="","",'Midterm OVPAA-F-INS-055A RAW SC'!AO92/'Midterm OVPAA-F-INS-055A RAW SC'!AO$17*100)</f>
        <v/>
      </c>
      <c r="AP92" s="126" t="str">
        <f>IF('Midterm OVPAA-F-INS-055A RAW SC'!AP92="","",'Midterm OVPAA-F-INS-055A RAW SC'!AP92/'Midterm OVPAA-F-INS-055A RAW SC'!AP$17*100)</f>
        <v/>
      </c>
      <c r="AQ92" s="126" t="str">
        <f>IF('Midterm OVPAA-F-INS-055A RAW SC'!AQ92="","",'Midterm OVPAA-F-INS-055A RAW SC'!AQ92/'Midterm OVPAA-F-INS-055A RAW SC'!AQ$17*100)</f>
        <v/>
      </c>
      <c r="AR92" s="126" t="str">
        <f>IF('Midterm OVPAA-F-INS-055A RAW SC'!AR92="","",'Midterm OVPAA-F-INS-055A RAW SC'!AR92/'Midterm OVPAA-F-INS-055A RAW SC'!AR$17*100)</f>
        <v/>
      </c>
      <c r="AS92" s="126" t="str">
        <f>IF('Midterm OVPAA-F-INS-055A RAW SC'!AS92="","",'Midterm OVPAA-F-INS-055A RAW SC'!AS92/'Midterm OVPAA-F-INS-055A RAW SC'!AS$17*100)</f>
        <v/>
      </c>
      <c r="AT92" s="126" t="str">
        <f>IF('Midterm OVPAA-F-INS-055A RAW SC'!AT92="","",'Midterm OVPAA-F-INS-055A RAW SC'!AT92/'Midterm OVPAA-F-INS-055A RAW SC'!AT$17*100)</f>
        <v/>
      </c>
      <c r="AU92" s="126" t="str">
        <f>IF('Midterm OVPAA-F-INS-055A RAW SC'!AU92="","",'Midterm OVPAA-F-INS-055A RAW SC'!AU92/'Midterm OVPAA-F-INS-055A RAW SC'!AU$17*100)</f>
        <v/>
      </c>
      <c r="AV92" s="126" t="str">
        <f>IF('Midterm OVPAA-F-INS-055A RAW SC'!AV92="","",'Midterm OVPAA-F-INS-055A RAW SC'!AV92/'Midterm OVPAA-F-INS-055A RAW SC'!AV$17*100)</f>
        <v/>
      </c>
      <c r="AW92" s="126" t="str">
        <f>IF('Midterm OVPAA-F-INS-055A RAW SC'!AW92="","",'Midterm OVPAA-F-INS-055A RAW SC'!AW92/'Midterm OVPAA-F-INS-055A RAW SC'!AW$17*100)</f>
        <v/>
      </c>
      <c r="AX92" s="126" t="str">
        <f>IF('Midterm OVPAA-F-INS-055A RAW SC'!AX92="","",'Midterm OVPAA-F-INS-055A RAW SC'!AX92/'Midterm OVPAA-F-INS-055A RAW SC'!AX$17*100)</f>
        <v/>
      </c>
      <c r="AY92" s="126" t="str">
        <f>IF('Midterm OVPAA-F-INS-055A RAW SC'!AY92="","",'Midterm OVPAA-F-INS-055A RAW SC'!AY92/'Midterm OVPAA-F-INS-055A RAW SC'!AY$17*100)</f>
        <v/>
      </c>
      <c r="AZ92" s="126" t="str">
        <f>IF('Midterm OVPAA-F-INS-055A RAW SC'!AZ92="","",'Midterm OVPAA-F-INS-055A RAW SC'!AZ92/'Midterm OVPAA-F-INS-055A RAW SC'!AZ$17*100)</f>
        <v/>
      </c>
      <c r="BA92" s="126" t="str">
        <f>IF('Midterm OVPAA-F-INS-055A RAW SC'!BA92="","",'Midterm OVPAA-F-INS-055A RAW SC'!BA92/'Midterm OVPAA-F-INS-055A RAW SC'!BA$17*100)</f>
        <v/>
      </c>
      <c r="BB92" s="126" t="str">
        <f>IF('Midterm OVPAA-F-INS-055A RAW SC'!BB92="","",'Midterm OVPAA-F-INS-055A RAW SC'!BB92/'Midterm OVPAA-F-INS-055A RAW SC'!BB$17*100)</f>
        <v/>
      </c>
      <c r="BC92" s="126" t="str">
        <f>IF('Midterm OVPAA-F-INS-055A RAW SC'!BC92="","",'Midterm OVPAA-F-INS-055A RAW SC'!BC92/'Midterm OVPAA-F-INS-055A RAW SC'!BC$17*100)</f>
        <v/>
      </c>
      <c r="BD92" s="126" t="str">
        <f>IF('Midterm OVPAA-F-INS-055A RAW SC'!BD92="","",'Midterm OVPAA-F-INS-055A RAW SC'!BD92/'Midterm OVPAA-F-INS-055A RAW SC'!BD$17*100)</f>
        <v/>
      </c>
      <c r="BE92" s="126" t="str">
        <f>IF('Midterm OVPAA-F-INS-055A RAW SC'!BE92="","",'Midterm OVPAA-F-INS-055A RAW SC'!BE92/'Midterm OVPAA-F-INS-055A RAW SC'!BE$17*100)</f>
        <v/>
      </c>
      <c r="BF92" s="126" t="str">
        <f>IF('Midterm OVPAA-F-INS-055A RAW SC'!BF92="","",'Midterm OVPAA-F-INS-055A RAW SC'!BF92/'Midterm OVPAA-F-INS-055A RAW SC'!BF$17*100)</f>
        <v/>
      </c>
      <c r="BG92" s="126" t="str">
        <f>IF('Midterm OVPAA-F-INS-055A RAW SC'!BG92="","",'Midterm OVPAA-F-INS-055A RAW SC'!BG92/'Midterm OVPAA-F-INS-055A RAW SC'!BG$17*100)</f>
        <v/>
      </c>
      <c r="BH92" s="126" t="str">
        <f>IF('Midterm OVPAA-F-INS-055A RAW SC'!BH92="","",'Midterm OVPAA-F-INS-055A RAW SC'!BH92/'Midterm OVPAA-F-INS-055A RAW SC'!BH$17*100)</f>
        <v/>
      </c>
      <c r="BI92" s="126" t="str">
        <f>IF('Midterm OVPAA-F-INS-055A RAW SC'!BI92="","",'Midterm OVPAA-F-INS-055A RAW SC'!BI92/'Midterm OVPAA-F-INS-055A RAW SC'!BI$17*100)</f>
        <v/>
      </c>
      <c r="BJ92" s="126" t="str">
        <f>IF('Midterm OVPAA-F-INS-055A RAW SC'!BJ92="","",'Midterm OVPAA-F-INS-055A RAW SC'!BJ92/'Midterm OVPAA-F-INS-055A RAW SC'!BJ$17*100)</f>
        <v/>
      </c>
      <c r="BK92" s="126" t="str">
        <f>IF('Midterm OVPAA-F-INS-055A RAW SC'!BK92="","",'Midterm OVPAA-F-INS-055A RAW SC'!BK92/'Midterm OVPAA-F-INS-055A RAW SC'!BK$17*100)</f>
        <v/>
      </c>
      <c r="BL92" s="126" t="str">
        <f>IF('Midterm OVPAA-F-INS-055A RAW SC'!BL92="","",'Midterm OVPAA-F-INS-055A RAW SC'!BL92/'Midterm OVPAA-F-INS-055A RAW SC'!BL$17*100)</f>
        <v/>
      </c>
      <c r="BM92" s="126" t="str">
        <f>IF('Midterm OVPAA-F-INS-055A RAW SC'!BM92="","",'Midterm OVPAA-F-INS-055A RAW SC'!BM92/'Midterm OVPAA-F-INS-055A RAW SC'!BM$17*100)</f>
        <v/>
      </c>
      <c r="BN92" s="126" t="str">
        <f>IF('Midterm OVPAA-F-INS-055A RAW SC'!BN92="","",'Midterm OVPAA-F-INS-055A RAW SC'!BN92/'Midterm OVPAA-F-INS-055A RAW SC'!BN$17*100)</f>
        <v/>
      </c>
      <c r="BO92" s="126" t="str">
        <f>IF('Midterm OVPAA-F-INS-055A RAW SC'!BO92="","",'Midterm OVPAA-F-INS-055A RAW SC'!BO92/'Midterm OVPAA-F-INS-055A RAW SC'!BO$17*100)</f>
        <v/>
      </c>
      <c r="BP92" s="126" t="str">
        <f>IF('Midterm OVPAA-F-INS-055A RAW SC'!BP92="","",'Midterm OVPAA-F-INS-055A RAW SC'!BP92/'Midterm OVPAA-F-INS-055A RAW SC'!BP$17*100)</f>
        <v/>
      </c>
      <c r="BQ92" s="126" t="str">
        <f>IF('Midterm OVPAA-F-INS-055A RAW SC'!BQ92="","",'Midterm OVPAA-F-INS-055A RAW SC'!BQ92/'Midterm OVPAA-F-INS-055A RAW SC'!BQ$17*100)</f>
        <v/>
      </c>
      <c r="BR92" s="126" t="str">
        <f>IF('Midterm OVPAA-F-INS-055A RAW SC'!BR92="","",'Midterm OVPAA-F-INS-055A RAW SC'!BR92/'Midterm OVPAA-F-INS-055A RAW SC'!BR$17*100)</f>
        <v/>
      </c>
      <c r="BS92" s="126" t="str">
        <f>IF('Midterm OVPAA-F-INS-055A RAW SC'!BS92="","",'Midterm OVPAA-F-INS-055A RAW SC'!BS92/'Midterm OVPAA-F-INS-055A RAW SC'!BS$17*100)</f>
        <v/>
      </c>
      <c r="BT92" s="126" t="str">
        <f>IF('Midterm OVPAA-F-INS-055A RAW SC'!BT92="","",'Midterm OVPAA-F-INS-055A RAW SC'!BT92/'Midterm OVPAA-F-INS-055A RAW SC'!BT$17*100)</f>
        <v/>
      </c>
      <c r="BU92" s="127" t="str">
        <f t="array" ref="BU92">IF('Midterm OVPAA-F-INS-055A RAW SC'!$G92="","",IF((SUMPRODUCT(--ISBLANK('Midterm OVPAA-F-INS-055A RAW SC'!H92:BT92))=COLUMNS('Midterm OVPAA-F-INS-055A RAW SC'!H92:BT92))=TRUE,"",(((COUNTA('Midterm OVPAA-F-INS-055A RAW SC'!$H$17:$BT$17)+COUNTBLANK('Midterm OVPAA-F-INS-055A RAW SC'!H92:BT92))-COLUMNS('Midterm OVPAA-F-INS-055A RAW SC'!H92:BT92))*5+SUM(H92:BT92))/COUNTA('Midterm OVPAA-F-INS-055A RAW SC'!$H$17:$BT$17)))</f>
        <v/>
      </c>
      <c r="BV92" s="128" t="str">
        <f>IF(BU92="","",VLOOKUP(BU92,IF('Midterm OVPAA-F-INS-055A RAW SC'!$V$12=0.5,TRANSMUTATION!$C$4:$D$17,TRANSMUTATION!$G$4:$H$17),2,TRUE))</f>
        <v/>
      </c>
      <c r="BW92" s="129" t="str">
        <f>IF('Midterm OVPAA-F-INS-055A RAW SC'!BU92="","",'Midterm OVPAA-F-INS-055A RAW SC'!BU92/'Midterm OVPAA-F-INS-055A RAW SC'!BU$17*100)</f>
        <v/>
      </c>
      <c r="BX92" s="130" t="str">
        <f>IF('Midterm OVPAA-F-INS-055A RAW SC'!BV92="","",'Midterm OVPAA-F-INS-055A RAW SC'!BV92/'Midterm OVPAA-F-INS-055A RAW SC'!BV$17*100)</f>
        <v/>
      </c>
      <c r="BY92" s="130" t="str">
        <f>IF('Midterm OVPAA-F-INS-055A RAW SC'!BW92="","",'Midterm OVPAA-F-INS-055A RAW SC'!BW92/'Midterm OVPAA-F-INS-055A RAW SC'!BW$17*100)</f>
        <v/>
      </c>
      <c r="BZ92" s="130" t="str">
        <f>IF('Midterm OVPAA-F-INS-055A RAW SC'!BX92="","",'Midterm OVPAA-F-INS-055A RAW SC'!BX92/'Midterm OVPAA-F-INS-055A RAW SC'!BX$17*100)</f>
        <v/>
      </c>
      <c r="CA92" s="130" t="str">
        <f>IF('Midterm OVPAA-F-INS-055A RAW SC'!BY92="","",'Midterm OVPAA-F-INS-055A RAW SC'!BY92/'Midterm OVPAA-F-INS-055A RAW SC'!BY$17*100)</f>
        <v/>
      </c>
      <c r="CB92" s="130" t="str">
        <f>IF('Midterm OVPAA-F-INS-055A RAW SC'!BZ92="","",'Midterm OVPAA-F-INS-055A RAW SC'!BZ92/'Midterm OVPAA-F-INS-055A RAW SC'!BZ$17*100)</f>
        <v/>
      </c>
      <c r="CC92" s="130" t="str">
        <f>IF('Midterm OVPAA-F-INS-055A RAW SC'!CA92="","",'Midterm OVPAA-F-INS-055A RAW SC'!CA92/'Midterm OVPAA-F-INS-055A RAW SC'!CA$17*100)</f>
        <v/>
      </c>
      <c r="CD92" s="130" t="str">
        <f>IF('Midterm OVPAA-F-INS-055A RAW SC'!CB92="","",'Midterm OVPAA-F-INS-055A RAW SC'!CB92/'Midterm OVPAA-F-INS-055A RAW SC'!CB$17*100)</f>
        <v/>
      </c>
      <c r="CE92" s="130" t="str">
        <f>IF('Midterm OVPAA-F-INS-055A RAW SC'!CC92="","",'Midterm OVPAA-F-INS-055A RAW SC'!CC92/'Midterm OVPAA-F-INS-055A RAW SC'!CC$17*100)</f>
        <v/>
      </c>
      <c r="CF92" s="130" t="str">
        <f>IF('Midterm OVPAA-F-INS-055A RAW SC'!CD92="","",'Midterm OVPAA-F-INS-055A RAW SC'!CD92/'Midterm OVPAA-F-INS-055A RAW SC'!CD$17*100)</f>
        <v/>
      </c>
      <c r="CG92" s="130" t="str">
        <f>IF('Midterm OVPAA-F-INS-055A RAW SC'!CE92="","",'Midterm OVPAA-F-INS-055A RAW SC'!CE92/'Midterm OVPAA-F-INS-055A RAW SC'!CE$17*100)</f>
        <v/>
      </c>
      <c r="CH92" s="130" t="str">
        <f>IF('Midterm OVPAA-F-INS-055A RAW SC'!CF92="","",'Midterm OVPAA-F-INS-055A RAW SC'!CF92/'Midterm OVPAA-F-INS-055A RAW SC'!CF$17*100)</f>
        <v/>
      </c>
      <c r="CI92" s="130" t="str">
        <f>IF('Midterm OVPAA-F-INS-055A RAW SC'!CG92="","",'Midterm OVPAA-F-INS-055A RAW SC'!CG92/'Midterm OVPAA-F-INS-055A RAW SC'!CG$17*100)</f>
        <v/>
      </c>
      <c r="CJ92" s="130" t="str">
        <f>IF('Midterm OVPAA-F-INS-055A RAW SC'!CH92="","",'Midterm OVPAA-F-INS-055A RAW SC'!CH92/'Midterm OVPAA-F-INS-055A RAW SC'!CH$17*100)</f>
        <v/>
      </c>
      <c r="CK92" s="130" t="str">
        <f>IF('Midterm OVPAA-F-INS-055A RAW SC'!CI92="","",'Midterm OVPAA-F-INS-055A RAW SC'!CI92/'Midterm OVPAA-F-INS-055A RAW SC'!CI$17*100)</f>
        <v/>
      </c>
      <c r="CL92" s="130" t="str">
        <f>IF('Midterm OVPAA-F-INS-055A RAW SC'!CJ92="","",'Midterm OVPAA-F-INS-055A RAW SC'!CJ92/'Midterm OVPAA-F-INS-055A RAW SC'!CJ$17*100)</f>
        <v/>
      </c>
      <c r="CM92" s="130" t="str">
        <f>IF('Midterm OVPAA-F-INS-055A RAW SC'!CK92="","",'Midterm OVPAA-F-INS-055A RAW SC'!CK92/'Midterm OVPAA-F-INS-055A RAW SC'!CK$17*100)</f>
        <v/>
      </c>
      <c r="CN92" s="130" t="str">
        <f>IF('Midterm OVPAA-F-INS-055A RAW SC'!CL92="","",'Midterm OVPAA-F-INS-055A RAW SC'!CL92/'Midterm OVPAA-F-INS-055A RAW SC'!CL$17*100)</f>
        <v/>
      </c>
      <c r="CO92" s="130" t="str">
        <f>IF('Midterm OVPAA-F-INS-055A RAW SC'!CM92="","",'Midterm OVPAA-F-INS-055A RAW SC'!CM92/'Midterm OVPAA-F-INS-055A RAW SC'!CM$17*100)</f>
        <v/>
      </c>
      <c r="CP92" s="130" t="str">
        <f>IF('Midterm OVPAA-F-INS-055A RAW SC'!CN92="","",'Midterm OVPAA-F-INS-055A RAW SC'!CN92/'Midterm OVPAA-F-INS-055A RAW SC'!CN$17*100)</f>
        <v/>
      </c>
      <c r="CQ92" s="131" t="str">
        <f t="array" ref="CQ92">IF('Midterm OVPAA-F-INS-055A RAW SC'!G92="","",IF((SUMPRODUCT(--ISBLANK('Midterm OVPAA-F-INS-055A RAW SC'!BU92:CN92))=COLUMNS('Midterm OVPAA-F-INS-055A RAW SC'!BU92:CN92))=TRUE,"",(((COUNTA('Midterm OVPAA-F-INS-055A RAW SC'!$BU$17:$CN$17)+COUNTBLANK('Midterm OVPAA-F-INS-055A RAW SC'!BU92:CN92))-COLUMNS('Midterm OVPAA-F-INS-055A RAW SC'!BU92:CN92))*5+SUM(BW92:CP92))/COUNTA('Midterm OVPAA-F-INS-055A RAW SC'!$BU$17:$CN$17)))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IF('Midterm OVPAA-F-INS-055A RAW SC'!CO92="","",'Midterm OVPAA-F-INS-055A RAW SC'!CO92/'Midterm OVPAA-F-INS-055A RAW SC'!CO$17*100)</f>
        <v/>
      </c>
      <c r="CT92" s="133" t="str">
        <f>IF('Midterm OVPAA-F-INS-055A RAW SC'!CP92="","",'Midterm OVPAA-F-INS-055A RAW SC'!CP92/'Midterm OVPAA-F-INS-055A RAW SC'!CP$17*100)</f>
        <v/>
      </c>
      <c r="CU92" s="133" t="str">
        <f>IF('Midterm OVPAA-F-INS-055A RAW SC'!CQ92="","",'Midterm OVPAA-F-INS-055A RAW SC'!CQ92/'Midterm OVPAA-F-INS-055A RAW SC'!CQ$17*100)</f>
        <v/>
      </c>
      <c r="CV92" s="133" t="str">
        <f>IF('Midterm OVPAA-F-INS-055A RAW SC'!CR92="","",'Midterm OVPAA-F-INS-055A RAW SC'!CR92/'Midterm OVPAA-F-INS-055A RAW SC'!CR$17*100)</f>
        <v/>
      </c>
      <c r="CW92" s="133" t="str">
        <f>IF('Midterm OVPAA-F-INS-055A RAW SC'!CS92="","",'Midterm OVPAA-F-INS-055A RAW SC'!CS92/'Midterm OVPAA-F-INS-055A RAW SC'!CS$17*100)</f>
        <v/>
      </c>
      <c r="CX92" s="133" t="str">
        <f>IF('Midterm OVPAA-F-INS-055A RAW SC'!CT92="","",'Midterm OVPAA-F-INS-055A RAW SC'!CT92/'Midterm OVPAA-F-INS-055A RAW SC'!CT$17*100)</f>
        <v/>
      </c>
      <c r="CY92" s="133" t="str">
        <f>IF('Midterm OVPAA-F-INS-055A RAW SC'!CU92="","",'Midterm OVPAA-F-INS-055A RAW SC'!CU92/'Midterm OVPAA-F-INS-055A RAW SC'!CU$17*100)</f>
        <v/>
      </c>
      <c r="CZ92" s="133" t="str">
        <f>IF('Midterm OVPAA-F-INS-055A RAW SC'!CV92="","",'Midterm OVPAA-F-INS-055A RAW SC'!CV92/'Midterm OVPAA-F-INS-055A RAW SC'!CV$17*100)</f>
        <v/>
      </c>
      <c r="DA92" s="133" t="str">
        <f>IF('Midterm OVPAA-F-INS-055A RAW SC'!CW92="","",'Midterm OVPAA-F-INS-055A RAW SC'!CW92/'Midterm OVPAA-F-INS-055A RAW SC'!CW$17*100)</f>
        <v/>
      </c>
      <c r="DB92" s="133" t="str">
        <f>IF('Midterm OVPAA-F-INS-055A RAW SC'!CX92="","",'Midterm OVPAA-F-INS-055A RAW SC'!CX92/'Midterm OVPAA-F-INS-055A RAW SC'!CX$17*100)</f>
        <v/>
      </c>
      <c r="DC92" s="134" t="str">
        <f t="array" ref="DC92">IF('Midterm OVPAA-F-INS-055A RAW SC'!$G92="","",IF((SUMPRODUCT(--ISBLANK('Midterm OVPAA-F-INS-055A RAW SC'!CO92:CX92))=COLUMNS('Midterm OVPAA-F-INS-055A RAW SC'!CO92:CX92))=TRUE,"",(((COUNTA('Midterm OVPAA-F-INS-055A RAW SC'!$CO$17:$CX$17)+COUNTBLANK('Midterm OVPAA-F-INS-055A RAW SC'!CO92:CX92))-COLUMNS('Midterm OVPAA-F-INS-055A RAW SC'!CO92:CX92))*5+SUM(CS92:DB92))/COUNTA('Midterm OVPAA-F-INS-055A RAW SC'!$CO$17:$CX$17)))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37" t="str">
        <f t="shared" si="2"/>
        <v/>
      </c>
      <c r="DG92" s="138" t="str">
        <f t="shared" si="3"/>
        <v/>
      </c>
      <c r="DH92" s="136" t="str">
        <f t="shared" si="4"/>
        <v/>
      </c>
      <c r="DI92" s="123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IF('Midterm OVPAA-F-INS-055A RAW SC'!H93="","",'Midterm OVPAA-F-INS-055A RAW SC'!H93/'Midterm OVPAA-F-INS-055A RAW SC'!H$17*100)</f>
        <v/>
      </c>
      <c r="I93" s="126" t="str">
        <f>IF('Midterm OVPAA-F-INS-055A RAW SC'!I93="","",'Midterm OVPAA-F-INS-055A RAW SC'!I93/'Midterm OVPAA-F-INS-055A RAW SC'!I$17*100)</f>
        <v/>
      </c>
      <c r="J93" s="126" t="str">
        <f>IF('Midterm OVPAA-F-INS-055A RAW SC'!J93="","",'Midterm OVPAA-F-INS-055A RAW SC'!J93/'Midterm OVPAA-F-INS-055A RAW SC'!J$17*100)</f>
        <v/>
      </c>
      <c r="K93" s="126" t="str">
        <f>IF('Midterm OVPAA-F-INS-055A RAW SC'!K93="","",'Midterm OVPAA-F-INS-055A RAW SC'!K93/'Midterm OVPAA-F-INS-055A RAW SC'!K$17*100)</f>
        <v/>
      </c>
      <c r="L93" s="126" t="str">
        <f>IF('Midterm OVPAA-F-INS-055A RAW SC'!L93="","",'Midterm OVPAA-F-INS-055A RAW SC'!L93/'Midterm OVPAA-F-INS-055A RAW SC'!L$17*100)</f>
        <v/>
      </c>
      <c r="M93" s="126" t="str">
        <f>IF('Midterm OVPAA-F-INS-055A RAW SC'!M93="","",'Midterm OVPAA-F-INS-055A RAW SC'!M93/'Midterm OVPAA-F-INS-055A RAW SC'!M$17*100)</f>
        <v/>
      </c>
      <c r="N93" s="126" t="str">
        <f>IF('Midterm OVPAA-F-INS-055A RAW SC'!N93="","",'Midterm OVPAA-F-INS-055A RAW SC'!N93/'Midterm OVPAA-F-INS-055A RAW SC'!N$17*100)</f>
        <v/>
      </c>
      <c r="O93" s="126" t="str">
        <f>IF('Midterm OVPAA-F-INS-055A RAW SC'!O93="","",'Midterm OVPAA-F-INS-055A RAW SC'!O93/'Midterm OVPAA-F-INS-055A RAW SC'!O$17*100)</f>
        <v/>
      </c>
      <c r="P93" s="126" t="str">
        <f>IF('Midterm OVPAA-F-INS-055A RAW SC'!P93="","",'Midterm OVPAA-F-INS-055A RAW SC'!P93/'Midterm OVPAA-F-INS-055A RAW SC'!P$17*100)</f>
        <v/>
      </c>
      <c r="Q93" s="126" t="str">
        <f>IF('Midterm OVPAA-F-INS-055A RAW SC'!Q93="","",'Midterm OVPAA-F-INS-055A RAW SC'!Q93/'Midterm OVPAA-F-INS-055A RAW SC'!Q$17*100)</f>
        <v/>
      </c>
      <c r="R93" s="126" t="str">
        <f>IF('Midterm OVPAA-F-INS-055A RAW SC'!R93="","",'Midterm OVPAA-F-INS-055A RAW SC'!R93/'Midterm OVPAA-F-INS-055A RAW SC'!R$17*100)</f>
        <v/>
      </c>
      <c r="S93" s="126" t="str">
        <f>IF('Midterm OVPAA-F-INS-055A RAW SC'!S93="","",'Midterm OVPAA-F-INS-055A RAW SC'!S93/'Midterm OVPAA-F-INS-055A RAW SC'!S$17*100)</f>
        <v/>
      </c>
      <c r="T93" s="126" t="str">
        <f>IF('Midterm OVPAA-F-INS-055A RAW SC'!T93="","",'Midterm OVPAA-F-INS-055A RAW SC'!T93/'Midterm OVPAA-F-INS-055A RAW SC'!T$17*100)</f>
        <v/>
      </c>
      <c r="U93" s="126" t="str">
        <f>IF('Midterm OVPAA-F-INS-055A RAW SC'!U93="","",'Midterm OVPAA-F-INS-055A RAW SC'!U93/'Midterm OVPAA-F-INS-055A RAW SC'!U$17*100)</f>
        <v/>
      </c>
      <c r="V93" s="126" t="str">
        <f>IF('Midterm OVPAA-F-INS-055A RAW SC'!V93="","",'Midterm OVPAA-F-INS-055A RAW SC'!V93/'Midterm OVPAA-F-INS-055A RAW SC'!V$17*100)</f>
        <v/>
      </c>
      <c r="W93" s="126" t="str">
        <f>IF('Midterm OVPAA-F-INS-055A RAW SC'!W93="","",'Midterm OVPAA-F-INS-055A RAW SC'!W93/'Midterm OVPAA-F-INS-055A RAW SC'!W$17*100)</f>
        <v/>
      </c>
      <c r="X93" s="126" t="str">
        <f>IF('Midterm OVPAA-F-INS-055A RAW SC'!X93="","",'Midterm OVPAA-F-INS-055A RAW SC'!X93/'Midterm OVPAA-F-INS-055A RAW SC'!X$17*100)</f>
        <v/>
      </c>
      <c r="Y93" s="126" t="str">
        <f>IF('Midterm OVPAA-F-INS-055A RAW SC'!Y93="","",'Midterm OVPAA-F-INS-055A RAW SC'!Y93/'Midterm OVPAA-F-INS-055A RAW SC'!Y$17*100)</f>
        <v/>
      </c>
      <c r="Z93" s="126" t="str">
        <f>IF('Midterm OVPAA-F-INS-055A RAW SC'!Z93="","",'Midterm OVPAA-F-INS-055A RAW SC'!Z93/'Midterm OVPAA-F-INS-055A RAW SC'!Z$17*100)</f>
        <v/>
      </c>
      <c r="AA93" s="126" t="str">
        <f>IF('Midterm OVPAA-F-INS-055A RAW SC'!AA93="","",'Midterm OVPAA-F-INS-055A RAW SC'!AA93/'Midterm OVPAA-F-INS-055A RAW SC'!AA$17*100)</f>
        <v/>
      </c>
      <c r="AB93" s="126" t="str">
        <f>IF('Midterm OVPAA-F-INS-055A RAW SC'!AB93="","",'Midterm OVPAA-F-INS-055A RAW SC'!AB93/'Midterm OVPAA-F-INS-055A RAW SC'!AB$17*100)</f>
        <v/>
      </c>
      <c r="AC93" s="126" t="str">
        <f>IF('Midterm OVPAA-F-INS-055A RAW SC'!AC93="","",'Midterm OVPAA-F-INS-055A RAW SC'!AC93/'Midterm OVPAA-F-INS-055A RAW SC'!AC$17*100)</f>
        <v/>
      </c>
      <c r="AD93" s="126" t="str">
        <f>IF('Midterm OVPAA-F-INS-055A RAW SC'!AD93="","",'Midterm OVPAA-F-INS-055A RAW SC'!AD93/'Midterm OVPAA-F-INS-055A RAW SC'!AD$17*100)</f>
        <v/>
      </c>
      <c r="AE93" s="126" t="str">
        <f>IF('Midterm OVPAA-F-INS-055A RAW SC'!AE93="","",'Midterm OVPAA-F-INS-055A RAW SC'!AE93/'Midterm OVPAA-F-INS-055A RAW SC'!AE$17*100)</f>
        <v/>
      </c>
      <c r="AF93" s="126" t="str">
        <f>IF('Midterm OVPAA-F-INS-055A RAW SC'!AF93="","",'Midterm OVPAA-F-INS-055A RAW SC'!AF93/'Midterm OVPAA-F-INS-055A RAW SC'!AF$17*100)</f>
        <v/>
      </c>
      <c r="AG93" s="126" t="str">
        <f>IF('Midterm OVPAA-F-INS-055A RAW SC'!AG93="","",'Midterm OVPAA-F-INS-055A RAW SC'!AG93/'Midterm OVPAA-F-INS-055A RAW SC'!AG$17*100)</f>
        <v/>
      </c>
      <c r="AH93" s="126" t="str">
        <f>IF('Midterm OVPAA-F-INS-055A RAW SC'!AH93="","",'Midterm OVPAA-F-INS-055A RAW SC'!AH93/'Midterm OVPAA-F-INS-055A RAW SC'!AH$17*100)</f>
        <v/>
      </c>
      <c r="AI93" s="126" t="str">
        <f>IF('Midterm OVPAA-F-INS-055A RAW SC'!AI93="","",'Midterm OVPAA-F-INS-055A RAW SC'!AI93/'Midterm OVPAA-F-INS-055A RAW SC'!AI$17*100)</f>
        <v/>
      </c>
      <c r="AJ93" s="126" t="str">
        <f>IF('Midterm OVPAA-F-INS-055A RAW SC'!AJ93="","",'Midterm OVPAA-F-INS-055A RAW SC'!AJ93/'Midterm OVPAA-F-INS-055A RAW SC'!AJ$17*100)</f>
        <v/>
      </c>
      <c r="AK93" s="126" t="str">
        <f>IF('Midterm OVPAA-F-INS-055A RAW SC'!AK93="","",'Midterm OVPAA-F-INS-055A RAW SC'!AK93/'Midterm OVPAA-F-INS-055A RAW SC'!AK$17*100)</f>
        <v/>
      </c>
      <c r="AL93" s="126" t="str">
        <f>IF('Midterm OVPAA-F-INS-055A RAW SC'!AL93="","",'Midterm OVPAA-F-INS-055A RAW SC'!AL93/'Midterm OVPAA-F-INS-055A RAW SC'!AL$17*100)</f>
        <v/>
      </c>
      <c r="AM93" s="126" t="str">
        <f>IF('Midterm OVPAA-F-INS-055A RAW SC'!AM93="","",'Midterm OVPAA-F-INS-055A RAW SC'!AM93/'Midterm OVPAA-F-INS-055A RAW SC'!AM$17*100)</f>
        <v/>
      </c>
      <c r="AN93" s="126" t="str">
        <f>IF('Midterm OVPAA-F-INS-055A RAW SC'!AN93="","",'Midterm OVPAA-F-INS-055A RAW SC'!AN93/'Midterm OVPAA-F-INS-055A RAW SC'!AN$17*100)</f>
        <v/>
      </c>
      <c r="AO93" s="126" t="str">
        <f>IF('Midterm OVPAA-F-INS-055A RAW SC'!AO93="","",'Midterm OVPAA-F-INS-055A RAW SC'!AO93/'Midterm OVPAA-F-INS-055A RAW SC'!AO$17*100)</f>
        <v/>
      </c>
      <c r="AP93" s="126" t="str">
        <f>IF('Midterm OVPAA-F-INS-055A RAW SC'!AP93="","",'Midterm OVPAA-F-INS-055A RAW SC'!AP93/'Midterm OVPAA-F-INS-055A RAW SC'!AP$17*100)</f>
        <v/>
      </c>
      <c r="AQ93" s="126" t="str">
        <f>IF('Midterm OVPAA-F-INS-055A RAW SC'!AQ93="","",'Midterm OVPAA-F-INS-055A RAW SC'!AQ93/'Midterm OVPAA-F-INS-055A RAW SC'!AQ$17*100)</f>
        <v/>
      </c>
      <c r="AR93" s="126" t="str">
        <f>IF('Midterm OVPAA-F-INS-055A RAW SC'!AR93="","",'Midterm OVPAA-F-INS-055A RAW SC'!AR93/'Midterm OVPAA-F-INS-055A RAW SC'!AR$17*100)</f>
        <v/>
      </c>
      <c r="AS93" s="126" t="str">
        <f>IF('Midterm OVPAA-F-INS-055A RAW SC'!AS93="","",'Midterm OVPAA-F-INS-055A RAW SC'!AS93/'Midterm OVPAA-F-INS-055A RAW SC'!AS$17*100)</f>
        <v/>
      </c>
      <c r="AT93" s="126" t="str">
        <f>IF('Midterm OVPAA-F-INS-055A RAW SC'!AT93="","",'Midterm OVPAA-F-INS-055A RAW SC'!AT93/'Midterm OVPAA-F-INS-055A RAW SC'!AT$17*100)</f>
        <v/>
      </c>
      <c r="AU93" s="126" t="str">
        <f>IF('Midterm OVPAA-F-INS-055A RAW SC'!AU93="","",'Midterm OVPAA-F-INS-055A RAW SC'!AU93/'Midterm OVPAA-F-INS-055A RAW SC'!AU$17*100)</f>
        <v/>
      </c>
      <c r="AV93" s="126" t="str">
        <f>IF('Midterm OVPAA-F-INS-055A RAW SC'!AV93="","",'Midterm OVPAA-F-INS-055A RAW SC'!AV93/'Midterm OVPAA-F-INS-055A RAW SC'!AV$17*100)</f>
        <v/>
      </c>
      <c r="AW93" s="126" t="str">
        <f>IF('Midterm OVPAA-F-INS-055A RAW SC'!AW93="","",'Midterm OVPAA-F-INS-055A RAW SC'!AW93/'Midterm OVPAA-F-INS-055A RAW SC'!AW$17*100)</f>
        <v/>
      </c>
      <c r="AX93" s="126" t="str">
        <f>IF('Midterm OVPAA-F-INS-055A RAW SC'!AX93="","",'Midterm OVPAA-F-INS-055A RAW SC'!AX93/'Midterm OVPAA-F-INS-055A RAW SC'!AX$17*100)</f>
        <v/>
      </c>
      <c r="AY93" s="126" t="str">
        <f>IF('Midterm OVPAA-F-INS-055A RAW SC'!AY93="","",'Midterm OVPAA-F-INS-055A RAW SC'!AY93/'Midterm OVPAA-F-INS-055A RAW SC'!AY$17*100)</f>
        <v/>
      </c>
      <c r="AZ93" s="126" t="str">
        <f>IF('Midterm OVPAA-F-INS-055A RAW SC'!AZ93="","",'Midterm OVPAA-F-INS-055A RAW SC'!AZ93/'Midterm OVPAA-F-INS-055A RAW SC'!AZ$17*100)</f>
        <v/>
      </c>
      <c r="BA93" s="126" t="str">
        <f>IF('Midterm OVPAA-F-INS-055A RAW SC'!BA93="","",'Midterm OVPAA-F-INS-055A RAW SC'!BA93/'Midterm OVPAA-F-INS-055A RAW SC'!BA$17*100)</f>
        <v/>
      </c>
      <c r="BB93" s="126" t="str">
        <f>IF('Midterm OVPAA-F-INS-055A RAW SC'!BB93="","",'Midterm OVPAA-F-INS-055A RAW SC'!BB93/'Midterm OVPAA-F-INS-055A RAW SC'!BB$17*100)</f>
        <v/>
      </c>
      <c r="BC93" s="126" t="str">
        <f>IF('Midterm OVPAA-F-INS-055A RAW SC'!BC93="","",'Midterm OVPAA-F-INS-055A RAW SC'!BC93/'Midterm OVPAA-F-INS-055A RAW SC'!BC$17*100)</f>
        <v/>
      </c>
      <c r="BD93" s="126" t="str">
        <f>IF('Midterm OVPAA-F-INS-055A RAW SC'!BD93="","",'Midterm OVPAA-F-INS-055A RAW SC'!BD93/'Midterm OVPAA-F-INS-055A RAW SC'!BD$17*100)</f>
        <v/>
      </c>
      <c r="BE93" s="126" t="str">
        <f>IF('Midterm OVPAA-F-INS-055A RAW SC'!BE93="","",'Midterm OVPAA-F-INS-055A RAW SC'!BE93/'Midterm OVPAA-F-INS-055A RAW SC'!BE$17*100)</f>
        <v/>
      </c>
      <c r="BF93" s="126" t="str">
        <f>IF('Midterm OVPAA-F-INS-055A RAW SC'!BF93="","",'Midterm OVPAA-F-INS-055A RAW SC'!BF93/'Midterm OVPAA-F-INS-055A RAW SC'!BF$17*100)</f>
        <v/>
      </c>
      <c r="BG93" s="126" t="str">
        <f>IF('Midterm OVPAA-F-INS-055A RAW SC'!BG93="","",'Midterm OVPAA-F-INS-055A RAW SC'!BG93/'Midterm OVPAA-F-INS-055A RAW SC'!BG$17*100)</f>
        <v/>
      </c>
      <c r="BH93" s="126" t="str">
        <f>IF('Midterm OVPAA-F-INS-055A RAW SC'!BH93="","",'Midterm OVPAA-F-INS-055A RAW SC'!BH93/'Midterm OVPAA-F-INS-055A RAW SC'!BH$17*100)</f>
        <v/>
      </c>
      <c r="BI93" s="126" t="str">
        <f>IF('Midterm OVPAA-F-INS-055A RAW SC'!BI93="","",'Midterm OVPAA-F-INS-055A RAW SC'!BI93/'Midterm OVPAA-F-INS-055A RAW SC'!BI$17*100)</f>
        <v/>
      </c>
      <c r="BJ93" s="126" t="str">
        <f>IF('Midterm OVPAA-F-INS-055A RAW SC'!BJ93="","",'Midterm OVPAA-F-INS-055A RAW SC'!BJ93/'Midterm OVPAA-F-INS-055A RAW SC'!BJ$17*100)</f>
        <v/>
      </c>
      <c r="BK93" s="126" t="str">
        <f>IF('Midterm OVPAA-F-INS-055A RAW SC'!BK93="","",'Midterm OVPAA-F-INS-055A RAW SC'!BK93/'Midterm OVPAA-F-INS-055A RAW SC'!BK$17*100)</f>
        <v/>
      </c>
      <c r="BL93" s="126" t="str">
        <f>IF('Midterm OVPAA-F-INS-055A RAW SC'!BL93="","",'Midterm OVPAA-F-INS-055A RAW SC'!BL93/'Midterm OVPAA-F-INS-055A RAW SC'!BL$17*100)</f>
        <v/>
      </c>
      <c r="BM93" s="126" t="str">
        <f>IF('Midterm OVPAA-F-INS-055A RAW SC'!BM93="","",'Midterm OVPAA-F-INS-055A RAW SC'!BM93/'Midterm OVPAA-F-INS-055A RAW SC'!BM$17*100)</f>
        <v/>
      </c>
      <c r="BN93" s="126" t="str">
        <f>IF('Midterm OVPAA-F-INS-055A RAW SC'!BN93="","",'Midterm OVPAA-F-INS-055A RAW SC'!BN93/'Midterm OVPAA-F-INS-055A RAW SC'!BN$17*100)</f>
        <v/>
      </c>
      <c r="BO93" s="126" t="str">
        <f>IF('Midterm OVPAA-F-INS-055A RAW SC'!BO93="","",'Midterm OVPAA-F-INS-055A RAW SC'!BO93/'Midterm OVPAA-F-INS-055A RAW SC'!BO$17*100)</f>
        <v/>
      </c>
      <c r="BP93" s="126" t="str">
        <f>IF('Midterm OVPAA-F-INS-055A RAW SC'!BP93="","",'Midterm OVPAA-F-INS-055A RAW SC'!BP93/'Midterm OVPAA-F-INS-055A RAW SC'!BP$17*100)</f>
        <v/>
      </c>
      <c r="BQ93" s="126" t="str">
        <f>IF('Midterm OVPAA-F-INS-055A RAW SC'!BQ93="","",'Midterm OVPAA-F-INS-055A RAW SC'!BQ93/'Midterm OVPAA-F-INS-055A RAW SC'!BQ$17*100)</f>
        <v/>
      </c>
      <c r="BR93" s="126" t="str">
        <f>IF('Midterm OVPAA-F-INS-055A RAW SC'!BR93="","",'Midterm OVPAA-F-INS-055A RAW SC'!BR93/'Midterm OVPAA-F-INS-055A RAW SC'!BR$17*100)</f>
        <v/>
      </c>
      <c r="BS93" s="126" t="str">
        <f>IF('Midterm OVPAA-F-INS-055A RAW SC'!BS93="","",'Midterm OVPAA-F-INS-055A RAW SC'!BS93/'Midterm OVPAA-F-INS-055A RAW SC'!BS$17*100)</f>
        <v/>
      </c>
      <c r="BT93" s="126" t="str">
        <f>IF('Midterm OVPAA-F-INS-055A RAW SC'!BT93="","",'Midterm OVPAA-F-INS-055A RAW SC'!BT93/'Midterm OVPAA-F-INS-055A RAW SC'!BT$17*100)</f>
        <v/>
      </c>
      <c r="BU93" s="127" t="str">
        <f t="array" ref="BU93">IF('Midterm OVPAA-F-INS-055A RAW SC'!$G93="","",IF((SUMPRODUCT(--ISBLANK('Midterm OVPAA-F-INS-055A RAW SC'!H93:BT93))=COLUMNS('Midterm OVPAA-F-INS-055A RAW SC'!H93:BT93))=TRUE,"",(((COUNTA('Midterm OVPAA-F-INS-055A RAW SC'!$H$17:$BT$17)+COUNTBLANK('Midterm OVPAA-F-INS-055A RAW SC'!H93:BT93))-COLUMNS('Midterm OVPAA-F-INS-055A RAW SC'!H93:BT93))*5+SUM(H93:BT93))/COUNTA('Midterm OVPAA-F-INS-055A RAW SC'!$H$17:$BT$17)))</f>
        <v/>
      </c>
      <c r="BV93" s="128" t="str">
        <f>IF(BU93="","",VLOOKUP(BU93,IF('Midterm OVPAA-F-INS-055A RAW SC'!$V$12=0.5,TRANSMUTATION!$C$4:$D$17,TRANSMUTATION!$G$4:$H$17),2,TRUE))</f>
        <v/>
      </c>
      <c r="BW93" s="129" t="str">
        <f>IF('Midterm OVPAA-F-INS-055A RAW SC'!BU93="","",'Midterm OVPAA-F-INS-055A RAW SC'!BU93/'Midterm OVPAA-F-INS-055A RAW SC'!BU$17*100)</f>
        <v/>
      </c>
      <c r="BX93" s="130" t="str">
        <f>IF('Midterm OVPAA-F-INS-055A RAW SC'!BV93="","",'Midterm OVPAA-F-INS-055A RAW SC'!BV93/'Midterm OVPAA-F-INS-055A RAW SC'!BV$17*100)</f>
        <v/>
      </c>
      <c r="BY93" s="130" t="str">
        <f>IF('Midterm OVPAA-F-INS-055A RAW SC'!BW93="","",'Midterm OVPAA-F-INS-055A RAW SC'!BW93/'Midterm OVPAA-F-INS-055A RAW SC'!BW$17*100)</f>
        <v/>
      </c>
      <c r="BZ93" s="130" t="str">
        <f>IF('Midterm OVPAA-F-INS-055A RAW SC'!BX93="","",'Midterm OVPAA-F-INS-055A RAW SC'!BX93/'Midterm OVPAA-F-INS-055A RAW SC'!BX$17*100)</f>
        <v/>
      </c>
      <c r="CA93" s="130" t="str">
        <f>IF('Midterm OVPAA-F-INS-055A RAW SC'!BY93="","",'Midterm OVPAA-F-INS-055A RAW SC'!BY93/'Midterm OVPAA-F-INS-055A RAW SC'!BY$17*100)</f>
        <v/>
      </c>
      <c r="CB93" s="130" t="str">
        <f>IF('Midterm OVPAA-F-INS-055A RAW SC'!BZ93="","",'Midterm OVPAA-F-INS-055A RAW SC'!BZ93/'Midterm OVPAA-F-INS-055A RAW SC'!BZ$17*100)</f>
        <v/>
      </c>
      <c r="CC93" s="130" t="str">
        <f>IF('Midterm OVPAA-F-INS-055A RAW SC'!CA93="","",'Midterm OVPAA-F-INS-055A RAW SC'!CA93/'Midterm OVPAA-F-INS-055A RAW SC'!CA$17*100)</f>
        <v/>
      </c>
      <c r="CD93" s="130" t="str">
        <f>IF('Midterm OVPAA-F-INS-055A RAW SC'!CB93="","",'Midterm OVPAA-F-INS-055A RAW SC'!CB93/'Midterm OVPAA-F-INS-055A RAW SC'!CB$17*100)</f>
        <v/>
      </c>
      <c r="CE93" s="130" t="str">
        <f>IF('Midterm OVPAA-F-INS-055A RAW SC'!CC93="","",'Midterm OVPAA-F-INS-055A RAW SC'!CC93/'Midterm OVPAA-F-INS-055A RAW SC'!CC$17*100)</f>
        <v/>
      </c>
      <c r="CF93" s="130" t="str">
        <f>IF('Midterm OVPAA-F-INS-055A RAW SC'!CD93="","",'Midterm OVPAA-F-INS-055A RAW SC'!CD93/'Midterm OVPAA-F-INS-055A RAW SC'!CD$17*100)</f>
        <v/>
      </c>
      <c r="CG93" s="130" t="str">
        <f>IF('Midterm OVPAA-F-INS-055A RAW SC'!CE93="","",'Midterm OVPAA-F-INS-055A RAW SC'!CE93/'Midterm OVPAA-F-INS-055A RAW SC'!CE$17*100)</f>
        <v/>
      </c>
      <c r="CH93" s="130" t="str">
        <f>IF('Midterm OVPAA-F-INS-055A RAW SC'!CF93="","",'Midterm OVPAA-F-INS-055A RAW SC'!CF93/'Midterm OVPAA-F-INS-055A RAW SC'!CF$17*100)</f>
        <v/>
      </c>
      <c r="CI93" s="130" t="str">
        <f>IF('Midterm OVPAA-F-INS-055A RAW SC'!CG93="","",'Midterm OVPAA-F-INS-055A RAW SC'!CG93/'Midterm OVPAA-F-INS-055A RAW SC'!CG$17*100)</f>
        <v/>
      </c>
      <c r="CJ93" s="130" t="str">
        <f>IF('Midterm OVPAA-F-INS-055A RAW SC'!CH93="","",'Midterm OVPAA-F-INS-055A RAW SC'!CH93/'Midterm OVPAA-F-INS-055A RAW SC'!CH$17*100)</f>
        <v/>
      </c>
      <c r="CK93" s="130" t="str">
        <f>IF('Midterm OVPAA-F-INS-055A RAW SC'!CI93="","",'Midterm OVPAA-F-INS-055A RAW SC'!CI93/'Midterm OVPAA-F-INS-055A RAW SC'!CI$17*100)</f>
        <v/>
      </c>
      <c r="CL93" s="130" t="str">
        <f>IF('Midterm OVPAA-F-INS-055A RAW SC'!CJ93="","",'Midterm OVPAA-F-INS-055A RAW SC'!CJ93/'Midterm OVPAA-F-INS-055A RAW SC'!CJ$17*100)</f>
        <v/>
      </c>
      <c r="CM93" s="130" t="str">
        <f>IF('Midterm OVPAA-F-INS-055A RAW SC'!CK93="","",'Midterm OVPAA-F-INS-055A RAW SC'!CK93/'Midterm OVPAA-F-INS-055A RAW SC'!CK$17*100)</f>
        <v/>
      </c>
      <c r="CN93" s="130" t="str">
        <f>IF('Midterm OVPAA-F-INS-055A RAW SC'!CL93="","",'Midterm OVPAA-F-INS-055A RAW SC'!CL93/'Midterm OVPAA-F-INS-055A RAW SC'!CL$17*100)</f>
        <v/>
      </c>
      <c r="CO93" s="130" t="str">
        <f>IF('Midterm OVPAA-F-INS-055A RAW SC'!CM93="","",'Midterm OVPAA-F-INS-055A RAW SC'!CM93/'Midterm OVPAA-F-INS-055A RAW SC'!CM$17*100)</f>
        <v/>
      </c>
      <c r="CP93" s="130" t="str">
        <f>IF('Midterm OVPAA-F-INS-055A RAW SC'!CN93="","",'Midterm OVPAA-F-INS-055A RAW SC'!CN93/'Midterm OVPAA-F-INS-055A RAW SC'!CN$17*100)</f>
        <v/>
      </c>
      <c r="CQ93" s="131" t="str">
        <f t="array" ref="CQ93">IF('Midterm OVPAA-F-INS-055A RAW SC'!G93="","",IF((SUMPRODUCT(--ISBLANK('Midterm OVPAA-F-INS-055A RAW SC'!BU93:CN93))=COLUMNS('Midterm OVPAA-F-INS-055A RAW SC'!BU93:CN93))=TRUE,"",(((COUNTA('Midterm OVPAA-F-INS-055A RAW SC'!$BU$17:$CN$17)+COUNTBLANK('Midterm OVPAA-F-INS-055A RAW SC'!BU93:CN93))-COLUMNS('Midterm OVPAA-F-INS-055A RAW SC'!BU93:CN93))*5+SUM(BW93:CP93))/COUNTA('Midterm OVPAA-F-INS-055A RAW SC'!$BU$17:$CN$17)))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IF('Midterm OVPAA-F-INS-055A RAW SC'!CO93="","",'Midterm OVPAA-F-INS-055A RAW SC'!CO93/'Midterm OVPAA-F-INS-055A RAW SC'!CO$17*100)</f>
        <v/>
      </c>
      <c r="CT93" s="133" t="str">
        <f>IF('Midterm OVPAA-F-INS-055A RAW SC'!CP93="","",'Midterm OVPAA-F-INS-055A RAW SC'!CP93/'Midterm OVPAA-F-INS-055A RAW SC'!CP$17*100)</f>
        <v/>
      </c>
      <c r="CU93" s="133" t="str">
        <f>IF('Midterm OVPAA-F-INS-055A RAW SC'!CQ93="","",'Midterm OVPAA-F-INS-055A RAW SC'!CQ93/'Midterm OVPAA-F-INS-055A RAW SC'!CQ$17*100)</f>
        <v/>
      </c>
      <c r="CV93" s="133" t="str">
        <f>IF('Midterm OVPAA-F-INS-055A RAW SC'!CR93="","",'Midterm OVPAA-F-INS-055A RAW SC'!CR93/'Midterm OVPAA-F-INS-055A RAW SC'!CR$17*100)</f>
        <v/>
      </c>
      <c r="CW93" s="133" t="str">
        <f>IF('Midterm OVPAA-F-INS-055A RAW SC'!CS93="","",'Midterm OVPAA-F-INS-055A RAW SC'!CS93/'Midterm OVPAA-F-INS-055A RAW SC'!CS$17*100)</f>
        <v/>
      </c>
      <c r="CX93" s="133" t="str">
        <f>IF('Midterm OVPAA-F-INS-055A RAW SC'!CT93="","",'Midterm OVPAA-F-INS-055A RAW SC'!CT93/'Midterm OVPAA-F-INS-055A RAW SC'!CT$17*100)</f>
        <v/>
      </c>
      <c r="CY93" s="133" t="str">
        <f>IF('Midterm OVPAA-F-INS-055A RAW SC'!CU93="","",'Midterm OVPAA-F-INS-055A RAW SC'!CU93/'Midterm OVPAA-F-INS-055A RAW SC'!CU$17*100)</f>
        <v/>
      </c>
      <c r="CZ93" s="133" t="str">
        <f>IF('Midterm OVPAA-F-INS-055A RAW SC'!CV93="","",'Midterm OVPAA-F-INS-055A RAW SC'!CV93/'Midterm OVPAA-F-INS-055A RAW SC'!CV$17*100)</f>
        <v/>
      </c>
      <c r="DA93" s="133" t="str">
        <f>IF('Midterm OVPAA-F-INS-055A RAW SC'!CW93="","",'Midterm OVPAA-F-INS-055A RAW SC'!CW93/'Midterm OVPAA-F-INS-055A RAW SC'!CW$17*100)</f>
        <v/>
      </c>
      <c r="DB93" s="133" t="str">
        <f>IF('Midterm OVPAA-F-INS-055A RAW SC'!CX93="","",'Midterm OVPAA-F-INS-055A RAW SC'!CX93/'Midterm OVPAA-F-INS-055A RAW SC'!CX$17*100)</f>
        <v/>
      </c>
      <c r="DC93" s="134" t="str">
        <f t="array" ref="DC93">IF('Midterm OVPAA-F-INS-055A RAW SC'!$G93="","",IF((SUMPRODUCT(--ISBLANK('Midterm OVPAA-F-INS-055A RAW SC'!CO93:CX93))=COLUMNS('Midterm OVPAA-F-INS-055A RAW SC'!CO93:CX93))=TRUE,"",(((COUNTA('Midterm OVPAA-F-INS-055A RAW SC'!$CO$17:$CX$17)+COUNTBLANK('Midterm OVPAA-F-INS-055A RAW SC'!CO93:CX93))-COLUMNS('Midterm OVPAA-F-INS-055A RAW SC'!CO93:CX93))*5+SUM(CS93:DB93))/COUNTA('Midterm OVPAA-F-INS-055A RAW SC'!$CO$17:$CX$17)))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37" t="str">
        <f t="shared" si="2"/>
        <v/>
      </c>
      <c r="DG93" s="138" t="str">
        <f t="shared" si="3"/>
        <v/>
      </c>
      <c r="DH93" s="136" t="str">
        <f t="shared" si="4"/>
        <v/>
      </c>
      <c r="DI93" s="123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IF('Midterm OVPAA-F-INS-055A RAW SC'!H94="","",'Midterm OVPAA-F-INS-055A RAW SC'!H94/'Midterm OVPAA-F-INS-055A RAW SC'!H$17*100)</f>
        <v/>
      </c>
      <c r="I94" s="126" t="str">
        <f>IF('Midterm OVPAA-F-INS-055A RAW SC'!I94="","",'Midterm OVPAA-F-INS-055A RAW SC'!I94/'Midterm OVPAA-F-INS-055A RAW SC'!I$17*100)</f>
        <v/>
      </c>
      <c r="J94" s="126" t="str">
        <f>IF('Midterm OVPAA-F-INS-055A RAW SC'!J94="","",'Midterm OVPAA-F-INS-055A RAW SC'!J94/'Midterm OVPAA-F-INS-055A RAW SC'!J$17*100)</f>
        <v/>
      </c>
      <c r="K94" s="126" t="str">
        <f>IF('Midterm OVPAA-F-INS-055A RAW SC'!K94="","",'Midterm OVPAA-F-INS-055A RAW SC'!K94/'Midterm OVPAA-F-INS-055A RAW SC'!K$17*100)</f>
        <v/>
      </c>
      <c r="L94" s="126" t="str">
        <f>IF('Midterm OVPAA-F-INS-055A RAW SC'!L94="","",'Midterm OVPAA-F-INS-055A RAW SC'!L94/'Midterm OVPAA-F-INS-055A RAW SC'!L$17*100)</f>
        <v/>
      </c>
      <c r="M94" s="126" t="str">
        <f>IF('Midterm OVPAA-F-INS-055A RAW SC'!M94="","",'Midterm OVPAA-F-INS-055A RAW SC'!M94/'Midterm OVPAA-F-INS-055A RAW SC'!M$17*100)</f>
        <v/>
      </c>
      <c r="N94" s="126" t="str">
        <f>IF('Midterm OVPAA-F-INS-055A RAW SC'!N94="","",'Midterm OVPAA-F-INS-055A RAW SC'!N94/'Midterm OVPAA-F-INS-055A RAW SC'!N$17*100)</f>
        <v/>
      </c>
      <c r="O94" s="126" t="str">
        <f>IF('Midterm OVPAA-F-INS-055A RAW SC'!O94="","",'Midterm OVPAA-F-INS-055A RAW SC'!O94/'Midterm OVPAA-F-INS-055A RAW SC'!O$17*100)</f>
        <v/>
      </c>
      <c r="P94" s="126" t="str">
        <f>IF('Midterm OVPAA-F-INS-055A RAW SC'!P94="","",'Midterm OVPAA-F-INS-055A RAW SC'!P94/'Midterm OVPAA-F-INS-055A RAW SC'!P$17*100)</f>
        <v/>
      </c>
      <c r="Q94" s="126" t="str">
        <f>IF('Midterm OVPAA-F-INS-055A RAW SC'!Q94="","",'Midterm OVPAA-F-INS-055A RAW SC'!Q94/'Midterm OVPAA-F-INS-055A RAW SC'!Q$17*100)</f>
        <v/>
      </c>
      <c r="R94" s="126" t="str">
        <f>IF('Midterm OVPAA-F-INS-055A RAW SC'!R94="","",'Midterm OVPAA-F-INS-055A RAW SC'!R94/'Midterm OVPAA-F-INS-055A RAW SC'!R$17*100)</f>
        <v/>
      </c>
      <c r="S94" s="126" t="str">
        <f>IF('Midterm OVPAA-F-INS-055A RAW SC'!S94="","",'Midterm OVPAA-F-INS-055A RAW SC'!S94/'Midterm OVPAA-F-INS-055A RAW SC'!S$17*100)</f>
        <v/>
      </c>
      <c r="T94" s="126" t="str">
        <f>IF('Midterm OVPAA-F-INS-055A RAW SC'!T94="","",'Midterm OVPAA-F-INS-055A RAW SC'!T94/'Midterm OVPAA-F-INS-055A RAW SC'!T$17*100)</f>
        <v/>
      </c>
      <c r="U94" s="126" t="str">
        <f>IF('Midterm OVPAA-F-INS-055A RAW SC'!U94="","",'Midterm OVPAA-F-INS-055A RAW SC'!U94/'Midterm OVPAA-F-INS-055A RAW SC'!U$17*100)</f>
        <v/>
      </c>
      <c r="V94" s="126" t="str">
        <f>IF('Midterm OVPAA-F-INS-055A RAW SC'!V94="","",'Midterm OVPAA-F-INS-055A RAW SC'!V94/'Midterm OVPAA-F-INS-055A RAW SC'!V$17*100)</f>
        <v/>
      </c>
      <c r="W94" s="126" t="str">
        <f>IF('Midterm OVPAA-F-INS-055A RAW SC'!W94="","",'Midterm OVPAA-F-INS-055A RAW SC'!W94/'Midterm OVPAA-F-INS-055A RAW SC'!W$17*100)</f>
        <v/>
      </c>
      <c r="X94" s="126" t="str">
        <f>IF('Midterm OVPAA-F-INS-055A RAW SC'!X94="","",'Midterm OVPAA-F-INS-055A RAW SC'!X94/'Midterm OVPAA-F-INS-055A RAW SC'!X$17*100)</f>
        <v/>
      </c>
      <c r="Y94" s="126" t="str">
        <f>IF('Midterm OVPAA-F-INS-055A RAW SC'!Y94="","",'Midterm OVPAA-F-INS-055A RAW SC'!Y94/'Midterm OVPAA-F-INS-055A RAW SC'!Y$17*100)</f>
        <v/>
      </c>
      <c r="Z94" s="126" t="str">
        <f>IF('Midterm OVPAA-F-INS-055A RAW SC'!Z94="","",'Midterm OVPAA-F-INS-055A RAW SC'!Z94/'Midterm OVPAA-F-INS-055A RAW SC'!Z$17*100)</f>
        <v/>
      </c>
      <c r="AA94" s="126" t="str">
        <f>IF('Midterm OVPAA-F-INS-055A RAW SC'!AA94="","",'Midterm OVPAA-F-INS-055A RAW SC'!AA94/'Midterm OVPAA-F-INS-055A RAW SC'!AA$17*100)</f>
        <v/>
      </c>
      <c r="AB94" s="126" t="str">
        <f>IF('Midterm OVPAA-F-INS-055A RAW SC'!AB94="","",'Midterm OVPAA-F-INS-055A RAW SC'!AB94/'Midterm OVPAA-F-INS-055A RAW SC'!AB$17*100)</f>
        <v/>
      </c>
      <c r="AC94" s="126" t="str">
        <f>IF('Midterm OVPAA-F-INS-055A RAW SC'!AC94="","",'Midterm OVPAA-F-INS-055A RAW SC'!AC94/'Midterm OVPAA-F-INS-055A RAW SC'!AC$17*100)</f>
        <v/>
      </c>
      <c r="AD94" s="126" t="str">
        <f>IF('Midterm OVPAA-F-INS-055A RAW SC'!AD94="","",'Midterm OVPAA-F-INS-055A RAW SC'!AD94/'Midterm OVPAA-F-INS-055A RAW SC'!AD$17*100)</f>
        <v/>
      </c>
      <c r="AE94" s="126" t="str">
        <f>IF('Midterm OVPAA-F-INS-055A RAW SC'!AE94="","",'Midterm OVPAA-F-INS-055A RAW SC'!AE94/'Midterm OVPAA-F-INS-055A RAW SC'!AE$17*100)</f>
        <v/>
      </c>
      <c r="AF94" s="126" t="str">
        <f>IF('Midterm OVPAA-F-INS-055A RAW SC'!AF94="","",'Midterm OVPAA-F-INS-055A RAW SC'!AF94/'Midterm OVPAA-F-INS-055A RAW SC'!AF$17*100)</f>
        <v/>
      </c>
      <c r="AG94" s="126" t="str">
        <f>IF('Midterm OVPAA-F-INS-055A RAW SC'!AG94="","",'Midterm OVPAA-F-INS-055A RAW SC'!AG94/'Midterm OVPAA-F-INS-055A RAW SC'!AG$17*100)</f>
        <v/>
      </c>
      <c r="AH94" s="126" t="str">
        <f>IF('Midterm OVPAA-F-INS-055A RAW SC'!AH94="","",'Midterm OVPAA-F-INS-055A RAW SC'!AH94/'Midterm OVPAA-F-INS-055A RAW SC'!AH$17*100)</f>
        <v/>
      </c>
      <c r="AI94" s="126" t="str">
        <f>IF('Midterm OVPAA-F-INS-055A RAW SC'!AI94="","",'Midterm OVPAA-F-INS-055A RAW SC'!AI94/'Midterm OVPAA-F-INS-055A RAW SC'!AI$17*100)</f>
        <v/>
      </c>
      <c r="AJ94" s="126" t="str">
        <f>IF('Midterm OVPAA-F-INS-055A RAW SC'!AJ94="","",'Midterm OVPAA-F-INS-055A RAW SC'!AJ94/'Midterm OVPAA-F-INS-055A RAW SC'!AJ$17*100)</f>
        <v/>
      </c>
      <c r="AK94" s="126" t="str">
        <f>IF('Midterm OVPAA-F-INS-055A RAW SC'!AK94="","",'Midterm OVPAA-F-INS-055A RAW SC'!AK94/'Midterm OVPAA-F-INS-055A RAW SC'!AK$17*100)</f>
        <v/>
      </c>
      <c r="AL94" s="126" t="str">
        <f>IF('Midterm OVPAA-F-INS-055A RAW SC'!AL94="","",'Midterm OVPAA-F-INS-055A RAW SC'!AL94/'Midterm OVPAA-F-INS-055A RAW SC'!AL$17*100)</f>
        <v/>
      </c>
      <c r="AM94" s="126" t="str">
        <f>IF('Midterm OVPAA-F-INS-055A RAW SC'!AM94="","",'Midterm OVPAA-F-INS-055A RAW SC'!AM94/'Midterm OVPAA-F-INS-055A RAW SC'!AM$17*100)</f>
        <v/>
      </c>
      <c r="AN94" s="126" t="str">
        <f>IF('Midterm OVPAA-F-INS-055A RAW SC'!AN94="","",'Midterm OVPAA-F-INS-055A RAW SC'!AN94/'Midterm OVPAA-F-INS-055A RAW SC'!AN$17*100)</f>
        <v/>
      </c>
      <c r="AO94" s="126" t="str">
        <f>IF('Midterm OVPAA-F-INS-055A RAW SC'!AO94="","",'Midterm OVPAA-F-INS-055A RAW SC'!AO94/'Midterm OVPAA-F-INS-055A RAW SC'!AO$17*100)</f>
        <v/>
      </c>
      <c r="AP94" s="126" t="str">
        <f>IF('Midterm OVPAA-F-INS-055A RAW SC'!AP94="","",'Midterm OVPAA-F-INS-055A RAW SC'!AP94/'Midterm OVPAA-F-INS-055A RAW SC'!AP$17*100)</f>
        <v/>
      </c>
      <c r="AQ94" s="126" t="str">
        <f>IF('Midterm OVPAA-F-INS-055A RAW SC'!AQ94="","",'Midterm OVPAA-F-INS-055A RAW SC'!AQ94/'Midterm OVPAA-F-INS-055A RAW SC'!AQ$17*100)</f>
        <v/>
      </c>
      <c r="AR94" s="126" t="str">
        <f>IF('Midterm OVPAA-F-INS-055A RAW SC'!AR94="","",'Midterm OVPAA-F-INS-055A RAW SC'!AR94/'Midterm OVPAA-F-INS-055A RAW SC'!AR$17*100)</f>
        <v/>
      </c>
      <c r="AS94" s="126" t="str">
        <f>IF('Midterm OVPAA-F-INS-055A RAW SC'!AS94="","",'Midterm OVPAA-F-INS-055A RAW SC'!AS94/'Midterm OVPAA-F-INS-055A RAW SC'!AS$17*100)</f>
        <v/>
      </c>
      <c r="AT94" s="126" t="str">
        <f>IF('Midterm OVPAA-F-INS-055A RAW SC'!AT94="","",'Midterm OVPAA-F-INS-055A RAW SC'!AT94/'Midterm OVPAA-F-INS-055A RAW SC'!AT$17*100)</f>
        <v/>
      </c>
      <c r="AU94" s="126" t="str">
        <f>IF('Midterm OVPAA-F-INS-055A RAW SC'!AU94="","",'Midterm OVPAA-F-INS-055A RAW SC'!AU94/'Midterm OVPAA-F-INS-055A RAW SC'!AU$17*100)</f>
        <v/>
      </c>
      <c r="AV94" s="126" t="str">
        <f>IF('Midterm OVPAA-F-INS-055A RAW SC'!AV94="","",'Midterm OVPAA-F-INS-055A RAW SC'!AV94/'Midterm OVPAA-F-INS-055A RAW SC'!AV$17*100)</f>
        <v/>
      </c>
      <c r="AW94" s="126" t="str">
        <f>IF('Midterm OVPAA-F-INS-055A RAW SC'!AW94="","",'Midterm OVPAA-F-INS-055A RAW SC'!AW94/'Midterm OVPAA-F-INS-055A RAW SC'!AW$17*100)</f>
        <v/>
      </c>
      <c r="AX94" s="126" t="str">
        <f>IF('Midterm OVPAA-F-INS-055A RAW SC'!AX94="","",'Midterm OVPAA-F-INS-055A RAW SC'!AX94/'Midterm OVPAA-F-INS-055A RAW SC'!AX$17*100)</f>
        <v/>
      </c>
      <c r="AY94" s="126" t="str">
        <f>IF('Midterm OVPAA-F-INS-055A RAW SC'!AY94="","",'Midterm OVPAA-F-INS-055A RAW SC'!AY94/'Midterm OVPAA-F-INS-055A RAW SC'!AY$17*100)</f>
        <v/>
      </c>
      <c r="AZ94" s="126" t="str">
        <f>IF('Midterm OVPAA-F-INS-055A RAW SC'!AZ94="","",'Midterm OVPAA-F-INS-055A RAW SC'!AZ94/'Midterm OVPAA-F-INS-055A RAW SC'!AZ$17*100)</f>
        <v/>
      </c>
      <c r="BA94" s="126" t="str">
        <f>IF('Midterm OVPAA-F-INS-055A RAW SC'!BA94="","",'Midterm OVPAA-F-INS-055A RAW SC'!BA94/'Midterm OVPAA-F-INS-055A RAW SC'!BA$17*100)</f>
        <v/>
      </c>
      <c r="BB94" s="126" t="str">
        <f>IF('Midterm OVPAA-F-INS-055A RAW SC'!BB94="","",'Midterm OVPAA-F-INS-055A RAW SC'!BB94/'Midterm OVPAA-F-INS-055A RAW SC'!BB$17*100)</f>
        <v/>
      </c>
      <c r="BC94" s="126" t="str">
        <f>IF('Midterm OVPAA-F-INS-055A RAW SC'!BC94="","",'Midterm OVPAA-F-INS-055A RAW SC'!BC94/'Midterm OVPAA-F-INS-055A RAW SC'!BC$17*100)</f>
        <v/>
      </c>
      <c r="BD94" s="126" t="str">
        <f>IF('Midterm OVPAA-F-INS-055A RAW SC'!BD94="","",'Midterm OVPAA-F-INS-055A RAW SC'!BD94/'Midterm OVPAA-F-INS-055A RAW SC'!BD$17*100)</f>
        <v/>
      </c>
      <c r="BE94" s="126" t="str">
        <f>IF('Midterm OVPAA-F-INS-055A RAW SC'!BE94="","",'Midterm OVPAA-F-INS-055A RAW SC'!BE94/'Midterm OVPAA-F-INS-055A RAW SC'!BE$17*100)</f>
        <v/>
      </c>
      <c r="BF94" s="126" t="str">
        <f>IF('Midterm OVPAA-F-INS-055A RAW SC'!BF94="","",'Midterm OVPAA-F-INS-055A RAW SC'!BF94/'Midterm OVPAA-F-INS-055A RAW SC'!BF$17*100)</f>
        <v/>
      </c>
      <c r="BG94" s="126" t="str">
        <f>IF('Midterm OVPAA-F-INS-055A RAW SC'!BG94="","",'Midterm OVPAA-F-INS-055A RAW SC'!BG94/'Midterm OVPAA-F-INS-055A RAW SC'!BG$17*100)</f>
        <v/>
      </c>
      <c r="BH94" s="126" t="str">
        <f>IF('Midterm OVPAA-F-INS-055A RAW SC'!BH94="","",'Midterm OVPAA-F-INS-055A RAW SC'!BH94/'Midterm OVPAA-F-INS-055A RAW SC'!BH$17*100)</f>
        <v/>
      </c>
      <c r="BI94" s="126" t="str">
        <f>IF('Midterm OVPAA-F-INS-055A RAW SC'!BI94="","",'Midterm OVPAA-F-INS-055A RAW SC'!BI94/'Midterm OVPAA-F-INS-055A RAW SC'!BI$17*100)</f>
        <v/>
      </c>
      <c r="BJ94" s="126" t="str">
        <f>IF('Midterm OVPAA-F-INS-055A RAW SC'!BJ94="","",'Midterm OVPAA-F-INS-055A RAW SC'!BJ94/'Midterm OVPAA-F-INS-055A RAW SC'!BJ$17*100)</f>
        <v/>
      </c>
      <c r="BK94" s="126" t="str">
        <f>IF('Midterm OVPAA-F-INS-055A RAW SC'!BK94="","",'Midterm OVPAA-F-INS-055A RAW SC'!BK94/'Midterm OVPAA-F-INS-055A RAW SC'!BK$17*100)</f>
        <v/>
      </c>
      <c r="BL94" s="126" t="str">
        <f>IF('Midterm OVPAA-F-INS-055A RAW SC'!BL94="","",'Midterm OVPAA-F-INS-055A RAW SC'!BL94/'Midterm OVPAA-F-INS-055A RAW SC'!BL$17*100)</f>
        <v/>
      </c>
      <c r="BM94" s="126" t="str">
        <f>IF('Midterm OVPAA-F-INS-055A RAW SC'!BM94="","",'Midterm OVPAA-F-INS-055A RAW SC'!BM94/'Midterm OVPAA-F-INS-055A RAW SC'!BM$17*100)</f>
        <v/>
      </c>
      <c r="BN94" s="126" t="str">
        <f>IF('Midterm OVPAA-F-INS-055A RAW SC'!BN94="","",'Midterm OVPAA-F-INS-055A RAW SC'!BN94/'Midterm OVPAA-F-INS-055A RAW SC'!BN$17*100)</f>
        <v/>
      </c>
      <c r="BO94" s="126" t="str">
        <f>IF('Midterm OVPAA-F-INS-055A RAW SC'!BO94="","",'Midterm OVPAA-F-INS-055A RAW SC'!BO94/'Midterm OVPAA-F-INS-055A RAW SC'!BO$17*100)</f>
        <v/>
      </c>
      <c r="BP94" s="126" t="str">
        <f>IF('Midterm OVPAA-F-INS-055A RAW SC'!BP94="","",'Midterm OVPAA-F-INS-055A RAW SC'!BP94/'Midterm OVPAA-F-INS-055A RAW SC'!BP$17*100)</f>
        <v/>
      </c>
      <c r="BQ94" s="126" t="str">
        <f>IF('Midterm OVPAA-F-INS-055A RAW SC'!BQ94="","",'Midterm OVPAA-F-INS-055A RAW SC'!BQ94/'Midterm OVPAA-F-INS-055A RAW SC'!BQ$17*100)</f>
        <v/>
      </c>
      <c r="BR94" s="126" t="str">
        <f>IF('Midterm OVPAA-F-INS-055A RAW SC'!BR94="","",'Midterm OVPAA-F-INS-055A RAW SC'!BR94/'Midterm OVPAA-F-INS-055A RAW SC'!BR$17*100)</f>
        <v/>
      </c>
      <c r="BS94" s="126" t="str">
        <f>IF('Midterm OVPAA-F-INS-055A RAW SC'!BS94="","",'Midterm OVPAA-F-INS-055A RAW SC'!BS94/'Midterm OVPAA-F-INS-055A RAW SC'!BS$17*100)</f>
        <v/>
      </c>
      <c r="BT94" s="126" t="str">
        <f>IF('Midterm OVPAA-F-INS-055A RAW SC'!BT94="","",'Midterm OVPAA-F-INS-055A RAW SC'!BT94/'Midterm OVPAA-F-INS-055A RAW SC'!BT$17*100)</f>
        <v/>
      </c>
      <c r="BU94" s="127" t="str">
        <f t="array" ref="BU94">IF('Midterm OVPAA-F-INS-055A RAW SC'!$G94="","",IF((SUMPRODUCT(--ISBLANK('Midterm OVPAA-F-INS-055A RAW SC'!H94:BT94))=COLUMNS('Midterm OVPAA-F-INS-055A RAW SC'!H94:BT94))=TRUE,"",(((COUNTA('Midterm OVPAA-F-INS-055A RAW SC'!$H$17:$BT$17)+COUNTBLANK('Midterm OVPAA-F-INS-055A RAW SC'!H94:BT94))-COLUMNS('Midterm OVPAA-F-INS-055A RAW SC'!H94:BT94))*5+SUM(H94:BT94))/COUNTA('Midterm OVPAA-F-INS-055A RAW SC'!$H$17:$BT$17)))</f>
        <v/>
      </c>
      <c r="BV94" s="128" t="str">
        <f>IF(BU94="","",VLOOKUP(BU94,IF('Midterm OVPAA-F-INS-055A RAW SC'!$V$12=0.5,TRANSMUTATION!$C$4:$D$17,TRANSMUTATION!$G$4:$H$17),2,TRUE))</f>
        <v/>
      </c>
      <c r="BW94" s="129" t="str">
        <f>IF('Midterm OVPAA-F-INS-055A RAW SC'!BU94="","",'Midterm OVPAA-F-INS-055A RAW SC'!BU94/'Midterm OVPAA-F-INS-055A RAW SC'!BU$17*100)</f>
        <v/>
      </c>
      <c r="BX94" s="130" t="str">
        <f>IF('Midterm OVPAA-F-INS-055A RAW SC'!BV94="","",'Midterm OVPAA-F-INS-055A RAW SC'!BV94/'Midterm OVPAA-F-INS-055A RAW SC'!BV$17*100)</f>
        <v/>
      </c>
      <c r="BY94" s="130" t="str">
        <f>IF('Midterm OVPAA-F-INS-055A RAW SC'!BW94="","",'Midterm OVPAA-F-INS-055A RAW SC'!BW94/'Midterm OVPAA-F-INS-055A RAW SC'!BW$17*100)</f>
        <v/>
      </c>
      <c r="BZ94" s="130" t="str">
        <f>IF('Midterm OVPAA-F-INS-055A RAW SC'!BX94="","",'Midterm OVPAA-F-INS-055A RAW SC'!BX94/'Midterm OVPAA-F-INS-055A RAW SC'!BX$17*100)</f>
        <v/>
      </c>
      <c r="CA94" s="130" t="str">
        <f>IF('Midterm OVPAA-F-INS-055A RAW SC'!BY94="","",'Midterm OVPAA-F-INS-055A RAW SC'!BY94/'Midterm OVPAA-F-INS-055A RAW SC'!BY$17*100)</f>
        <v/>
      </c>
      <c r="CB94" s="130" t="str">
        <f>IF('Midterm OVPAA-F-INS-055A RAW SC'!BZ94="","",'Midterm OVPAA-F-INS-055A RAW SC'!BZ94/'Midterm OVPAA-F-INS-055A RAW SC'!BZ$17*100)</f>
        <v/>
      </c>
      <c r="CC94" s="130" t="str">
        <f>IF('Midterm OVPAA-F-INS-055A RAW SC'!CA94="","",'Midterm OVPAA-F-INS-055A RAW SC'!CA94/'Midterm OVPAA-F-INS-055A RAW SC'!CA$17*100)</f>
        <v/>
      </c>
      <c r="CD94" s="130" t="str">
        <f>IF('Midterm OVPAA-F-INS-055A RAW SC'!CB94="","",'Midterm OVPAA-F-INS-055A RAW SC'!CB94/'Midterm OVPAA-F-INS-055A RAW SC'!CB$17*100)</f>
        <v/>
      </c>
      <c r="CE94" s="130" t="str">
        <f>IF('Midterm OVPAA-F-INS-055A RAW SC'!CC94="","",'Midterm OVPAA-F-INS-055A RAW SC'!CC94/'Midterm OVPAA-F-INS-055A RAW SC'!CC$17*100)</f>
        <v/>
      </c>
      <c r="CF94" s="130" t="str">
        <f>IF('Midterm OVPAA-F-INS-055A RAW SC'!CD94="","",'Midterm OVPAA-F-INS-055A RAW SC'!CD94/'Midterm OVPAA-F-INS-055A RAW SC'!CD$17*100)</f>
        <v/>
      </c>
      <c r="CG94" s="130" t="str">
        <f>IF('Midterm OVPAA-F-INS-055A RAW SC'!CE94="","",'Midterm OVPAA-F-INS-055A RAW SC'!CE94/'Midterm OVPAA-F-INS-055A RAW SC'!CE$17*100)</f>
        <v/>
      </c>
      <c r="CH94" s="130" t="str">
        <f>IF('Midterm OVPAA-F-INS-055A RAW SC'!CF94="","",'Midterm OVPAA-F-INS-055A RAW SC'!CF94/'Midterm OVPAA-F-INS-055A RAW SC'!CF$17*100)</f>
        <v/>
      </c>
      <c r="CI94" s="130" t="str">
        <f>IF('Midterm OVPAA-F-INS-055A RAW SC'!CG94="","",'Midterm OVPAA-F-INS-055A RAW SC'!CG94/'Midterm OVPAA-F-INS-055A RAW SC'!CG$17*100)</f>
        <v/>
      </c>
      <c r="CJ94" s="130" t="str">
        <f>IF('Midterm OVPAA-F-INS-055A RAW SC'!CH94="","",'Midterm OVPAA-F-INS-055A RAW SC'!CH94/'Midterm OVPAA-F-INS-055A RAW SC'!CH$17*100)</f>
        <v/>
      </c>
      <c r="CK94" s="130" t="str">
        <f>IF('Midterm OVPAA-F-INS-055A RAW SC'!CI94="","",'Midterm OVPAA-F-INS-055A RAW SC'!CI94/'Midterm OVPAA-F-INS-055A RAW SC'!CI$17*100)</f>
        <v/>
      </c>
      <c r="CL94" s="130" t="str">
        <f>IF('Midterm OVPAA-F-INS-055A RAW SC'!CJ94="","",'Midterm OVPAA-F-INS-055A RAW SC'!CJ94/'Midterm OVPAA-F-INS-055A RAW SC'!CJ$17*100)</f>
        <v/>
      </c>
      <c r="CM94" s="130" t="str">
        <f>IF('Midterm OVPAA-F-INS-055A RAW SC'!CK94="","",'Midterm OVPAA-F-INS-055A RAW SC'!CK94/'Midterm OVPAA-F-INS-055A RAW SC'!CK$17*100)</f>
        <v/>
      </c>
      <c r="CN94" s="130" t="str">
        <f>IF('Midterm OVPAA-F-INS-055A RAW SC'!CL94="","",'Midterm OVPAA-F-INS-055A RAW SC'!CL94/'Midterm OVPAA-F-INS-055A RAW SC'!CL$17*100)</f>
        <v/>
      </c>
      <c r="CO94" s="130" t="str">
        <f>IF('Midterm OVPAA-F-INS-055A RAW SC'!CM94="","",'Midterm OVPAA-F-INS-055A RAW SC'!CM94/'Midterm OVPAA-F-INS-055A RAW SC'!CM$17*100)</f>
        <v/>
      </c>
      <c r="CP94" s="130" t="str">
        <f>IF('Midterm OVPAA-F-INS-055A RAW SC'!CN94="","",'Midterm OVPAA-F-INS-055A RAW SC'!CN94/'Midterm OVPAA-F-INS-055A RAW SC'!CN$17*100)</f>
        <v/>
      </c>
      <c r="CQ94" s="131" t="str">
        <f t="array" ref="CQ94">IF('Midterm OVPAA-F-INS-055A RAW SC'!G94="","",IF((SUMPRODUCT(--ISBLANK('Midterm OVPAA-F-INS-055A RAW SC'!BU94:CN94))=COLUMNS('Midterm OVPAA-F-INS-055A RAW SC'!BU94:CN94))=TRUE,"",(((COUNTA('Midterm OVPAA-F-INS-055A RAW SC'!$BU$17:$CN$17)+COUNTBLANK('Midterm OVPAA-F-INS-055A RAW SC'!BU94:CN94))-COLUMNS('Midterm OVPAA-F-INS-055A RAW SC'!BU94:CN94))*5+SUM(BW94:CP94))/COUNTA('Midterm OVPAA-F-INS-055A RAW SC'!$BU$17:$CN$17)))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IF('Midterm OVPAA-F-INS-055A RAW SC'!CO94="","",'Midterm OVPAA-F-INS-055A RAW SC'!CO94/'Midterm OVPAA-F-INS-055A RAW SC'!CO$17*100)</f>
        <v/>
      </c>
      <c r="CT94" s="133" t="str">
        <f>IF('Midterm OVPAA-F-INS-055A RAW SC'!CP94="","",'Midterm OVPAA-F-INS-055A RAW SC'!CP94/'Midterm OVPAA-F-INS-055A RAW SC'!CP$17*100)</f>
        <v/>
      </c>
      <c r="CU94" s="133" t="str">
        <f>IF('Midterm OVPAA-F-INS-055A RAW SC'!CQ94="","",'Midterm OVPAA-F-INS-055A RAW SC'!CQ94/'Midterm OVPAA-F-INS-055A RAW SC'!CQ$17*100)</f>
        <v/>
      </c>
      <c r="CV94" s="133" t="str">
        <f>IF('Midterm OVPAA-F-INS-055A RAW SC'!CR94="","",'Midterm OVPAA-F-INS-055A RAW SC'!CR94/'Midterm OVPAA-F-INS-055A RAW SC'!CR$17*100)</f>
        <v/>
      </c>
      <c r="CW94" s="133" t="str">
        <f>IF('Midterm OVPAA-F-INS-055A RAW SC'!CS94="","",'Midterm OVPAA-F-INS-055A RAW SC'!CS94/'Midterm OVPAA-F-INS-055A RAW SC'!CS$17*100)</f>
        <v/>
      </c>
      <c r="CX94" s="133" t="str">
        <f>IF('Midterm OVPAA-F-INS-055A RAW SC'!CT94="","",'Midterm OVPAA-F-INS-055A RAW SC'!CT94/'Midterm OVPAA-F-INS-055A RAW SC'!CT$17*100)</f>
        <v/>
      </c>
      <c r="CY94" s="133" t="str">
        <f>IF('Midterm OVPAA-F-INS-055A RAW SC'!CU94="","",'Midterm OVPAA-F-INS-055A RAW SC'!CU94/'Midterm OVPAA-F-INS-055A RAW SC'!CU$17*100)</f>
        <v/>
      </c>
      <c r="CZ94" s="133" t="str">
        <f>IF('Midterm OVPAA-F-INS-055A RAW SC'!CV94="","",'Midterm OVPAA-F-INS-055A RAW SC'!CV94/'Midterm OVPAA-F-INS-055A RAW SC'!CV$17*100)</f>
        <v/>
      </c>
      <c r="DA94" s="133" t="str">
        <f>IF('Midterm OVPAA-F-INS-055A RAW SC'!CW94="","",'Midterm OVPAA-F-INS-055A RAW SC'!CW94/'Midterm OVPAA-F-INS-055A RAW SC'!CW$17*100)</f>
        <v/>
      </c>
      <c r="DB94" s="133" t="str">
        <f>IF('Midterm OVPAA-F-INS-055A RAW SC'!CX94="","",'Midterm OVPAA-F-INS-055A RAW SC'!CX94/'Midterm OVPAA-F-INS-055A RAW SC'!CX$17*100)</f>
        <v/>
      </c>
      <c r="DC94" s="134" t="str">
        <f t="array" ref="DC94">IF('Midterm OVPAA-F-INS-055A RAW SC'!$G94="","",IF((SUMPRODUCT(--ISBLANK('Midterm OVPAA-F-INS-055A RAW SC'!CO94:CX94))=COLUMNS('Midterm OVPAA-F-INS-055A RAW SC'!CO94:CX94))=TRUE,"",(((COUNTA('Midterm OVPAA-F-INS-055A RAW SC'!$CO$17:$CX$17)+COUNTBLANK('Midterm OVPAA-F-INS-055A RAW SC'!CO94:CX94))-COLUMNS('Midterm OVPAA-F-INS-055A RAW SC'!CO94:CX94))*5+SUM(CS94:DB94))/COUNTA('Midterm OVPAA-F-INS-055A RAW SC'!$CO$17:$CX$17)))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37" t="str">
        <f t="shared" si="2"/>
        <v/>
      </c>
      <c r="DG94" s="138" t="str">
        <f t="shared" si="3"/>
        <v/>
      </c>
      <c r="DH94" s="136" t="str">
        <f t="shared" si="4"/>
        <v/>
      </c>
      <c r="DI94" s="123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IF('Midterm OVPAA-F-INS-055A RAW SC'!H95="","",'Midterm OVPAA-F-INS-055A RAW SC'!H95/'Midterm OVPAA-F-INS-055A RAW SC'!H$17*100)</f>
        <v/>
      </c>
      <c r="I95" s="126" t="str">
        <f>IF('Midterm OVPAA-F-INS-055A RAW SC'!I95="","",'Midterm OVPAA-F-INS-055A RAW SC'!I95/'Midterm OVPAA-F-INS-055A RAW SC'!I$17*100)</f>
        <v/>
      </c>
      <c r="J95" s="126" t="str">
        <f>IF('Midterm OVPAA-F-INS-055A RAW SC'!J95="","",'Midterm OVPAA-F-INS-055A RAW SC'!J95/'Midterm OVPAA-F-INS-055A RAW SC'!J$17*100)</f>
        <v/>
      </c>
      <c r="K95" s="126" t="str">
        <f>IF('Midterm OVPAA-F-INS-055A RAW SC'!K95="","",'Midterm OVPAA-F-INS-055A RAW SC'!K95/'Midterm OVPAA-F-INS-055A RAW SC'!K$17*100)</f>
        <v/>
      </c>
      <c r="L95" s="126" t="str">
        <f>IF('Midterm OVPAA-F-INS-055A RAW SC'!L95="","",'Midterm OVPAA-F-INS-055A RAW SC'!L95/'Midterm OVPAA-F-INS-055A RAW SC'!L$17*100)</f>
        <v/>
      </c>
      <c r="M95" s="126" t="str">
        <f>IF('Midterm OVPAA-F-INS-055A RAW SC'!M95="","",'Midterm OVPAA-F-INS-055A RAW SC'!M95/'Midterm OVPAA-F-INS-055A RAW SC'!M$17*100)</f>
        <v/>
      </c>
      <c r="N95" s="126" t="str">
        <f>IF('Midterm OVPAA-F-INS-055A RAW SC'!N95="","",'Midterm OVPAA-F-INS-055A RAW SC'!N95/'Midterm OVPAA-F-INS-055A RAW SC'!N$17*100)</f>
        <v/>
      </c>
      <c r="O95" s="126" t="str">
        <f>IF('Midterm OVPAA-F-INS-055A RAW SC'!O95="","",'Midterm OVPAA-F-INS-055A RAW SC'!O95/'Midterm OVPAA-F-INS-055A RAW SC'!O$17*100)</f>
        <v/>
      </c>
      <c r="P95" s="126" t="str">
        <f>IF('Midterm OVPAA-F-INS-055A RAW SC'!P95="","",'Midterm OVPAA-F-INS-055A RAW SC'!P95/'Midterm OVPAA-F-INS-055A RAW SC'!P$17*100)</f>
        <v/>
      </c>
      <c r="Q95" s="126" t="str">
        <f>IF('Midterm OVPAA-F-INS-055A RAW SC'!Q95="","",'Midterm OVPAA-F-INS-055A RAW SC'!Q95/'Midterm OVPAA-F-INS-055A RAW SC'!Q$17*100)</f>
        <v/>
      </c>
      <c r="R95" s="126" t="str">
        <f>IF('Midterm OVPAA-F-INS-055A RAW SC'!R95="","",'Midterm OVPAA-F-INS-055A RAW SC'!R95/'Midterm OVPAA-F-INS-055A RAW SC'!R$17*100)</f>
        <v/>
      </c>
      <c r="S95" s="126" t="str">
        <f>IF('Midterm OVPAA-F-INS-055A RAW SC'!S95="","",'Midterm OVPAA-F-INS-055A RAW SC'!S95/'Midterm OVPAA-F-INS-055A RAW SC'!S$17*100)</f>
        <v/>
      </c>
      <c r="T95" s="126" t="str">
        <f>IF('Midterm OVPAA-F-INS-055A RAW SC'!T95="","",'Midterm OVPAA-F-INS-055A RAW SC'!T95/'Midterm OVPAA-F-INS-055A RAW SC'!T$17*100)</f>
        <v/>
      </c>
      <c r="U95" s="126" t="str">
        <f>IF('Midterm OVPAA-F-INS-055A RAW SC'!U95="","",'Midterm OVPAA-F-INS-055A RAW SC'!U95/'Midterm OVPAA-F-INS-055A RAW SC'!U$17*100)</f>
        <v/>
      </c>
      <c r="V95" s="126" t="str">
        <f>IF('Midterm OVPAA-F-INS-055A RAW SC'!V95="","",'Midterm OVPAA-F-INS-055A RAW SC'!V95/'Midterm OVPAA-F-INS-055A RAW SC'!V$17*100)</f>
        <v/>
      </c>
      <c r="W95" s="126" t="str">
        <f>IF('Midterm OVPAA-F-INS-055A RAW SC'!W95="","",'Midterm OVPAA-F-INS-055A RAW SC'!W95/'Midterm OVPAA-F-INS-055A RAW SC'!W$17*100)</f>
        <v/>
      </c>
      <c r="X95" s="126" t="str">
        <f>IF('Midterm OVPAA-F-INS-055A RAW SC'!X95="","",'Midterm OVPAA-F-INS-055A RAW SC'!X95/'Midterm OVPAA-F-INS-055A RAW SC'!X$17*100)</f>
        <v/>
      </c>
      <c r="Y95" s="126" t="str">
        <f>IF('Midterm OVPAA-F-INS-055A RAW SC'!Y95="","",'Midterm OVPAA-F-INS-055A RAW SC'!Y95/'Midterm OVPAA-F-INS-055A RAW SC'!Y$17*100)</f>
        <v/>
      </c>
      <c r="Z95" s="126" t="str">
        <f>IF('Midterm OVPAA-F-INS-055A RAW SC'!Z95="","",'Midterm OVPAA-F-INS-055A RAW SC'!Z95/'Midterm OVPAA-F-INS-055A RAW SC'!Z$17*100)</f>
        <v/>
      </c>
      <c r="AA95" s="126" t="str">
        <f>IF('Midterm OVPAA-F-INS-055A RAW SC'!AA95="","",'Midterm OVPAA-F-INS-055A RAW SC'!AA95/'Midterm OVPAA-F-INS-055A RAW SC'!AA$17*100)</f>
        <v/>
      </c>
      <c r="AB95" s="126" t="str">
        <f>IF('Midterm OVPAA-F-INS-055A RAW SC'!AB95="","",'Midterm OVPAA-F-INS-055A RAW SC'!AB95/'Midterm OVPAA-F-INS-055A RAW SC'!AB$17*100)</f>
        <v/>
      </c>
      <c r="AC95" s="126" t="str">
        <f>IF('Midterm OVPAA-F-INS-055A RAW SC'!AC95="","",'Midterm OVPAA-F-INS-055A RAW SC'!AC95/'Midterm OVPAA-F-INS-055A RAW SC'!AC$17*100)</f>
        <v/>
      </c>
      <c r="AD95" s="126" t="str">
        <f>IF('Midterm OVPAA-F-INS-055A RAW SC'!AD95="","",'Midterm OVPAA-F-INS-055A RAW SC'!AD95/'Midterm OVPAA-F-INS-055A RAW SC'!AD$17*100)</f>
        <v/>
      </c>
      <c r="AE95" s="126" t="str">
        <f>IF('Midterm OVPAA-F-INS-055A RAW SC'!AE95="","",'Midterm OVPAA-F-INS-055A RAW SC'!AE95/'Midterm OVPAA-F-INS-055A RAW SC'!AE$17*100)</f>
        <v/>
      </c>
      <c r="AF95" s="126" t="str">
        <f>IF('Midterm OVPAA-F-INS-055A RAW SC'!AF95="","",'Midterm OVPAA-F-INS-055A RAW SC'!AF95/'Midterm OVPAA-F-INS-055A RAW SC'!AF$17*100)</f>
        <v/>
      </c>
      <c r="AG95" s="126" t="str">
        <f>IF('Midterm OVPAA-F-INS-055A RAW SC'!AG95="","",'Midterm OVPAA-F-INS-055A RAW SC'!AG95/'Midterm OVPAA-F-INS-055A RAW SC'!AG$17*100)</f>
        <v/>
      </c>
      <c r="AH95" s="126" t="str">
        <f>IF('Midterm OVPAA-F-INS-055A RAW SC'!AH95="","",'Midterm OVPAA-F-INS-055A RAW SC'!AH95/'Midterm OVPAA-F-INS-055A RAW SC'!AH$17*100)</f>
        <v/>
      </c>
      <c r="AI95" s="126" t="str">
        <f>IF('Midterm OVPAA-F-INS-055A RAW SC'!AI95="","",'Midterm OVPAA-F-INS-055A RAW SC'!AI95/'Midterm OVPAA-F-INS-055A RAW SC'!AI$17*100)</f>
        <v/>
      </c>
      <c r="AJ95" s="126" t="str">
        <f>IF('Midterm OVPAA-F-INS-055A RAW SC'!AJ95="","",'Midterm OVPAA-F-INS-055A RAW SC'!AJ95/'Midterm OVPAA-F-INS-055A RAW SC'!AJ$17*100)</f>
        <v/>
      </c>
      <c r="AK95" s="126" t="str">
        <f>IF('Midterm OVPAA-F-INS-055A RAW SC'!AK95="","",'Midterm OVPAA-F-INS-055A RAW SC'!AK95/'Midterm OVPAA-F-INS-055A RAW SC'!AK$17*100)</f>
        <v/>
      </c>
      <c r="AL95" s="126" t="str">
        <f>IF('Midterm OVPAA-F-INS-055A RAW SC'!AL95="","",'Midterm OVPAA-F-INS-055A RAW SC'!AL95/'Midterm OVPAA-F-INS-055A RAW SC'!AL$17*100)</f>
        <v/>
      </c>
      <c r="AM95" s="126" t="str">
        <f>IF('Midterm OVPAA-F-INS-055A RAW SC'!AM95="","",'Midterm OVPAA-F-INS-055A RAW SC'!AM95/'Midterm OVPAA-F-INS-055A RAW SC'!AM$17*100)</f>
        <v/>
      </c>
      <c r="AN95" s="126" t="str">
        <f>IF('Midterm OVPAA-F-INS-055A RAW SC'!AN95="","",'Midterm OVPAA-F-INS-055A RAW SC'!AN95/'Midterm OVPAA-F-INS-055A RAW SC'!AN$17*100)</f>
        <v/>
      </c>
      <c r="AO95" s="126" t="str">
        <f>IF('Midterm OVPAA-F-INS-055A RAW SC'!AO95="","",'Midterm OVPAA-F-INS-055A RAW SC'!AO95/'Midterm OVPAA-F-INS-055A RAW SC'!AO$17*100)</f>
        <v/>
      </c>
      <c r="AP95" s="126" t="str">
        <f>IF('Midterm OVPAA-F-INS-055A RAW SC'!AP95="","",'Midterm OVPAA-F-INS-055A RAW SC'!AP95/'Midterm OVPAA-F-INS-055A RAW SC'!AP$17*100)</f>
        <v/>
      </c>
      <c r="AQ95" s="126" t="str">
        <f>IF('Midterm OVPAA-F-INS-055A RAW SC'!AQ95="","",'Midterm OVPAA-F-INS-055A RAW SC'!AQ95/'Midterm OVPAA-F-INS-055A RAW SC'!AQ$17*100)</f>
        <v/>
      </c>
      <c r="AR95" s="126" t="str">
        <f>IF('Midterm OVPAA-F-INS-055A RAW SC'!AR95="","",'Midterm OVPAA-F-INS-055A RAW SC'!AR95/'Midterm OVPAA-F-INS-055A RAW SC'!AR$17*100)</f>
        <v/>
      </c>
      <c r="AS95" s="126" t="str">
        <f>IF('Midterm OVPAA-F-INS-055A RAW SC'!AS95="","",'Midterm OVPAA-F-INS-055A RAW SC'!AS95/'Midterm OVPAA-F-INS-055A RAW SC'!AS$17*100)</f>
        <v/>
      </c>
      <c r="AT95" s="126" t="str">
        <f>IF('Midterm OVPAA-F-INS-055A RAW SC'!AT95="","",'Midterm OVPAA-F-INS-055A RAW SC'!AT95/'Midterm OVPAA-F-INS-055A RAW SC'!AT$17*100)</f>
        <v/>
      </c>
      <c r="AU95" s="126" t="str">
        <f>IF('Midterm OVPAA-F-INS-055A RAW SC'!AU95="","",'Midterm OVPAA-F-INS-055A RAW SC'!AU95/'Midterm OVPAA-F-INS-055A RAW SC'!AU$17*100)</f>
        <v/>
      </c>
      <c r="AV95" s="126" t="str">
        <f>IF('Midterm OVPAA-F-INS-055A RAW SC'!AV95="","",'Midterm OVPAA-F-INS-055A RAW SC'!AV95/'Midterm OVPAA-F-INS-055A RAW SC'!AV$17*100)</f>
        <v/>
      </c>
      <c r="AW95" s="126" t="str">
        <f>IF('Midterm OVPAA-F-INS-055A RAW SC'!AW95="","",'Midterm OVPAA-F-INS-055A RAW SC'!AW95/'Midterm OVPAA-F-INS-055A RAW SC'!AW$17*100)</f>
        <v/>
      </c>
      <c r="AX95" s="126" t="str">
        <f>IF('Midterm OVPAA-F-INS-055A RAW SC'!AX95="","",'Midterm OVPAA-F-INS-055A RAW SC'!AX95/'Midterm OVPAA-F-INS-055A RAW SC'!AX$17*100)</f>
        <v/>
      </c>
      <c r="AY95" s="126" t="str">
        <f>IF('Midterm OVPAA-F-INS-055A RAW SC'!AY95="","",'Midterm OVPAA-F-INS-055A RAW SC'!AY95/'Midterm OVPAA-F-INS-055A RAW SC'!AY$17*100)</f>
        <v/>
      </c>
      <c r="AZ95" s="126" t="str">
        <f>IF('Midterm OVPAA-F-INS-055A RAW SC'!AZ95="","",'Midterm OVPAA-F-INS-055A RAW SC'!AZ95/'Midterm OVPAA-F-INS-055A RAW SC'!AZ$17*100)</f>
        <v/>
      </c>
      <c r="BA95" s="126" t="str">
        <f>IF('Midterm OVPAA-F-INS-055A RAW SC'!BA95="","",'Midterm OVPAA-F-INS-055A RAW SC'!BA95/'Midterm OVPAA-F-INS-055A RAW SC'!BA$17*100)</f>
        <v/>
      </c>
      <c r="BB95" s="126" t="str">
        <f>IF('Midterm OVPAA-F-INS-055A RAW SC'!BB95="","",'Midterm OVPAA-F-INS-055A RAW SC'!BB95/'Midterm OVPAA-F-INS-055A RAW SC'!BB$17*100)</f>
        <v/>
      </c>
      <c r="BC95" s="126" t="str">
        <f>IF('Midterm OVPAA-F-INS-055A RAW SC'!BC95="","",'Midterm OVPAA-F-INS-055A RAW SC'!BC95/'Midterm OVPAA-F-INS-055A RAW SC'!BC$17*100)</f>
        <v/>
      </c>
      <c r="BD95" s="126" t="str">
        <f>IF('Midterm OVPAA-F-INS-055A RAW SC'!BD95="","",'Midterm OVPAA-F-INS-055A RAW SC'!BD95/'Midterm OVPAA-F-INS-055A RAW SC'!BD$17*100)</f>
        <v/>
      </c>
      <c r="BE95" s="126" t="str">
        <f>IF('Midterm OVPAA-F-INS-055A RAW SC'!BE95="","",'Midterm OVPAA-F-INS-055A RAW SC'!BE95/'Midterm OVPAA-F-INS-055A RAW SC'!BE$17*100)</f>
        <v/>
      </c>
      <c r="BF95" s="126" t="str">
        <f>IF('Midterm OVPAA-F-INS-055A RAW SC'!BF95="","",'Midterm OVPAA-F-INS-055A RAW SC'!BF95/'Midterm OVPAA-F-INS-055A RAW SC'!BF$17*100)</f>
        <v/>
      </c>
      <c r="BG95" s="126" t="str">
        <f>IF('Midterm OVPAA-F-INS-055A RAW SC'!BG95="","",'Midterm OVPAA-F-INS-055A RAW SC'!BG95/'Midterm OVPAA-F-INS-055A RAW SC'!BG$17*100)</f>
        <v/>
      </c>
      <c r="BH95" s="126" t="str">
        <f>IF('Midterm OVPAA-F-INS-055A RAW SC'!BH95="","",'Midterm OVPAA-F-INS-055A RAW SC'!BH95/'Midterm OVPAA-F-INS-055A RAW SC'!BH$17*100)</f>
        <v/>
      </c>
      <c r="BI95" s="126" t="str">
        <f>IF('Midterm OVPAA-F-INS-055A RAW SC'!BI95="","",'Midterm OVPAA-F-INS-055A RAW SC'!BI95/'Midterm OVPAA-F-INS-055A RAW SC'!BI$17*100)</f>
        <v/>
      </c>
      <c r="BJ95" s="126" t="str">
        <f>IF('Midterm OVPAA-F-INS-055A RAW SC'!BJ95="","",'Midterm OVPAA-F-INS-055A RAW SC'!BJ95/'Midterm OVPAA-F-INS-055A RAW SC'!BJ$17*100)</f>
        <v/>
      </c>
      <c r="BK95" s="126" t="str">
        <f>IF('Midterm OVPAA-F-INS-055A RAW SC'!BK95="","",'Midterm OVPAA-F-INS-055A RAW SC'!BK95/'Midterm OVPAA-F-INS-055A RAW SC'!BK$17*100)</f>
        <v/>
      </c>
      <c r="BL95" s="126" t="str">
        <f>IF('Midterm OVPAA-F-INS-055A RAW SC'!BL95="","",'Midterm OVPAA-F-INS-055A RAW SC'!BL95/'Midterm OVPAA-F-INS-055A RAW SC'!BL$17*100)</f>
        <v/>
      </c>
      <c r="BM95" s="126" t="str">
        <f>IF('Midterm OVPAA-F-INS-055A RAW SC'!BM95="","",'Midterm OVPAA-F-INS-055A RAW SC'!BM95/'Midterm OVPAA-F-INS-055A RAW SC'!BM$17*100)</f>
        <v/>
      </c>
      <c r="BN95" s="126" t="str">
        <f>IF('Midterm OVPAA-F-INS-055A RAW SC'!BN95="","",'Midterm OVPAA-F-INS-055A RAW SC'!BN95/'Midterm OVPAA-F-INS-055A RAW SC'!BN$17*100)</f>
        <v/>
      </c>
      <c r="BO95" s="126" t="str">
        <f>IF('Midterm OVPAA-F-INS-055A RAW SC'!BO95="","",'Midterm OVPAA-F-INS-055A RAW SC'!BO95/'Midterm OVPAA-F-INS-055A RAW SC'!BO$17*100)</f>
        <v/>
      </c>
      <c r="BP95" s="126" t="str">
        <f>IF('Midterm OVPAA-F-INS-055A RAW SC'!BP95="","",'Midterm OVPAA-F-INS-055A RAW SC'!BP95/'Midterm OVPAA-F-INS-055A RAW SC'!BP$17*100)</f>
        <v/>
      </c>
      <c r="BQ95" s="126" t="str">
        <f>IF('Midterm OVPAA-F-INS-055A RAW SC'!BQ95="","",'Midterm OVPAA-F-INS-055A RAW SC'!BQ95/'Midterm OVPAA-F-INS-055A RAW SC'!BQ$17*100)</f>
        <v/>
      </c>
      <c r="BR95" s="126" t="str">
        <f>IF('Midterm OVPAA-F-INS-055A RAW SC'!BR95="","",'Midterm OVPAA-F-INS-055A RAW SC'!BR95/'Midterm OVPAA-F-INS-055A RAW SC'!BR$17*100)</f>
        <v/>
      </c>
      <c r="BS95" s="126" t="str">
        <f>IF('Midterm OVPAA-F-INS-055A RAW SC'!BS95="","",'Midterm OVPAA-F-INS-055A RAW SC'!BS95/'Midterm OVPAA-F-INS-055A RAW SC'!BS$17*100)</f>
        <v/>
      </c>
      <c r="BT95" s="126" t="str">
        <f>IF('Midterm OVPAA-F-INS-055A RAW SC'!BT95="","",'Midterm OVPAA-F-INS-055A RAW SC'!BT95/'Midterm OVPAA-F-INS-055A RAW SC'!BT$17*100)</f>
        <v/>
      </c>
      <c r="BU95" s="127" t="str">
        <f t="array" ref="BU95">IF('Midterm OVPAA-F-INS-055A RAW SC'!$G95="","",IF((SUMPRODUCT(--ISBLANK('Midterm OVPAA-F-INS-055A RAW SC'!H95:BT95))=COLUMNS('Midterm OVPAA-F-INS-055A RAW SC'!H95:BT95))=TRUE,"",(((COUNTA('Midterm OVPAA-F-INS-055A RAW SC'!$H$17:$BT$17)+COUNTBLANK('Midterm OVPAA-F-INS-055A RAW SC'!H95:BT95))-COLUMNS('Midterm OVPAA-F-INS-055A RAW SC'!H95:BT95))*5+SUM(H95:BT95))/COUNTA('Midterm OVPAA-F-INS-055A RAW SC'!$H$17:$BT$17)))</f>
        <v/>
      </c>
      <c r="BV95" s="128" t="str">
        <f>IF(BU95="","",VLOOKUP(BU95,IF('Midterm OVPAA-F-INS-055A RAW SC'!$V$12=0.5,TRANSMUTATION!$C$4:$D$17,TRANSMUTATION!$G$4:$H$17),2,TRUE))</f>
        <v/>
      </c>
      <c r="BW95" s="129" t="str">
        <f>IF('Midterm OVPAA-F-INS-055A RAW SC'!BU95="","",'Midterm OVPAA-F-INS-055A RAW SC'!BU95/'Midterm OVPAA-F-INS-055A RAW SC'!BU$17*100)</f>
        <v/>
      </c>
      <c r="BX95" s="130" t="str">
        <f>IF('Midterm OVPAA-F-INS-055A RAW SC'!BV95="","",'Midterm OVPAA-F-INS-055A RAW SC'!BV95/'Midterm OVPAA-F-INS-055A RAW SC'!BV$17*100)</f>
        <v/>
      </c>
      <c r="BY95" s="130" t="str">
        <f>IF('Midterm OVPAA-F-INS-055A RAW SC'!BW95="","",'Midterm OVPAA-F-INS-055A RAW SC'!BW95/'Midterm OVPAA-F-INS-055A RAW SC'!BW$17*100)</f>
        <v/>
      </c>
      <c r="BZ95" s="130" t="str">
        <f>IF('Midterm OVPAA-F-INS-055A RAW SC'!BX95="","",'Midterm OVPAA-F-INS-055A RAW SC'!BX95/'Midterm OVPAA-F-INS-055A RAW SC'!BX$17*100)</f>
        <v/>
      </c>
      <c r="CA95" s="130" t="str">
        <f>IF('Midterm OVPAA-F-INS-055A RAW SC'!BY95="","",'Midterm OVPAA-F-INS-055A RAW SC'!BY95/'Midterm OVPAA-F-INS-055A RAW SC'!BY$17*100)</f>
        <v/>
      </c>
      <c r="CB95" s="130" t="str">
        <f>IF('Midterm OVPAA-F-INS-055A RAW SC'!BZ95="","",'Midterm OVPAA-F-INS-055A RAW SC'!BZ95/'Midterm OVPAA-F-INS-055A RAW SC'!BZ$17*100)</f>
        <v/>
      </c>
      <c r="CC95" s="130" t="str">
        <f>IF('Midterm OVPAA-F-INS-055A RAW SC'!CA95="","",'Midterm OVPAA-F-INS-055A RAW SC'!CA95/'Midterm OVPAA-F-INS-055A RAW SC'!CA$17*100)</f>
        <v/>
      </c>
      <c r="CD95" s="130" t="str">
        <f>IF('Midterm OVPAA-F-INS-055A RAW SC'!CB95="","",'Midterm OVPAA-F-INS-055A RAW SC'!CB95/'Midterm OVPAA-F-INS-055A RAW SC'!CB$17*100)</f>
        <v/>
      </c>
      <c r="CE95" s="130" t="str">
        <f>IF('Midterm OVPAA-F-INS-055A RAW SC'!CC95="","",'Midterm OVPAA-F-INS-055A RAW SC'!CC95/'Midterm OVPAA-F-INS-055A RAW SC'!CC$17*100)</f>
        <v/>
      </c>
      <c r="CF95" s="130" t="str">
        <f>IF('Midterm OVPAA-F-INS-055A RAW SC'!CD95="","",'Midterm OVPAA-F-INS-055A RAW SC'!CD95/'Midterm OVPAA-F-INS-055A RAW SC'!CD$17*100)</f>
        <v/>
      </c>
      <c r="CG95" s="130" t="str">
        <f>IF('Midterm OVPAA-F-INS-055A RAW SC'!CE95="","",'Midterm OVPAA-F-INS-055A RAW SC'!CE95/'Midterm OVPAA-F-INS-055A RAW SC'!CE$17*100)</f>
        <v/>
      </c>
      <c r="CH95" s="130" t="str">
        <f>IF('Midterm OVPAA-F-INS-055A RAW SC'!CF95="","",'Midterm OVPAA-F-INS-055A RAW SC'!CF95/'Midterm OVPAA-F-INS-055A RAW SC'!CF$17*100)</f>
        <v/>
      </c>
      <c r="CI95" s="130" t="str">
        <f>IF('Midterm OVPAA-F-INS-055A RAW SC'!CG95="","",'Midterm OVPAA-F-INS-055A RAW SC'!CG95/'Midterm OVPAA-F-INS-055A RAW SC'!CG$17*100)</f>
        <v/>
      </c>
      <c r="CJ95" s="130" t="str">
        <f>IF('Midterm OVPAA-F-INS-055A RAW SC'!CH95="","",'Midterm OVPAA-F-INS-055A RAW SC'!CH95/'Midterm OVPAA-F-INS-055A RAW SC'!CH$17*100)</f>
        <v/>
      </c>
      <c r="CK95" s="130" t="str">
        <f>IF('Midterm OVPAA-F-INS-055A RAW SC'!CI95="","",'Midterm OVPAA-F-INS-055A RAW SC'!CI95/'Midterm OVPAA-F-INS-055A RAW SC'!CI$17*100)</f>
        <v/>
      </c>
      <c r="CL95" s="130" t="str">
        <f>IF('Midterm OVPAA-F-INS-055A RAW SC'!CJ95="","",'Midterm OVPAA-F-INS-055A RAW SC'!CJ95/'Midterm OVPAA-F-INS-055A RAW SC'!CJ$17*100)</f>
        <v/>
      </c>
      <c r="CM95" s="130" t="str">
        <f>IF('Midterm OVPAA-F-INS-055A RAW SC'!CK95="","",'Midterm OVPAA-F-INS-055A RAW SC'!CK95/'Midterm OVPAA-F-INS-055A RAW SC'!CK$17*100)</f>
        <v/>
      </c>
      <c r="CN95" s="130" t="str">
        <f>IF('Midterm OVPAA-F-INS-055A RAW SC'!CL95="","",'Midterm OVPAA-F-INS-055A RAW SC'!CL95/'Midterm OVPAA-F-INS-055A RAW SC'!CL$17*100)</f>
        <v/>
      </c>
      <c r="CO95" s="130" t="str">
        <f>IF('Midterm OVPAA-F-INS-055A RAW SC'!CM95="","",'Midterm OVPAA-F-INS-055A RAW SC'!CM95/'Midterm OVPAA-F-INS-055A RAW SC'!CM$17*100)</f>
        <v/>
      </c>
      <c r="CP95" s="130" t="str">
        <f>IF('Midterm OVPAA-F-INS-055A RAW SC'!CN95="","",'Midterm OVPAA-F-INS-055A RAW SC'!CN95/'Midterm OVPAA-F-INS-055A RAW SC'!CN$17*100)</f>
        <v/>
      </c>
      <c r="CQ95" s="131" t="str">
        <f t="array" ref="CQ95">IF('Midterm OVPAA-F-INS-055A RAW SC'!G95="","",IF((SUMPRODUCT(--ISBLANK('Midterm OVPAA-F-INS-055A RAW SC'!BU95:CN95))=COLUMNS('Midterm OVPAA-F-INS-055A RAW SC'!BU95:CN95))=TRUE,"",(((COUNTA('Midterm OVPAA-F-INS-055A RAW SC'!$BU$17:$CN$17)+COUNTBLANK('Midterm OVPAA-F-INS-055A RAW SC'!BU95:CN95))-COLUMNS('Midterm OVPAA-F-INS-055A RAW SC'!BU95:CN95))*5+SUM(BW95:CP95))/COUNTA('Midterm OVPAA-F-INS-055A RAW SC'!$BU$17:$CN$17)))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IF('Midterm OVPAA-F-INS-055A RAW SC'!CO95="","",'Midterm OVPAA-F-INS-055A RAW SC'!CO95/'Midterm OVPAA-F-INS-055A RAW SC'!CO$17*100)</f>
        <v/>
      </c>
      <c r="CT95" s="133" t="str">
        <f>IF('Midterm OVPAA-F-INS-055A RAW SC'!CP95="","",'Midterm OVPAA-F-INS-055A RAW SC'!CP95/'Midterm OVPAA-F-INS-055A RAW SC'!CP$17*100)</f>
        <v/>
      </c>
      <c r="CU95" s="133" t="str">
        <f>IF('Midterm OVPAA-F-INS-055A RAW SC'!CQ95="","",'Midterm OVPAA-F-INS-055A RAW SC'!CQ95/'Midterm OVPAA-F-INS-055A RAW SC'!CQ$17*100)</f>
        <v/>
      </c>
      <c r="CV95" s="133" t="str">
        <f>IF('Midterm OVPAA-F-INS-055A RAW SC'!CR95="","",'Midterm OVPAA-F-INS-055A RAW SC'!CR95/'Midterm OVPAA-F-INS-055A RAW SC'!CR$17*100)</f>
        <v/>
      </c>
      <c r="CW95" s="133" t="str">
        <f>IF('Midterm OVPAA-F-INS-055A RAW SC'!CS95="","",'Midterm OVPAA-F-INS-055A RAW SC'!CS95/'Midterm OVPAA-F-INS-055A RAW SC'!CS$17*100)</f>
        <v/>
      </c>
      <c r="CX95" s="133" t="str">
        <f>IF('Midterm OVPAA-F-INS-055A RAW SC'!CT95="","",'Midterm OVPAA-F-INS-055A RAW SC'!CT95/'Midterm OVPAA-F-INS-055A RAW SC'!CT$17*100)</f>
        <v/>
      </c>
      <c r="CY95" s="133" t="str">
        <f>IF('Midterm OVPAA-F-INS-055A RAW SC'!CU95="","",'Midterm OVPAA-F-INS-055A RAW SC'!CU95/'Midterm OVPAA-F-INS-055A RAW SC'!CU$17*100)</f>
        <v/>
      </c>
      <c r="CZ95" s="133" t="str">
        <f>IF('Midterm OVPAA-F-INS-055A RAW SC'!CV95="","",'Midterm OVPAA-F-INS-055A RAW SC'!CV95/'Midterm OVPAA-F-INS-055A RAW SC'!CV$17*100)</f>
        <v/>
      </c>
      <c r="DA95" s="133" t="str">
        <f>IF('Midterm OVPAA-F-INS-055A RAW SC'!CW95="","",'Midterm OVPAA-F-INS-055A RAW SC'!CW95/'Midterm OVPAA-F-INS-055A RAW SC'!CW$17*100)</f>
        <v/>
      </c>
      <c r="DB95" s="133" t="str">
        <f>IF('Midterm OVPAA-F-INS-055A RAW SC'!CX95="","",'Midterm OVPAA-F-INS-055A RAW SC'!CX95/'Midterm OVPAA-F-INS-055A RAW SC'!CX$17*100)</f>
        <v/>
      </c>
      <c r="DC95" s="134" t="str">
        <f t="array" ref="DC95">IF('Midterm OVPAA-F-INS-055A RAW SC'!$G95="","",IF((SUMPRODUCT(--ISBLANK('Midterm OVPAA-F-INS-055A RAW SC'!CO95:CX95))=COLUMNS('Midterm OVPAA-F-INS-055A RAW SC'!CO95:CX95))=TRUE,"",(((COUNTA('Midterm OVPAA-F-INS-055A RAW SC'!$CO$17:$CX$17)+COUNTBLANK('Midterm OVPAA-F-INS-055A RAW SC'!CO95:CX95))-COLUMNS('Midterm OVPAA-F-INS-055A RAW SC'!CO95:CX95))*5+SUM(CS95:DB95))/COUNTA('Midterm OVPAA-F-INS-055A RAW SC'!$CO$17:$CX$17)))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37" t="str">
        <f t="shared" si="2"/>
        <v/>
      </c>
      <c r="DG95" s="138" t="str">
        <f t="shared" si="3"/>
        <v/>
      </c>
      <c r="DH95" s="136" t="str">
        <f t="shared" si="4"/>
        <v/>
      </c>
      <c r="DI95" s="123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IF('Midterm OVPAA-F-INS-055A RAW SC'!H96="","",'Midterm OVPAA-F-INS-055A RAW SC'!H96/'Midterm OVPAA-F-INS-055A RAW SC'!H$17*100)</f>
        <v/>
      </c>
      <c r="I96" s="126" t="str">
        <f>IF('Midterm OVPAA-F-INS-055A RAW SC'!I96="","",'Midterm OVPAA-F-INS-055A RAW SC'!I96/'Midterm OVPAA-F-INS-055A RAW SC'!I$17*100)</f>
        <v/>
      </c>
      <c r="J96" s="126" t="str">
        <f>IF('Midterm OVPAA-F-INS-055A RAW SC'!J96="","",'Midterm OVPAA-F-INS-055A RAW SC'!J96/'Midterm OVPAA-F-INS-055A RAW SC'!J$17*100)</f>
        <v/>
      </c>
      <c r="K96" s="126" t="str">
        <f>IF('Midterm OVPAA-F-INS-055A RAW SC'!K96="","",'Midterm OVPAA-F-INS-055A RAW SC'!K96/'Midterm OVPAA-F-INS-055A RAW SC'!K$17*100)</f>
        <v/>
      </c>
      <c r="L96" s="126" t="str">
        <f>IF('Midterm OVPAA-F-INS-055A RAW SC'!L96="","",'Midterm OVPAA-F-INS-055A RAW SC'!L96/'Midterm OVPAA-F-INS-055A RAW SC'!L$17*100)</f>
        <v/>
      </c>
      <c r="M96" s="126" t="str">
        <f>IF('Midterm OVPAA-F-INS-055A RAW SC'!M96="","",'Midterm OVPAA-F-INS-055A RAW SC'!M96/'Midterm OVPAA-F-INS-055A RAW SC'!M$17*100)</f>
        <v/>
      </c>
      <c r="N96" s="126" t="str">
        <f>IF('Midterm OVPAA-F-INS-055A RAW SC'!N96="","",'Midterm OVPAA-F-INS-055A RAW SC'!N96/'Midterm OVPAA-F-INS-055A RAW SC'!N$17*100)</f>
        <v/>
      </c>
      <c r="O96" s="126" t="str">
        <f>IF('Midterm OVPAA-F-INS-055A RAW SC'!O96="","",'Midterm OVPAA-F-INS-055A RAW SC'!O96/'Midterm OVPAA-F-INS-055A RAW SC'!O$17*100)</f>
        <v/>
      </c>
      <c r="P96" s="126" t="str">
        <f>IF('Midterm OVPAA-F-INS-055A RAW SC'!P96="","",'Midterm OVPAA-F-INS-055A RAW SC'!P96/'Midterm OVPAA-F-INS-055A RAW SC'!P$17*100)</f>
        <v/>
      </c>
      <c r="Q96" s="126" t="str">
        <f>IF('Midterm OVPAA-F-INS-055A RAW SC'!Q96="","",'Midterm OVPAA-F-INS-055A RAW SC'!Q96/'Midterm OVPAA-F-INS-055A RAW SC'!Q$17*100)</f>
        <v/>
      </c>
      <c r="R96" s="126" t="str">
        <f>IF('Midterm OVPAA-F-INS-055A RAW SC'!R96="","",'Midterm OVPAA-F-INS-055A RAW SC'!R96/'Midterm OVPAA-F-INS-055A RAW SC'!R$17*100)</f>
        <v/>
      </c>
      <c r="S96" s="126" t="str">
        <f>IF('Midterm OVPAA-F-INS-055A RAW SC'!S96="","",'Midterm OVPAA-F-INS-055A RAW SC'!S96/'Midterm OVPAA-F-INS-055A RAW SC'!S$17*100)</f>
        <v/>
      </c>
      <c r="T96" s="126" t="str">
        <f>IF('Midterm OVPAA-F-INS-055A RAW SC'!T96="","",'Midterm OVPAA-F-INS-055A RAW SC'!T96/'Midterm OVPAA-F-INS-055A RAW SC'!T$17*100)</f>
        <v/>
      </c>
      <c r="U96" s="126" t="str">
        <f>IF('Midterm OVPAA-F-INS-055A RAW SC'!U96="","",'Midterm OVPAA-F-INS-055A RAW SC'!U96/'Midterm OVPAA-F-INS-055A RAW SC'!U$17*100)</f>
        <v/>
      </c>
      <c r="V96" s="126" t="str">
        <f>IF('Midterm OVPAA-F-INS-055A RAW SC'!V96="","",'Midterm OVPAA-F-INS-055A RAW SC'!V96/'Midterm OVPAA-F-INS-055A RAW SC'!V$17*100)</f>
        <v/>
      </c>
      <c r="W96" s="126" t="str">
        <f>IF('Midterm OVPAA-F-INS-055A RAW SC'!W96="","",'Midterm OVPAA-F-INS-055A RAW SC'!W96/'Midterm OVPAA-F-INS-055A RAW SC'!W$17*100)</f>
        <v/>
      </c>
      <c r="X96" s="126" t="str">
        <f>IF('Midterm OVPAA-F-INS-055A RAW SC'!X96="","",'Midterm OVPAA-F-INS-055A RAW SC'!X96/'Midterm OVPAA-F-INS-055A RAW SC'!X$17*100)</f>
        <v/>
      </c>
      <c r="Y96" s="126" t="str">
        <f>IF('Midterm OVPAA-F-INS-055A RAW SC'!Y96="","",'Midterm OVPAA-F-INS-055A RAW SC'!Y96/'Midterm OVPAA-F-INS-055A RAW SC'!Y$17*100)</f>
        <v/>
      </c>
      <c r="Z96" s="126" t="str">
        <f>IF('Midterm OVPAA-F-INS-055A RAW SC'!Z96="","",'Midterm OVPAA-F-INS-055A RAW SC'!Z96/'Midterm OVPAA-F-INS-055A RAW SC'!Z$17*100)</f>
        <v/>
      </c>
      <c r="AA96" s="126" t="str">
        <f>IF('Midterm OVPAA-F-INS-055A RAW SC'!AA96="","",'Midterm OVPAA-F-INS-055A RAW SC'!AA96/'Midterm OVPAA-F-INS-055A RAW SC'!AA$17*100)</f>
        <v/>
      </c>
      <c r="AB96" s="126" t="str">
        <f>IF('Midterm OVPAA-F-INS-055A RAW SC'!AB96="","",'Midterm OVPAA-F-INS-055A RAW SC'!AB96/'Midterm OVPAA-F-INS-055A RAW SC'!AB$17*100)</f>
        <v/>
      </c>
      <c r="AC96" s="126" t="str">
        <f>IF('Midterm OVPAA-F-INS-055A RAW SC'!AC96="","",'Midterm OVPAA-F-INS-055A RAW SC'!AC96/'Midterm OVPAA-F-INS-055A RAW SC'!AC$17*100)</f>
        <v/>
      </c>
      <c r="AD96" s="126" t="str">
        <f>IF('Midterm OVPAA-F-INS-055A RAW SC'!AD96="","",'Midterm OVPAA-F-INS-055A RAW SC'!AD96/'Midterm OVPAA-F-INS-055A RAW SC'!AD$17*100)</f>
        <v/>
      </c>
      <c r="AE96" s="126" t="str">
        <f>IF('Midterm OVPAA-F-INS-055A RAW SC'!AE96="","",'Midterm OVPAA-F-INS-055A RAW SC'!AE96/'Midterm OVPAA-F-INS-055A RAW SC'!AE$17*100)</f>
        <v/>
      </c>
      <c r="AF96" s="126" t="str">
        <f>IF('Midterm OVPAA-F-INS-055A RAW SC'!AF96="","",'Midterm OVPAA-F-INS-055A RAW SC'!AF96/'Midterm OVPAA-F-INS-055A RAW SC'!AF$17*100)</f>
        <v/>
      </c>
      <c r="AG96" s="126" t="str">
        <f>IF('Midterm OVPAA-F-INS-055A RAW SC'!AG96="","",'Midterm OVPAA-F-INS-055A RAW SC'!AG96/'Midterm OVPAA-F-INS-055A RAW SC'!AG$17*100)</f>
        <v/>
      </c>
      <c r="AH96" s="126" t="str">
        <f>IF('Midterm OVPAA-F-INS-055A RAW SC'!AH96="","",'Midterm OVPAA-F-INS-055A RAW SC'!AH96/'Midterm OVPAA-F-INS-055A RAW SC'!AH$17*100)</f>
        <v/>
      </c>
      <c r="AI96" s="126" t="str">
        <f>IF('Midterm OVPAA-F-INS-055A RAW SC'!AI96="","",'Midterm OVPAA-F-INS-055A RAW SC'!AI96/'Midterm OVPAA-F-INS-055A RAW SC'!AI$17*100)</f>
        <v/>
      </c>
      <c r="AJ96" s="126" t="str">
        <f>IF('Midterm OVPAA-F-INS-055A RAW SC'!AJ96="","",'Midterm OVPAA-F-INS-055A RAW SC'!AJ96/'Midterm OVPAA-F-INS-055A RAW SC'!AJ$17*100)</f>
        <v/>
      </c>
      <c r="AK96" s="126" t="str">
        <f>IF('Midterm OVPAA-F-INS-055A RAW SC'!AK96="","",'Midterm OVPAA-F-INS-055A RAW SC'!AK96/'Midterm OVPAA-F-INS-055A RAW SC'!AK$17*100)</f>
        <v/>
      </c>
      <c r="AL96" s="126" t="str">
        <f>IF('Midterm OVPAA-F-INS-055A RAW SC'!AL96="","",'Midterm OVPAA-F-INS-055A RAW SC'!AL96/'Midterm OVPAA-F-INS-055A RAW SC'!AL$17*100)</f>
        <v/>
      </c>
      <c r="AM96" s="126" t="str">
        <f>IF('Midterm OVPAA-F-INS-055A RAW SC'!AM96="","",'Midterm OVPAA-F-INS-055A RAW SC'!AM96/'Midterm OVPAA-F-INS-055A RAW SC'!AM$17*100)</f>
        <v/>
      </c>
      <c r="AN96" s="126" t="str">
        <f>IF('Midterm OVPAA-F-INS-055A RAW SC'!AN96="","",'Midterm OVPAA-F-INS-055A RAW SC'!AN96/'Midterm OVPAA-F-INS-055A RAW SC'!AN$17*100)</f>
        <v/>
      </c>
      <c r="AO96" s="126" t="str">
        <f>IF('Midterm OVPAA-F-INS-055A RAW SC'!AO96="","",'Midterm OVPAA-F-INS-055A RAW SC'!AO96/'Midterm OVPAA-F-INS-055A RAW SC'!AO$17*100)</f>
        <v/>
      </c>
      <c r="AP96" s="126" t="str">
        <f>IF('Midterm OVPAA-F-INS-055A RAW SC'!AP96="","",'Midterm OVPAA-F-INS-055A RAW SC'!AP96/'Midterm OVPAA-F-INS-055A RAW SC'!AP$17*100)</f>
        <v/>
      </c>
      <c r="AQ96" s="126" t="str">
        <f>IF('Midterm OVPAA-F-INS-055A RAW SC'!AQ96="","",'Midterm OVPAA-F-INS-055A RAW SC'!AQ96/'Midterm OVPAA-F-INS-055A RAW SC'!AQ$17*100)</f>
        <v/>
      </c>
      <c r="AR96" s="126" t="str">
        <f>IF('Midterm OVPAA-F-INS-055A RAW SC'!AR96="","",'Midterm OVPAA-F-INS-055A RAW SC'!AR96/'Midterm OVPAA-F-INS-055A RAW SC'!AR$17*100)</f>
        <v/>
      </c>
      <c r="AS96" s="126" t="str">
        <f>IF('Midterm OVPAA-F-INS-055A RAW SC'!AS96="","",'Midterm OVPAA-F-INS-055A RAW SC'!AS96/'Midterm OVPAA-F-INS-055A RAW SC'!AS$17*100)</f>
        <v/>
      </c>
      <c r="AT96" s="126" t="str">
        <f>IF('Midterm OVPAA-F-INS-055A RAW SC'!AT96="","",'Midterm OVPAA-F-INS-055A RAW SC'!AT96/'Midterm OVPAA-F-INS-055A RAW SC'!AT$17*100)</f>
        <v/>
      </c>
      <c r="AU96" s="126" t="str">
        <f>IF('Midterm OVPAA-F-INS-055A RAW SC'!AU96="","",'Midterm OVPAA-F-INS-055A RAW SC'!AU96/'Midterm OVPAA-F-INS-055A RAW SC'!AU$17*100)</f>
        <v/>
      </c>
      <c r="AV96" s="126" t="str">
        <f>IF('Midterm OVPAA-F-INS-055A RAW SC'!AV96="","",'Midterm OVPAA-F-INS-055A RAW SC'!AV96/'Midterm OVPAA-F-INS-055A RAW SC'!AV$17*100)</f>
        <v/>
      </c>
      <c r="AW96" s="126" t="str">
        <f>IF('Midterm OVPAA-F-INS-055A RAW SC'!AW96="","",'Midterm OVPAA-F-INS-055A RAW SC'!AW96/'Midterm OVPAA-F-INS-055A RAW SC'!AW$17*100)</f>
        <v/>
      </c>
      <c r="AX96" s="126" t="str">
        <f>IF('Midterm OVPAA-F-INS-055A RAW SC'!AX96="","",'Midterm OVPAA-F-INS-055A RAW SC'!AX96/'Midterm OVPAA-F-INS-055A RAW SC'!AX$17*100)</f>
        <v/>
      </c>
      <c r="AY96" s="126" t="str">
        <f>IF('Midterm OVPAA-F-INS-055A RAW SC'!AY96="","",'Midterm OVPAA-F-INS-055A RAW SC'!AY96/'Midterm OVPAA-F-INS-055A RAW SC'!AY$17*100)</f>
        <v/>
      </c>
      <c r="AZ96" s="126" t="str">
        <f>IF('Midterm OVPAA-F-INS-055A RAW SC'!AZ96="","",'Midterm OVPAA-F-INS-055A RAW SC'!AZ96/'Midterm OVPAA-F-INS-055A RAW SC'!AZ$17*100)</f>
        <v/>
      </c>
      <c r="BA96" s="126" t="str">
        <f>IF('Midterm OVPAA-F-INS-055A RAW SC'!BA96="","",'Midterm OVPAA-F-INS-055A RAW SC'!BA96/'Midterm OVPAA-F-INS-055A RAW SC'!BA$17*100)</f>
        <v/>
      </c>
      <c r="BB96" s="126" t="str">
        <f>IF('Midterm OVPAA-F-INS-055A RAW SC'!BB96="","",'Midterm OVPAA-F-INS-055A RAW SC'!BB96/'Midterm OVPAA-F-INS-055A RAW SC'!BB$17*100)</f>
        <v/>
      </c>
      <c r="BC96" s="126" t="str">
        <f>IF('Midterm OVPAA-F-INS-055A RAW SC'!BC96="","",'Midterm OVPAA-F-INS-055A RAW SC'!BC96/'Midterm OVPAA-F-INS-055A RAW SC'!BC$17*100)</f>
        <v/>
      </c>
      <c r="BD96" s="126" t="str">
        <f>IF('Midterm OVPAA-F-INS-055A RAW SC'!BD96="","",'Midterm OVPAA-F-INS-055A RAW SC'!BD96/'Midterm OVPAA-F-INS-055A RAW SC'!BD$17*100)</f>
        <v/>
      </c>
      <c r="BE96" s="126" t="str">
        <f>IF('Midterm OVPAA-F-INS-055A RAW SC'!BE96="","",'Midterm OVPAA-F-INS-055A RAW SC'!BE96/'Midterm OVPAA-F-INS-055A RAW SC'!BE$17*100)</f>
        <v/>
      </c>
      <c r="BF96" s="126" t="str">
        <f>IF('Midterm OVPAA-F-INS-055A RAW SC'!BF96="","",'Midterm OVPAA-F-INS-055A RAW SC'!BF96/'Midterm OVPAA-F-INS-055A RAW SC'!BF$17*100)</f>
        <v/>
      </c>
      <c r="BG96" s="126" t="str">
        <f>IF('Midterm OVPAA-F-INS-055A RAW SC'!BG96="","",'Midterm OVPAA-F-INS-055A RAW SC'!BG96/'Midterm OVPAA-F-INS-055A RAW SC'!BG$17*100)</f>
        <v/>
      </c>
      <c r="BH96" s="126" t="str">
        <f>IF('Midterm OVPAA-F-INS-055A RAW SC'!BH96="","",'Midterm OVPAA-F-INS-055A RAW SC'!BH96/'Midterm OVPAA-F-INS-055A RAW SC'!BH$17*100)</f>
        <v/>
      </c>
      <c r="BI96" s="126" t="str">
        <f>IF('Midterm OVPAA-F-INS-055A RAW SC'!BI96="","",'Midterm OVPAA-F-INS-055A RAW SC'!BI96/'Midterm OVPAA-F-INS-055A RAW SC'!BI$17*100)</f>
        <v/>
      </c>
      <c r="BJ96" s="126" t="str">
        <f>IF('Midterm OVPAA-F-INS-055A RAW SC'!BJ96="","",'Midterm OVPAA-F-INS-055A RAW SC'!BJ96/'Midterm OVPAA-F-INS-055A RAW SC'!BJ$17*100)</f>
        <v/>
      </c>
      <c r="BK96" s="126" t="str">
        <f>IF('Midterm OVPAA-F-INS-055A RAW SC'!BK96="","",'Midterm OVPAA-F-INS-055A RAW SC'!BK96/'Midterm OVPAA-F-INS-055A RAW SC'!BK$17*100)</f>
        <v/>
      </c>
      <c r="BL96" s="126" t="str">
        <f>IF('Midterm OVPAA-F-INS-055A RAW SC'!BL96="","",'Midterm OVPAA-F-INS-055A RAW SC'!BL96/'Midterm OVPAA-F-INS-055A RAW SC'!BL$17*100)</f>
        <v/>
      </c>
      <c r="BM96" s="126" t="str">
        <f>IF('Midterm OVPAA-F-INS-055A RAW SC'!BM96="","",'Midterm OVPAA-F-INS-055A RAW SC'!BM96/'Midterm OVPAA-F-INS-055A RAW SC'!BM$17*100)</f>
        <v/>
      </c>
      <c r="BN96" s="126" t="str">
        <f>IF('Midterm OVPAA-F-INS-055A RAW SC'!BN96="","",'Midterm OVPAA-F-INS-055A RAW SC'!BN96/'Midterm OVPAA-F-INS-055A RAW SC'!BN$17*100)</f>
        <v/>
      </c>
      <c r="BO96" s="126" t="str">
        <f>IF('Midterm OVPAA-F-INS-055A RAW SC'!BO96="","",'Midterm OVPAA-F-INS-055A RAW SC'!BO96/'Midterm OVPAA-F-INS-055A RAW SC'!BO$17*100)</f>
        <v/>
      </c>
      <c r="BP96" s="126" t="str">
        <f>IF('Midterm OVPAA-F-INS-055A RAW SC'!BP96="","",'Midterm OVPAA-F-INS-055A RAW SC'!BP96/'Midterm OVPAA-F-INS-055A RAW SC'!BP$17*100)</f>
        <v/>
      </c>
      <c r="BQ96" s="126" t="str">
        <f>IF('Midterm OVPAA-F-INS-055A RAW SC'!BQ96="","",'Midterm OVPAA-F-INS-055A RAW SC'!BQ96/'Midterm OVPAA-F-INS-055A RAW SC'!BQ$17*100)</f>
        <v/>
      </c>
      <c r="BR96" s="126" t="str">
        <f>IF('Midterm OVPAA-F-INS-055A RAW SC'!BR96="","",'Midterm OVPAA-F-INS-055A RAW SC'!BR96/'Midterm OVPAA-F-INS-055A RAW SC'!BR$17*100)</f>
        <v/>
      </c>
      <c r="BS96" s="126" t="str">
        <f>IF('Midterm OVPAA-F-INS-055A RAW SC'!BS96="","",'Midterm OVPAA-F-INS-055A RAW SC'!BS96/'Midterm OVPAA-F-INS-055A RAW SC'!BS$17*100)</f>
        <v/>
      </c>
      <c r="BT96" s="126" t="str">
        <f>IF('Midterm OVPAA-F-INS-055A RAW SC'!BT96="","",'Midterm OVPAA-F-INS-055A RAW SC'!BT96/'Midterm OVPAA-F-INS-055A RAW SC'!BT$17*100)</f>
        <v/>
      </c>
      <c r="BU96" s="127" t="str">
        <f t="array" ref="BU96">IF('Midterm OVPAA-F-INS-055A RAW SC'!$G96="","",IF((SUMPRODUCT(--ISBLANK('Midterm OVPAA-F-INS-055A RAW SC'!H96:BT96))=COLUMNS('Midterm OVPAA-F-INS-055A RAW SC'!H96:BT96))=TRUE,"",(((COUNTA('Midterm OVPAA-F-INS-055A RAW SC'!$H$17:$BT$17)+COUNTBLANK('Midterm OVPAA-F-INS-055A RAW SC'!H96:BT96))-COLUMNS('Midterm OVPAA-F-INS-055A RAW SC'!H96:BT96))*5+SUM(H96:BT96))/COUNTA('Midterm OVPAA-F-INS-055A RAW SC'!$H$17:$BT$17)))</f>
        <v/>
      </c>
      <c r="BV96" s="128" t="str">
        <f>IF(BU96="","",VLOOKUP(BU96,IF('Midterm OVPAA-F-INS-055A RAW SC'!$V$12=0.5,TRANSMUTATION!$C$4:$D$17,TRANSMUTATION!$G$4:$H$17),2,TRUE))</f>
        <v/>
      </c>
      <c r="BW96" s="129" t="str">
        <f>IF('Midterm OVPAA-F-INS-055A RAW SC'!BU96="","",'Midterm OVPAA-F-INS-055A RAW SC'!BU96/'Midterm OVPAA-F-INS-055A RAW SC'!BU$17*100)</f>
        <v/>
      </c>
      <c r="BX96" s="130" t="str">
        <f>IF('Midterm OVPAA-F-INS-055A RAW SC'!BV96="","",'Midterm OVPAA-F-INS-055A RAW SC'!BV96/'Midterm OVPAA-F-INS-055A RAW SC'!BV$17*100)</f>
        <v/>
      </c>
      <c r="BY96" s="130" t="str">
        <f>IF('Midterm OVPAA-F-INS-055A RAW SC'!BW96="","",'Midterm OVPAA-F-INS-055A RAW SC'!BW96/'Midterm OVPAA-F-INS-055A RAW SC'!BW$17*100)</f>
        <v/>
      </c>
      <c r="BZ96" s="130" t="str">
        <f>IF('Midterm OVPAA-F-INS-055A RAW SC'!BX96="","",'Midterm OVPAA-F-INS-055A RAW SC'!BX96/'Midterm OVPAA-F-INS-055A RAW SC'!BX$17*100)</f>
        <v/>
      </c>
      <c r="CA96" s="130" t="str">
        <f>IF('Midterm OVPAA-F-INS-055A RAW SC'!BY96="","",'Midterm OVPAA-F-INS-055A RAW SC'!BY96/'Midterm OVPAA-F-INS-055A RAW SC'!BY$17*100)</f>
        <v/>
      </c>
      <c r="CB96" s="130" t="str">
        <f>IF('Midterm OVPAA-F-INS-055A RAW SC'!BZ96="","",'Midterm OVPAA-F-INS-055A RAW SC'!BZ96/'Midterm OVPAA-F-INS-055A RAW SC'!BZ$17*100)</f>
        <v/>
      </c>
      <c r="CC96" s="130" t="str">
        <f>IF('Midterm OVPAA-F-INS-055A RAW SC'!CA96="","",'Midterm OVPAA-F-INS-055A RAW SC'!CA96/'Midterm OVPAA-F-INS-055A RAW SC'!CA$17*100)</f>
        <v/>
      </c>
      <c r="CD96" s="130" t="str">
        <f>IF('Midterm OVPAA-F-INS-055A RAW SC'!CB96="","",'Midterm OVPAA-F-INS-055A RAW SC'!CB96/'Midterm OVPAA-F-INS-055A RAW SC'!CB$17*100)</f>
        <v/>
      </c>
      <c r="CE96" s="130" t="str">
        <f>IF('Midterm OVPAA-F-INS-055A RAW SC'!CC96="","",'Midterm OVPAA-F-INS-055A RAW SC'!CC96/'Midterm OVPAA-F-INS-055A RAW SC'!CC$17*100)</f>
        <v/>
      </c>
      <c r="CF96" s="130" t="str">
        <f>IF('Midterm OVPAA-F-INS-055A RAW SC'!CD96="","",'Midterm OVPAA-F-INS-055A RAW SC'!CD96/'Midterm OVPAA-F-INS-055A RAW SC'!CD$17*100)</f>
        <v/>
      </c>
      <c r="CG96" s="130" t="str">
        <f>IF('Midterm OVPAA-F-INS-055A RAW SC'!CE96="","",'Midterm OVPAA-F-INS-055A RAW SC'!CE96/'Midterm OVPAA-F-INS-055A RAW SC'!CE$17*100)</f>
        <v/>
      </c>
      <c r="CH96" s="130" t="str">
        <f>IF('Midterm OVPAA-F-INS-055A RAW SC'!CF96="","",'Midterm OVPAA-F-INS-055A RAW SC'!CF96/'Midterm OVPAA-F-INS-055A RAW SC'!CF$17*100)</f>
        <v/>
      </c>
      <c r="CI96" s="130" t="str">
        <f>IF('Midterm OVPAA-F-INS-055A RAW SC'!CG96="","",'Midterm OVPAA-F-INS-055A RAW SC'!CG96/'Midterm OVPAA-F-INS-055A RAW SC'!CG$17*100)</f>
        <v/>
      </c>
      <c r="CJ96" s="130" t="str">
        <f>IF('Midterm OVPAA-F-INS-055A RAW SC'!CH96="","",'Midterm OVPAA-F-INS-055A RAW SC'!CH96/'Midterm OVPAA-F-INS-055A RAW SC'!CH$17*100)</f>
        <v/>
      </c>
      <c r="CK96" s="130" t="str">
        <f>IF('Midterm OVPAA-F-INS-055A RAW SC'!CI96="","",'Midterm OVPAA-F-INS-055A RAW SC'!CI96/'Midterm OVPAA-F-INS-055A RAW SC'!CI$17*100)</f>
        <v/>
      </c>
      <c r="CL96" s="130" t="str">
        <f>IF('Midterm OVPAA-F-INS-055A RAW SC'!CJ96="","",'Midterm OVPAA-F-INS-055A RAW SC'!CJ96/'Midterm OVPAA-F-INS-055A RAW SC'!CJ$17*100)</f>
        <v/>
      </c>
      <c r="CM96" s="130" t="str">
        <f>IF('Midterm OVPAA-F-INS-055A RAW SC'!CK96="","",'Midterm OVPAA-F-INS-055A RAW SC'!CK96/'Midterm OVPAA-F-INS-055A RAW SC'!CK$17*100)</f>
        <v/>
      </c>
      <c r="CN96" s="130" t="str">
        <f>IF('Midterm OVPAA-F-INS-055A RAW SC'!CL96="","",'Midterm OVPAA-F-INS-055A RAW SC'!CL96/'Midterm OVPAA-F-INS-055A RAW SC'!CL$17*100)</f>
        <v/>
      </c>
      <c r="CO96" s="130" t="str">
        <f>IF('Midterm OVPAA-F-INS-055A RAW SC'!CM96="","",'Midterm OVPAA-F-INS-055A RAW SC'!CM96/'Midterm OVPAA-F-INS-055A RAW SC'!CM$17*100)</f>
        <v/>
      </c>
      <c r="CP96" s="130" t="str">
        <f>IF('Midterm OVPAA-F-INS-055A RAW SC'!CN96="","",'Midterm OVPAA-F-INS-055A RAW SC'!CN96/'Midterm OVPAA-F-INS-055A RAW SC'!CN$17*100)</f>
        <v/>
      </c>
      <c r="CQ96" s="131" t="str">
        <f t="array" ref="CQ96">IF('Midterm OVPAA-F-INS-055A RAW SC'!G96="","",IF((SUMPRODUCT(--ISBLANK('Midterm OVPAA-F-INS-055A RAW SC'!BU96:CN96))=COLUMNS('Midterm OVPAA-F-INS-055A RAW SC'!BU96:CN96))=TRUE,"",(((COUNTA('Midterm OVPAA-F-INS-055A RAW SC'!$BU$17:$CN$17)+COUNTBLANK('Midterm OVPAA-F-INS-055A RAW SC'!BU96:CN96))-COLUMNS('Midterm OVPAA-F-INS-055A RAW SC'!BU96:CN96))*5+SUM(BW96:CP96))/COUNTA('Midterm OVPAA-F-INS-055A RAW SC'!$BU$17:$CN$17)))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IF('Midterm OVPAA-F-INS-055A RAW SC'!CO96="","",'Midterm OVPAA-F-INS-055A RAW SC'!CO96/'Midterm OVPAA-F-INS-055A RAW SC'!CO$17*100)</f>
        <v/>
      </c>
      <c r="CT96" s="133" t="str">
        <f>IF('Midterm OVPAA-F-INS-055A RAW SC'!CP96="","",'Midterm OVPAA-F-INS-055A RAW SC'!CP96/'Midterm OVPAA-F-INS-055A RAW SC'!CP$17*100)</f>
        <v/>
      </c>
      <c r="CU96" s="133" t="str">
        <f>IF('Midterm OVPAA-F-INS-055A RAW SC'!CQ96="","",'Midterm OVPAA-F-INS-055A RAW SC'!CQ96/'Midterm OVPAA-F-INS-055A RAW SC'!CQ$17*100)</f>
        <v/>
      </c>
      <c r="CV96" s="133" t="str">
        <f>IF('Midterm OVPAA-F-INS-055A RAW SC'!CR96="","",'Midterm OVPAA-F-INS-055A RAW SC'!CR96/'Midterm OVPAA-F-INS-055A RAW SC'!CR$17*100)</f>
        <v/>
      </c>
      <c r="CW96" s="133" t="str">
        <f>IF('Midterm OVPAA-F-INS-055A RAW SC'!CS96="","",'Midterm OVPAA-F-INS-055A RAW SC'!CS96/'Midterm OVPAA-F-INS-055A RAW SC'!CS$17*100)</f>
        <v/>
      </c>
      <c r="CX96" s="133" t="str">
        <f>IF('Midterm OVPAA-F-INS-055A RAW SC'!CT96="","",'Midterm OVPAA-F-INS-055A RAW SC'!CT96/'Midterm OVPAA-F-INS-055A RAW SC'!CT$17*100)</f>
        <v/>
      </c>
      <c r="CY96" s="133" t="str">
        <f>IF('Midterm OVPAA-F-INS-055A RAW SC'!CU96="","",'Midterm OVPAA-F-INS-055A RAW SC'!CU96/'Midterm OVPAA-F-INS-055A RAW SC'!CU$17*100)</f>
        <v/>
      </c>
      <c r="CZ96" s="133" t="str">
        <f>IF('Midterm OVPAA-F-INS-055A RAW SC'!CV96="","",'Midterm OVPAA-F-INS-055A RAW SC'!CV96/'Midterm OVPAA-F-INS-055A RAW SC'!CV$17*100)</f>
        <v/>
      </c>
      <c r="DA96" s="133" t="str">
        <f>IF('Midterm OVPAA-F-INS-055A RAW SC'!CW96="","",'Midterm OVPAA-F-INS-055A RAW SC'!CW96/'Midterm OVPAA-F-INS-055A RAW SC'!CW$17*100)</f>
        <v/>
      </c>
      <c r="DB96" s="133" t="str">
        <f>IF('Midterm OVPAA-F-INS-055A RAW SC'!CX96="","",'Midterm OVPAA-F-INS-055A RAW SC'!CX96/'Midterm OVPAA-F-INS-055A RAW SC'!CX$17*100)</f>
        <v/>
      </c>
      <c r="DC96" s="134" t="str">
        <f t="array" ref="DC96">IF('Midterm OVPAA-F-INS-055A RAW SC'!$G96="","",IF((SUMPRODUCT(--ISBLANK('Midterm OVPAA-F-INS-055A RAW SC'!CO96:CX96))=COLUMNS('Midterm OVPAA-F-INS-055A RAW SC'!CO96:CX96))=TRUE,"",(((COUNTA('Midterm OVPAA-F-INS-055A RAW SC'!$CO$17:$CX$17)+COUNTBLANK('Midterm OVPAA-F-INS-055A RAW SC'!CO96:CX96))-COLUMNS('Midterm OVPAA-F-INS-055A RAW SC'!CO96:CX96))*5+SUM(CS96:DB96))/COUNTA('Midterm OVPAA-F-INS-055A RAW SC'!$CO$17:$CX$17)))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37" t="str">
        <f t="shared" si="2"/>
        <v/>
      </c>
      <c r="DG96" s="138" t="str">
        <f t="shared" si="3"/>
        <v/>
      </c>
      <c r="DH96" s="136" t="str">
        <f t="shared" si="4"/>
        <v/>
      </c>
      <c r="DI96" s="123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IF('Midterm OVPAA-F-INS-055A RAW SC'!H97="","",'Midterm OVPAA-F-INS-055A RAW SC'!H97/'Midterm OVPAA-F-INS-055A RAW SC'!H$17*100)</f>
        <v/>
      </c>
      <c r="I97" s="126" t="str">
        <f>IF('Midterm OVPAA-F-INS-055A RAW SC'!I97="","",'Midterm OVPAA-F-INS-055A RAW SC'!I97/'Midterm OVPAA-F-INS-055A RAW SC'!I$17*100)</f>
        <v/>
      </c>
      <c r="J97" s="126" t="str">
        <f>IF('Midterm OVPAA-F-INS-055A RAW SC'!J97="","",'Midterm OVPAA-F-INS-055A RAW SC'!J97/'Midterm OVPAA-F-INS-055A RAW SC'!J$17*100)</f>
        <v/>
      </c>
      <c r="K97" s="126" t="str">
        <f>IF('Midterm OVPAA-F-INS-055A RAW SC'!K97="","",'Midterm OVPAA-F-INS-055A RAW SC'!K97/'Midterm OVPAA-F-INS-055A RAW SC'!K$17*100)</f>
        <v/>
      </c>
      <c r="L97" s="126" t="str">
        <f>IF('Midterm OVPAA-F-INS-055A RAW SC'!L97="","",'Midterm OVPAA-F-INS-055A RAW SC'!L97/'Midterm OVPAA-F-INS-055A RAW SC'!L$17*100)</f>
        <v/>
      </c>
      <c r="M97" s="126" t="str">
        <f>IF('Midterm OVPAA-F-INS-055A RAW SC'!M97="","",'Midterm OVPAA-F-INS-055A RAW SC'!M97/'Midterm OVPAA-F-INS-055A RAW SC'!M$17*100)</f>
        <v/>
      </c>
      <c r="N97" s="126" t="str">
        <f>IF('Midterm OVPAA-F-INS-055A RAW SC'!N97="","",'Midterm OVPAA-F-INS-055A RAW SC'!N97/'Midterm OVPAA-F-INS-055A RAW SC'!N$17*100)</f>
        <v/>
      </c>
      <c r="O97" s="126" t="str">
        <f>IF('Midterm OVPAA-F-INS-055A RAW SC'!O97="","",'Midterm OVPAA-F-INS-055A RAW SC'!O97/'Midterm OVPAA-F-INS-055A RAW SC'!O$17*100)</f>
        <v/>
      </c>
      <c r="P97" s="126" t="str">
        <f>IF('Midterm OVPAA-F-INS-055A RAW SC'!P97="","",'Midterm OVPAA-F-INS-055A RAW SC'!P97/'Midterm OVPAA-F-INS-055A RAW SC'!P$17*100)</f>
        <v/>
      </c>
      <c r="Q97" s="126" t="str">
        <f>IF('Midterm OVPAA-F-INS-055A RAW SC'!Q97="","",'Midterm OVPAA-F-INS-055A RAW SC'!Q97/'Midterm OVPAA-F-INS-055A RAW SC'!Q$17*100)</f>
        <v/>
      </c>
      <c r="R97" s="126" t="str">
        <f>IF('Midterm OVPAA-F-INS-055A RAW SC'!R97="","",'Midterm OVPAA-F-INS-055A RAW SC'!R97/'Midterm OVPAA-F-INS-055A RAW SC'!R$17*100)</f>
        <v/>
      </c>
      <c r="S97" s="126" t="str">
        <f>IF('Midterm OVPAA-F-INS-055A RAW SC'!S97="","",'Midterm OVPAA-F-INS-055A RAW SC'!S97/'Midterm OVPAA-F-INS-055A RAW SC'!S$17*100)</f>
        <v/>
      </c>
      <c r="T97" s="126" t="str">
        <f>IF('Midterm OVPAA-F-INS-055A RAW SC'!T97="","",'Midterm OVPAA-F-INS-055A RAW SC'!T97/'Midterm OVPAA-F-INS-055A RAW SC'!T$17*100)</f>
        <v/>
      </c>
      <c r="U97" s="126" t="str">
        <f>IF('Midterm OVPAA-F-INS-055A RAW SC'!U97="","",'Midterm OVPAA-F-INS-055A RAW SC'!U97/'Midterm OVPAA-F-INS-055A RAW SC'!U$17*100)</f>
        <v/>
      </c>
      <c r="V97" s="126" t="str">
        <f>IF('Midterm OVPAA-F-INS-055A RAW SC'!V97="","",'Midterm OVPAA-F-INS-055A RAW SC'!V97/'Midterm OVPAA-F-INS-055A RAW SC'!V$17*100)</f>
        <v/>
      </c>
      <c r="W97" s="126" t="str">
        <f>IF('Midterm OVPAA-F-INS-055A RAW SC'!W97="","",'Midterm OVPAA-F-INS-055A RAW SC'!W97/'Midterm OVPAA-F-INS-055A RAW SC'!W$17*100)</f>
        <v/>
      </c>
      <c r="X97" s="126" t="str">
        <f>IF('Midterm OVPAA-F-INS-055A RAW SC'!X97="","",'Midterm OVPAA-F-INS-055A RAW SC'!X97/'Midterm OVPAA-F-INS-055A RAW SC'!X$17*100)</f>
        <v/>
      </c>
      <c r="Y97" s="126" t="str">
        <f>IF('Midterm OVPAA-F-INS-055A RAW SC'!Y97="","",'Midterm OVPAA-F-INS-055A RAW SC'!Y97/'Midterm OVPAA-F-INS-055A RAW SC'!Y$17*100)</f>
        <v/>
      </c>
      <c r="Z97" s="126" t="str">
        <f>IF('Midterm OVPAA-F-INS-055A RAW SC'!Z97="","",'Midterm OVPAA-F-INS-055A RAW SC'!Z97/'Midterm OVPAA-F-INS-055A RAW SC'!Z$17*100)</f>
        <v/>
      </c>
      <c r="AA97" s="126" t="str">
        <f>IF('Midterm OVPAA-F-INS-055A RAW SC'!AA97="","",'Midterm OVPAA-F-INS-055A RAW SC'!AA97/'Midterm OVPAA-F-INS-055A RAW SC'!AA$17*100)</f>
        <v/>
      </c>
      <c r="AB97" s="126" t="str">
        <f>IF('Midterm OVPAA-F-INS-055A RAW SC'!AB97="","",'Midterm OVPAA-F-INS-055A RAW SC'!AB97/'Midterm OVPAA-F-INS-055A RAW SC'!AB$17*100)</f>
        <v/>
      </c>
      <c r="AC97" s="126" t="str">
        <f>IF('Midterm OVPAA-F-INS-055A RAW SC'!AC97="","",'Midterm OVPAA-F-INS-055A RAW SC'!AC97/'Midterm OVPAA-F-INS-055A RAW SC'!AC$17*100)</f>
        <v/>
      </c>
      <c r="AD97" s="126" t="str">
        <f>IF('Midterm OVPAA-F-INS-055A RAW SC'!AD97="","",'Midterm OVPAA-F-INS-055A RAW SC'!AD97/'Midterm OVPAA-F-INS-055A RAW SC'!AD$17*100)</f>
        <v/>
      </c>
      <c r="AE97" s="126" t="str">
        <f>IF('Midterm OVPAA-F-INS-055A RAW SC'!AE97="","",'Midterm OVPAA-F-INS-055A RAW SC'!AE97/'Midterm OVPAA-F-INS-055A RAW SC'!AE$17*100)</f>
        <v/>
      </c>
      <c r="AF97" s="126" t="str">
        <f>IF('Midterm OVPAA-F-INS-055A RAW SC'!AF97="","",'Midterm OVPAA-F-INS-055A RAW SC'!AF97/'Midterm OVPAA-F-INS-055A RAW SC'!AF$17*100)</f>
        <v/>
      </c>
      <c r="AG97" s="126" t="str">
        <f>IF('Midterm OVPAA-F-INS-055A RAW SC'!AG97="","",'Midterm OVPAA-F-INS-055A RAW SC'!AG97/'Midterm OVPAA-F-INS-055A RAW SC'!AG$17*100)</f>
        <v/>
      </c>
      <c r="AH97" s="126" t="str">
        <f>IF('Midterm OVPAA-F-INS-055A RAW SC'!AH97="","",'Midterm OVPAA-F-INS-055A RAW SC'!AH97/'Midterm OVPAA-F-INS-055A RAW SC'!AH$17*100)</f>
        <v/>
      </c>
      <c r="AI97" s="126" t="str">
        <f>IF('Midterm OVPAA-F-INS-055A RAW SC'!AI97="","",'Midterm OVPAA-F-INS-055A RAW SC'!AI97/'Midterm OVPAA-F-INS-055A RAW SC'!AI$17*100)</f>
        <v/>
      </c>
      <c r="AJ97" s="126" t="str">
        <f>IF('Midterm OVPAA-F-INS-055A RAW SC'!AJ97="","",'Midterm OVPAA-F-INS-055A RAW SC'!AJ97/'Midterm OVPAA-F-INS-055A RAW SC'!AJ$17*100)</f>
        <v/>
      </c>
      <c r="AK97" s="126" t="str">
        <f>IF('Midterm OVPAA-F-INS-055A RAW SC'!AK97="","",'Midterm OVPAA-F-INS-055A RAW SC'!AK97/'Midterm OVPAA-F-INS-055A RAW SC'!AK$17*100)</f>
        <v/>
      </c>
      <c r="AL97" s="126" t="str">
        <f>IF('Midterm OVPAA-F-INS-055A RAW SC'!AL97="","",'Midterm OVPAA-F-INS-055A RAW SC'!AL97/'Midterm OVPAA-F-INS-055A RAW SC'!AL$17*100)</f>
        <v/>
      </c>
      <c r="AM97" s="126" t="str">
        <f>IF('Midterm OVPAA-F-INS-055A RAW SC'!AM97="","",'Midterm OVPAA-F-INS-055A RAW SC'!AM97/'Midterm OVPAA-F-INS-055A RAW SC'!AM$17*100)</f>
        <v/>
      </c>
      <c r="AN97" s="126" t="str">
        <f>IF('Midterm OVPAA-F-INS-055A RAW SC'!AN97="","",'Midterm OVPAA-F-INS-055A RAW SC'!AN97/'Midterm OVPAA-F-INS-055A RAW SC'!AN$17*100)</f>
        <v/>
      </c>
      <c r="AO97" s="126" t="str">
        <f>IF('Midterm OVPAA-F-INS-055A RAW SC'!AO97="","",'Midterm OVPAA-F-INS-055A RAW SC'!AO97/'Midterm OVPAA-F-INS-055A RAW SC'!AO$17*100)</f>
        <v/>
      </c>
      <c r="AP97" s="126" t="str">
        <f>IF('Midterm OVPAA-F-INS-055A RAW SC'!AP97="","",'Midterm OVPAA-F-INS-055A RAW SC'!AP97/'Midterm OVPAA-F-INS-055A RAW SC'!AP$17*100)</f>
        <v/>
      </c>
      <c r="AQ97" s="126" t="str">
        <f>IF('Midterm OVPAA-F-INS-055A RAW SC'!AQ97="","",'Midterm OVPAA-F-INS-055A RAW SC'!AQ97/'Midterm OVPAA-F-INS-055A RAW SC'!AQ$17*100)</f>
        <v/>
      </c>
      <c r="AR97" s="126" t="str">
        <f>IF('Midterm OVPAA-F-INS-055A RAW SC'!AR97="","",'Midterm OVPAA-F-INS-055A RAW SC'!AR97/'Midterm OVPAA-F-INS-055A RAW SC'!AR$17*100)</f>
        <v/>
      </c>
      <c r="AS97" s="126" t="str">
        <f>IF('Midterm OVPAA-F-INS-055A RAW SC'!AS97="","",'Midterm OVPAA-F-INS-055A RAW SC'!AS97/'Midterm OVPAA-F-INS-055A RAW SC'!AS$17*100)</f>
        <v/>
      </c>
      <c r="AT97" s="126" t="str">
        <f>IF('Midterm OVPAA-F-INS-055A RAW SC'!AT97="","",'Midterm OVPAA-F-INS-055A RAW SC'!AT97/'Midterm OVPAA-F-INS-055A RAW SC'!AT$17*100)</f>
        <v/>
      </c>
      <c r="AU97" s="126" t="str">
        <f>IF('Midterm OVPAA-F-INS-055A RAW SC'!AU97="","",'Midterm OVPAA-F-INS-055A RAW SC'!AU97/'Midterm OVPAA-F-INS-055A RAW SC'!AU$17*100)</f>
        <v/>
      </c>
      <c r="AV97" s="126" t="str">
        <f>IF('Midterm OVPAA-F-INS-055A RAW SC'!AV97="","",'Midterm OVPAA-F-INS-055A RAW SC'!AV97/'Midterm OVPAA-F-INS-055A RAW SC'!AV$17*100)</f>
        <v/>
      </c>
      <c r="AW97" s="126" t="str">
        <f>IF('Midterm OVPAA-F-INS-055A RAW SC'!AW97="","",'Midterm OVPAA-F-INS-055A RAW SC'!AW97/'Midterm OVPAA-F-INS-055A RAW SC'!AW$17*100)</f>
        <v/>
      </c>
      <c r="AX97" s="126" t="str">
        <f>IF('Midterm OVPAA-F-INS-055A RAW SC'!AX97="","",'Midterm OVPAA-F-INS-055A RAW SC'!AX97/'Midterm OVPAA-F-INS-055A RAW SC'!AX$17*100)</f>
        <v/>
      </c>
      <c r="AY97" s="126" t="str">
        <f>IF('Midterm OVPAA-F-INS-055A RAW SC'!AY97="","",'Midterm OVPAA-F-INS-055A RAW SC'!AY97/'Midterm OVPAA-F-INS-055A RAW SC'!AY$17*100)</f>
        <v/>
      </c>
      <c r="AZ97" s="126" t="str">
        <f>IF('Midterm OVPAA-F-INS-055A RAW SC'!AZ97="","",'Midterm OVPAA-F-INS-055A RAW SC'!AZ97/'Midterm OVPAA-F-INS-055A RAW SC'!AZ$17*100)</f>
        <v/>
      </c>
      <c r="BA97" s="126" t="str">
        <f>IF('Midterm OVPAA-F-INS-055A RAW SC'!BA97="","",'Midterm OVPAA-F-INS-055A RAW SC'!BA97/'Midterm OVPAA-F-INS-055A RAW SC'!BA$17*100)</f>
        <v/>
      </c>
      <c r="BB97" s="126" t="str">
        <f>IF('Midterm OVPAA-F-INS-055A RAW SC'!BB97="","",'Midterm OVPAA-F-INS-055A RAW SC'!BB97/'Midterm OVPAA-F-INS-055A RAW SC'!BB$17*100)</f>
        <v/>
      </c>
      <c r="BC97" s="126" t="str">
        <f>IF('Midterm OVPAA-F-INS-055A RAW SC'!BC97="","",'Midterm OVPAA-F-INS-055A RAW SC'!BC97/'Midterm OVPAA-F-INS-055A RAW SC'!BC$17*100)</f>
        <v/>
      </c>
      <c r="BD97" s="126" t="str">
        <f>IF('Midterm OVPAA-F-INS-055A RAW SC'!BD97="","",'Midterm OVPAA-F-INS-055A RAW SC'!BD97/'Midterm OVPAA-F-INS-055A RAW SC'!BD$17*100)</f>
        <v/>
      </c>
      <c r="BE97" s="126" t="str">
        <f>IF('Midterm OVPAA-F-INS-055A RAW SC'!BE97="","",'Midterm OVPAA-F-INS-055A RAW SC'!BE97/'Midterm OVPAA-F-INS-055A RAW SC'!BE$17*100)</f>
        <v/>
      </c>
      <c r="BF97" s="126" t="str">
        <f>IF('Midterm OVPAA-F-INS-055A RAW SC'!BF97="","",'Midterm OVPAA-F-INS-055A RAW SC'!BF97/'Midterm OVPAA-F-INS-055A RAW SC'!BF$17*100)</f>
        <v/>
      </c>
      <c r="BG97" s="126" t="str">
        <f>IF('Midterm OVPAA-F-INS-055A RAW SC'!BG97="","",'Midterm OVPAA-F-INS-055A RAW SC'!BG97/'Midterm OVPAA-F-INS-055A RAW SC'!BG$17*100)</f>
        <v/>
      </c>
      <c r="BH97" s="126" t="str">
        <f>IF('Midterm OVPAA-F-INS-055A RAW SC'!BH97="","",'Midterm OVPAA-F-INS-055A RAW SC'!BH97/'Midterm OVPAA-F-INS-055A RAW SC'!BH$17*100)</f>
        <v/>
      </c>
      <c r="BI97" s="126" t="str">
        <f>IF('Midterm OVPAA-F-INS-055A RAW SC'!BI97="","",'Midterm OVPAA-F-INS-055A RAW SC'!BI97/'Midterm OVPAA-F-INS-055A RAW SC'!BI$17*100)</f>
        <v/>
      </c>
      <c r="BJ97" s="126" t="str">
        <f>IF('Midterm OVPAA-F-INS-055A RAW SC'!BJ97="","",'Midterm OVPAA-F-INS-055A RAW SC'!BJ97/'Midterm OVPAA-F-INS-055A RAW SC'!BJ$17*100)</f>
        <v/>
      </c>
      <c r="BK97" s="126" t="str">
        <f>IF('Midterm OVPAA-F-INS-055A RAW SC'!BK97="","",'Midterm OVPAA-F-INS-055A RAW SC'!BK97/'Midterm OVPAA-F-INS-055A RAW SC'!BK$17*100)</f>
        <v/>
      </c>
      <c r="BL97" s="126" t="str">
        <f>IF('Midterm OVPAA-F-INS-055A RAW SC'!BL97="","",'Midterm OVPAA-F-INS-055A RAW SC'!BL97/'Midterm OVPAA-F-INS-055A RAW SC'!BL$17*100)</f>
        <v/>
      </c>
      <c r="BM97" s="126" t="str">
        <f>IF('Midterm OVPAA-F-INS-055A RAW SC'!BM97="","",'Midterm OVPAA-F-INS-055A RAW SC'!BM97/'Midterm OVPAA-F-INS-055A RAW SC'!BM$17*100)</f>
        <v/>
      </c>
      <c r="BN97" s="126" t="str">
        <f>IF('Midterm OVPAA-F-INS-055A RAW SC'!BN97="","",'Midterm OVPAA-F-INS-055A RAW SC'!BN97/'Midterm OVPAA-F-INS-055A RAW SC'!BN$17*100)</f>
        <v/>
      </c>
      <c r="BO97" s="126" t="str">
        <f>IF('Midterm OVPAA-F-INS-055A RAW SC'!BO97="","",'Midterm OVPAA-F-INS-055A RAW SC'!BO97/'Midterm OVPAA-F-INS-055A RAW SC'!BO$17*100)</f>
        <v/>
      </c>
      <c r="BP97" s="126" t="str">
        <f>IF('Midterm OVPAA-F-INS-055A RAW SC'!BP97="","",'Midterm OVPAA-F-INS-055A RAW SC'!BP97/'Midterm OVPAA-F-INS-055A RAW SC'!BP$17*100)</f>
        <v/>
      </c>
      <c r="BQ97" s="126" t="str">
        <f>IF('Midterm OVPAA-F-INS-055A RAW SC'!BQ97="","",'Midterm OVPAA-F-INS-055A RAW SC'!BQ97/'Midterm OVPAA-F-INS-055A RAW SC'!BQ$17*100)</f>
        <v/>
      </c>
      <c r="BR97" s="126" t="str">
        <f>IF('Midterm OVPAA-F-INS-055A RAW SC'!BR97="","",'Midterm OVPAA-F-INS-055A RAW SC'!BR97/'Midterm OVPAA-F-INS-055A RAW SC'!BR$17*100)</f>
        <v/>
      </c>
      <c r="BS97" s="126" t="str">
        <f>IF('Midterm OVPAA-F-INS-055A RAW SC'!BS97="","",'Midterm OVPAA-F-INS-055A RAW SC'!BS97/'Midterm OVPAA-F-INS-055A RAW SC'!BS$17*100)</f>
        <v/>
      </c>
      <c r="BT97" s="126" t="str">
        <f>IF('Midterm OVPAA-F-INS-055A RAW SC'!BT97="","",'Midterm OVPAA-F-INS-055A RAW SC'!BT97/'Midterm OVPAA-F-INS-055A RAW SC'!BT$17*100)</f>
        <v/>
      </c>
      <c r="BU97" s="127" t="str">
        <f t="array" ref="BU97">IF('Midterm OVPAA-F-INS-055A RAW SC'!$G97="","",IF((SUMPRODUCT(--ISBLANK('Midterm OVPAA-F-INS-055A RAW SC'!H97:BT97))=COLUMNS('Midterm OVPAA-F-INS-055A RAW SC'!H97:BT97))=TRUE,"",(((COUNTA('Midterm OVPAA-F-INS-055A RAW SC'!$H$17:$BT$17)+COUNTBLANK('Midterm OVPAA-F-INS-055A RAW SC'!H97:BT97))-COLUMNS('Midterm OVPAA-F-INS-055A RAW SC'!H97:BT97))*5+SUM(H97:BT97))/COUNTA('Midterm OVPAA-F-INS-055A RAW SC'!$H$17:$BT$17)))</f>
        <v/>
      </c>
      <c r="BV97" s="128" t="str">
        <f>IF(BU97="","",VLOOKUP(BU97,IF('Midterm OVPAA-F-INS-055A RAW SC'!$V$12=0.5,TRANSMUTATION!$C$4:$D$17,TRANSMUTATION!$G$4:$H$17),2,TRUE))</f>
        <v/>
      </c>
      <c r="BW97" s="129" t="str">
        <f>IF('Midterm OVPAA-F-INS-055A RAW SC'!BU97="","",'Midterm OVPAA-F-INS-055A RAW SC'!BU97/'Midterm OVPAA-F-INS-055A RAW SC'!BU$17*100)</f>
        <v/>
      </c>
      <c r="BX97" s="130" t="str">
        <f>IF('Midterm OVPAA-F-INS-055A RAW SC'!BV97="","",'Midterm OVPAA-F-INS-055A RAW SC'!BV97/'Midterm OVPAA-F-INS-055A RAW SC'!BV$17*100)</f>
        <v/>
      </c>
      <c r="BY97" s="130" t="str">
        <f>IF('Midterm OVPAA-F-INS-055A RAW SC'!BW97="","",'Midterm OVPAA-F-INS-055A RAW SC'!BW97/'Midterm OVPAA-F-INS-055A RAW SC'!BW$17*100)</f>
        <v/>
      </c>
      <c r="BZ97" s="130" t="str">
        <f>IF('Midterm OVPAA-F-INS-055A RAW SC'!BX97="","",'Midterm OVPAA-F-INS-055A RAW SC'!BX97/'Midterm OVPAA-F-INS-055A RAW SC'!BX$17*100)</f>
        <v/>
      </c>
      <c r="CA97" s="130" t="str">
        <f>IF('Midterm OVPAA-F-INS-055A RAW SC'!BY97="","",'Midterm OVPAA-F-INS-055A RAW SC'!BY97/'Midterm OVPAA-F-INS-055A RAW SC'!BY$17*100)</f>
        <v/>
      </c>
      <c r="CB97" s="130" t="str">
        <f>IF('Midterm OVPAA-F-INS-055A RAW SC'!BZ97="","",'Midterm OVPAA-F-INS-055A RAW SC'!BZ97/'Midterm OVPAA-F-INS-055A RAW SC'!BZ$17*100)</f>
        <v/>
      </c>
      <c r="CC97" s="130" t="str">
        <f>IF('Midterm OVPAA-F-INS-055A RAW SC'!CA97="","",'Midterm OVPAA-F-INS-055A RAW SC'!CA97/'Midterm OVPAA-F-INS-055A RAW SC'!CA$17*100)</f>
        <v/>
      </c>
      <c r="CD97" s="130" t="str">
        <f>IF('Midterm OVPAA-F-INS-055A RAW SC'!CB97="","",'Midterm OVPAA-F-INS-055A RAW SC'!CB97/'Midterm OVPAA-F-INS-055A RAW SC'!CB$17*100)</f>
        <v/>
      </c>
      <c r="CE97" s="130" t="str">
        <f>IF('Midterm OVPAA-F-INS-055A RAW SC'!CC97="","",'Midterm OVPAA-F-INS-055A RAW SC'!CC97/'Midterm OVPAA-F-INS-055A RAW SC'!CC$17*100)</f>
        <v/>
      </c>
      <c r="CF97" s="130" t="str">
        <f>IF('Midterm OVPAA-F-INS-055A RAW SC'!CD97="","",'Midterm OVPAA-F-INS-055A RAW SC'!CD97/'Midterm OVPAA-F-INS-055A RAW SC'!CD$17*100)</f>
        <v/>
      </c>
      <c r="CG97" s="130" t="str">
        <f>IF('Midterm OVPAA-F-INS-055A RAW SC'!CE97="","",'Midterm OVPAA-F-INS-055A RAW SC'!CE97/'Midterm OVPAA-F-INS-055A RAW SC'!CE$17*100)</f>
        <v/>
      </c>
      <c r="CH97" s="130" t="str">
        <f>IF('Midterm OVPAA-F-INS-055A RAW SC'!CF97="","",'Midterm OVPAA-F-INS-055A RAW SC'!CF97/'Midterm OVPAA-F-INS-055A RAW SC'!CF$17*100)</f>
        <v/>
      </c>
      <c r="CI97" s="130" t="str">
        <f>IF('Midterm OVPAA-F-INS-055A RAW SC'!CG97="","",'Midterm OVPAA-F-INS-055A RAW SC'!CG97/'Midterm OVPAA-F-INS-055A RAW SC'!CG$17*100)</f>
        <v/>
      </c>
      <c r="CJ97" s="130" t="str">
        <f>IF('Midterm OVPAA-F-INS-055A RAW SC'!CH97="","",'Midterm OVPAA-F-INS-055A RAW SC'!CH97/'Midterm OVPAA-F-INS-055A RAW SC'!CH$17*100)</f>
        <v/>
      </c>
      <c r="CK97" s="130" t="str">
        <f>IF('Midterm OVPAA-F-INS-055A RAW SC'!CI97="","",'Midterm OVPAA-F-INS-055A RAW SC'!CI97/'Midterm OVPAA-F-INS-055A RAW SC'!CI$17*100)</f>
        <v/>
      </c>
      <c r="CL97" s="130" t="str">
        <f>IF('Midterm OVPAA-F-INS-055A RAW SC'!CJ97="","",'Midterm OVPAA-F-INS-055A RAW SC'!CJ97/'Midterm OVPAA-F-INS-055A RAW SC'!CJ$17*100)</f>
        <v/>
      </c>
      <c r="CM97" s="130" t="str">
        <f>IF('Midterm OVPAA-F-INS-055A RAW SC'!CK97="","",'Midterm OVPAA-F-INS-055A RAW SC'!CK97/'Midterm OVPAA-F-INS-055A RAW SC'!CK$17*100)</f>
        <v/>
      </c>
      <c r="CN97" s="130" t="str">
        <f>IF('Midterm OVPAA-F-INS-055A RAW SC'!CL97="","",'Midterm OVPAA-F-INS-055A RAW SC'!CL97/'Midterm OVPAA-F-INS-055A RAW SC'!CL$17*100)</f>
        <v/>
      </c>
      <c r="CO97" s="130" t="str">
        <f>IF('Midterm OVPAA-F-INS-055A RAW SC'!CM97="","",'Midterm OVPAA-F-INS-055A RAW SC'!CM97/'Midterm OVPAA-F-INS-055A RAW SC'!CM$17*100)</f>
        <v/>
      </c>
      <c r="CP97" s="130" t="str">
        <f>IF('Midterm OVPAA-F-INS-055A RAW SC'!CN97="","",'Midterm OVPAA-F-INS-055A RAW SC'!CN97/'Midterm OVPAA-F-INS-055A RAW SC'!CN$17*100)</f>
        <v/>
      </c>
      <c r="CQ97" s="131" t="str">
        <f t="array" ref="CQ97">IF('Midterm OVPAA-F-INS-055A RAW SC'!G97="","",IF((SUMPRODUCT(--ISBLANK('Midterm OVPAA-F-INS-055A RAW SC'!BU97:CN97))=COLUMNS('Midterm OVPAA-F-INS-055A RAW SC'!BU97:CN97))=TRUE,"",(((COUNTA('Midterm OVPAA-F-INS-055A RAW SC'!$BU$17:$CN$17)+COUNTBLANK('Midterm OVPAA-F-INS-055A RAW SC'!BU97:CN97))-COLUMNS('Midterm OVPAA-F-INS-055A RAW SC'!BU97:CN97))*5+SUM(BW97:CP97))/COUNTA('Midterm OVPAA-F-INS-055A RAW SC'!$BU$17:$CN$17)))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IF('Midterm OVPAA-F-INS-055A RAW SC'!CO97="","",'Midterm OVPAA-F-INS-055A RAW SC'!CO97/'Midterm OVPAA-F-INS-055A RAW SC'!CO$17*100)</f>
        <v/>
      </c>
      <c r="CT97" s="133" t="str">
        <f>IF('Midterm OVPAA-F-INS-055A RAW SC'!CP97="","",'Midterm OVPAA-F-INS-055A RAW SC'!CP97/'Midterm OVPAA-F-INS-055A RAW SC'!CP$17*100)</f>
        <v/>
      </c>
      <c r="CU97" s="133" t="str">
        <f>IF('Midterm OVPAA-F-INS-055A RAW SC'!CQ97="","",'Midterm OVPAA-F-INS-055A RAW SC'!CQ97/'Midterm OVPAA-F-INS-055A RAW SC'!CQ$17*100)</f>
        <v/>
      </c>
      <c r="CV97" s="133" t="str">
        <f>IF('Midterm OVPAA-F-INS-055A RAW SC'!CR97="","",'Midterm OVPAA-F-INS-055A RAW SC'!CR97/'Midterm OVPAA-F-INS-055A RAW SC'!CR$17*100)</f>
        <v/>
      </c>
      <c r="CW97" s="133" t="str">
        <f>IF('Midterm OVPAA-F-INS-055A RAW SC'!CS97="","",'Midterm OVPAA-F-INS-055A RAW SC'!CS97/'Midterm OVPAA-F-INS-055A RAW SC'!CS$17*100)</f>
        <v/>
      </c>
      <c r="CX97" s="133" t="str">
        <f>IF('Midterm OVPAA-F-INS-055A RAW SC'!CT97="","",'Midterm OVPAA-F-INS-055A RAW SC'!CT97/'Midterm OVPAA-F-INS-055A RAW SC'!CT$17*100)</f>
        <v/>
      </c>
      <c r="CY97" s="133" t="str">
        <f>IF('Midterm OVPAA-F-INS-055A RAW SC'!CU97="","",'Midterm OVPAA-F-INS-055A RAW SC'!CU97/'Midterm OVPAA-F-INS-055A RAW SC'!CU$17*100)</f>
        <v/>
      </c>
      <c r="CZ97" s="133" t="str">
        <f>IF('Midterm OVPAA-F-INS-055A RAW SC'!CV97="","",'Midterm OVPAA-F-INS-055A RAW SC'!CV97/'Midterm OVPAA-F-INS-055A RAW SC'!CV$17*100)</f>
        <v/>
      </c>
      <c r="DA97" s="133" t="str">
        <f>IF('Midterm OVPAA-F-INS-055A RAW SC'!CW97="","",'Midterm OVPAA-F-INS-055A RAW SC'!CW97/'Midterm OVPAA-F-INS-055A RAW SC'!CW$17*100)</f>
        <v/>
      </c>
      <c r="DB97" s="133" t="str">
        <f>IF('Midterm OVPAA-F-INS-055A RAW SC'!CX97="","",'Midterm OVPAA-F-INS-055A RAW SC'!CX97/'Midterm OVPAA-F-INS-055A RAW SC'!CX$17*100)</f>
        <v/>
      </c>
      <c r="DC97" s="134" t="str">
        <f t="array" ref="DC97">IF('Midterm OVPAA-F-INS-055A RAW SC'!$G97="","",IF((SUMPRODUCT(--ISBLANK('Midterm OVPAA-F-INS-055A RAW SC'!CO97:CX97))=COLUMNS('Midterm OVPAA-F-INS-055A RAW SC'!CO97:CX97))=TRUE,"",(((COUNTA('Midterm OVPAA-F-INS-055A RAW SC'!$CO$17:$CX$17)+COUNTBLANK('Midterm OVPAA-F-INS-055A RAW SC'!CO97:CX97))-COLUMNS('Midterm OVPAA-F-INS-055A RAW SC'!CO97:CX97))*5+SUM(CS97:DB97))/COUNTA('Midterm OVPAA-F-INS-055A RAW SC'!$CO$17:$CX$17)))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37" t="str">
        <f t="shared" si="2"/>
        <v/>
      </c>
      <c r="DG97" s="138" t="str">
        <f t="shared" si="3"/>
        <v/>
      </c>
      <c r="DH97" s="136" t="str">
        <f t="shared" si="4"/>
        <v/>
      </c>
      <c r="DI97" s="123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IF('Midterm OVPAA-F-INS-055A RAW SC'!H98="","",'Midterm OVPAA-F-INS-055A RAW SC'!H98/'Midterm OVPAA-F-INS-055A RAW SC'!H$17*100)</f>
        <v/>
      </c>
      <c r="I98" s="126" t="str">
        <f>IF('Midterm OVPAA-F-INS-055A RAW SC'!I98="","",'Midterm OVPAA-F-INS-055A RAW SC'!I98/'Midterm OVPAA-F-INS-055A RAW SC'!I$17*100)</f>
        <v/>
      </c>
      <c r="J98" s="126" t="str">
        <f>IF('Midterm OVPAA-F-INS-055A RAW SC'!J98="","",'Midterm OVPAA-F-INS-055A RAW SC'!J98/'Midterm OVPAA-F-INS-055A RAW SC'!J$17*100)</f>
        <v/>
      </c>
      <c r="K98" s="126" t="str">
        <f>IF('Midterm OVPAA-F-INS-055A RAW SC'!K98="","",'Midterm OVPAA-F-INS-055A RAW SC'!K98/'Midterm OVPAA-F-INS-055A RAW SC'!K$17*100)</f>
        <v/>
      </c>
      <c r="L98" s="126" t="str">
        <f>IF('Midterm OVPAA-F-INS-055A RAW SC'!L98="","",'Midterm OVPAA-F-INS-055A RAW SC'!L98/'Midterm OVPAA-F-INS-055A RAW SC'!L$17*100)</f>
        <v/>
      </c>
      <c r="M98" s="126" t="str">
        <f>IF('Midterm OVPAA-F-INS-055A RAW SC'!M98="","",'Midterm OVPAA-F-INS-055A RAW SC'!M98/'Midterm OVPAA-F-INS-055A RAW SC'!M$17*100)</f>
        <v/>
      </c>
      <c r="N98" s="126" t="str">
        <f>IF('Midterm OVPAA-F-INS-055A RAW SC'!N98="","",'Midterm OVPAA-F-INS-055A RAW SC'!N98/'Midterm OVPAA-F-INS-055A RAW SC'!N$17*100)</f>
        <v/>
      </c>
      <c r="O98" s="126" t="str">
        <f>IF('Midterm OVPAA-F-INS-055A RAW SC'!O98="","",'Midterm OVPAA-F-INS-055A RAW SC'!O98/'Midterm OVPAA-F-INS-055A RAW SC'!O$17*100)</f>
        <v/>
      </c>
      <c r="P98" s="126" t="str">
        <f>IF('Midterm OVPAA-F-INS-055A RAW SC'!P98="","",'Midterm OVPAA-F-INS-055A RAW SC'!P98/'Midterm OVPAA-F-INS-055A RAW SC'!P$17*100)</f>
        <v/>
      </c>
      <c r="Q98" s="126" t="str">
        <f>IF('Midterm OVPAA-F-INS-055A RAW SC'!Q98="","",'Midterm OVPAA-F-INS-055A RAW SC'!Q98/'Midterm OVPAA-F-INS-055A RAW SC'!Q$17*100)</f>
        <v/>
      </c>
      <c r="R98" s="126" t="str">
        <f>IF('Midterm OVPAA-F-INS-055A RAW SC'!R98="","",'Midterm OVPAA-F-INS-055A RAW SC'!R98/'Midterm OVPAA-F-INS-055A RAW SC'!R$17*100)</f>
        <v/>
      </c>
      <c r="S98" s="126" t="str">
        <f>IF('Midterm OVPAA-F-INS-055A RAW SC'!S98="","",'Midterm OVPAA-F-INS-055A RAW SC'!S98/'Midterm OVPAA-F-INS-055A RAW SC'!S$17*100)</f>
        <v/>
      </c>
      <c r="T98" s="126" t="str">
        <f>IF('Midterm OVPAA-F-INS-055A RAW SC'!T98="","",'Midterm OVPAA-F-INS-055A RAW SC'!T98/'Midterm OVPAA-F-INS-055A RAW SC'!T$17*100)</f>
        <v/>
      </c>
      <c r="U98" s="126" t="str">
        <f>IF('Midterm OVPAA-F-INS-055A RAW SC'!U98="","",'Midterm OVPAA-F-INS-055A RAW SC'!U98/'Midterm OVPAA-F-INS-055A RAW SC'!U$17*100)</f>
        <v/>
      </c>
      <c r="V98" s="126" t="str">
        <f>IF('Midterm OVPAA-F-INS-055A RAW SC'!V98="","",'Midterm OVPAA-F-INS-055A RAW SC'!V98/'Midterm OVPAA-F-INS-055A RAW SC'!V$17*100)</f>
        <v/>
      </c>
      <c r="W98" s="126" t="str">
        <f>IF('Midterm OVPAA-F-INS-055A RAW SC'!W98="","",'Midterm OVPAA-F-INS-055A RAW SC'!W98/'Midterm OVPAA-F-INS-055A RAW SC'!W$17*100)</f>
        <v/>
      </c>
      <c r="X98" s="126" t="str">
        <f>IF('Midterm OVPAA-F-INS-055A RAW SC'!X98="","",'Midterm OVPAA-F-INS-055A RAW SC'!X98/'Midterm OVPAA-F-INS-055A RAW SC'!X$17*100)</f>
        <v/>
      </c>
      <c r="Y98" s="126" t="str">
        <f>IF('Midterm OVPAA-F-INS-055A RAW SC'!Y98="","",'Midterm OVPAA-F-INS-055A RAW SC'!Y98/'Midterm OVPAA-F-INS-055A RAW SC'!Y$17*100)</f>
        <v/>
      </c>
      <c r="Z98" s="126" t="str">
        <f>IF('Midterm OVPAA-F-INS-055A RAW SC'!Z98="","",'Midterm OVPAA-F-INS-055A RAW SC'!Z98/'Midterm OVPAA-F-INS-055A RAW SC'!Z$17*100)</f>
        <v/>
      </c>
      <c r="AA98" s="126" t="str">
        <f>IF('Midterm OVPAA-F-INS-055A RAW SC'!AA98="","",'Midterm OVPAA-F-INS-055A RAW SC'!AA98/'Midterm OVPAA-F-INS-055A RAW SC'!AA$17*100)</f>
        <v/>
      </c>
      <c r="AB98" s="126" t="str">
        <f>IF('Midterm OVPAA-F-INS-055A RAW SC'!AB98="","",'Midterm OVPAA-F-INS-055A RAW SC'!AB98/'Midterm OVPAA-F-INS-055A RAW SC'!AB$17*100)</f>
        <v/>
      </c>
      <c r="AC98" s="126" t="str">
        <f>IF('Midterm OVPAA-F-INS-055A RAW SC'!AC98="","",'Midterm OVPAA-F-INS-055A RAW SC'!AC98/'Midterm OVPAA-F-INS-055A RAW SC'!AC$17*100)</f>
        <v/>
      </c>
      <c r="AD98" s="126" t="str">
        <f>IF('Midterm OVPAA-F-INS-055A RAW SC'!AD98="","",'Midterm OVPAA-F-INS-055A RAW SC'!AD98/'Midterm OVPAA-F-INS-055A RAW SC'!AD$17*100)</f>
        <v/>
      </c>
      <c r="AE98" s="126" t="str">
        <f>IF('Midterm OVPAA-F-INS-055A RAW SC'!AE98="","",'Midterm OVPAA-F-INS-055A RAW SC'!AE98/'Midterm OVPAA-F-INS-055A RAW SC'!AE$17*100)</f>
        <v/>
      </c>
      <c r="AF98" s="126" t="str">
        <f>IF('Midterm OVPAA-F-INS-055A RAW SC'!AF98="","",'Midterm OVPAA-F-INS-055A RAW SC'!AF98/'Midterm OVPAA-F-INS-055A RAW SC'!AF$17*100)</f>
        <v/>
      </c>
      <c r="AG98" s="126" t="str">
        <f>IF('Midterm OVPAA-F-INS-055A RAW SC'!AG98="","",'Midterm OVPAA-F-INS-055A RAW SC'!AG98/'Midterm OVPAA-F-INS-055A RAW SC'!AG$17*100)</f>
        <v/>
      </c>
      <c r="AH98" s="126" t="str">
        <f>IF('Midterm OVPAA-F-INS-055A RAW SC'!AH98="","",'Midterm OVPAA-F-INS-055A RAW SC'!AH98/'Midterm OVPAA-F-INS-055A RAW SC'!AH$17*100)</f>
        <v/>
      </c>
      <c r="AI98" s="126" t="str">
        <f>IF('Midterm OVPAA-F-INS-055A RAW SC'!AI98="","",'Midterm OVPAA-F-INS-055A RAW SC'!AI98/'Midterm OVPAA-F-INS-055A RAW SC'!AI$17*100)</f>
        <v/>
      </c>
      <c r="AJ98" s="126" t="str">
        <f>IF('Midterm OVPAA-F-INS-055A RAW SC'!AJ98="","",'Midterm OVPAA-F-INS-055A RAW SC'!AJ98/'Midterm OVPAA-F-INS-055A RAW SC'!AJ$17*100)</f>
        <v/>
      </c>
      <c r="AK98" s="126" t="str">
        <f>IF('Midterm OVPAA-F-INS-055A RAW SC'!AK98="","",'Midterm OVPAA-F-INS-055A RAW SC'!AK98/'Midterm OVPAA-F-INS-055A RAW SC'!AK$17*100)</f>
        <v/>
      </c>
      <c r="AL98" s="126" t="str">
        <f>IF('Midterm OVPAA-F-INS-055A RAW SC'!AL98="","",'Midterm OVPAA-F-INS-055A RAW SC'!AL98/'Midterm OVPAA-F-INS-055A RAW SC'!AL$17*100)</f>
        <v/>
      </c>
      <c r="AM98" s="126" t="str">
        <f>IF('Midterm OVPAA-F-INS-055A RAW SC'!AM98="","",'Midterm OVPAA-F-INS-055A RAW SC'!AM98/'Midterm OVPAA-F-INS-055A RAW SC'!AM$17*100)</f>
        <v/>
      </c>
      <c r="AN98" s="126" t="str">
        <f>IF('Midterm OVPAA-F-INS-055A RAW SC'!AN98="","",'Midterm OVPAA-F-INS-055A RAW SC'!AN98/'Midterm OVPAA-F-INS-055A RAW SC'!AN$17*100)</f>
        <v/>
      </c>
      <c r="AO98" s="126" t="str">
        <f>IF('Midterm OVPAA-F-INS-055A RAW SC'!AO98="","",'Midterm OVPAA-F-INS-055A RAW SC'!AO98/'Midterm OVPAA-F-INS-055A RAW SC'!AO$17*100)</f>
        <v/>
      </c>
      <c r="AP98" s="126" t="str">
        <f>IF('Midterm OVPAA-F-INS-055A RAW SC'!AP98="","",'Midterm OVPAA-F-INS-055A RAW SC'!AP98/'Midterm OVPAA-F-INS-055A RAW SC'!AP$17*100)</f>
        <v/>
      </c>
      <c r="AQ98" s="126" t="str">
        <f>IF('Midterm OVPAA-F-INS-055A RAW SC'!AQ98="","",'Midterm OVPAA-F-INS-055A RAW SC'!AQ98/'Midterm OVPAA-F-INS-055A RAW SC'!AQ$17*100)</f>
        <v/>
      </c>
      <c r="AR98" s="126" t="str">
        <f>IF('Midterm OVPAA-F-INS-055A RAW SC'!AR98="","",'Midterm OVPAA-F-INS-055A RAW SC'!AR98/'Midterm OVPAA-F-INS-055A RAW SC'!AR$17*100)</f>
        <v/>
      </c>
      <c r="AS98" s="126" t="str">
        <f>IF('Midterm OVPAA-F-INS-055A RAW SC'!AS98="","",'Midterm OVPAA-F-INS-055A RAW SC'!AS98/'Midterm OVPAA-F-INS-055A RAW SC'!AS$17*100)</f>
        <v/>
      </c>
      <c r="AT98" s="126" t="str">
        <f>IF('Midterm OVPAA-F-INS-055A RAW SC'!AT98="","",'Midterm OVPAA-F-INS-055A RAW SC'!AT98/'Midterm OVPAA-F-INS-055A RAW SC'!AT$17*100)</f>
        <v/>
      </c>
      <c r="AU98" s="126" t="str">
        <f>IF('Midterm OVPAA-F-INS-055A RAW SC'!AU98="","",'Midterm OVPAA-F-INS-055A RAW SC'!AU98/'Midterm OVPAA-F-INS-055A RAW SC'!AU$17*100)</f>
        <v/>
      </c>
      <c r="AV98" s="126" t="str">
        <f>IF('Midterm OVPAA-F-INS-055A RAW SC'!AV98="","",'Midterm OVPAA-F-INS-055A RAW SC'!AV98/'Midterm OVPAA-F-INS-055A RAW SC'!AV$17*100)</f>
        <v/>
      </c>
      <c r="AW98" s="126" t="str">
        <f>IF('Midterm OVPAA-F-INS-055A RAW SC'!AW98="","",'Midterm OVPAA-F-INS-055A RAW SC'!AW98/'Midterm OVPAA-F-INS-055A RAW SC'!AW$17*100)</f>
        <v/>
      </c>
      <c r="AX98" s="126" t="str">
        <f>IF('Midterm OVPAA-F-INS-055A RAW SC'!AX98="","",'Midterm OVPAA-F-INS-055A RAW SC'!AX98/'Midterm OVPAA-F-INS-055A RAW SC'!AX$17*100)</f>
        <v/>
      </c>
      <c r="AY98" s="126" t="str">
        <f>IF('Midterm OVPAA-F-INS-055A RAW SC'!AY98="","",'Midterm OVPAA-F-INS-055A RAW SC'!AY98/'Midterm OVPAA-F-INS-055A RAW SC'!AY$17*100)</f>
        <v/>
      </c>
      <c r="AZ98" s="126" t="str">
        <f>IF('Midterm OVPAA-F-INS-055A RAW SC'!AZ98="","",'Midterm OVPAA-F-INS-055A RAW SC'!AZ98/'Midterm OVPAA-F-INS-055A RAW SC'!AZ$17*100)</f>
        <v/>
      </c>
      <c r="BA98" s="126" t="str">
        <f>IF('Midterm OVPAA-F-INS-055A RAW SC'!BA98="","",'Midterm OVPAA-F-INS-055A RAW SC'!BA98/'Midterm OVPAA-F-INS-055A RAW SC'!BA$17*100)</f>
        <v/>
      </c>
      <c r="BB98" s="126" t="str">
        <f>IF('Midterm OVPAA-F-INS-055A RAW SC'!BB98="","",'Midterm OVPAA-F-INS-055A RAW SC'!BB98/'Midterm OVPAA-F-INS-055A RAW SC'!BB$17*100)</f>
        <v/>
      </c>
      <c r="BC98" s="126" t="str">
        <f>IF('Midterm OVPAA-F-INS-055A RAW SC'!BC98="","",'Midterm OVPAA-F-INS-055A RAW SC'!BC98/'Midterm OVPAA-F-INS-055A RAW SC'!BC$17*100)</f>
        <v/>
      </c>
      <c r="BD98" s="126" t="str">
        <f>IF('Midterm OVPAA-F-INS-055A RAW SC'!BD98="","",'Midterm OVPAA-F-INS-055A RAW SC'!BD98/'Midterm OVPAA-F-INS-055A RAW SC'!BD$17*100)</f>
        <v/>
      </c>
      <c r="BE98" s="126" t="str">
        <f>IF('Midterm OVPAA-F-INS-055A RAW SC'!BE98="","",'Midterm OVPAA-F-INS-055A RAW SC'!BE98/'Midterm OVPAA-F-INS-055A RAW SC'!BE$17*100)</f>
        <v/>
      </c>
      <c r="BF98" s="126" t="str">
        <f>IF('Midterm OVPAA-F-INS-055A RAW SC'!BF98="","",'Midterm OVPAA-F-INS-055A RAW SC'!BF98/'Midterm OVPAA-F-INS-055A RAW SC'!BF$17*100)</f>
        <v/>
      </c>
      <c r="BG98" s="126" t="str">
        <f>IF('Midterm OVPAA-F-INS-055A RAW SC'!BG98="","",'Midterm OVPAA-F-INS-055A RAW SC'!BG98/'Midterm OVPAA-F-INS-055A RAW SC'!BG$17*100)</f>
        <v/>
      </c>
      <c r="BH98" s="126" t="str">
        <f>IF('Midterm OVPAA-F-INS-055A RAW SC'!BH98="","",'Midterm OVPAA-F-INS-055A RAW SC'!BH98/'Midterm OVPAA-F-INS-055A RAW SC'!BH$17*100)</f>
        <v/>
      </c>
      <c r="BI98" s="126" t="str">
        <f>IF('Midterm OVPAA-F-INS-055A RAW SC'!BI98="","",'Midterm OVPAA-F-INS-055A RAW SC'!BI98/'Midterm OVPAA-F-INS-055A RAW SC'!BI$17*100)</f>
        <v/>
      </c>
      <c r="BJ98" s="126" t="str">
        <f>IF('Midterm OVPAA-F-INS-055A RAW SC'!BJ98="","",'Midterm OVPAA-F-INS-055A RAW SC'!BJ98/'Midterm OVPAA-F-INS-055A RAW SC'!BJ$17*100)</f>
        <v/>
      </c>
      <c r="BK98" s="126" t="str">
        <f>IF('Midterm OVPAA-F-INS-055A RAW SC'!BK98="","",'Midterm OVPAA-F-INS-055A RAW SC'!BK98/'Midterm OVPAA-F-INS-055A RAW SC'!BK$17*100)</f>
        <v/>
      </c>
      <c r="BL98" s="126" t="str">
        <f>IF('Midterm OVPAA-F-INS-055A RAW SC'!BL98="","",'Midterm OVPAA-F-INS-055A RAW SC'!BL98/'Midterm OVPAA-F-INS-055A RAW SC'!BL$17*100)</f>
        <v/>
      </c>
      <c r="BM98" s="126" t="str">
        <f>IF('Midterm OVPAA-F-INS-055A RAW SC'!BM98="","",'Midterm OVPAA-F-INS-055A RAW SC'!BM98/'Midterm OVPAA-F-INS-055A RAW SC'!BM$17*100)</f>
        <v/>
      </c>
      <c r="BN98" s="126" t="str">
        <f>IF('Midterm OVPAA-F-INS-055A RAW SC'!BN98="","",'Midterm OVPAA-F-INS-055A RAW SC'!BN98/'Midterm OVPAA-F-INS-055A RAW SC'!BN$17*100)</f>
        <v/>
      </c>
      <c r="BO98" s="126" t="str">
        <f>IF('Midterm OVPAA-F-INS-055A RAW SC'!BO98="","",'Midterm OVPAA-F-INS-055A RAW SC'!BO98/'Midterm OVPAA-F-INS-055A RAW SC'!BO$17*100)</f>
        <v/>
      </c>
      <c r="BP98" s="126" t="str">
        <f>IF('Midterm OVPAA-F-INS-055A RAW SC'!BP98="","",'Midterm OVPAA-F-INS-055A RAW SC'!BP98/'Midterm OVPAA-F-INS-055A RAW SC'!BP$17*100)</f>
        <v/>
      </c>
      <c r="BQ98" s="126" t="str">
        <f>IF('Midterm OVPAA-F-INS-055A RAW SC'!BQ98="","",'Midterm OVPAA-F-INS-055A RAW SC'!BQ98/'Midterm OVPAA-F-INS-055A RAW SC'!BQ$17*100)</f>
        <v/>
      </c>
      <c r="BR98" s="126" t="str">
        <f>IF('Midterm OVPAA-F-INS-055A RAW SC'!BR98="","",'Midterm OVPAA-F-INS-055A RAW SC'!BR98/'Midterm OVPAA-F-INS-055A RAW SC'!BR$17*100)</f>
        <v/>
      </c>
      <c r="BS98" s="126" t="str">
        <f>IF('Midterm OVPAA-F-INS-055A RAW SC'!BS98="","",'Midterm OVPAA-F-INS-055A RAW SC'!BS98/'Midterm OVPAA-F-INS-055A RAW SC'!BS$17*100)</f>
        <v/>
      </c>
      <c r="BT98" s="126" t="str">
        <f>IF('Midterm OVPAA-F-INS-055A RAW SC'!BT98="","",'Midterm OVPAA-F-INS-055A RAW SC'!BT98/'Midterm OVPAA-F-INS-055A RAW SC'!BT$17*100)</f>
        <v/>
      </c>
      <c r="BU98" s="127" t="str">
        <f t="array" ref="BU98">IF('Midterm OVPAA-F-INS-055A RAW SC'!$G98="","",IF((SUMPRODUCT(--ISBLANK('Midterm OVPAA-F-INS-055A RAW SC'!H98:BT98))=COLUMNS('Midterm OVPAA-F-INS-055A RAW SC'!H98:BT98))=TRUE,"",(((COUNTA('Midterm OVPAA-F-INS-055A RAW SC'!$H$17:$BT$17)+COUNTBLANK('Midterm OVPAA-F-INS-055A RAW SC'!H98:BT98))-COLUMNS('Midterm OVPAA-F-INS-055A RAW SC'!H98:BT98))*5+SUM(H98:BT98))/COUNTA('Midterm OVPAA-F-INS-055A RAW SC'!$H$17:$BT$17)))</f>
        <v/>
      </c>
      <c r="BV98" s="128" t="str">
        <f>IF(BU98="","",VLOOKUP(BU98,IF('Midterm OVPAA-F-INS-055A RAW SC'!$V$12=0.5,TRANSMUTATION!$C$4:$D$17,TRANSMUTATION!$G$4:$H$17),2,TRUE))</f>
        <v/>
      </c>
      <c r="BW98" s="129" t="str">
        <f>IF('Midterm OVPAA-F-INS-055A RAW SC'!BU98="","",'Midterm OVPAA-F-INS-055A RAW SC'!BU98/'Midterm OVPAA-F-INS-055A RAW SC'!BU$17*100)</f>
        <v/>
      </c>
      <c r="BX98" s="130" t="str">
        <f>IF('Midterm OVPAA-F-INS-055A RAW SC'!BV98="","",'Midterm OVPAA-F-INS-055A RAW SC'!BV98/'Midterm OVPAA-F-INS-055A RAW SC'!BV$17*100)</f>
        <v/>
      </c>
      <c r="BY98" s="130" t="str">
        <f>IF('Midterm OVPAA-F-INS-055A RAW SC'!BW98="","",'Midterm OVPAA-F-INS-055A RAW SC'!BW98/'Midterm OVPAA-F-INS-055A RAW SC'!BW$17*100)</f>
        <v/>
      </c>
      <c r="BZ98" s="130" t="str">
        <f>IF('Midterm OVPAA-F-INS-055A RAW SC'!BX98="","",'Midterm OVPAA-F-INS-055A RAW SC'!BX98/'Midterm OVPAA-F-INS-055A RAW SC'!BX$17*100)</f>
        <v/>
      </c>
      <c r="CA98" s="130" t="str">
        <f>IF('Midterm OVPAA-F-INS-055A RAW SC'!BY98="","",'Midterm OVPAA-F-INS-055A RAW SC'!BY98/'Midterm OVPAA-F-INS-055A RAW SC'!BY$17*100)</f>
        <v/>
      </c>
      <c r="CB98" s="130" t="str">
        <f>IF('Midterm OVPAA-F-INS-055A RAW SC'!BZ98="","",'Midterm OVPAA-F-INS-055A RAW SC'!BZ98/'Midterm OVPAA-F-INS-055A RAW SC'!BZ$17*100)</f>
        <v/>
      </c>
      <c r="CC98" s="130" t="str">
        <f>IF('Midterm OVPAA-F-INS-055A RAW SC'!CA98="","",'Midterm OVPAA-F-INS-055A RAW SC'!CA98/'Midterm OVPAA-F-INS-055A RAW SC'!CA$17*100)</f>
        <v/>
      </c>
      <c r="CD98" s="130" t="str">
        <f>IF('Midterm OVPAA-F-INS-055A RAW SC'!CB98="","",'Midterm OVPAA-F-INS-055A RAW SC'!CB98/'Midterm OVPAA-F-INS-055A RAW SC'!CB$17*100)</f>
        <v/>
      </c>
      <c r="CE98" s="130" t="str">
        <f>IF('Midterm OVPAA-F-INS-055A RAW SC'!CC98="","",'Midterm OVPAA-F-INS-055A RAW SC'!CC98/'Midterm OVPAA-F-INS-055A RAW SC'!CC$17*100)</f>
        <v/>
      </c>
      <c r="CF98" s="130" t="str">
        <f>IF('Midterm OVPAA-F-INS-055A RAW SC'!CD98="","",'Midterm OVPAA-F-INS-055A RAW SC'!CD98/'Midterm OVPAA-F-INS-055A RAW SC'!CD$17*100)</f>
        <v/>
      </c>
      <c r="CG98" s="130" t="str">
        <f>IF('Midterm OVPAA-F-INS-055A RAW SC'!CE98="","",'Midterm OVPAA-F-INS-055A RAW SC'!CE98/'Midterm OVPAA-F-INS-055A RAW SC'!CE$17*100)</f>
        <v/>
      </c>
      <c r="CH98" s="130" t="str">
        <f>IF('Midterm OVPAA-F-INS-055A RAW SC'!CF98="","",'Midterm OVPAA-F-INS-055A RAW SC'!CF98/'Midterm OVPAA-F-INS-055A RAW SC'!CF$17*100)</f>
        <v/>
      </c>
      <c r="CI98" s="130" t="str">
        <f>IF('Midterm OVPAA-F-INS-055A RAW SC'!CG98="","",'Midterm OVPAA-F-INS-055A RAW SC'!CG98/'Midterm OVPAA-F-INS-055A RAW SC'!CG$17*100)</f>
        <v/>
      </c>
      <c r="CJ98" s="130" t="str">
        <f>IF('Midterm OVPAA-F-INS-055A RAW SC'!CH98="","",'Midterm OVPAA-F-INS-055A RAW SC'!CH98/'Midterm OVPAA-F-INS-055A RAW SC'!CH$17*100)</f>
        <v/>
      </c>
      <c r="CK98" s="130" t="str">
        <f>IF('Midterm OVPAA-F-INS-055A RAW SC'!CI98="","",'Midterm OVPAA-F-INS-055A RAW SC'!CI98/'Midterm OVPAA-F-INS-055A RAW SC'!CI$17*100)</f>
        <v/>
      </c>
      <c r="CL98" s="130" t="str">
        <f>IF('Midterm OVPAA-F-INS-055A RAW SC'!CJ98="","",'Midterm OVPAA-F-INS-055A RAW SC'!CJ98/'Midterm OVPAA-F-INS-055A RAW SC'!CJ$17*100)</f>
        <v/>
      </c>
      <c r="CM98" s="130" t="str">
        <f>IF('Midterm OVPAA-F-INS-055A RAW SC'!CK98="","",'Midterm OVPAA-F-INS-055A RAW SC'!CK98/'Midterm OVPAA-F-INS-055A RAW SC'!CK$17*100)</f>
        <v/>
      </c>
      <c r="CN98" s="130" t="str">
        <f>IF('Midterm OVPAA-F-INS-055A RAW SC'!CL98="","",'Midterm OVPAA-F-INS-055A RAW SC'!CL98/'Midterm OVPAA-F-INS-055A RAW SC'!CL$17*100)</f>
        <v/>
      </c>
      <c r="CO98" s="130" t="str">
        <f>IF('Midterm OVPAA-F-INS-055A RAW SC'!CM98="","",'Midterm OVPAA-F-INS-055A RAW SC'!CM98/'Midterm OVPAA-F-INS-055A RAW SC'!CM$17*100)</f>
        <v/>
      </c>
      <c r="CP98" s="130" t="str">
        <f>IF('Midterm OVPAA-F-INS-055A RAW SC'!CN98="","",'Midterm OVPAA-F-INS-055A RAW SC'!CN98/'Midterm OVPAA-F-INS-055A RAW SC'!CN$17*100)</f>
        <v/>
      </c>
      <c r="CQ98" s="131" t="str">
        <f t="array" ref="CQ98">IF('Midterm OVPAA-F-INS-055A RAW SC'!G98="","",IF((SUMPRODUCT(--ISBLANK('Midterm OVPAA-F-INS-055A RAW SC'!BU98:CN98))=COLUMNS('Midterm OVPAA-F-INS-055A RAW SC'!BU98:CN98))=TRUE,"",(((COUNTA('Midterm OVPAA-F-INS-055A RAW SC'!$BU$17:$CN$17)+COUNTBLANK('Midterm OVPAA-F-INS-055A RAW SC'!BU98:CN98))-COLUMNS('Midterm OVPAA-F-INS-055A RAW SC'!BU98:CN98))*5+SUM(BW98:CP98))/COUNTA('Midterm OVPAA-F-INS-055A RAW SC'!$BU$17:$CN$17)))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IF('Midterm OVPAA-F-INS-055A RAW SC'!CO98="","",'Midterm OVPAA-F-INS-055A RAW SC'!CO98/'Midterm OVPAA-F-INS-055A RAW SC'!CO$17*100)</f>
        <v/>
      </c>
      <c r="CT98" s="133" t="str">
        <f>IF('Midterm OVPAA-F-INS-055A RAW SC'!CP98="","",'Midterm OVPAA-F-INS-055A RAW SC'!CP98/'Midterm OVPAA-F-INS-055A RAW SC'!CP$17*100)</f>
        <v/>
      </c>
      <c r="CU98" s="133" t="str">
        <f>IF('Midterm OVPAA-F-INS-055A RAW SC'!CQ98="","",'Midterm OVPAA-F-INS-055A RAW SC'!CQ98/'Midterm OVPAA-F-INS-055A RAW SC'!CQ$17*100)</f>
        <v/>
      </c>
      <c r="CV98" s="133" t="str">
        <f>IF('Midterm OVPAA-F-INS-055A RAW SC'!CR98="","",'Midterm OVPAA-F-INS-055A RAW SC'!CR98/'Midterm OVPAA-F-INS-055A RAW SC'!CR$17*100)</f>
        <v/>
      </c>
      <c r="CW98" s="133" t="str">
        <f>IF('Midterm OVPAA-F-INS-055A RAW SC'!CS98="","",'Midterm OVPAA-F-INS-055A RAW SC'!CS98/'Midterm OVPAA-F-INS-055A RAW SC'!CS$17*100)</f>
        <v/>
      </c>
      <c r="CX98" s="133" t="str">
        <f>IF('Midterm OVPAA-F-INS-055A RAW SC'!CT98="","",'Midterm OVPAA-F-INS-055A RAW SC'!CT98/'Midterm OVPAA-F-INS-055A RAW SC'!CT$17*100)</f>
        <v/>
      </c>
      <c r="CY98" s="133" t="str">
        <f>IF('Midterm OVPAA-F-INS-055A RAW SC'!CU98="","",'Midterm OVPAA-F-INS-055A RAW SC'!CU98/'Midterm OVPAA-F-INS-055A RAW SC'!CU$17*100)</f>
        <v/>
      </c>
      <c r="CZ98" s="133" t="str">
        <f>IF('Midterm OVPAA-F-INS-055A RAW SC'!CV98="","",'Midterm OVPAA-F-INS-055A RAW SC'!CV98/'Midterm OVPAA-F-INS-055A RAW SC'!CV$17*100)</f>
        <v/>
      </c>
      <c r="DA98" s="133" t="str">
        <f>IF('Midterm OVPAA-F-INS-055A RAW SC'!CW98="","",'Midterm OVPAA-F-INS-055A RAW SC'!CW98/'Midterm OVPAA-F-INS-055A RAW SC'!CW$17*100)</f>
        <v/>
      </c>
      <c r="DB98" s="133" t="str">
        <f>IF('Midterm OVPAA-F-INS-055A RAW SC'!CX98="","",'Midterm OVPAA-F-INS-055A RAW SC'!CX98/'Midterm OVPAA-F-INS-055A RAW SC'!CX$17*100)</f>
        <v/>
      </c>
      <c r="DC98" s="134" t="str">
        <f t="array" ref="DC98">IF('Midterm OVPAA-F-INS-055A RAW SC'!$G98="","",IF((SUMPRODUCT(--ISBLANK('Midterm OVPAA-F-INS-055A RAW SC'!CO98:CX98))=COLUMNS('Midterm OVPAA-F-INS-055A RAW SC'!CO98:CX98))=TRUE,"",(((COUNTA('Midterm OVPAA-F-INS-055A RAW SC'!$CO$17:$CX$17)+COUNTBLANK('Midterm OVPAA-F-INS-055A RAW SC'!CO98:CX98))-COLUMNS('Midterm OVPAA-F-INS-055A RAW SC'!CO98:CX98))*5+SUM(CS98:DB98))/COUNTA('Midterm OVPAA-F-INS-055A RAW SC'!$CO$17:$CX$17)))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37" t="str">
        <f t="shared" si="2"/>
        <v/>
      </c>
      <c r="DG98" s="138" t="str">
        <f t="shared" si="3"/>
        <v/>
      </c>
      <c r="DH98" s="136" t="str">
        <f t="shared" si="4"/>
        <v/>
      </c>
      <c r="DI98" s="123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IF('Midterm OVPAA-F-INS-055A RAW SC'!H99="","",'Midterm OVPAA-F-INS-055A RAW SC'!H99/'Midterm OVPAA-F-INS-055A RAW SC'!H$17*100)</f>
        <v/>
      </c>
      <c r="I99" s="126" t="str">
        <f>IF('Midterm OVPAA-F-INS-055A RAW SC'!I99="","",'Midterm OVPAA-F-INS-055A RAW SC'!I99/'Midterm OVPAA-F-INS-055A RAW SC'!I$17*100)</f>
        <v/>
      </c>
      <c r="J99" s="126" t="str">
        <f>IF('Midterm OVPAA-F-INS-055A RAW SC'!J99="","",'Midterm OVPAA-F-INS-055A RAW SC'!J99/'Midterm OVPAA-F-INS-055A RAW SC'!J$17*100)</f>
        <v/>
      </c>
      <c r="K99" s="126" t="str">
        <f>IF('Midterm OVPAA-F-INS-055A RAW SC'!K99="","",'Midterm OVPAA-F-INS-055A RAW SC'!K99/'Midterm OVPAA-F-INS-055A RAW SC'!K$17*100)</f>
        <v/>
      </c>
      <c r="L99" s="126" t="str">
        <f>IF('Midterm OVPAA-F-INS-055A RAW SC'!L99="","",'Midterm OVPAA-F-INS-055A RAW SC'!L99/'Midterm OVPAA-F-INS-055A RAW SC'!L$17*100)</f>
        <v/>
      </c>
      <c r="M99" s="126" t="str">
        <f>IF('Midterm OVPAA-F-INS-055A RAW SC'!M99="","",'Midterm OVPAA-F-INS-055A RAW SC'!M99/'Midterm OVPAA-F-INS-055A RAW SC'!M$17*100)</f>
        <v/>
      </c>
      <c r="N99" s="126" t="str">
        <f>IF('Midterm OVPAA-F-INS-055A RAW SC'!N99="","",'Midterm OVPAA-F-INS-055A RAW SC'!N99/'Midterm OVPAA-F-INS-055A RAW SC'!N$17*100)</f>
        <v/>
      </c>
      <c r="O99" s="126" t="str">
        <f>IF('Midterm OVPAA-F-INS-055A RAW SC'!O99="","",'Midterm OVPAA-F-INS-055A RAW SC'!O99/'Midterm OVPAA-F-INS-055A RAW SC'!O$17*100)</f>
        <v/>
      </c>
      <c r="P99" s="126" t="str">
        <f>IF('Midterm OVPAA-F-INS-055A RAW SC'!P99="","",'Midterm OVPAA-F-INS-055A RAW SC'!P99/'Midterm OVPAA-F-INS-055A RAW SC'!P$17*100)</f>
        <v/>
      </c>
      <c r="Q99" s="126" t="str">
        <f>IF('Midterm OVPAA-F-INS-055A RAW SC'!Q99="","",'Midterm OVPAA-F-INS-055A RAW SC'!Q99/'Midterm OVPAA-F-INS-055A RAW SC'!Q$17*100)</f>
        <v/>
      </c>
      <c r="R99" s="126" t="str">
        <f>IF('Midterm OVPAA-F-INS-055A RAW SC'!R99="","",'Midterm OVPAA-F-INS-055A RAW SC'!R99/'Midterm OVPAA-F-INS-055A RAW SC'!R$17*100)</f>
        <v/>
      </c>
      <c r="S99" s="126" t="str">
        <f>IF('Midterm OVPAA-F-INS-055A RAW SC'!S99="","",'Midterm OVPAA-F-INS-055A RAW SC'!S99/'Midterm OVPAA-F-INS-055A RAW SC'!S$17*100)</f>
        <v/>
      </c>
      <c r="T99" s="126" t="str">
        <f>IF('Midterm OVPAA-F-INS-055A RAW SC'!T99="","",'Midterm OVPAA-F-INS-055A RAW SC'!T99/'Midterm OVPAA-F-INS-055A RAW SC'!T$17*100)</f>
        <v/>
      </c>
      <c r="U99" s="126" t="str">
        <f>IF('Midterm OVPAA-F-INS-055A RAW SC'!U99="","",'Midterm OVPAA-F-INS-055A RAW SC'!U99/'Midterm OVPAA-F-INS-055A RAW SC'!U$17*100)</f>
        <v/>
      </c>
      <c r="V99" s="126" t="str">
        <f>IF('Midterm OVPAA-F-INS-055A RAW SC'!V99="","",'Midterm OVPAA-F-INS-055A RAW SC'!V99/'Midterm OVPAA-F-INS-055A RAW SC'!V$17*100)</f>
        <v/>
      </c>
      <c r="W99" s="126" t="str">
        <f>IF('Midterm OVPAA-F-INS-055A RAW SC'!W99="","",'Midterm OVPAA-F-INS-055A RAW SC'!W99/'Midterm OVPAA-F-INS-055A RAW SC'!W$17*100)</f>
        <v/>
      </c>
      <c r="X99" s="126" t="str">
        <f>IF('Midterm OVPAA-F-INS-055A RAW SC'!X99="","",'Midterm OVPAA-F-INS-055A RAW SC'!X99/'Midterm OVPAA-F-INS-055A RAW SC'!X$17*100)</f>
        <v/>
      </c>
      <c r="Y99" s="126" t="str">
        <f>IF('Midterm OVPAA-F-INS-055A RAW SC'!Y99="","",'Midterm OVPAA-F-INS-055A RAW SC'!Y99/'Midterm OVPAA-F-INS-055A RAW SC'!Y$17*100)</f>
        <v/>
      </c>
      <c r="Z99" s="126" t="str">
        <f>IF('Midterm OVPAA-F-INS-055A RAW SC'!Z99="","",'Midterm OVPAA-F-INS-055A RAW SC'!Z99/'Midterm OVPAA-F-INS-055A RAW SC'!Z$17*100)</f>
        <v/>
      </c>
      <c r="AA99" s="126" t="str">
        <f>IF('Midterm OVPAA-F-INS-055A RAW SC'!AA99="","",'Midterm OVPAA-F-INS-055A RAW SC'!AA99/'Midterm OVPAA-F-INS-055A RAW SC'!AA$17*100)</f>
        <v/>
      </c>
      <c r="AB99" s="126" t="str">
        <f>IF('Midterm OVPAA-F-INS-055A RAW SC'!AB99="","",'Midterm OVPAA-F-INS-055A RAW SC'!AB99/'Midterm OVPAA-F-INS-055A RAW SC'!AB$17*100)</f>
        <v/>
      </c>
      <c r="AC99" s="126" t="str">
        <f>IF('Midterm OVPAA-F-INS-055A RAW SC'!AC99="","",'Midterm OVPAA-F-INS-055A RAW SC'!AC99/'Midterm OVPAA-F-INS-055A RAW SC'!AC$17*100)</f>
        <v/>
      </c>
      <c r="AD99" s="126" t="str">
        <f>IF('Midterm OVPAA-F-INS-055A RAW SC'!AD99="","",'Midterm OVPAA-F-INS-055A RAW SC'!AD99/'Midterm OVPAA-F-INS-055A RAW SC'!AD$17*100)</f>
        <v/>
      </c>
      <c r="AE99" s="126" t="str">
        <f>IF('Midterm OVPAA-F-INS-055A RAW SC'!AE99="","",'Midterm OVPAA-F-INS-055A RAW SC'!AE99/'Midterm OVPAA-F-INS-055A RAW SC'!AE$17*100)</f>
        <v/>
      </c>
      <c r="AF99" s="126" t="str">
        <f>IF('Midterm OVPAA-F-INS-055A RAW SC'!AF99="","",'Midterm OVPAA-F-INS-055A RAW SC'!AF99/'Midterm OVPAA-F-INS-055A RAW SC'!AF$17*100)</f>
        <v/>
      </c>
      <c r="AG99" s="126" t="str">
        <f>IF('Midterm OVPAA-F-INS-055A RAW SC'!AG99="","",'Midterm OVPAA-F-INS-055A RAW SC'!AG99/'Midterm OVPAA-F-INS-055A RAW SC'!AG$17*100)</f>
        <v/>
      </c>
      <c r="AH99" s="126" t="str">
        <f>IF('Midterm OVPAA-F-INS-055A RAW SC'!AH99="","",'Midterm OVPAA-F-INS-055A RAW SC'!AH99/'Midterm OVPAA-F-INS-055A RAW SC'!AH$17*100)</f>
        <v/>
      </c>
      <c r="AI99" s="126" t="str">
        <f>IF('Midterm OVPAA-F-INS-055A RAW SC'!AI99="","",'Midterm OVPAA-F-INS-055A RAW SC'!AI99/'Midterm OVPAA-F-INS-055A RAW SC'!AI$17*100)</f>
        <v/>
      </c>
      <c r="AJ99" s="126" t="str">
        <f>IF('Midterm OVPAA-F-INS-055A RAW SC'!AJ99="","",'Midterm OVPAA-F-INS-055A RAW SC'!AJ99/'Midterm OVPAA-F-INS-055A RAW SC'!AJ$17*100)</f>
        <v/>
      </c>
      <c r="AK99" s="126" t="str">
        <f>IF('Midterm OVPAA-F-INS-055A RAW SC'!AK99="","",'Midterm OVPAA-F-INS-055A RAW SC'!AK99/'Midterm OVPAA-F-INS-055A RAW SC'!AK$17*100)</f>
        <v/>
      </c>
      <c r="AL99" s="126" t="str">
        <f>IF('Midterm OVPAA-F-INS-055A RAW SC'!AL99="","",'Midterm OVPAA-F-INS-055A RAW SC'!AL99/'Midterm OVPAA-F-INS-055A RAW SC'!AL$17*100)</f>
        <v/>
      </c>
      <c r="AM99" s="126" t="str">
        <f>IF('Midterm OVPAA-F-INS-055A RAW SC'!AM99="","",'Midterm OVPAA-F-INS-055A RAW SC'!AM99/'Midterm OVPAA-F-INS-055A RAW SC'!AM$17*100)</f>
        <v/>
      </c>
      <c r="AN99" s="126" t="str">
        <f>IF('Midterm OVPAA-F-INS-055A RAW SC'!AN99="","",'Midterm OVPAA-F-INS-055A RAW SC'!AN99/'Midterm OVPAA-F-INS-055A RAW SC'!AN$17*100)</f>
        <v/>
      </c>
      <c r="AO99" s="126" t="str">
        <f>IF('Midterm OVPAA-F-INS-055A RAW SC'!AO99="","",'Midterm OVPAA-F-INS-055A RAW SC'!AO99/'Midterm OVPAA-F-INS-055A RAW SC'!AO$17*100)</f>
        <v/>
      </c>
      <c r="AP99" s="126" t="str">
        <f>IF('Midterm OVPAA-F-INS-055A RAW SC'!AP99="","",'Midterm OVPAA-F-INS-055A RAW SC'!AP99/'Midterm OVPAA-F-INS-055A RAW SC'!AP$17*100)</f>
        <v/>
      </c>
      <c r="AQ99" s="126" t="str">
        <f>IF('Midterm OVPAA-F-INS-055A RAW SC'!AQ99="","",'Midterm OVPAA-F-INS-055A RAW SC'!AQ99/'Midterm OVPAA-F-INS-055A RAW SC'!AQ$17*100)</f>
        <v/>
      </c>
      <c r="AR99" s="126" t="str">
        <f>IF('Midterm OVPAA-F-INS-055A RAW SC'!AR99="","",'Midterm OVPAA-F-INS-055A RAW SC'!AR99/'Midterm OVPAA-F-INS-055A RAW SC'!AR$17*100)</f>
        <v/>
      </c>
      <c r="AS99" s="126" t="str">
        <f>IF('Midterm OVPAA-F-INS-055A RAW SC'!AS99="","",'Midterm OVPAA-F-INS-055A RAW SC'!AS99/'Midterm OVPAA-F-INS-055A RAW SC'!AS$17*100)</f>
        <v/>
      </c>
      <c r="AT99" s="126" t="str">
        <f>IF('Midterm OVPAA-F-INS-055A RAW SC'!AT99="","",'Midterm OVPAA-F-INS-055A RAW SC'!AT99/'Midterm OVPAA-F-INS-055A RAW SC'!AT$17*100)</f>
        <v/>
      </c>
      <c r="AU99" s="126" t="str">
        <f>IF('Midterm OVPAA-F-INS-055A RAW SC'!AU99="","",'Midterm OVPAA-F-INS-055A RAW SC'!AU99/'Midterm OVPAA-F-INS-055A RAW SC'!AU$17*100)</f>
        <v/>
      </c>
      <c r="AV99" s="126" t="str">
        <f>IF('Midterm OVPAA-F-INS-055A RAW SC'!AV99="","",'Midterm OVPAA-F-INS-055A RAW SC'!AV99/'Midterm OVPAA-F-INS-055A RAW SC'!AV$17*100)</f>
        <v/>
      </c>
      <c r="AW99" s="126" t="str">
        <f>IF('Midterm OVPAA-F-INS-055A RAW SC'!AW99="","",'Midterm OVPAA-F-INS-055A RAW SC'!AW99/'Midterm OVPAA-F-INS-055A RAW SC'!AW$17*100)</f>
        <v/>
      </c>
      <c r="AX99" s="126" t="str">
        <f>IF('Midterm OVPAA-F-INS-055A RAW SC'!AX99="","",'Midterm OVPAA-F-INS-055A RAW SC'!AX99/'Midterm OVPAA-F-INS-055A RAW SC'!AX$17*100)</f>
        <v/>
      </c>
      <c r="AY99" s="126" t="str">
        <f>IF('Midterm OVPAA-F-INS-055A RAW SC'!AY99="","",'Midterm OVPAA-F-INS-055A RAW SC'!AY99/'Midterm OVPAA-F-INS-055A RAW SC'!AY$17*100)</f>
        <v/>
      </c>
      <c r="AZ99" s="126" t="str">
        <f>IF('Midterm OVPAA-F-INS-055A RAW SC'!AZ99="","",'Midterm OVPAA-F-INS-055A RAW SC'!AZ99/'Midterm OVPAA-F-INS-055A RAW SC'!AZ$17*100)</f>
        <v/>
      </c>
      <c r="BA99" s="126" t="str">
        <f>IF('Midterm OVPAA-F-INS-055A RAW SC'!BA99="","",'Midterm OVPAA-F-INS-055A RAW SC'!BA99/'Midterm OVPAA-F-INS-055A RAW SC'!BA$17*100)</f>
        <v/>
      </c>
      <c r="BB99" s="126" t="str">
        <f>IF('Midterm OVPAA-F-INS-055A RAW SC'!BB99="","",'Midterm OVPAA-F-INS-055A RAW SC'!BB99/'Midterm OVPAA-F-INS-055A RAW SC'!BB$17*100)</f>
        <v/>
      </c>
      <c r="BC99" s="126" t="str">
        <f>IF('Midterm OVPAA-F-INS-055A RAW SC'!BC99="","",'Midterm OVPAA-F-INS-055A RAW SC'!BC99/'Midterm OVPAA-F-INS-055A RAW SC'!BC$17*100)</f>
        <v/>
      </c>
      <c r="BD99" s="126" t="str">
        <f>IF('Midterm OVPAA-F-INS-055A RAW SC'!BD99="","",'Midterm OVPAA-F-INS-055A RAW SC'!BD99/'Midterm OVPAA-F-INS-055A RAW SC'!BD$17*100)</f>
        <v/>
      </c>
      <c r="BE99" s="126" t="str">
        <f>IF('Midterm OVPAA-F-INS-055A RAW SC'!BE99="","",'Midterm OVPAA-F-INS-055A RAW SC'!BE99/'Midterm OVPAA-F-INS-055A RAW SC'!BE$17*100)</f>
        <v/>
      </c>
      <c r="BF99" s="126" t="str">
        <f>IF('Midterm OVPAA-F-INS-055A RAW SC'!BF99="","",'Midterm OVPAA-F-INS-055A RAW SC'!BF99/'Midterm OVPAA-F-INS-055A RAW SC'!BF$17*100)</f>
        <v/>
      </c>
      <c r="BG99" s="126" t="str">
        <f>IF('Midterm OVPAA-F-INS-055A RAW SC'!BG99="","",'Midterm OVPAA-F-INS-055A RAW SC'!BG99/'Midterm OVPAA-F-INS-055A RAW SC'!BG$17*100)</f>
        <v/>
      </c>
      <c r="BH99" s="126" t="str">
        <f>IF('Midterm OVPAA-F-INS-055A RAW SC'!BH99="","",'Midterm OVPAA-F-INS-055A RAW SC'!BH99/'Midterm OVPAA-F-INS-055A RAW SC'!BH$17*100)</f>
        <v/>
      </c>
      <c r="BI99" s="126" t="str">
        <f>IF('Midterm OVPAA-F-INS-055A RAW SC'!BI99="","",'Midterm OVPAA-F-INS-055A RAW SC'!BI99/'Midterm OVPAA-F-INS-055A RAW SC'!BI$17*100)</f>
        <v/>
      </c>
      <c r="BJ99" s="126" t="str">
        <f>IF('Midterm OVPAA-F-INS-055A RAW SC'!BJ99="","",'Midterm OVPAA-F-INS-055A RAW SC'!BJ99/'Midterm OVPAA-F-INS-055A RAW SC'!BJ$17*100)</f>
        <v/>
      </c>
      <c r="BK99" s="126" t="str">
        <f>IF('Midterm OVPAA-F-INS-055A RAW SC'!BK99="","",'Midterm OVPAA-F-INS-055A RAW SC'!BK99/'Midterm OVPAA-F-INS-055A RAW SC'!BK$17*100)</f>
        <v/>
      </c>
      <c r="BL99" s="126" t="str">
        <f>IF('Midterm OVPAA-F-INS-055A RAW SC'!BL99="","",'Midterm OVPAA-F-INS-055A RAW SC'!BL99/'Midterm OVPAA-F-INS-055A RAW SC'!BL$17*100)</f>
        <v/>
      </c>
      <c r="BM99" s="126" t="str">
        <f>IF('Midterm OVPAA-F-INS-055A RAW SC'!BM99="","",'Midterm OVPAA-F-INS-055A RAW SC'!BM99/'Midterm OVPAA-F-INS-055A RAW SC'!BM$17*100)</f>
        <v/>
      </c>
      <c r="BN99" s="126" t="str">
        <f>IF('Midterm OVPAA-F-INS-055A RAW SC'!BN99="","",'Midterm OVPAA-F-INS-055A RAW SC'!BN99/'Midterm OVPAA-F-INS-055A RAW SC'!BN$17*100)</f>
        <v/>
      </c>
      <c r="BO99" s="126" t="str">
        <f>IF('Midterm OVPAA-F-INS-055A RAW SC'!BO99="","",'Midterm OVPAA-F-INS-055A RAW SC'!BO99/'Midterm OVPAA-F-INS-055A RAW SC'!BO$17*100)</f>
        <v/>
      </c>
      <c r="BP99" s="126" t="str">
        <f>IF('Midterm OVPAA-F-INS-055A RAW SC'!BP99="","",'Midterm OVPAA-F-INS-055A RAW SC'!BP99/'Midterm OVPAA-F-INS-055A RAW SC'!BP$17*100)</f>
        <v/>
      </c>
      <c r="BQ99" s="126" t="str">
        <f>IF('Midterm OVPAA-F-INS-055A RAW SC'!BQ99="","",'Midterm OVPAA-F-INS-055A RAW SC'!BQ99/'Midterm OVPAA-F-INS-055A RAW SC'!BQ$17*100)</f>
        <v/>
      </c>
      <c r="BR99" s="126" t="str">
        <f>IF('Midterm OVPAA-F-INS-055A RAW SC'!BR99="","",'Midterm OVPAA-F-INS-055A RAW SC'!BR99/'Midterm OVPAA-F-INS-055A RAW SC'!BR$17*100)</f>
        <v/>
      </c>
      <c r="BS99" s="126" t="str">
        <f>IF('Midterm OVPAA-F-INS-055A RAW SC'!BS99="","",'Midterm OVPAA-F-INS-055A RAW SC'!BS99/'Midterm OVPAA-F-INS-055A RAW SC'!BS$17*100)</f>
        <v/>
      </c>
      <c r="BT99" s="126" t="str">
        <f>IF('Midterm OVPAA-F-INS-055A RAW SC'!BT99="","",'Midterm OVPAA-F-INS-055A RAW SC'!BT99/'Midterm OVPAA-F-INS-055A RAW SC'!BT$17*100)</f>
        <v/>
      </c>
      <c r="BU99" s="127" t="str">
        <f t="array" ref="BU99">IF('Midterm OVPAA-F-INS-055A RAW SC'!$G99="","",IF((SUMPRODUCT(--ISBLANK('Midterm OVPAA-F-INS-055A RAW SC'!H99:BT99))=COLUMNS('Midterm OVPAA-F-INS-055A RAW SC'!H99:BT99))=TRUE,"",(((COUNTA('Midterm OVPAA-F-INS-055A RAW SC'!$H$17:$BT$17)+COUNTBLANK('Midterm OVPAA-F-INS-055A RAW SC'!H99:BT99))-COLUMNS('Midterm OVPAA-F-INS-055A RAW SC'!H99:BT99))*5+SUM(H99:BT99))/COUNTA('Midterm OVPAA-F-INS-055A RAW SC'!$H$17:$BT$17)))</f>
        <v/>
      </c>
      <c r="BV99" s="128" t="str">
        <f>IF(BU99="","",VLOOKUP(BU99,IF('Midterm OVPAA-F-INS-055A RAW SC'!$V$12=0.5,TRANSMUTATION!$C$4:$D$17,TRANSMUTATION!$G$4:$H$17),2,TRUE))</f>
        <v/>
      </c>
      <c r="BW99" s="129" t="str">
        <f>IF('Midterm OVPAA-F-INS-055A RAW SC'!BU99="","",'Midterm OVPAA-F-INS-055A RAW SC'!BU99/'Midterm OVPAA-F-INS-055A RAW SC'!BU$17*100)</f>
        <v/>
      </c>
      <c r="BX99" s="130" t="str">
        <f>IF('Midterm OVPAA-F-INS-055A RAW SC'!BV99="","",'Midterm OVPAA-F-INS-055A RAW SC'!BV99/'Midterm OVPAA-F-INS-055A RAW SC'!BV$17*100)</f>
        <v/>
      </c>
      <c r="BY99" s="130" t="str">
        <f>IF('Midterm OVPAA-F-INS-055A RAW SC'!BW99="","",'Midterm OVPAA-F-INS-055A RAW SC'!BW99/'Midterm OVPAA-F-INS-055A RAW SC'!BW$17*100)</f>
        <v/>
      </c>
      <c r="BZ99" s="130" t="str">
        <f>IF('Midterm OVPAA-F-INS-055A RAW SC'!BX99="","",'Midterm OVPAA-F-INS-055A RAW SC'!BX99/'Midterm OVPAA-F-INS-055A RAW SC'!BX$17*100)</f>
        <v/>
      </c>
      <c r="CA99" s="130" t="str">
        <f>IF('Midterm OVPAA-F-INS-055A RAW SC'!BY99="","",'Midterm OVPAA-F-INS-055A RAW SC'!BY99/'Midterm OVPAA-F-INS-055A RAW SC'!BY$17*100)</f>
        <v/>
      </c>
      <c r="CB99" s="130" t="str">
        <f>IF('Midterm OVPAA-F-INS-055A RAW SC'!BZ99="","",'Midterm OVPAA-F-INS-055A RAW SC'!BZ99/'Midterm OVPAA-F-INS-055A RAW SC'!BZ$17*100)</f>
        <v/>
      </c>
      <c r="CC99" s="130" t="str">
        <f>IF('Midterm OVPAA-F-INS-055A RAW SC'!CA99="","",'Midterm OVPAA-F-INS-055A RAW SC'!CA99/'Midterm OVPAA-F-INS-055A RAW SC'!CA$17*100)</f>
        <v/>
      </c>
      <c r="CD99" s="130" t="str">
        <f>IF('Midterm OVPAA-F-INS-055A RAW SC'!CB99="","",'Midterm OVPAA-F-INS-055A RAW SC'!CB99/'Midterm OVPAA-F-INS-055A RAW SC'!CB$17*100)</f>
        <v/>
      </c>
      <c r="CE99" s="130" t="str">
        <f>IF('Midterm OVPAA-F-INS-055A RAW SC'!CC99="","",'Midterm OVPAA-F-INS-055A RAW SC'!CC99/'Midterm OVPAA-F-INS-055A RAW SC'!CC$17*100)</f>
        <v/>
      </c>
      <c r="CF99" s="130" t="str">
        <f>IF('Midterm OVPAA-F-INS-055A RAW SC'!CD99="","",'Midterm OVPAA-F-INS-055A RAW SC'!CD99/'Midterm OVPAA-F-INS-055A RAW SC'!CD$17*100)</f>
        <v/>
      </c>
      <c r="CG99" s="130" t="str">
        <f>IF('Midterm OVPAA-F-INS-055A RAW SC'!CE99="","",'Midterm OVPAA-F-INS-055A RAW SC'!CE99/'Midterm OVPAA-F-INS-055A RAW SC'!CE$17*100)</f>
        <v/>
      </c>
      <c r="CH99" s="130" t="str">
        <f>IF('Midterm OVPAA-F-INS-055A RAW SC'!CF99="","",'Midterm OVPAA-F-INS-055A RAW SC'!CF99/'Midterm OVPAA-F-INS-055A RAW SC'!CF$17*100)</f>
        <v/>
      </c>
      <c r="CI99" s="130" t="str">
        <f>IF('Midterm OVPAA-F-INS-055A RAW SC'!CG99="","",'Midterm OVPAA-F-INS-055A RAW SC'!CG99/'Midterm OVPAA-F-INS-055A RAW SC'!CG$17*100)</f>
        <v/>
      </c>
      <c r="CJ99" s="130" t="str">
        <f>IF('Midterm OVPAA-F-INS-055A RAW SC'!CH99="","",'Midterm OVPAA-F-INS-055A RAW SC'!CH99/'Midterm OVPAA-F-INS-055A RAW SC'!CH$17*100)</f>
        <v/>
      </c>
      <c r="CK99" s="130" t="str">
        <f>IF('Midterm OVPAA-F-INS-055A RAW SC'!CI99="","",'Midterm OVPAA-F-INS-055A RAW SC'!CI99/'Midterm OVPAA-F-INS-055A RAW SC'!CI$17*100)</f>
        <v/>
      </c>
      <c r="CL99" s="130" t="str">
        <f>IF('Midterm OVPAA-F-INS-055A RAW SC'!CJ99="","",'Midterm OVPAA-F-INS-055A RAW SC'!CJ99/'Midterm OVPAA-F-INS-055A RAW SC'!CJ$17*100)</f>
        <v/>
      </c>
      <c r="CM99" s="130" t="str">
        <f>IF('Midterm OVPAA-F-INS-055A RAW SC'!CK99="","",'Midterm OVPAA-F-INS-055A RAW SC'!CK99/'Midterm OVPAA-F-INS-055A RAW SC'!CK$17*100)</f>
        <v/>
      </c>
      <c r="CN99" s="130" t="str">
        <f>IF('Midterm OVPAA-F-INS-055A RAW SC'!CL99="","",'Midterm OVPAA-F-INS-055A RAW SC'!CL99/'Midterm OVPAA-F-INS-055A RAW SC'!CL$17*100)</f>
        <v/>
      </c>
      <c r="CO99" s="130" t="str">
        <f>IF('Midterm OVPAA-F-INS-055A RAW SC'!CM99="","",'Midterm OVPAA-F-INS-055A RAW SC'!CM99/'Midterm OVPAA-F-INS-055A RAW SC'!CM$17*100)</f>
        <v/>
      </c>
      <c r="CP99" s="130" t="str">
        <f>IF('Midterm OVPAA-F-INS-055A RAW SC'!CN99="","",'Midterm OVPAA-F-INS-055A RAW SC'!CN99/'Midterm OVPAA-F-INS-055A RAW SC'!CN$17*100)</f>
        <v/>
      </c>
      <c r="CQ99" s="131" t="str">
        <f t="array" ref="CQ99">IF('Midterm OVPAA-F-INS-055A RAW SC'!G99="","",IF((SUMPRODUCT(--ISBLANK('Midterm OVPAA-F-INS-055A RAW SC'!BU99:CN99))=COLUMNS('Midterm OVPAA-F-INS-055A RAW SC'!BU99:CN99))=TRUE,"",(((COUNTA('Midterm OVPAA-F-INS-055A RAW SC'!$BU$17:$CN$17)+COUNTBLANK('Midterm OVPAA-F-INS-055A RAW SC'!BU99:CN99))-COLUMNS('Midterm OVPAA-F-INS-055A RAW SC'!BU99:CN99))*5+SUM(BW99:CP99))/COUNTA('Midterm OVPAA-F-INS-055A RAW SC'!$BU$17:$CN$17)))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IF('Midterm OVPAA-F-INS-055A RAW SC'!CO99="","",'Midterm OVPAA-F-INS-055A RAW SC'!CO99/'Midterm OVPAA-F-INS-055A RAW SC'!CO$17*100)</f>
        <v/>
      </c>
      <c r="CT99" s="133" t="str">
        <f>IF('Midterm OVPAA-F-INS-055A RAW SC'!CP99="","",'Midterm OVPAA-F-INS-055A RAW SC'!CP99/'Midterm OVPAA-F-INS-055A RAW SC'!CP$17*100)</f>
        <v/>
      </c>
      <c r="CU99" s="133" t="str">
        <f>IF('Midterm OVPAA-F-INS-055A RAW SC'!CQ99="","",'Midterm OVPAA-F-INS-055A RAW SC'!CQ99/'Midterm OVPAA-F-INS-055A RAW SC'!CQ$17*100)</f>
        <v/>
      </c>
      <c r="CV99" s="133" t="str">
        <f>IF('Midterm OVPAA-F-INS-055A RAW SC'!CR99="","",'Midterm OVPAA-F-INS-055A RAW SC'!CR99/'Midterm OVPAA-F-INS-055A RAW SC'!CR$17*100)</f>
        <v/>
      </c>
      <c r="CW99" s="133" t="str">
        <f>IF('Midterm OVPAA-F-INS-055A RAW SC'!CS99="","",'Midterm OVPAA-F-INS-055A RAW SC'!CS99/'Midterm OVPAA-F-INS-055A RAW SC'!CS$17*100)</f>
        <v/>
      </c>
      <c r="CX99" s="133" t="str">
        <f>IF('Midterm OVPAA-F-INS-055A RAW SC'!CT99="","",'Midterm OVPAA-F-INS-055A RAW SC'!CT99/'Midterm OVPAA-F-INS-055A RAW SC'!CT$17*100)</f>
        <v/>
      </c>
      <c r="CY99" s="133" t="str">
        <f>IF('Midterm OVPAA-F-INS-055A RAW SC'!CU99="","",'Midterm OVPAA-F-INS-055A RAW SC'!CU99/'Midterm OVPAA-F-INS-055A RAW SC'!CU$17*100)</f>
        <v/>
      </c>
      <c r="CZ99" s="133" t="str">
        <f>IF('Midterm OVPAA-F-INS-055A RAW SC'!CV99="","",'Midterm OVPAA-F-INS-055A RAW SC'!CV99/'Midterm OVPAA-F-INS-055A RAW SC'!CV$17*100)</f>
        <v/>
      </c>
      <c r="DA99" s="133" t="str">
        <f>IF('Midterm OVPAA-F-INS-055A RAW SC'!CW99="","",'Midterm OVPAA-F-INS-055A RAW SC'!CW99/'Midterm OVPAA-F-INS-055A RAW SC'!CW$17*100)</f>
        <v/>
      </c>
      <c r="DB99" s="133" t="str">
        <f>IF('Midterm OVPAA-F-INS-055A RAW SC'!CX99="","",'Midterm OVPAA-F-INS-055A RAW SC'!CX99/'Midterm OVPAA-F-INS-055A RAW SC'!CX$17*100)</f>
        <v/>
      </c>
      <c r="DC99" s="134" t="str">
        <f t="array" ref="DC99">IF('Midterm OVPAA-F-INS-055A RAW SC'!$G99="","",IF((SUMPRODUCT(--ISBLANK('Midterm OVPAA-F-INS-055A RAW SC'!CO99:CX99))=COLUMNS('Midterm OVPAA-F-INS-055A RAW SC'!CO99:CX99))=TRUE,"",(((COUNTA('Midterm OVPAA-F-INS-055A RAW SC'!$CO$17:$CX$17)+COUNTBLANK('Midterm OVPAA-F-INS-055A RAW SC'!CO99:CX99))-COLUMNS('Midterm OVPAA-F-INS-055A RAW SC'!CO99:CX99))*5+SUM(CS99:DB99))/COUNTA('Midterm OVPAA-F-INS-055A RAW SC'!$CO$17:$CX$17)))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37" t="str">
        <f t="shared" si="2"/>
        <v/>
      </c>
      <c r="DG99" s="138" t="str">
        <f t="shared" si="3"/>
        <v/>
      </c>
      <c r="DH99" s="136" t="str">
        <f t="shared" si="4"/>
        <v/>
      </c>
      <c r="DI99" s="123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IF('Midterm OVPAA-F-INS-055A RAW SC'!H100="","",'Midterm OVPAA-F-INS-055A RAW SC'!H100/'Midterm OVPAA-F-INS-055A RAW SC'!H$17*100)</f>
        <v/>
      </c>
      <c r="I100" s="126" t="str">
        <f>IF('Midterm OVPAA-F-INS-055A RAW SC'!I100="","",'Midterm OVPAA-F-INS-055A RAW SC'!I100/'Midterm OVPAA-F-INS-055A RAW SC'!I$17*100)</f>
        <v/>
      </c>
      <c r="J100" s="126" t="str">
        <f>IF('Midterm OVPAA-F-INS-055A RAW SC'!J100="","",'Midterm OVPAA-F-INS-055A RAW SC'!J100/'Midterm OVPAA-F-INS-055A RAW SC'!J$17*100)</f>
        <v/>
      </c>
      <c r="K100" s="126" t="str">
        <f>IF('Midterm OVPAA-F-INS-055A RAW SC'!K100="","",'Midterm OVPAA-F-INS-055A RAW SC'!K100/'Midterm OVPAA-F-INS-055A RAW SC'!K$17*100)</f>
        <v/>
      </c>
      <c r="L100" s="126" t="str">
        <f>IF('Midterm OVPAA-F-INS-055A RAW SC'!L100="","",'Midterm OVPAA-F-INS-055A RAW SC'!L100/'Midterm OVPAA-F-INS-055A RAW SC'!L$17*100)</f>
        <v/>
      </c>
      <c r="M100" s="126" t="str">
        <f>IF('Midterm OVPAA-F-INS-055A RAW SC'!M100="","",'Midterm OVPAA-F-INS-055A RAW SC'!M100/'Midterm OVPAA-F-INS-055A RAW SC'!M$17*100)</f>
        <v/>
      </c>
      <c r="N100" s="126" t="str">
        <f>IF('Midterm OVPAA-F-INS-055A RAW SC'!N100="","",'Midterm OVPAA-F-INS-055A RAW SC'!N100/'Midterm OVPAA-F-INS-055A RAW SC'!N$17*100)</f>
        <v/>
      </c>
      <c r="O100" s="126" t="str">
        <f>IF('Midterm OVPAA-F-INS-055A RAW SC'!O100="","",'Midterm OVPAA-F-INS-055A RAW SC'!O100/'Midterm OVPAA-F-INS-055A RAW SC'!O$17*100)</f>
        <v/>
      </c>
      <c r="P100" s="126" t="str">
        <f>IF('Midterm OVPAA-F-INS-055A RAW SC'!P100="","",'Midterm OVPAA-F-INS-055A RAW SC'!P100/'Midterm OVPAA-F-INS-055A RAW SC'!P$17*100)</f>
        <v/>
      </c>
      <c r="Q100" s="126" t="str">
        <f>IF('Midterm OVPAA-F-INS-055A RAW SC'!Q100="","",'Midterm OVPAA-F-INS-055A RAW SC'!Q100/'Midterm OVPAA-F-INS-055A RAW SC'!Q$17*100)</f>
        <v/>
      </c>
      <c r="R100" s="126" t="str">
        <f>IF('Midterm OVPAA-F-INS-055A RAW SC'!R100="","",'Midterm OVPAA-F-INS-055A RAW SC'!R100/'Midterm OVPAA-F-INS-055A RAW SC'!R$17*100)</f>
        <v/>
      </c>
      <c r="S100" s="126" t="str">
        <f>IF('Midterm OVPAA-F-INS-055A RAW SC'!S100="","",'Midterm OVPAA-F-INS-055A RAW SC'!S100/'Midterm OVPAA-F-INS-055A RAW SC'!S$17*100)</f>
        <v/>
      </c>
      <c r="T100" s="126" t="str">
        <f>IF('Midterm OVPAA-F-INS-055A RAW SC'!T100="","",'Midterm OVPAA-F-INS-055A RAW SC'!T100/'Midterm OVPAA-F-INS-055A RAW SC'!T$17*100)</f>
        <v/>
      </c>
      <c r="U100" s="126" t="str">
        <f>IF('Midterm OVPAA-F-INS-055A RAW SC'!U100="","",'Midterm OVPAA-F-INS-055A RAW SC'!U100/'Midterm OVPAA-F-INS-055A RAW SC'!U$17*100)</f>
        <v/>
      </c>
      <c r="V100" s="126" t="str">
        <f>IF('Midterm OVPAA-F-INS-055A RAW SC'!V100="","",'Midterm OVPAA-F-INS-055A RAW SC'!V100/'Midterm OVPAA-F-INS-055A RAW SC'!V$17*100)</f>
        <v/>
      </c>
      <c r="W100" s="126" t="str">
        <f>IF('Midterm OVPAA-F-INS-055A RAW SC'!W100="","",'Midterm OVPAA-F-INS-055A RAW SC'!W100/'Midterm OVPAA-F-INS-055A RAW SC'!W$17*100)</f>
        <v/>
      </c>
      <c r="X100" s="126" t="str">
        <f>IF('Midterm OVPAA-F-INS-055A RAW SC'!X100="","",'Midterm OVPAA-F-INS-055A RAW SC'!X100/'Midterm OVPAA-F-INS-055A RAW SC'!X$17*100)</f>
        <v/>
      </c>
      <c r="Y100" s="126" t="str">
        <f>IF('Midterm OVPAA-F-INS-055A RAW SC'!Y100="","",'Midterm OVPAA-F-INS-055A RAW SC'!Y100/'Midterm OVPAA-F-INS-055A RAW SC'!Y$17*100)</f>
        <v/>
      </c>
      <c r="Z100" s="126" t="str">
        <f>IF('Midterm OVPAA-F-INS-055A RAW SC'!Z100="","",'Midterm OVPAA-F-INS-055A RAW SC'!Z100/'Midterm OVPAA-F-INS-055A RAW SC'!Z$17*100)</f>
        <v/>
      </c>
      <c r="AA100" s="126" t="str">
        <f>IF('Midterm OVPAA-F-INS-055A RAW SC'!AA100="","",'Midterm OVPAA-F-INS-055A RAW SC'!AA100/'Midterm OVPAA-F-INS-055A RAW SC'!AA$17*100)</f>
        <v/>
      </c>
      <c r="AB100" s="126" t="str">
        <f>IF('Midterm OVPAA-F-INS-055A RAW SC'!AB100="","",'Midterm OVPAA-F-INS-055A RAW SC'!AB100/'Midterm OVPAA-F-INS-055A RAW SC'!AB$17*100)</f>
        <v/>
      </c>
      <c r="AC100" s="126" t="str">
        <f>IF('Midterm OVPAA-F-INS-055A RAW SC'!AC100="","",'Midterm OVPAA-F-INS-055A RAW SC'!AC100/'Midterm OVPAA-F-INS-055A RAW SC'!AC$17*100)</f>
        <v/>
      </c>
      <c r="AD100" s="126" t="str">
        <f>IF('Midterm OVPAA-F-INS-055A RAW SC'!AD100="","",'Midterm OVPAA-F-INS-055A RAW SC'!AD100/'Midterm OVPAA-F-INS-055A RAW SC'!AD$17*100)</f>
        <v/>
      </c>
      <c r="AE100" s="126" t="str">
        <f>IF('Midterm OVPAA-F-INS-055A RAW SC'!AE100="","",'Midterm OVPAA-F-INS-055A RAW SC'!AE100/'Midterm OVPAA-F-INS-055A RAW SC'!AE$17*100)</f>
        <v/>
      </c>
      <c r="AF100" s="126" t="str">
        <f>IF('Midterm OVPAA-F-INS-055A RAW SC'!AF100="","",'Midterm OVPAA-F-INS-055A RAW SC'!AF100/'Midterm OVPAA-F-INS-055A RAW SC'!AF$17*100)</f>
        <v/>
      </c>
      <c r="AG100" s="126" t="str">
        <f>IF('Midterm OVPAA-F-INS-055A RAW SC'!AG100="","",'Midterm OVPAA-F-INS-055A RAW SC'!AG100/'Midterm OVPAA-F-INS-055A RAW SC'!AG$17*100)</f>
        <v/>
      </c>
      <c r="AH100" s="126" t="str">
        <f>IF('Midterm OVPAA-F-INS-055A RAW SC'!AH100="","",'Midterm OVPAA-F-INS-055A RAW SC'!AH100/'Midterm OVPAA-F-INS-055A RAW SC'!AH$17*100)</f>
        <v/>
      </c>
      <c r="AI100" s="126" t="str">
        <f>IF('Midterm OVPAA-F-INS-055A RAW SC'!AI100="","",'Midterm OVPAA-F-INS-055A RAW SC'!AI100/'Midterm OVPAA-F-INS-055A RAW SC'!AI$17*100)</f>
        <v/>
      </c>
      <c r="AJ100" s="126" t="str">
        <f>IF('Midterm OVPAA-F-INS-055A RAW SC'!AJ100="","",'Midterm OVPAA-F-INS-055A RAW SC'!AJ100/'Midterm OVPAA-F-INS-055A RAW SC'!AJ$17*100)</f>
        <v/>
      </c>
      <c r="AK100" s="126" t="str">
        <f>IF('Midterm OVPAA-F-INS-055A RAW SC'!AK100="","",'Midterm OVPAA-F-INS-055A RAW SC'!AK100/'Midterm OVPAA-F-INS-055A RAW SC'!AK$17*100)</f>
        <v/>
      </c>
      <c r="AL100" s="126" t="str">
        <f>IF('Midterm OVPAA-F-INS-055A RAW SC'!AL100="","",'Midterm OVPAA-F-INS-055A RAW SC'!AL100/'Midterm OVPAA-F-INS-055A RAW SC'!AL$17*100)</f>
        <v/>
      </c>
      <c r="AM100" s="126" t="str">
        <f>IF('Midterm OVPAA-F-INS-055A RAW SC'!AM100="","",'Midterm OVPAA-F-INS-055A RAW SC'!AM100/'Midterm OVPAA-F-INS-055A RAW SC'!AM$17*100)</f>
        <v/>
      </c>
      <c r="AN100" s="126" t="str">
        <f>IF('Midterm OVPAA-F-INS-055A RAW SC'!AN100="","",'Midterm OVPAA-F-INS-055A RAW SC'!AN100/'Midterm OVPAA-F-INS-055A RAW SC'!AN$17*100)</f>
        <v/>
      </c>
      <c r="AO100" s="126" t="str">
        <f>IF('Midterm OVPAA-F-INS-055A RAW SC'!AO100="","",'Midterm OVPAA-F-INS-055A RAW SC'!AO100/'Midterm OVPAA-F-INS-055A RAW SC'!AO$17*100)</f>
        <v/>
      </c>
      <c r="AP100" s="126" t="str">
        <f>IF('Midterm OVPAA-F-INS-055A RAW SC'!AP100="","",'Midterm OVPAA-F-INS-055A RAW SC'!AP100/'Midterm OVPAA-F-INS-055A RAW SC'!AP$17*100)</f>
        <v/>
      </c>
      <c r="AQ100" s="126" t="str">
        <f>IF('Midterm OVPAA-F-INS-055A RAW SC'!AQ100="","",'Midterm OVPAA-F-INS-055A RAW SC'!AQ100/'Midterm OVPAA-F-INS-055A RAW SC'!AQ$17*100)</f>
        <v/>
      </c>
      <c r="AR100" s="126" t="str">
        <f>IF('Midterm OVPAA-F-INS-055A RAW SC'!AR100="","",'Midterm OVPAA-F-INS-055A RAW SC'!AR100/'Midterm OVPAA-F-INS-055A RAW SC'!AR$17*100)</f>
        <v/>
      </c>
      <c r="AS100" s="126" t="str">
        <f>IF('Midterm OVPAA-F-INS-055A RAW SC'!AS100="","",'Midterm OVPAA-F-INS-055A RAW SC'!AS100/'Midterm OVPAA-F-INS-055A RAW SC'!AS$17*100)</f>
        <v/>
      </c>
      <c r="AT100" s="126" t="str">
        <f>IF('Midterm OVPAA-F-INS-055A RAW SC'!AT100="","",'Midterm OVPAA-F-INS-055A RAW SC'!AT100/'Midterm OVPAA-F-INS-055A RAW SC'!AT$17*100)</f>
        <v/>
      </c>
      <c r="AU100" s="126" t="str">
        <f>IF('Midterm OVPAA-F-INS-055A RAW SC'!AU100="","",'Midterm OVPAA-F-INS-055A RAW SC'!AU100/'Midterm OVPAA-F-INS-055A RAW SC'!AU$17*100)</f>
        <v/>
      </c>
      <c r="AV100" s="126" t="str">
        <f>IF('Midterm OVPAA-F-INS-055A RAW SC'!AV100="","",'Midterm OVPAA-F-INS-055A RAW SC'!AV100/'Midterm OVPAA-F-INS-055A RAW SC'!AV$17*100)</f>
        <v/>
      </c>
      <c r="AW100" s="126" t="str">
        <f>IF('Midterm OVPAA-F-INS-055A RAW SC'!AW100="","",'Midterm OVPAA-F-INS-055A RAW SC'!AW100/'Midterm OVPAA-F-INS-055A RAW SC'!AW$17*100)</f>
        <v/>
      </c>
      <c r="AX100" s="126" t="str">
        <f>IF('Midterm OVPAA-F-INS-055A RAW SC'!AX100="","",'Midterm OVPAA-F-INS-055A RAW SC'!AX100/'Midterm OVPAA-F-INS-055A RAW SC'!AX$17*100)</f>
        <v/>
      </c>
      <c r="AY100" s="126" t="str">
        <f>IF('Midterm OVPAA-F-INS-055A RAW SC'!AY100="","",'Midterm OVPAA-F-INS-055A RAW SC'!AY100/'Midterm OVPAA-F-INS-055A RAW SC'!AY$17*100)</f>
        <v/>
      </c>
      <c r="AZ100" s="126" t="str">
        <f>IF('Midterm OVPAA-F-INS-055A RAW SC'!AZ100="","",'Midterm OVPAA-F-INS-055A RAW SC'!AZ100/'Midterm OVPAA-F-INS-055A RAW SC'!AZ$17*100)</f>
        <v/>
      </c>
      <c r="BA100" s="126" t="str">
        <f>IF('Midterm OVPAA-F-INS-055A RAW SC'!BA100="","",'Midterm OVPAA-F-INS-055A RAW SC'!BA100/'Midterm OVPAA-F-INS-055A RAW SC'!BA$17*100)</f>
        <v/>
      </c>
      <c r="BB100" s="126" t="str">
        <f>IF('Midterm OVPAA-F-INS-055A RAW SC'!BB100="","",'Midterm OVPAA-F-INS-055A RAW SC'!BB100/'Midterm OVPAA-F-INS-055A RAW SC'!BB$17*100)</f>
        <v/>
      </c>
      <c r="BC100" s="126" t="str">
        <f>IF('Midterm OVPAA-F-INS-055A RAW SC'!BC100="","",'Midterm OVPAA-F-INS-055A RAW SC'!BC100/'Midterm OVPAA-F-INS-055A RAW SC'!BC$17*100)</f>
        <v/>
      </c>
      <c r="BD100" s="126" t="str">
        <f>IF('Midterm OVPAA-F-INS-055A RAW SC'!BD100="","",'Midterm OVPAA-F-INS-055A RAW SC'!BD100/'Midterm OVPAA-F-INS-055A RAW SC'!BD$17*100)</f>
        <v/>
      </c>
      <c r="BE100" s="126" t="str">
        <f>IF('Midterm OVPAA-F-INS-055A RAW SC'!BE100="","",'Midterm OVPAA-F-INS-055A RAW SC'!BE100/'Midterm OVPAA-F-INS-055A RAW SC'!BE$17*100)</f>
        <v/>
      </c>
      <c r="BF100" s="126" t="str">
        <f>IF('Midterm OVPAA-F-INS-055A RAW SC'!BF100="","",'Midterm OVPAA-F-INS-055A RAW SC'!BF100/'Midterm OVPAA-F-INS-055A RAW SC'!BF$17*100)</f>
        <v/>
      </c>
      <c r="BG100" s="126" t="str">
        <f>IF('Midterm OVPAA-F-INS-055A RAW SC'!BG100="","",'Midterm OVPAA-F-INS-055A RAW SC'!BG100/'Midterm OVPAA-F-INS-055A RAW SC'!BG$17*100)</f>
        <v/>
      </c>
      <c r="BH100" s="126" t="str">
        <f>IF('Midterm OVPAA-F-INS-055A RAW SC'!BH100="","",'Midterm OVPAA-F-INS-055A RAW SC'!BH100/'Midterm OVPAA-F-INS-055A RAW SC'!BH$17*100)</f>
        <v/>
      </c>
      <c r="BI100" s="126" t="str">
        <f>IF('Midterm OVPAA-F-INS-055A RAW SC'!BI100="","",'Midterm OVPAA-F-INS-055A RAW SC'!BI100/'Midterm OVPAA-F-INS-055A RAW SC'!BI$17*100)</f>
        <v/>
      </c>
      <c r="BJ100" s="126" t="str">
        <f>IF('Midterm OVPAA-F-INS-055A RAW SC'!BJ100="","",'Midterm OVPAA-F-INS-055A RAW SC'!BJ100/'Midterm OVPAA-F-INS-055A RAW SC'!BJ$17*100)</f>
        <v/>
      </c>
      <c r="BK100" s="126" t="str">
        <f>IF('Midterm OVPAA-F-INS-055A RAW SC'!BK100="","",'Midterm OVPAA-F-INS-055A RAW SC'!BK100/'Midterm OVPAA-F-INS-055A RAW SC'!BK$17*100)</f>
        <v/>
      </c>
      <c r="BL100" s="126" t="str">
        <f>IF('Midterm OVPAA-F-INS-055A RAW SC'!BL100="","",'Midterm OVPAA-F-INS-055A RAW SC'!BL100/'Midterm OVPAA-F-INS-055A RAW SC'!BL$17*100)</f>
        <v/>
      </c>
      <c r="BM100" s="126" t="str">
        <f>IF('Midterm OVPAA-F-INS-055A RAW SC'!BM100="","",'Midterm OVPAA-F-INS-055A RAW SC'!BM100/'Midterm OVPAA-F-INS-055A RAW SC'!BM$17*100)</f>
        <v/>
      </c>
      <c r="BN100" s="126" t="str">
        <f>IF('Midterm OVPAA-F-INS-055A RAW SC'!BN100="","",'Midterm OVPAA-F-INS-055A RAW SC'!BN100/'Midterm OVPAA-F-INS-055A RAW SC'!BN$17*100)</f>
        <v/>
      </c>
      <c r="BO100" s="126" t="str">
        <f>IF('Midterm OVPAA-F-INS-055A RAW SC'!BO100="","",'Midterm OVPAA-F-INS-055A RAW SC'!BO100/'Midterm OVPAA-F-INS-055A RAW SC'!BO$17*100)</f>
        <v/>
      </c>
      <c r="BP100" s="126" t="str">
        <f>IF('Midterm OVPAA-F-INS-055A RAW SC'!BP100="","",'Midterm OVPAA-F-INS-055A RAW SC'!BP100/'Midterm OVPAA-F-INS-055A RAW SC'!BP$17*100)</f>
        <v/>
      </c>
      <c r="BQ100" s="126" t="str">
        <f>IF('Midterm OVPAA-F-INS-055A RAW SC'!BQ100="","",'Midterm OVPAA-F-INS-055A RAW SC'!BQ100/'Midterm OVPAA-F-INS-055A RAW SC'!BQ$17*100)</f>
        <v/>
      </c>
      <c r="BR100" s="126" t="str">
        <f>IF('Midterm OVPAA-F-INS-055A RAW SC'!BR100="","",'Midterm OVPAA-F-INS-055A RAW SC'!BR100/'Midterm OVPAA-F-INS-055A RAW SC'!BR$17*100)</f>
        <v/>
      </c>
      <c r="BS100" s="126" t="str">
        <f>IF('Midterm OVPAA-F-INS-055A RAW SC'!BS100="","",'Midterm OVPAA-F-INS-055A RAW SC'!BS100/'Midterm OVPAA-F-INS-055A RAW SC'!BS$17*100)</f>
        <v/>
      </c>
      <c r="BT100" s="126" t="str">
        <f>IF('Midterm OVPAA-F-INS-055A RAW SC'!BT100="","",'Midterm OVPAA-F-INS-055A RAW SC'!BT100/'Midterm OVPAA-F-INS-055A RAW SC'!BT$17*100)</f>
        <v/>
      </c>
      <c r="BU100" s="127" t="str">
        <f t="array" ref="BU100">IF('Midterm OVPAA-F-INS-055A RAW SC'!$G100="","",IF((SUMPRODUCT(--ISBLANK('Midterm OVPAA-F-INS-055A RAW SC'!H100:BT100))=COLUMNS('Midterm OVPAA-F-INS-055A RAW SC'!H100:BT100))=TRUE,"",(((COUNTA('Midterm OVPAA-F-INS-055A RAW SC'!$H$17:$BT$17)+COUNTBLANK('Midterm OVPAA-F-INS-055A RAW SC'!H100:BT100))-COLUMNS('Midterm OVPAA-F-INS-055A RAW SC'!H100:BT100))*5+SUM(H100:BT100))/COUNTA('Midterm OVPAA-F-INS-055A RAW SC'!$H$17:$BT$17)))</f>
        <v/>
      </c>
      <c r="BV100" s="128" t="str">
        <f>IF(BU100="","",VLOOKUP(BU100,IF('Midterm OVPAA-F-INS-055A RAW SC'!$V$12=0.5,TRANSMUTATION!$C$4:$D$17,TRANSMUTATION!$G$4:$H$17),2,TRUE))</f>
        <v/>
      </c>
      <c r="BW100" s="129" t="str">
        <f>IF('Midterm OVPAA-F-INS-055A RAW SC'!BU100="","",'Midterm OVPAA-F-INS-055A RAW SC'!BU100/'Midterm OVPAA-F-INS-055A RAW SC'!BU$17*100)</f>
        <v/>
      </c>
      <c r="BX100" s="130" t="str">
        <f>IF('Midterm OVPAA-F-INS-055A RAW SC'!BV100="","",'Midterm OVPAA-F-INS-055A RAW SC'!BV100/'Midterm OVPAA-F-INS-055A RAW SC'!BV$17*100)</f>
        <v/>
      </c>
      <c r="BY100" s="130" t="str">
        <f>IF('Midterm OVPAA-F-INS-055A RAW SC'!BW100="","",'Midterm OVPAA-F-INS-055A RAW SC'!BW100/'Midterm OVPAA-F-INS-055A RAW SC'!BW$17*100)</f>
        <v/>
      </c>
      <c r="BZ100" s="130" t="str">
        <f>IF('Midterm OVPAA-F-INS-055A RAW SC'!BX100="","",'Midterm OVPAA-F-INS-055A RAW SC'!BX100/'Midterm OVPAA-F-INS-055A RAW SC'!BX$17*100)</f>
        <v/>
      </c>
      <c r="CA100" s="130" t="str">
        <f>IF('Midterm OVPAA-F-INS-055A RAW SC'!BY100="","",'Midterm OVPAA-F-INS-055A RAW SC'!BY100/'Midterm OVPAA-F-INS-055A RAW SC'!BY$17*100)</f>
        <v/>
      </c>
      <c r="CB100" s="130" t="str">
        <f>IF('Midterm OVPAA-F-INS-055A RAW SC'!BZ100="","",'Midterm OVPAA-F-INS-055A RAW SC'!BZ100/'Midterm OVPAA-F-INS-055A RAW SC'!BZ$17*100)</f>
        <v/>
      </c>
      <c r="CC100" s="130" t="str">
        <f>IF('Midterm OVPAA-F-INS-055A RAW SC'!CA100="","",'Midterm OVPAA-F-INS-055A RAW SC'!CA100/'Midterm OVPAA-F-INS-055A RAW SC'!CA$17*100)</f>
        <v/>
      </c>
      <c r="CD100" s="130" t="str">
        <f>IF('Midterm OVPAA-F-INS-055A RAW SC'!CB100="","",'Midterm OVPAA-F-INS-055A RAW SC'!CB100/'Midterm OVPAA-F-INS-055A RAW SC'!CB$17*100)</f>
        <v/>
      </c>
      <c r="CE100" s="130" t="str">
        <f>IF('Midterm OVPAA-F-INS-055A RAW SC'!CC100="","",'Midterm OVPAA-F-INS-055A RAW SC'!CC100/'Midterm OVPAA-F-INS-055A RAW SC'!CC$17*100)</f>
        <v/>
      </c>
      <c r="CF100" s="130" t="str">
        <f>IF('Midterm OVPAA-F-INS-055A RAW SC'!CD100="","",'Midterm OVPAA-F-INS-055A RAW SC'!CD100/'Midterm OVPAA-F-INS-055A RAW SC'!CD$17*100)</f>
        <v/>
      </c>
      <c r="CG100" s="130" t="str">
        <f>IF('Midterm OVPAA-F-INS-055A RAW SC'!CE100="","",'Midterm OVPAA-F-INS-055A RAW SC'!CE100/'Midterm OVPAA-F-INS-055A RAW SC'!CE$17*100)</f>
        <v/>
      </c>
      <c r="CH100" s="130" t="str">
        <f>IF('Midterm OVPAA-F-INS-055A RAW SC'!CF100="","",'Midterm OVPAA-F-INS-055A RAW SC'!CF100/'Midterm OVPAA-F-INS-055A RAW SC'!CF$17*100)</f>
        <v/>
      </c>
      <c r="CI100" s="130" t="str">
        <f>IF('Midterm OVPAA-F-INS-055A RAW SC'!CG100="","",'Midterm OVPAA-F-INS-055A RAW SC'!CG100/'Midterm OVPAA-F-INS-055A RAW SC'!CG$17*100)</f>
        <v/>
      </c>
      <c r="CJ100" s="130" t="str">
        <f>IF('Midterm OVPAA-F-INS-055A RAW SC'!CH100="","",'Midterm OVPAA-F-INS-055A RAW SC'!CH100/'Midterm OVPAA-F-INS-055A RAW SC'!CH$17*100)</f>
        <v/>
      </c>
      <c r="CK100" s="130" t="str">
        <f>IF('Midterm OVPAA-F-INS-055A RAW SC'!CI100="","",'Midterm OVPAA-F-INS-055A RAW SC'!CI100/'Midterm OVPAA-F-INS-055A RAW SC'!CI$17*100)</f>
        <v/>
      </c>
      <c r="CL100" s="130" t="str">
        <f>IF('Midterm OVPAA-F-INS-055A RAW SC'!CJ100="","",'Midterm OVPAA-F-INS-055A RAW SC'!CJ100/'Midterm OVPAA-F-INS-055A RAW SC'!CJ$17*100)</f>
        <v/>
      </c>
      <c r="CM100" s="130" t="str">
        <f>IF('Midterm OVPAA-F-INS-055A RAW SC'!CK100="","",'Midterm OVPAA-F-INS-055A RAW SC'!CK100/'Midterm OVPAA-F-INS-055A RAW SC'!CK$17*100)</f>
        <v/>
      </c>
      <c r="CN100" s="130" t="str">
        <f>IF('Midterm OVPAA-F-INS-055A RAW SC'!CL100="","",'Midterm OVPAA-F-INS-055A RAW SC'!CL100/'Midterm OVPAA-F-INS-055A RAW SC'!CL$17*100)</f>
        <v/>
      </c>
      <c r="CO100" s="130" t="str">
        <f>IF('Midterm OVPAA-F-INS-055A RAW SC'!CM100="","",'Midterm OVPAA-F-INS-055A RAW SC'!CM100/'Midterm OVPAA-F-INS-055A RAW SC'!CM$17*100)</f>
        <v/>
      </c>
      <c r="CP100" s="130" t="str">
        <f>IF('Midterm OVPAA-F-INS-055A RAW SC'!CN100="","",'Midterm OVPAA-F-INS-055A RAW SC'!CN100/'Midterm OVPAA-F-INS-055A RAW SC'!CN$17*100)</f>
        <v/>
      </c>
      <c r="CQ100" s="131" t="str">
        <f t="array" ref="CQ100">IF('Midterm OVPAA-F-INS-055A RAW SC'!G100="","",IF((SUMPRODUCT(--ISBLANK('Midterm OVPAA-F-INS-055A RAW SC'!BU100:CN100))=COLUMNS('Midterm OVPAA-F-INS-055A RAW SC'!BU100:CN100))=TRUE,"",(((COUNTA('Midterm OVPAA-F-INS-055A RAW SC'!$BU$17:$CN$17)+COUNTBLANK('Midterm OVPAA-F-INS-055A RAW SC'!BU100:CN100))-COLUMNS('Midterm OVPAA-F-INS-055A RAW SC'!BU100:CN100))*5+SUM(BW100:CP100))/COUNTA('Midterm OVPAA-F-INS-055A RAW SC'!$BU$17:$CN$17)))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IF('Midterm OVPAA-F-INS-055A RAW SC'!CO100="","",'Midterm OVPAA-F-INS-055A RAW SC'!CO100/'Midterm OVPAA-F-INS-055A RAW SC'!CO$17*100)</f>
        <v/>
      </c>
      <c r="CT100" s="133" t="str">
        <f>IF('Midterm OVPAA-F-INS-055A RAW SC'!CP100="","",'Midterm OVPAA-F-INS-055A RAW SC'!CP100/'Midterm OVPAA-F-INS-055A RAW SC'!CP$17*100)</f>
        <v/>
      </c>
      <c r="CU100" s="133" t="str">
        <f>IF('Midterm OVPAA-F-INS-055A RAW SC'!CQ100="","",'Midterm OVPAA-F-INS-055A RAW SC'!CQ100/'Midterm OVPAA-F-INS-055A RAW SC'!CQ$17*100)</f>
        <v/>
      </c>
      <c r="CV100" s="133" t="str">
        <f>IF('Midterm OVPAA-F-INS-055A RAW SC'!CR100="","",'Midterm OVPAA-F-INS-055A RAW SC'!CR100/'Midterm OVPAA-F-INS-055A RAW SC'!CR$17*100)</f>
        <v/>
      </c>
      <c r="CW100" s="133" t="str">
        <f>IF('Midterm OVPAA-F-INS-055A RAW SC'!CS100="","",'Midterm OVPAA-F-INS-055A RAW SC'!CS100/'Midterm OVPAA-F-INS-055A RAW SC'!CS$17*100)</f>
        <v/>
      </c>
      <c r="CX100" s="133" t="str">
        <f>IF('Midterm OVPAA-F-INS-055A RAW SC'!CT100="","",'Midterm OVPAA-F-INS-055A RAW SC'!CT100/'Midterm OVPAA-F-INS-055A RAW SC'!CT$17*100)</f>
        <v/>
      </c>
      <c r="CY100" s="133" t="str">
        <f>IF('Midterm OVPAA-F-INS-055A RAW SC'!CU100="","",'Midterm OVPAA-F-INS-055A RAW SC'!CU100/'Midterm OVPAA-F-INS-055A RAW SC'!CU$17*100)</f>
        <v/>
      </c>
      <c r="CZ100" s="133" t="str">
        <f>IF('Midterm OVPAA-F-INS-055A RAW SC'!CV100="","",'Midterm OVPAA-F-INS-055A RAW SC'!CV100/'Midterm OVPAA-F-INS-055A RAW SC'!CV$17*100)</f>
        <v/>
      </c>
      <c r="DA100" s="133" t="str">
        <f>IF('Midterm OVPAA-F-INS-055A RAW SC'!CW100="","",'Midterm OVPAA-F-INS-055A RAW SC'!CW100/'Midterm OVPAA-F-INS-055A RAW SC'!CW$17*100)</f>
        <v/>
      </c>
      <c r="DB100" s="133" t="str">
        <f>IF('Midterm OVPAA-F-INS-055A RAW SC'!CX100="","",'Midterm OVPAA-F-INS-055A RAW SC'!CX100/'Midterm OVPAA-F-INS-055A RAW SC'!CX$17*100)</f>
        <v/>
      </c>
      <c r="DC100" s="134" t="str">
        <f t="array" ref="DC100">IF('Midterm OVPAA-F-INS-055A RAW SC'!$G100="","",IF((SUMPRODUCT(--ISBLANK('Midterm OVPAA-F-INS-055A RAW SC'!CO100:CX100))=COLUMNS('Midterm OVPAA-F-INS-055A RAW SC'!CO100:CX100))=TRUE,"",(((COUNTA('Midterm OVPAA-F-INS-055A RAW SC'!$CO$17:$CX$17)+COUNTBLANK('Midterm OVPAA-F-INS-055A RAW SC'!CO100:CX100))-COLUMNS('Midterm OVPAA-F-INS-055A RAW SC'!CO100:CX100))*5+SUM(CS100:DB100))/COUNTA('Midterm OVPAA-F-INS-055A RAW SC'!$CO$17:$CX$17)))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37" t="str">
        <f t="shared" si="2"/>
        <v/>
      </c>
      <c r="DG100" s="138" t="str">
        <f t="shared" si="3"/>
        <v/>
      </c>
      <c r="DH100" s="136" t="str">
        <f t="shared" si="4"/>
        <v/>
      </c>
      <c r="DI100" s="123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IF('Midterm OVPAA-F-INS-055A RAW SC'!H101="","",'Midterm OVPAA-F-INS-055A RAW SC'!H101/'Midterm OVPAA-F-INS-055A RAW SC'!H$17*100)</f>
        <v/>
      </c>
      <c r="I101" s="126" t="str">
        <f>IF('Midterm OVPAA-F-INS-055A RAW SC'!I101="","",'Midterm OVPAA-F-INS-055A RAW SC'!I101/'Midterm OVPAA-F-INS-055A RAW SC'!I$17*100)</f>
        <v/>
      </c>
      <c r="J101" s="126" t="str">
        <f>IF('Midterm OVPAA-F-INS-055A RAW SC'!J101="","",'Midterm OVPAA-F-INS-055A RAW SC'!J101/'Midterm OVPAA-F-INS-055A RAW SC'!J$17*100)</f>
        <v/>
      </c>
      <c r="K101" s="126" t="str">
        <f>IF('Midterm OVPAA-F-INS-055A RAW SC'!K101="","",'Midterm OVPAA-F-INS-055A RAW SC'!K101/'Midterm OVPAA-F-INS-055A RAW SC'!K$17*100)</f>
        <v/>
      </c>
      <c r="L101" s="126" t="str">
        <f>IF('Midterm OVPAA-F-INS-055A RAW SC'!L101="","",'Midterm OVPAA-F-INS-055A RAW SC'!L101/'Midterm OVPAA-F-INS-055A RAW SC'!L$17*100)</f>
        <v/>
      </c>
      <c r="M101" s="126" t="str">
        <f>IF('Midterm OVPAA-F-INS-055A RAW SC'!M101="","",'Midterm OVPAA-F-INS-055A RAW SC'!M101/'Midterm OVPAA-F-INS-055A RAW SC'!M$17*100)</f>
        <v/>
      </c>
      <c r="N101" s="126" t="str">
        <f>IF('Midterm OVPAA-F-INS-055A RAW SC'!N101="","",'Midterm OVPAA-F-INS-055A RAW SC'!N101/'Midterm OVPAA-F-INS-055A RAW SC'!N$17*100)</f>
        <v/>
      </c>
      <c r="O101" s="126" t="str">
        <f>IF('Midterm OVPAA-F-INS-055A RAW SC'!O101="","",'Midterm OVPAA-F-INS-055A RAW SC'!O101/'Midterm OVPAA-F-INS-055A RAW SC'!O$17*100)</f>
        <v/>
      </c>
      <c r="P101" s="126" t="str">
        <f>IF('Midterm OVPAA-F-INS-055A RAW SC'!P101="","",'Midterm OVPAA-F-INS-055A RAW SC'!P101/'Midterm OVPAA-F-INS-055A RAW SC'!P$17*100)</f>
        <v/>
      </c>
      <c r="Q101" s="126" t="str">
        <f>IF('Midterm OVPAA-F-INS-055A RAW SC'!Q101="","",'Midterm OVPAA-F-INS-055A RAW SC'!Q101/'Midterm OVPAA-F-INS-055A RAW SC'!Q$17*100)</f>
        <v/>
      </c>
      <c r="R101" s="126" t="str">
        <f>IF('Midterm OVPAA-F-INS-055A RAW SC'!R101="","",'Midterm OVPAA-F-INS-055A RAW SC'!R101/'Midterm OVPAA-F-INS-055A RAW SC'!R$17*100)</f>
        <v/>
      </c>
      <c r="S101" s="126" t="str">
        <f>IF('Midterm OVPAA-F-INS-055A RAW SC'!S101="","",'Midterm OVPAA-F-INS-055A RAW SC'!S101/'Midterm OVPAA-F-INS-055A RAW SC'!S$17*100)</f>
        <v/>
      </c>
      <c r="T101" s="126" t="str">
        <f>IF('Midterm OVPAA-F-INS-055A RAW SC'!T101="","",'Midterm OVPAA-F-INS-055A RAW SC'!T101/'Midterm OVPAA-F-INS-055A RAW SC'!T$17*100)</f>
        <v/>
      </c>
      <c r="U101" s="126" t="str">
        <f>IF('Midterm OVPAA-F-INS-055A RAW SC'!U101="","",'Midterm OVPAA-F-INS-055A RAW SC'!U101/'Midterm OVPAA-F-INS-055A RAW SC'!U$17*100)</f>
        <v/>
      </c>
      <c r="V101" s="126" t="str">
        <f>IF('Midterm OVPAA-F-INS-055A RAW SC'!V101="","",'Midterm OVPAA-F-INS-055A RAW SC'!V101/'Midterm OVPAA-F-INS-055A RAW SC'!V$17*100)</f>
        <v/>
      </c>
      <c r="W101" s="126" t="str">
        <f>IF('Midterm OVPAA-F-INS-055A RAW SC'!W101="","",'Midterm OVPAA-F-INS-055A RAW SC'!W101/'Midterm OVPAA-F-INS-055A RAW SC'!W$17*100)</f>
        <v/>
      </c>
      <c r="X101" s="126" t="str">
        <f>IF('Midterm OVPAA-F-INS-055A RAW SC'!X101="","",'Midterm OVPAA-F-INS-055A RAW SC'!X101/'Midterm OVPAA-F-INS-055A RAW SC'!X$17*100)</f>
        <v/>
      </c>
      <c r="Y101" s="126" t="str">
        <f>IF('Midterm OVPAA-F-INS-055A RAW SC'!Y101="","",'Midterm OVPAA-F-INS-055A RAW SC'!Y101/'Midterm OVPAA-F-INS-055A RAW SC'!Y$17*100)</f>
        <v/>
      </c>
      <c r="Z101" s="126" t="str">
        <f>IF('Midterm OVPAA-F-INS-055A RAW SC'!Z101="","",'Midterm OVPAA-F-INS-055A RAW SC'!Z101/'Midterm OVPAA-F-INS-055A RAW SC'!Z$17*100)</f>
        <v/>
      </c>
      <c r="AA101" s="126" t="str">
        <f>IF('Midterm OVPAA-F-INS-055A RAW SC'!AA101="","",'Midterm OVPAA-F-INS-055A RAW SC'!AA101/'Midterm OVPAA-F-INS-055A RAW SC'!AA$17*100)</f>
        <v/>
      </c>
      <c r="AB101" s="126" t="str">
        <f>IF('Midterm OVPAA-F-INS-055A RAW SC'!AB101="","",'Midterm OVPAA-F-INS-055A RAW SC'!AB101/'Midterm OVPAA-F-INS-055A RAW SC'!AB$17*100)</f>
        <v/>
      </c>
      <c r="AC101" s="126" t="str">
        <f>IF('Midterm OVPAA-F-INS-055A RAW SC'!AC101="","",'Midterm OVPAA-F-INS-055A RAW SC'!AC101/'Midterm OVPAA-F-INS-055A RAW SC'!AC$17*100)</f>
        <v/>
      </c>
      <c r="AD101" s="126" t="str">
        <f>IF('Midterm OVPAA-F-INS-055A RAW SC'!AD101="","",'Midterm OVPAA-F-INS-055A RAW SC'!AD101/'Midterm OVPAA-F-INS-055A RAW SC'!AD$17*100)</f>
        <v/>
      </c>
      <c r="AE101" s="126" t="str">
        <f>IF('Midterm OVPAA-F-INS-055A RAW SC'!AE101="","",'Midterm OVPAA-F-INS-055A RAW SC'!AE101/'Midterm OVPAA-F-INS-055A RAW SC'!AE$17*100)</f>
        <v/>
      </c>
      <c r="AF101" s="126" t="str">
        <f>IF('Midterm OVPAA-F-INS-055A RAW SC'!AF101="","",'Midterm OVPAA-F-INS-055A RAW SC'!AF101/'Midterm OVPAA-F-INS-055A RAW SC'!AF$17*100)</f>
        <v/>
      </c>
      <c r="AG101" s="126" t="str">
        <f>IF('Midterm OVPAA-F-INS-055A RAW SC'!AG101="","",'Midterm OVPAA-F-INS-055A RAW SC'!AG101/'Midterm OVPAA-F-INS-055A RAW SC'!AG$17*100)</f>
        <v/>
      </c>
      <c r="AH101" s="126" t="str">
        <f>IF('Midterm OVPAA-F-INS-055A RAW SC'!AH101="","",'Midterm OVPAA-F-INS-055A RAW SC'!AH101/'Midterm OVPAA-F-INS-055A RAW SC'!AH$17*100)</f>
        <v/>
      </c>
      <c r="AI101" s="126" t="str">
        <f>IF('Midterm OVPAA-F-INS-055A RAW SC'!AI101="","",'Midterm OVPAA-F-INS-055A RAW SC'!AI101/'Midterm OVPAA-F-INS-055A RAW SC'!AI$17*100)</f>
        <v/>
      </c>
      <c r="AJ101" s="126" t="str">
        <f>IF('Midterm OVPAA-F-INS-055A RAW SC'!AJ101="","",'Midterm OVPAA-F-INS-055A RAW SC'!AJ101/'Midterm OVPAA-F-INS-055A RAW SC'!AJ$17*100)</f>
        <v/>
      </c>
      <c r="AK101" s="126" t="str">
        <f>IF('Midterm OVPAA-F-INS-055A RAW SC'!AK101="","",'Midterm OVPAA-F-INS-055A RAW SC'!AK101/'Midterm OVPAA-F-INS-055A RAW SC'!AK$17*100)</f>
        <v/>
      </c>
      <c r="AL101" s="126" t="str">
        <f>IF('Midterm OVPAA-F-INS-055A RAW SC'!AL101="","",'Midterm OVPAA-F-INS-055A RAW SC'!AL101/'Midterm OVPAA-F-INS-055A RAW SC'!AL$17*100)</f>
        <v/>
      </c>
      <c r="AM101" s="126" t="str">
        <f>IF('Midterm OVPAA-F-INS-055A RAW SC'!AM101="","",'Midterm OVPAA-F-INS-055A RAW SC'!AM101/'Midterm OVPAA-F-INS-055A RAW SC'!AM$17*100)</f>
        <v/>
      </c>
      <c r="AN101" s="126" t="str">
        <f>IF('Midterm OVPAA-F-INS-055A RAW SC'!AN101="","",'Midterm OVPAA-F-INS-055A RAW SC'!AN101/'Midterm OVPAA-F-INS-055A RAW SC'!AN$17*100)</f>
        <v/>
      </c>
      <c r="AO101" s="126" t="str">
        <f>IF('Midterm OVPAA-F-INS-055A RAW SC'!AO101="","",'Midterm OVPAA-F-INS-055A RAW SC'!AO101/'Midterm OVPAA-F-INS-055A RAW SC'!AO$17*100)</f>
        <v/>
      </c>
      <c r="AP101" s="126" t="str">
        <f>IF('Midterm OVPAA-F-INS-055A RAW SC'!AP101="","",'Midterm OVPAA-F-INS-055A RAW SC'!AP101/'Midterm OVPAA-F-INS-055A RAW SC'!AP$17*100)</f>
        <v/>
      </c>
      <c r="AQ101" s="126" t="str">
        <f>IF('Midterm OVPAA-F-INS-055A RAW SC'!AQ101="","",'Midterm OVPAA-F-INS-055A RAW SC'!AQ101/'Midterm OVPAA-F-INS-055A RAW SC'!AQ$17*100)</f>
        <v/>
      </c>
      <c r="AR101" s="126" t="str">
        <f>IF('Midterm OVPAA-F-INS-055A RAW SC'!AR101="","",'Midterm OVPAA-F-INS-055A RAW SC'!AR101/'Midterm OVPAA-F-INS-055A RAW SC'!AR$17*100)</f>
        <v/>
      </c>
      <c r="AS101" s="126" t="str">
        <f>IF('Midterm OVPAA-F-INS-055A RAW SC'!AS101="","",'Midterm OVPAA-F-INS-055A RAW SC'!AS101/'Midterm OVPAA-F-INS-055A RAW SC'!AS$17*100)</f>
        <v/>
      </c>
      <c r="AT101" s="126" t="str">
        <f>IF('Midterm OVPAA-F-INS-055A RAW SC'!AT101="","",'Midterm OVPAA-F-INS-055A RAW SC'!AT101/'Midterm OVPAA-F-INS-055A RAW SC'!AT$17*100)</f>
        <v/>
      </c>
      <c r="AU101" s="126" t="str">
        <f>IF('Midterm OVPAA-F-INS-055A RAW SC'!AU101="","",'Midterm OVPAA-F-INS-055A RAW SC'!AU101/'Midterm OVPAA-F-INS-055A RAW SC'!AU$17*100)</f>
        <v/>
      </c>
      <c r="AV101" s="126" t="str">
        <f>IF('Midterm OVPAA-F-INS-055A RAW SC'!AV101="","",'Midterm OVPAA-F-INS-055A RAW SC'!AV101/'Midterm OVPAA-F-INS-055A RAW SC'!AV$17*100)</f>
        <v/>
      </c>
      <c r="AW101" s="126" t="str">
        <f>IF('Midterm OVPAA-F-INS-055A RAW SC'!AW101="","",'Midterm OVPAA-F-INS-055A RAW SC'!AW101/'Midterm OVPAA-F-INS-055A RAW SC'!AW$17*100)</f>
        <v/>
      </c>
      <c r="AX101" s="126" t="str">
        <f>IF('Midterm OVPAA-F-INS-055A RAW SC'!AX101="","",'Midterm OVPAA-F-INS-055A RAW SC'!AX101/'Midterm OVPAA-F-INS-055A RAW SC'!AX$17*100)</f>
        <v/>
      </c>
      <c r="AY101" s="126" t="str">
        <f>IF('Midterm OVPAA-F-INS-055A RAW SC'!AY101="","",'Midterm OVPAA-F-INS-055A RAW SC'!AY101/'Midterm OVPAA-F-INS-055A RAW SC'!AY$17*100)</f>
        <v/>
      </c>
      <c r="AZ101" s="126" t="str">
        <f>IF('Midterm OVPAA-F-INS-055A RAW SC'!AZ101="","",'Midterm OVPAA-F-INS-055A RAW SC'!AZ101/'Midterm OVPAA-F-INS-055A RAW SC'!AZ$17*100)</f>
        <v/>
      </c>
      <c r="BA101" s="126" t="str">
        <f>IF('Midterm OVPAA-F-INS-055A RAW SC'!BA101="","",'Midterm OVPAA-F-INS-055A RAW SC'!BA101/'Midterm OVPAA-F-INS-055A RAW SC'!BA$17*100)</f>
        <v/>
      </c>
      <c r="BB101" s="126" t="str">
        <f>IF('Midterm OVPAA-F-INS-055A RAW SC'!BB101="","",'Midterm OVPAA-F-INS-055A RAW SC'!BB101/'Midterm OVPAA-F-INS-055A RAW SC'!BB$17*100)</f>
        <v/>
      </c>
      <c r="BC101" s="126" t="str">
        <f>IF('Midterm OVPAA-F-INS-055A RAW SC'!BC101="","",'Midterm OVPAA-F-INS-055A RAW SC'!BC101/'Midterm OVPAA-F-INS-055A RAW SC'!BC$17*100)</f>
        <v/>
      </c>
      <c r="BD101" s="126" t="str">
        <f>IF('Midterm OVPAA-F-INS-055A RAW SC'!BD101="","",'Midterm OVPAA-F-INS-055A RAW SC'!BD101/'Midterm OVPAA-F-INS-055A RAW SC'!BD$17*100)</f>
        <v/>
      </c>
      <c r="BE101" s="126" t="str">
        <f>IF('Midterm OVPAA-F-INS-055A RAW SC'!BE101="","",'Midterm OVPAA-F-INS-055A RAW SC'!BE101/'Midterm OVPAA-F-INS-055A RAW SC'!BE$17*100)</f>
        <v/>
      </c>
      <c r="BF101" s="126" t="str">
        <f>IF('Midterm OVPAA-F-INS-055A RAW SC'!BF101="","",'Midterm OVPAA-F-INS-055A RAW SC'!BF101/'Midterm OVPAA-F-INS-055A RAW SC'!BF$17*100)</f>
        <v/>
      </c>
      <c r="BG101" s="126" t="str">
        <f>IF('Midterm OVPAA-F-INS-055A RAW SC'!BG101="","",'Midterm OVPAA-F-INS-055A RAW SC'!BG101/'Midterm OVPAA-F-INS-055A RAW SC'!BG$17*100)</f>
        <v/>
      </c>
      <c r="BH101" s="126" t="str">
        <f>IF('Midterm OVPAA-F-INS-055A RAW SC'!BH101="","",'Midterm OVPAA-F-INS-055A RAW SC'!BH101/'Midterm OVPAA-F-INS-055A RAW SC'!BH$17*100)</f>
        <v/>
      </c>
      <c r="BI101" s="126" t="str">
        <f>IF('Midterm OVPAA-F-INS-055A RAW SC'!BI101="","",'Midterm OVPAA-F-INS-055A RAW SC'!BI101/'Midterm OVPAA-F-INS-055A RAW SC'!BI$17*100)</f>
        <v/>
      </c>
      <c r="BJ101" s="126" t="str">
        <f>IF('Midterm OVPAA-F-INS-055A RAW SC'!BJ101="","",'Midterm OVPAA-F-INS-055A RAW SC'!BJ101/'Midterm OVPAA-F-INS-055A RAW SC'!BJ$17*100)</f>
        <v/>
      </c>
      <c r="BK101" s="126" t="str">
        <f>IF('Midterm OVPAA-F-INS-055A RAW SC'!BK101="","",'Midterm OVPAA-F-INS-055A RAW SC'!BK101/'Midterm OVPAA-F-INS-055A RAW SC'!BK$17*100)</f>
        <v/>
      </c>
      <c r="BL101" s="126" t="str">
        <f>IF('Midterm OVPAA-F-INS-055A RAW SC'!BL101="","",'Midterm OVPAA-F-INS-055A RAW SC'!BL101/'Midterm OVPAA-F-INS-055A RAW SC'!BL$17*100)</f>
        <v/>
      </c>
      <c r="BM101" s="126" t="str">
        <f>IF('Midterm OVPAA-F-INS-055A RAW SC'!BM101="","",'Midterm OVPAA-F-INS-055A RAW SC'!BM101/'Midterm OVPAA-F-INS-055A RAW SC'!BM$17*100)</f>
        <v/>
      </c>
      <c r="BN101" s="126" t="str">
        <f>IF('Midterm OVPAA-F-INS-055A RAW SC'!BN101="","",'Midterm OVPAA-F-INS-055A RAW SC'!BN101/'Midterm OVPAA-F-INS-055A RAW SC'!BN$17*100)</f>
        <v/>
      </c>
      <c r="BO101" s="126" t="str">
        <f>IF('Midterm OVPAA-F-INS-055A RAW SC'!BO101="","",'Midterm OVPAA-F-INS-055A RAW SC'!BO101/'Midterm OVPAA-F-INS-055A RAW SC'!BO$17*100)</f>
        <v/>
      </c>
      <c r="BP101" s="126" t="str">
        <f>IF('Midterm OVPAA-F-INS-055A RAW SC'!BP101="","",'Midterm OVPAA-F-INS-055A RAW SC'!BP101/'Midterm OVPAA-F-INS-055A RAW SC'!BP$17*100)</f>
        <v/>
      </c>
      <c r="BQ101" s="126" t="str">
        <f>IF('Midterm OVPAA-F-INS-055A RAW SC'!BQ101="","",'Midterm OVPAA-F-INS-055A RAW SC'!BQ101/'Midterm OVPAA-F-INS-055A RAW SC'!BQ$17*100)</f>
        <v/>
      </c>
      <c r="BR101" s="126" t="str">
        <f>IF('Midterm OVPAA-F-INS-055A RAW SC'!BR101="","",'Midterm OVPAA-F-INS-055A RAW SC'!BR101/'Midterm OVPAA-F-INS-055A RAW SC'!BR$17*100)</f>
        <v/>
      </c>
      <c r="BS101" s="126" t="str">
        <f>IF('Midterm OVPAA-F-INS-055A RAW SC'!BS101="","",'Midterm OVPAA-F-INS-055A RAW SC'!BS101/'Midterm OVPAA-F-INS-055A RAW SC'!BS$17*100)</f>
        <v/>
      </c>
      <c r="BT101" s="126" t="str">
        <f>IF('Midterm OVPAA-F-INS-055A RAW SC'!BT101="","",'Midterm OVPAA-F-INS-055A RAW SC'!BT101/'Midterm OVPAA-F-INS-055A RAW SC'!BT$17*100)</f>
        <v/>
      </c>
      <c r="BU101" s="127" t="str">
        <f t="array" ref="BU101">IF('Midterm OVPAA-F-INS-055A RAW SC'!$G101="","",IF((SUMPRODUCT(--ISBLANK('Midterm OVPAA-F-INS-055A RAW SC'!H101:BT101))=COLUMNS('Midterm OVPAA-F-INS-055A RAW SC'!H101:BT101))=TRUE,"",(((COUNTA('Midterm OVPAA-F-INS-055A RAW SC'!$H$17:$BT$17)+COUNTBLANK('Midterm OVPAA-F-INS-055A RAW SC'!H101:BT101))-COLUMNS('Midterm OVPAA-F-INS-055A RAW SC'!H101:BT101))*5+SUM(H101:BT101))/COUNTA('Midterm OVPAA-F-INS-055A RAW SC'!$H$17:$BT$17)))</f>
        <v/>
      </c>
      <c r="BV101" s="128" t="str">
        <f>IF(BU101="","",VLOOKUP(BU101,IF('Midterm OVPAA-F-INS-055A RAW SC'!$V$12=0.5,TRANSMUTATION!$C$4:$D$17,TRANSMUTATION!$G$4:$H$17),2,TRUE))</f>
        <v/>
      </c>
      <c r="BW101" s="129" t="str">
        <f>IF('Midterm OVPAA-F-INS-055A RAW SC'!BU101="","",'Midterm OVPAA-F-INS-055A RAW SC'!BU101/'Midterm OVPAA-F-INS-055A RAW SC'!BU$17*100)</f>
        <v/>
      </c>
      <c r="BX101" s="130" t="str">
        <f>IF('Midterm OVPAA-F-INS-055A RAW SC'!BV101="","",'Midterm OVPAA-F-INS-055A RAW SC'!BV101/'Midterm OVPAA-F-INS-055A RAW SC'!BV$17*100)</f>
        <v/>
      </c>
      <c r="BY101" s="130" t="str">
        <f>IF('Midterm OVPAA-F-INS-055A RAW SC'!BW101="","",'Midterm OVPAA-F-INS-055A RAW SC'!BW101/'Midterm OVPAA-F-INS-055A RAW SC'!BW$17*100)</f>
        <v/>
      </c>
      <c r="BZ101" s="130" t="str">
        <f>IF('Midterm OVPAA-F-INS-055A RAW SC'!BX101="","",'Midterm OVPAA-F-INS-055A RAW SC'!BX101/'Midterm OVPAA-F-INS-055A RAW SC'!BX$17*100)</f>
        <v/>
      </c>
      <c r="CA101" s="130" t="str">
        <f>IF('Midterm OVPAA-F-INS-055A RAW SC'!BY101="","",'Midterm OVPAA-F-INS-055A RAW SC'!BY101/'Midterm OVPAA-F-INS-055A RAW SC'!BY$17*100)</f>
        <v/>
      </c>
      <c r="CB101" s="130" t="str">
        <f>IF('Midterm OVPAA-F-INS-055A RAW SC'!BZ101="","",'Midterm OVPAA-F-INS-055A RAW SC'!BZ101/'Midterm OVPAA-F-INS-055A RAW SC'!BZ$17*100)</f>
        <v/>
      </c>
      <c r="CC101" s="130" t="str">
        <f>IF('Midterm OVPAA-F-INS-055A RAW SC'!CA101="","",'Midterm OVPAA-F-INS-055A RAW SC'!CA101/'Midterm OVPAA-F-INS-055A RAW SC'!CA$17*100)</f>
        <v/>
      </c>
      <c r="CD101" s="130" t="str">
        <f>IF('Midterm OVPAA-F-INS-055A RAW SC'!CB101="","",'Midterm OVPAA-F-INS-055A RAW SC'!CB101/'Midterm OVPAA-F-INS-055A RAW SC'!CB$17*100)</f>
        <v/>
      </c>
      <c r="CE101" s="130" t="str">
        <f>IF('Midterm OVPAA-F-INS-055A RAW SC'!CC101="","",'Midterm OVPAA-F-INS-055A RAW SC'!CC101/'Midterm OVPAA-F-INS-055A RAW SC'!CC$17*100)</f>
        <v/>
      </c>
      <c r="CF101" s="130" t="str">
        <f>IF('Midterm OVPAA-F-INS-055A RAW SC'!CD101="","",'Midterm OVPAA-F-INS-055A RAW SC'!CD101/'Midterm OVPAA-F-INS-055A RAW SC'!CD$17*100)</f>
        <v/>
      </c>
      <c r="CG101" s="130" t="str">
        <f>IF('Midterm OVPAA-F-INS-055A RAW SC'!CE101="","",'Midterm OVPAA-F-INS-055A RAW SC'!CE101/'Midterm OVPAA-F-INS-055A RAW SC'!CE$17*100)</f>
        <v/>
      </c>
      <c r="CH101" s="130" t="str">
        <f>IF('Midterm OVPAA-F-INS-055A RAW SC'!CF101="","",'Midterm OVPAA-F-INS-055A RAW SC'!CF101/'Midterm OVPAA-F-INS-055A RAW SC'!CF$17*100)</f>
        <v/>
      </c>
      <c r="CI101" s="130" t="str">
        <f>IF('Midterm OVPAA-F-INS-055A RAW SC'!CG101="","",'Midterm OVPAA-F-INS-055A RAW SC'!CG101/'Midterm OVPAA-F-INS-055A RAW SC'!CG$17*100)</f>
        <v/>
      </c>
      <c r="CJ101" s="130" t="str">
        <f>IF('Midterm OVPAA-F-INS-055A RAW SC'!CH101="","",'Midterm OVPAA-F-INS-055A RAW SC'!CH101/'Midterm OVPAA-F-INS-055A RAW SC'!CH$17*100)</f>
        <v/>
      </c>
      <c r="CK101" s="130" t="str">
        <f>IF('Midterm OVPAA-F-INS-055A RAW SC'!CI101="","",'Midterm OVPAA-F-INS-055A RAW SC'!CI101/'Midterm OVPAA-F-INS-055A RAW SC'!CI$17*100)</f>
        <v/>
      </c>
      <c r="CL101" s="130" t="str">
        <f>IF('Midterm OVPAA-F-INS-055A RAW SC'!CJ101="","",'Midterm OVPAA-F-INS-055A RAW SC'!CJ101/'Midterm OVPAA-F-INS-055A RAW SC'!CJ$17*100)</f>
        <v/>
      </c>
      <c r="CM101" s="130" t="str">
        <f>IF('Midterm OVPAA-F-INS-055A RAW SC'!CK101="","",'Midterm OVPAA-F-INS-055A RAW SC'!CK101/'Midterm OVPAA-F-INS-055A RAW SC'!CK$17*100)</f>
        <v/>
      </c>
      <c r="CN101" s="130" t="str">
        <f>IF('Midterm OVPAA-F-INS-055A RAW SC'!CL101="","",'Midterm OVPAA-F-INS-055A RAW SC'!CL101/'Midterm OVPAA-F-INS-055A RAW SC'!CL$17*100)</f>
        <v/>
      </c>
      <c r="CO101" s="130" t="str">
        <f>IF('Midterm OVPAA-F-INS-055A RAW SC'!CM101="","",'Midterm OVPAA-F-INS-055A RAW SC'!CM101/'Midterm OVPAA-F-INS-055A RAW SC'!CM$17*100)</f>
        <v/>
      </c>
      <c r="CP101" s="130" t="str">
        <f>IF('Midterm OVPAA-F-INS-055A RAW SC'!CN101="","",'Midterm OVPAA-F-INS-055A RAW SC'!CN101/'Midterm OVPAA-F-INS-055A RAW SC'!CN$17*100)</f>
        <v/>
      </c>
      <c r="CQ101" s="131" t="str">
        <f t="array" ref="CQ101">IF('Midterm OVPAA-F-INS-055A RAW SC'!G101="","",IF((SUMPRODUCT(--ISBLANK('Midterm OVPAA-F-INS-055A RAW SC'!BU101:CN101))=COLUMNS('Midterm OVPAA-F-INS-055A RAW SC'!BU101:CN101))=TRUE,"",(((COUNTA('Midterm OVPAA-F-INS-055A RAW SC'!$BU$17:$CN$17)+COUNTBLANK('Midterm OVPAA-F-INS-055A RAW SC'!BU101:CN101))-COLUMNS('Midterm OVPAA-F-INS-055A RAW SC'!BU101:CN101))*5+SUM(BW101:CP101))/COUNTA('Midterm OVPAA-F-INS-055A RAW SC'!$BU$17:$CN$17)))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IF('Midterm OVPAA-F-INS-055A RAW SC'!CO101="","",'Midterm OVPAA-F-INS-055A RAW SC'!CO101/'Midterm OVPAA-F-INS-055A RAW SC'!CO$17*100)</f>
        <v/>
      </c>
      <c r="CT101" s="133" t="str">
        <f>IF('Midterm OVPAA-F-INS-055A RAW SC'!CP101="","",'Midterm OVPAA-F-INS-055A RAW SC'!CP101/'Midterm OVPAA-F-INS-055A RAW SC'!CP$17*100)</f>
        <v/>
      </c>
      <c r="CU101" s="133" t="str">
        <f>IF('Midterm OVPAA-F-INS-055A RAW SC'!CQ101="","",'Midterm OVPAA-F-INS-055A RAW SC'!CQ101/'Midterm OVPAA-F-INS-055A RAW SC'!CQ$17*100)</f>
        <v/>
      </c>
      <c r="CV101" s="133" t="str">
        <f>IF('Midterm OVPAA-F-INS-055A RAW SC'!CR101="","",'Midterm OVPAA-F-INS-055A RAW SC'!CR101/'Midterm OVPAA-F-INS-055A RAW SC'!CR$17*100)</f>
        <v/>
      </c>
      <c r="CW101" s="133" t="str">
        <f>IF('Midterm OVPAA-F-INS-055A RAW SC'!CS101="","",'Midterm OVPAA-F-INS-055A RAW SC'!CS101/'Midterm OVPAA-F-INS-055A RAW SC'!CS$17*100)</f>
        <v/>
      </c>
      <c r="CX101" s="133" t="str">
        <f>IF('Midterm OVPAA-F-INS-055A RAW SC'!CT101="","",'Midterm OVPAA-F-INS-055A RAW SC'!CT101/'Midterm OVPAA-F-INS-055A RAW SC'!CT$17*100)</f>
        <v/>
      </c>
      <c r="CY101" s="133" t="str">
        <f>IF('Midterm OVPAA-F-INS-055A RAW SC'!CU101="","",'Midterm OVPAA-F-INS-055A RAW SC'!CU101/'Midterm OVPAA-F-INS-055A RAW SC'!CU$17*100)</f>
        <v/>
      </c>
      <c r="CZ101" s="133" t="str">
        <f>IF('Midterm OVPAA-F-INS-055A RAW SC'!CV101="","",'Midterm OVPAA-F-INS-055A RAW SC'!CV101/'Midterm OVPAA-F-INS-055A RAW SC'!CV$17*100)</f>
        <v/>
      </c>
      <c r="DA101" s="133" t="str">
        <f>IF('Midterm OVPAA-F-INS-055A RAW SC'!CW101="","",'Midterm OVPAA-F-INS-055A RAW SC'!CW101/'Midterm OVPAA-F-INS-055A RAW SC'!CW$17*100)</f>
        <v/>
      </c>
      <c r="DB101" s="133" t="str">
        <f>IF('Midterm OVPAA-F-INS-055A RAW SC'!CX101="","",'Midterm OVPAA-F-INS-055A RAW SC'!CX101/'Midterm OVPAA-F-INS-055A RAW SC'!CX$17*100)</f>
        <v/>
      </c>
      <c r="DC101" s="134" t="str">
        <f t="array" ref="DC101">IF('Midterm OVPAA-F-INS-055A RAW SC'!$G101="","",IF((SUMPRODUCT(--ISBLANK('Midterm OVPAA-F-INS-055A RAW SC'!CO101:CX101))=COLUMNS('Midterm OVPAA-F-INS-055A RAW SC'!CO101:CX101))=TRUE,"",(((COUNTA('Midterm OVPAA-F-INS-055A RAW SC'!$CO$17:$CX$17)+COUNTBLANK('Midterm OVPAA-F-INS-055A RAW SC'!CO101:CX101))-COLUMNS('Midterm OVPAA-F-INS-055A RAW SC'!CO101:CX101))*5+SUM(CS101:DB101))/COUNTA('Midterm OVPAA-F-INS-055A RAW SC'!$CO$17:$CX$17)))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37" t="str">
        <f t="shared" si="2"/>
        <v/>
      </c>
      <c r="DG101" s="138" t="str">
        <f t="shared" si="3"/>
        <v/>
      </c>
      <c r="DH101" s="136" t="str">
        <f t="shared" si="4"/>
        <v/>
      </c>
      <c r="DI101" s="123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IF('Midterm OVPAA-F-INS-055A RAW SC'!H102="","",'Midterm OVPAA-F-INS-055A RAW SC'!H102/'Midterm OVPAA-F-INS-055A RAW SC'!H$17*100)</f>
        <v/>
      </c>
      <c r="I102" s="126" t="str">
        <f>IF('Midterm OVPAA-F-INS-055A RAW SC'!I102="","",'Midterm OVPAA-F-INS-055A RAW SC'!I102/'Midterm OVPAA-F-INS-055A RAW SC'!I$17*100)</f>
        <v/>
      </c>
      <c r="J102" s="126" t="str">
        <f>IF('Midterm OVPAA-F-INS-055A RAW SC'!J102="","",'Midterm OVPAA-F-INS-055A RAW SC'!J102/'Midterm OVPAA-F-INS-055A RAW SC'!J$17*100)</f>
        <v/>
      </c>
      <c r="K102" s="126" t="str">
        <f>IF('Midterm OVPAA-F-INS-055A RAW SC'!K102="","",'Midterm OVPAA-F-INS-055A RAW SC'!K102/'Midterm OVPAA-F-INS-055A RAW SC'!K$17*100)</f>
        <v/>
      </c>
      <c r="L102" s="126" t="str">
        <f>IF('Midterm OVPAA-F-INS-055A RAW SC'!L102="","",'Midterm OVPAA-F-INS-055A RAW SC'!L102/'Midterm OVPAA-F-INS-055A RAW SC'!L$17*100)</f>
        <v/>
      </c>
      <c r="M102" s="126" t="str">
        <f>IF('Midterm OVPAA-F-INS-055A RAW SC'!M102="","",'Midterm OVPAA-F-INS-055A RAW SC'!M102/'Midterm OVPAA-F-INS-055A RAW SC'!M$17*100)</f>
        <v/>
      </c>
      <c r="N102" s="126" t="str">
        <f>IF('Midterm OVPAA-F-INS-055A RAW SC'!N102="","",'Midterm OVPAA-F-INS-055A RAW SC'!N102/'Midterm OVPAA-F-INS-055A RAW SC'!N$17*100)</f>
        <v/>
      </c>
      <c r="O102" s="126" t="str">
        <f>IF('Midterm OVPAA-F-INS-055A RAW SC'!O102="","",'Midterm OVPAA-F-INS-055A RAW SC'!O102/'Midterm OVPAA-F-INS-055A RAW SC'!O$17*100)</f>
        <v/>
      </c>
      <c r="P102" s="126" t="str">
        <f>IF('Midterm OVPAA-F-INS-055A RAW SC'!P102="","",'Midterm OVPAA-F-INS-055A RAW SC'!P102/'Midterm OVPAA-F-INS-055A RAW SC'!P$17*100)</f>
        <v/>
      </c>
      <c r="Q102" s="126" t="str">
        <f>IF('Midterm OVPAA-F-INS-055A RAW SC'!Q102="","",'Midterm OVPAA-F-INS-055A RAW SC'!Q102/'Midterm OVPAA-F-INS-055A RAW SC'!Q$17*100)</f>
        <v/>
      </c>
      <c r="R102" s="126" t="str">
        <f>IF('Midterm OVPAA-F-INS-055A RAW SC'!R102="","",'Midterm OVPAA-F-INS-055A RAW SC'!R102/'Midterm OVPAA-F-INS-055A RAW SC'!R$17*100)</f>
        <v/>
      </c>
      <c r="S102" s="126" t="str">
        <f>IF('Midterm OVPAA-F-INS-055A RAW SC'!S102="","",'Midterm OVPAA-F-INS-055A RAW SC'!S102/'Midterm OVPAA-F-INS-055A RAW SC'!S$17*100)</f>
        <v/>
      </c>
      <c r="T102" s="126" t="str">
        <f>IF('Midterm OVPAA-F-INS-055A RAW SC'!T102="","",'Midterm OVPAA-F-INS-055A RAW SC'!T102/'Midterm OVPAA-F-INS-055A RAW SC'!T$17*100)</f>
        <v/>
      </c>
      <c r="U102" s="126" t="str">
        <f>IF('Midterm OVPAA-F-INS-055A RAW SC'!U102="","",'Midterm OVPAA-F-INS-055A RAW SC'!U102/'Midterm OVPAA-F-INS-055A RAW SC'!U$17*100)</f>
        <v/>
      </c>
      <c r="V102" s="126" t="str">
        <f>IF('Midterm OVPAA-F-INS-055A RAW SC'!V102="","",'Midterm OVPAA-F-INS-055A RAW SC'!V102/'Midterm OVPAA-F-INS-055A RAW SC'!V$17*100)</f>
        <v/>
      </c>
      <c r="W102" s="126" t="str">
        <f>IF('Midterm OVPAA-F-INS-055A RAW SC'!W102="","",'Midterm OVPAA-F-INS-055A RAW SC'!W102/'Midterm OVPAA-F-INS-055A RAW SC'!W$17*100)</f>
        <v/>
      </c>
      <c r="X102" s="126" t="str">
        <f>IF('Midterm OVPAA-F-INS-055A RAW SC'!X102="","",'Midterm OVPAA-F-INS-055A RAW SC'!X102/'Midterm OVPAA-F-INS-055A RAW SC'!X$17*100)</f>
        <v/>
      </c>
      <c r="Y102" s="126" t="str">
        <f>IF('Midterm OVPAA-F-INS-055A RAW SC'!Y102="","",'Midterm OVPAA-F-INS-055A RAW SC'!Y102/'Midterm OVPAA-F-INS-055A RAW SC'!Y$17*100)</f>
        <v/>
      </c>
      <c r="Z102" s="126" t="str">
        <f>IF('Midterm OVPAA-F-INS-055A RAW SC'!Z102="","",'Midterm OVPAA-F-INS-055A RAW SC'!Z102/'Midterm OVPAA-F-INS-055A RAW SC'!Z$17*100)</f>
        <v/>
      </c>
      <c r="AA102" s="126" t="str">
        <f>IF('Midterm OVPAA-F-INS-055A RAW SC'!AA102="","",'Midterm OVPAA-F-INS-055A RAW SC'!AA102/'Midterm OVPAA-F-INS-055A RAW SC'!AA$17*100)</f>
        <v/>
      </c>
      <c r="AB102" s="126" t="str">
        <f>IF('Midterm OVPAA-F-INS-055A RAW SC'!AB102="","",'Midterm OVPAA-F-INS-055A RAW SC'!AB102/'Midterm OVPAA-F-INS-055A RAW SC'!AB$17*100)</f>
        <v/>
      </c>
      <c r="AC102" s="126" t="str">
        <f>IF('Midterm OVPAA-F-INS-055A RAW SC'!AC102="","",'Midterm OVPAA-F-INS-055A RAW SC'!AC102/'Midterm OVPAA-F-INS-055A RAW SC'!AC$17*100)</f>
        <v/>
      </c>
      <c r="AD102" s="126" t="str">
        <f>IF('Midterm OVPAA-F-INS-055A RAW SC'!AD102="","",'Midterm OVPAA-F-INS-055A RAW SC'!AD102/'Midterm OVPAA-F-INS-055A RAW SC'!AD$17*100)</f>
        <v/>
      </c>
      <c r="AE102" s="126" t="str">
        <f>IF('Midterm OVPAA-F-INS-055A RAW SC'!AE102="","",'Midterm OVPAA-F-INS-055A RAW SC'!AE102/'Midterm OVPAA-F-INS-055A RAW SC'!AE$17*100)</f>
        <v/>
      </c>
      <c r="AF102" s="126" t="str">
        <f>IF('Midterm OVPAA-F-INS-055A RAW SC'!AF102="","",'Midterm OVPAA-F-INS-055A RAW SC'!AF102/'Midterm OVPAA-F-INS-055A RAW SC'!AF$17*100)</f>
        <v/>
      </c>
      <c r="AG102" s="126" t="str">
        <f>IF('Midterm OVPAA-F-INS-055A RAW SC'!AG102="","",'Midterm OVPAA-F-INS-055A RAW SC'!AG102/'Midterm OVPAA-F-INS-055A RAW SC'!AG$17*100)</f>
        <v/>
      </c>
      <c r="AH102" s="126" t="str">
        <f>IF('Midterm OVPAA-F-INS-055A RAW SC'!AH102="","",'Midterm OVPAA-F-INS-055A RAW SC'!AH102/'Midterm OVPAA-F-INS-055A RAW SC'!AH$17*100)</f>
        <v/>
      </c>
      <c r="AI102" s="126" t="str">
        <f>IF('Midterm OVPAA-F-INS-055A RAW SC'!AI102="","",'Midterm OVPAA-F-INS-055A RAW SC'!AI102/'Midterm OVPAA-F-INS-055A RAW SC'!AI$17*100)</f>
        <v/>
      </c>
      <c r="AJ102" s="126" t="str">
        <f>IF('Midterm OVPAA-F-INS-055A RAW SC'!AJ102="","",'Midterm OVPAA-F-INS-055A RAW SC'!AJ102/'Midterm OVPAA-F-INS-055A RAW SC'!AJ$17*100)</f>
        <v/>
      </c>
      <c r="AK102" s="126" t="str">
        <f>IF('Midterm OVPAA-F-INS-055A RAW SC'!AK102="","",'Midterm OVPAA-F-INS-055A RAW SC'!AK102/'Midterm OVPAA-F-INS-055A RAW SC'!AK$17*100)</f>
        <v/>
      </c>
      <c r="AL102" s="126" t="str">
        <f>IF('Midterm OVPAA-F-INS-055A RAW SC'!AL102="","",'Midterm OVPAA-F-INS-055A RAW SC'!AL102/'Midterm OVPAA-F-INS-055A RAW SC'!AL$17*100)</f>
        <v/>
      </c>
      <c r="AM102" s="126" t="str">
        <f>IF('Midterm OVPAA-F-INS-055A RAW SC'!AM102="","",'Midterm OVPAA-F-INS-055A RAW SC'!AM102/'Midterm OVPAA-F-INS-055A RAW SC'!AM$17*100)</f>
        <v/>
      </c>
      <c r="AN102" s="126" t="str">
        <f>IF('Midterm OVPAA-F-INS-055A RAW SC'!AN102="","",'Midterm OVPAA-F-INS-055A RAW SC'!AN102/'Midterm OVPAA-F-INS-055A RAW SC'!AN$17*100)</f>
        <v/>
      </c>
      <c r="AO102" s="126" t="str">
        <f>IF('Midterm OVPAA-F-INS-055A RAW SC'!AO102="","",'Midterm OVPAA-F-INS-055A RAW SC'!AO102/'Midterm OVPAA-F-INS-055A RAW SC'!AO$17*100)</f>
        <v/>
      </c>
      <c r="AP102" s="126" t="str">
        <f>IF('Midterm OVPAA-F-INS-055A RAW SC'!AP102="","",'Midterm OVPAA-F-INS-055A RAW SC'!AP102/'Midterm OVPAA-F-INS-055A RAW SC'!AP$17*100)</f>
        <v/>
      </c>
      <c r="AQ102" s="126" t="str">
        <f>IF('Midterm OVPAA-F-INS-055A RAW SC'!AQ102="","",'Midterm OVPAA-F-INS-055A RAW SC'!AQ102/'Midterm OVPAA-F-INS-055A RAW SC'!AQ$17*100)</f>
        <v/>
      </c>
      <c r="AR102" s="126" t="str">
        <f>IF('Midterm OVPAA-F-INS-055A RAW SC'!AR102="","",'Midterm OVPAA-F-INS-055A RAW SC'!AR102/'Midterm OVPAA-F-INS-055A RAW SC'!AR$17*100)</f>
        <v/>
      </c>
      <c r="AS102" s="126" t="str">
        <f>IF('Midterm OVPAA-F-INS-055A RAW SC'!AS102="","",'Midterm OVPAA-F-INS-055A RAW SC'!AS102/'Midterm OVPAA-F-INS-055A RAW SC'!AS$17*100)</f>
        <v/>
      </c>
      <c r="AT102" s="126" t="str">
        <f>IF('Midterm OVPAA-F-INS-055A RAW SC'!AT102="","",'Midterm OVPAA-F-INS-055A RAW SC'!AT102/'Midterm OVPAA-F-INS-055A RAW SC'!AT$17*100)</f>
        <v/>
      </c>
      <c r="AU102" s="126" t="str">
        <f>IF('Midterm OVPAA-F-INS-055A RAW SC'!AU102="","",'Midterm OVPAA-F-INS-055A RAW SC'!AU102/'Midterm OVPAA-F-INS-055A RAW SC'!AU$17*100)</f>
        <v/>
      </c>
      <c r="AV102" s="126" t="str">
        <f>IF('Midterm OVPAA-F-INS-055A RAW SC'!AV102="","",'Midterm OVPAA-F-INS-055A RAW SC'!AV102/'Midterm OVPAA-F-INS-055A RAW SC'!AV$17*100)</f>
        <v/>
      </c>
      <c r="AW102" s="126" t="str">
        <f>IF('Midterm OVPAA-F-INS-055A RAW SC'!AW102="","",'Midterm OVPAA-F-INS-055A RAW SC'!AW102/'Midterm OVPAA-F-INS-055A RAW SC'!AW$17*100)</f>
        <v/>
      </c>
      <c r="AX102" s="126" t="str">
        <f>IF('Midterm OVPAA-F-INS-055A RAW SC'!AX102="","",'Midterm OVPAA-F-INS-055A RAW SC'!AX102/'Midterm OVPAA-F-INS-055A RAW SC'!AX$17*100)</f>
        <v/>
      </c>
      <c r="AY102" s="126" t="str">
        <f>IF('Midterm OVPAA-F-INS-055A RAW SC'!AY102="","",'Midterm OVPAA-F-INS-055A RAW SC'!AY102/'Midterm OVPAA-F-INS-055A RAW SC'!AY$17*100)</f>
        <v/>
      </c>
      <c r="AZ102" s="126" t="str">
        <f>IF('Midterm OVPAA-F-INS-055A RAW SC'!AZ102="","",'Midterm OVPAA-F-INS-055A RAW SC'!AZ102/'Midterm OVPAA-F-INS-055A RAW SC'!AZ$17*100)</f>
        <v/>
      </c>
      <c r="BA102" s="126" t="str">
        <f>IF('Midterm OVPAA-F-INS-055A RAW SC'!BA102="","",'Midterm OVPAA-F-INS-055A RAW SC'!BA102/'Midterm OVPAA-F-INS-055A RAW SC'!BA$17*100)</f>
        <v/>
      </c>
      <c r="BB102" s="126" t="str">
        <f>IF('Midterm OVPAA-F-INS-055A RAW SC'!BB102="","",'Midterm OVPAA-F-INS-055A RAW SC'!BB102/'Midterm OVPAA-F-INS-055A RAW SC'!BB$17*100)</f>
        <v/>
      </c>
      <c r="BC102" s="126" t="str">
        <f>IF('Midterm OVPAA-F-INS-055A RAW SC'!BC102="","",'Midterm OVPAA-F-INS-055A RAW SC'!BC102/'Midterm OVPAA-F-INS-055A RAW SC'!BC$17*100)</f>
        <v/>
      </c>
      <c r="BD102" s="126" t="str">
        <f>IF('Midterm OVPAA-F-INS-055A RAW SC'!BD102="","",'Midterm OVPAA-F-INS-055A RAW SC'!BD102/'Midterm OVPAA-F-INS-055A RAW SC'!BD$17*100)</f>
        <v/>
      </c>
      <c r="BE102" s="126" t="str">
        <f>IF('Midterm OVPAA-F-INS-055A RAW SC'!BE102="","",'Midterm OVPAA-F-INS-055A RAW SC'!BE102/'Midterm OVPAA-F-INS-055A RAW SC'!BE$17*100)</f>
        <v/>
      </c>
      <c r="BF102" s="126" t="str">
        <f>IF('Midterm OVPAA-F-INS-055A RAW SC'!BF102="","",'Midterm OVPAA-F-INS-055A RAW SC'!BF102/'Midterm OVPAA-F-INS-055A RAW SC'!BF$17*100)</f>
        <v/>
      </c>
      <c r="BG102" s="126" t="str">
        <f>IF('Midterm OVPAA-F-INS-055A RAW SC'!BG102="","",'Midterm OVPAA-F-INS-055A RAW SC'!BG102/'Midterm OVPAA-F-INS-055A RAW SC'!BG$17*100)</f>
        <v/>
      </c>
      <c r="BH102" s="126" t="str">
        <f>IF('Midterm OVPAA-F-INS-055A RAW SC'!BH102="","",'Midterm OVPAA-F-INS-055A RAW SC'!BH102/'Midterm OVPAA-F-INS-055A RAW SC'!BH$17*100)</f>
        <v/>
      </c>
      <c r="BI102" s="126" t="str">
        <f>IF('Midterm OVPAA-F-INS-055A RAW SC'!BI102="","",'Midterm OVPAA-F-INS-055A RAW SC'!BI102/'Midterm OVPAA-F-INS-055A RAW SC'!BI$17*100)</f>
        <v/>
      </c>
      <c r="BJ102" s="126" t="str">
        <f>IF('Midterm OVPAA-F-INS-055A RAW SC'!BJ102="","",'Midterm OVPAA-F-INS-055A RAW SC'!BJ102/'Midterm OVPAA-F-INS-055A RAW SC'!BJ$17*100)</f>
        <v/>
      </c>
      <c r="BK102" s="126" t="str">
        <f>IF('Midterm OVPAA-F-INS-055A RAW SC'!BK102="","",'Midterm OVPAA-F-INS-055A RAW SC'!BK102/'Midterm OVPAA-F-INS-055A RAW SC'!BK$17*100)</f>
        <v/>
      </c>
      <c r="BL102" s="126" t="str">
        <f>IF('Midterm OVPAA-F-INS-055A RAW SC'!BL102="","",'Midterm OVPAA-F-INS-055A RAW SC'!BL102/'Midterm OVPAA-F-INS-055A RAW SC'!BL$17*100)</f>
        <v/>
      </c>
      <c r="BM102" s="126" t="str">
        <f>IF('Midterm OVPAA-F-INS-055A RAW SC'!BM102="","",'Midterm OVPAA-F-INS-055A RAW SC'!BM102/'Midterm OVPAA-F-INS-055A RAW SC'!BM$17*100)</f>
        <v/>
      </c>
      <c r="BN102" s="126" t="str">
        <f>IF('Midterm OVPAA-F-INS-055A RAW SC'!BN102="","",'Midterm OVPAA-F-INS-055A RAW SC'!BN102/'Midterm OVPAA-F-INS-055A RAW SC'!BN$17*100)</f>
        <v/>
      </c>
      <c r="BO102" s="126" t="str">
        <f>IF('Midterm OVPAA-F-INS-055A RAW SC'!BO102="","",'Midterm OVPAA-F-INS-055A RAW SC'!BO102/'Midterm OVPAA-F-INS-055A RAW SC'!BO$17*100)</f>
        <v/>
      </c>
      <c r="BP102" s="126" t="str">
        <f>IF('Midterm OVPAA-F-INS-055A RAW SC'!BP102="","",'Midterm OVPAA-F-INS-055A RAW SC'!BP102/'Midterm OVPAA-F-INS-055A RAW SC'!BP$17*100)</f>
        <v/>
      </c>
      <c r="BQ102" s="126" t="str">
        <f>IF('Midterm OVPAA-F-INS-055A RAW SC'!BQ102="","",'Midterm OVPAA-F-INS-055A RAW SC'!BQ102/'Midterm OVPAA-F-INS-055A RAW SC'!BQ$17*100)</f>
        <v/>
      </c>
      <c r="BR102" s="126" t="str">
        <f>IF('Midterm OVPAA-F-INS-055A RAW SC'!BR102="","",'Midterm OVPAA-F-INS-055A RAW SC'!BR102/'Midterm OVPAA-F-INS-055A RAW SC'!BR$17*100)</f>
        <v/>
      </c>
      <c r="BS102" s="126" t="str">
        <f>IF('Midterm OVPAA-F-INS-055A RAW SC'!BS102="","",'Midterm OVPAA-F-INS-055A RAW SC'!BS102/'Midterm OVPAA-F-INS-055A RAW SC'!BS$17*100)</f>
        <v/>
      </c>
      <c r="BT102" s="126" t="str">
        <f>IF('Midterm OVPAA-F-INS-055A RAW SC'!BT102="","",'Midterm OVPAA-F-INS-055A RAW SC'!BT102/'Midterm OVPAA-F-INS-055A RAW SC'!BT$17*100)</f>
        <v/>
      </c>
      <c r="BU102" s="127" t="str">
        <f t="array" ref="BU102">IF('Midterm OVPAA-F-INS-055A RAW SC'!$G102="","",IF((SUMPRODUCT(--ISBLANK('Midterm OVPAA-F-INS-055A RAW SC'!H102:BT102))=COLUMNS('Midterm OVPAA-F-INS-055A RAW SC'!H102:BT102))=TRUE,"",(((COUNTA('Midterm OVPAA-F-INS-055A RAW SC'!$H$17:$BT$17)+COUNTBLANK('Midterm OVPAA-F-INS-055A RAW SC'!H102:BT102))-COLUMNS('Midterm OVPAA-F-INS-055A RAW SC'!H102:BT102))*5+SUM(H102:BT102))/COUNTA('Midterm OVPAA-F-INS-055A RAW SC'!$H$17:$BT$17)))</f>
        <v/>
      </c>
      <c r="BV102" s="128" t="str">
        <f>IF(BU102="","",VLOOKUP(BU102,IF('Midterm OVPAA-F-INS-055A RAW SC'!$V$12=0.5,TRANSMUTATION!$C$4:$D$17,TRANSMUTATION!$G$4:$H$17),2,TRUE))</f>
        <v/>
      </c>
      <c r="BW102" s="129" t="str">
        <f>IF('Midterm OVPAA-F-INS-055A RAW SC'!BU102="","",'Midterm OVPAA-F-INS-055A RAW SC'!BU102/'Midterm OVPAA-F-INS-055A RAW SC'!BU$17*100)</f>
        <v/>
      </c>
      <c r="BX102" s="130" t="str">
        <f>IF('Midterm OVPAA-F-INS-055A RAW SC'!BV102="","",'Midterm OVPAA-F-INS-055A RAW SC'!BV102/'Midterm OVPAA-F-INS-055A RAW SC'!BV$17*100)</f>
        <v/>
      </c>
      <c r="BY102" s="130" t="str">
        <f>IF('Midterm OVPAA-F-INS-055A RAW SC'!BW102="","",'Midterm OVPAA-F-INS-055A RAW SC'!BW102/'Midterm OVPAA-F-INS-055A RAW SC'!BW$17*100)</f>
        <v/>
      </c>
      <c r="BZ102" s="130" t="str">
        <f>IF('Midterm OVPAA-F-INS-055A RAW SC'!BX102="","",'Midterm OVPAA-F-INS-055A RAW SC'!BX102/'Midterm OVPAA-F-INS-055A RAW SC'!BX$17*100)</f>
        <v/>
      </c>
      <c r="CA102" s="130" t="str">
        <f>IF('Midterm OVPAA-F-INS-055A RAW SC'!BY102="","",'Midterm OVPAA-F-INS-055A RAW SC'!BY102/'Midterm OVPAA-F-INS-055A RAW SC'!BY$17*100)</f>
        <v/>
      </c>
      <c r="CB102" s="130" t="str">
        <f>IF('Midterm OVPAA-F-INS-055A RAW SC'!BZ102="","",'Midterm OVPAA-F-INS-055A RAW SC'!BZ102/'Midterm OVPAA-F-INS-055A RAW SC'!BZ$17*100)</f>
        <v/>
      </c>
      <c r="CC102" s="130" t="str">
        <f>IF('Midterm OVPAA-F-INS-055A RAW SC'!CA102="","",'Midterm OVPAA-F-INS-055A RAW SC'!CA102/'Midterm OVPAA-F-INS-055A RAW SC'!CA$17*100)</f>
        <v/>
      </c>
      <c r="CD102" s="130" t="str">
        <f>IF('Midterm OVPAA-F-INS-055A RAW SC'!CB102="","",'Midterm OVPAA-F-INS-055A RAW SC'!CB102/'Midterm OVPAA-F-INS-055A RAW SC'!CB$17*100)</f>
        <v/>
      </c>
      <c r="CE102" s="130" t="str">
        <f>IF('Midterm OVPAA-F-INS-055A RAW SC'!CC102="","",'Midterm OVPAA-F-INS-055A RAW SC'!CC102/'Midterm OVPAA-F-INS-055A RAW SC'!CC$17*100)</f>
        <v/>
      </c>
      <c r="CF102" s="130" t="str">
        <f>IF('Midterm OVPAA-F-INS-055A RAW SC'!CD102="","",'Midterm OVPAA-F-INS-055A RAW SC'!CD102/'Midterm OVPAA-F-INS-055A RAW SC'!CD$17*100)</f>
        <v/>
      </c>
      <c r="CG102" s="130" t="str">
        <f>IF('Midterm OVPAA-F-INS-055A RAW SC'!CE102="","",'Midterm OVPAA-F-INS-055A RAW SC'!CE102/'Midterm OVPAA-F-INS-055A RAW SC'!CE$17*100)</f>
        <v/>
      </c>
      <c r="CH102" s="130" t="str">
        <f>IF('Midterm OVPAA-F-INS-055A RAW SC'!CF102="","",'Midterm OVPAA-F-INS-055A RAW SC'!CF102/'Midterm OVPAA-F-INS-055A RAW SC'!CF$17*100)</f>
        <v/>
      </c>
      <c r="CI102" s="130" t="str">
        <f>IF('Midterm OVPAA-F-INS-055A RAW SC'!CG102="","",'Midterm OVPAA-F-INS-055A RAW SC'!CG102/'Midterm OVPAA-F-INS-055A RAW SC'!CG$17*100)</f>
        <v/>
      </c>
      <c r="CJ102" s="130" t="str">
        <f>IF('Midterm OVPAA-F-INS-055A RAW SC'!CH102="","",'Midterm OVPAA-F-INS-055A RAW SC'!CH102/'Midterm OVPAA-F-INS-055A RAW SC'!CH$17*100)</f>
        <v/>
      </c>
      <c r="CK102" s="130" t="str">
        <f>IF('Midterm OVPAA-F-INS-055A RAW SC'!CI102="","",'Midterm OVPAA-F-INS-055A RAW SC'!CI102/'Midterm OVPAA-F-INS-055A RAW SC'!CI$17*100)</f>
        <v/>
      </c>
      <c r="CL102" s="130" t="str">
        <f>IF('Midterm OVPAA-F-INS-055A RAW SC'!CJ102="","",'Midterm OVPAA-F-INS-055A RAW SC'!CJ102/'Midterm OVPAA-F-INS-055A RAW SC'!CJ$17*100)</f>
        <v/>
      </c>
      <c r="CM102" s="130" t="str">
        <f>IF('Midterm OVPAA-F-INS-055A RAW SC'!CK102="","",'Midterm OVPAA-F-INS-055A RAW SC'!CK102/'Midterm OVPAA-F-INS-055A RAW SC'!CK$17*100)</f>
        <v/>
      </c>
      <c r="CN102" s="130" t="str">
        <f>IF('Midterm OVPAA-F-INS-055A RAW SC'!CL102="","",'Midterm OVPAA-F-INS-055A RAW SC'!CL102/'Midterm OVPAA-F-INS-055A RAW SC'!CL$17*100)</f>
        <v/>
      </c>
      <c r="CO102" s="130" t="str">
        <f>IF('Midterm OVPAA-F-INS-055A RAW SC'!CM102="","",'Midterm OVPAA-F-INS-055A RAW SC'!CM102/'Midterm OVPAA-F-INS-055A RAW SC'!CM$17*100)</f>
        <v/>
      </c>
      <c r="CP102" s="130" t="str">
        <f>IF('Midterm OVPAA-F-INS-055A RAW SC'!CN102="","",'Midterm OVPAA-F-INS-055A RAW SC'!CN102/'Midterm OVPAA-F-INS-055A RAW SC'!CN$17*100)</f>
        <v/>
      </c>
      <c r="CQ102" s="131" t="str">
        <f t="array" ref="CQ102">IF('Midterm OVPAA-F-INS-055A RAW SC'!G102="","",IF((SUMPRODUCT(--ISBLANK('Midterm OVPAA-F-INS-055A RAW SC'!BU102:CN102))=COLUMNS('Midterm OVPAA-F-INS-055A RAW SC'!BU102:CN102))=TRUE,"",(((COUNTA('Midterm OVPAA-F-INS-055A RAW SC'!$BU$17:$CN$17)+COUNTBLANK('Midterm OVPAA-F-INS-055A RAW SC'!BU102:CN102))-COLUMNS('Midterm OVPAA-F-INS-055A RAW SC'!BU102:CN102))*5+SUM(BW102:CP102))/COUNTA('Midterm OVPAA-F-INS-055A RAW SC'!$BU$17:$CN$17)))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IF('Midterm OVPAA-F-INS-055A RAW SC'!CO102="","",'Midterm OVPAA-F-INS-055A RAW SC'!CO102/'Midterm OVPAA-F-INS-055A RAW SC'!CO$17*100)</f>
        <v/>
      </c>
      <c r="CT102" s="133" t="str">
        <f>IF('Midterm OVPAA-F-INS-055A RAW SC'!CP102="","",'Midterm OVPAA-F-INS-055A RAW SC'!CP102/'Midterm OVPAA-F-INS-055A RAW SC'!CP$17*100)</f>
        <v/>
      </c>
      <c r="CU102" s="133" t="str">
        <f>IF('Midterm OVPAA-F-INS-055A RAW SC'!CQ102="","",'Midterm OVPAA-F-INS-055A RAW SC'!CQ102/'Midterm OVPAA-F-INS-055A RAW SC'!CQ$17*100)</f>
        <v/>
      </c>
      <c r="CV102" s="133" t="str">
        <f>IF('Midterm OVPAA-F-INS-055A RAW SC'!CR102="","",'Midterm OVPAA-F-INS-055A RAW SC'!CR102/'Midterm OVPAA-F-INS-055A RAW SC'!CR$17*100)</f>
        <v/>
      </c>
      <c r="CW102" s="133" t="str">
        <f>IF('Midterm OVPAA-F-INS-055A RAW SC'!CS102="","",'Midterm OVPAA-F-INS-055A RAW SC'!CS102/'Midterm OVPAA-F-INS-055A RAW SC'!CS$17*100)</f>
        <v/>
      </c>
      <c r="CX102" s="133" t="str">
        <f>IF('Midterm OVPAA-F-INS-055A RAW SC'!CT102="","",'Midterm OVPAA-F-INS-055A RAW SC'!CT102/'Midterm OVPAA-F-INS-055A RAW SC'!CT$17*100)</f>
        <v/>
      </c>
      <c r="CY102" s="133" t="str">
        <f>IF('Midterm OVPAA-F-INS-055A RAW SC'!CU102="","",'Midterm OVPAA-F-INS-055A RAW SC'!CU102/'Midterm OVPAA-F-INS-055A RAW SC'!CU$17*100)</f>
        <v/>
      </c>
      <c r="CZ102" s="133" t="str">
        <f>IF('Midterm OVPAA-F-INS-055A RAW SC'!CV102="","",'Midterm OVPAA-F-INS-055A RAW SC'!CV102/'Midterm OVPAA-F-INS-055A RAW SC'!CV$17*100)</f>
        <v/>
      </c>
      <c r="DA102" s="133" t="str">
        <f>IF('Midterm OVPAA-F-INS-055A RAW SC'!CW102="","",'Midterm OVPAA-F-INS-055A RAW SC'!CW102/'Midterm OVPAA-F-INS-055A RAW SC'!CW$17*100)</f>
        <v/>
      </c>
      <c r="DB102" s="133" t="str">
        <f>IF('Midterm OVPAA-F-INS-055A RAW SC'!CX102="","",'Midterm OVPAA-F-INS-055A RAW SC'!CX102/'Midterm OVPAA-F-INS-055A RAW SC'!CX$17*100)</f>
        <v/>
      </c>
      <c r="DC102" s="134" t="str">
        <f t="array" ref="DC102">IF('Midterm OVPAA-F-INS-055A RAW SC'!$G102="","",IF((SUMPRODUCT(--ISBLANK('Midterm OVPAA-F-INS-055A RAW SC'!CO102:CX102))=COLUMNS('Midterm OVPAA-F-INS-055A RAW SC'!CO102:CX102))=TRUE,"",(((COUNTA('Midterm OVPAA-F-INS-055A RAW SC'!$CO$17:$CX$17)+COUNTBLANK('Midterm OVPAA-F-INS-055A RAW SC'!CO102:CX102))-COLUMNS('Midterm OVPAA-F-INS-055A RAW SC'!CO102:CX102))*5+SUM(CS102:DB102))/COUNTA('Midterm OVPAA-F-INS-055A RAW SC'!$CO$17:$CX$17)))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37" t="str">
        <f t="shared" si="2"/>
        <v/>
      </c>
      <c r="DG102" s="138" t="str">
        <f t="shared" si="3"/>
        <v/>
      </c>
      <c r="DH102" s="136" t="str">
        <f t="shared" si="4"/>
        <v/>
      </c>
      <c r="DI102" s="123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IF('Midterm OVPAA-F-INS-055A RAW SC'!H103="","",'Midterm OVPAA-F-INS-055A RAW SC'!H103/'Midterm OVPAA-F-INS-055A RAW SC'!H$17*100)</f>
        <v/>
      </c>
      <c r="I103" s="126" t="str">
        <f>IF('Midterm OVPAA-F-INS-055A RAW SC'!I103="","",'Midterm OVPAA-F-INS-055A RAW SC'!I103/'Midterm OVPAA-F-INS-055A RAW SC'!I$17*100)</f>
        <v/>
      </c>
      <c r="J103" s="126" t="str">
        <f>IF('Midterm OVPAA-F-INS-055A RAW SC'!J103="","",'Midterm OVPAA-F-INS-055A RAW SC'!J103/'Midterm OVPAA-F-INS-055A RAW SC'!J$17*100)</f>
        <v/>
      </c>
      <c r="K103" s="126" t="str">
        <f>IF('Midterm OVPAA-F-INS-055A RAW SC'!K103="","",'Midterm OVPAA-F-INS-055A RAW SC'!K103/'Midterm OVPAA-F-INS-055A RAW SC'!K$17*100)</f>
        <v/>
      </c>
      <c r="L103" s="126" t="str">
        <f>IF('Midterm OVPAA-F-INS-055A RAW SC'!L103="","",'Midterm OVPAA-F-INS-055A RAW SC'!L103/'Midterm OVPAA-F-INS-055A RAW SC'!L$17*100)</f>
        <v/>
      </c>
      <c r="M103" s="126" t="str">
        <f>IF('Midterm OVPAA-F-INS-055A RAW SC'!M103="","",'Midterm OVPAA-F-INS-055A RAW SC'!M103/'Midterm OVPAA-F-INS-055A RAW SC'!M$17*100)</f>
        <v/>
      </c>
      <c r="N103" s="126" t="str">
        <f>IF('Midterm OVPAA-F-INS-055A RAW SC'!N103="","",'Midterm OVPAA-F-INS-055A RAW SC'!N103/'Midterm OVPAA-F-INS-055A RAW SC'!N$17*100)</f>
        <v/>
      </c>
      <c r="O103" s="126" t="str">
        <f>IF('Midterm OVPAA-F-INS-055A RAW SC'!O103="","",'Midterm OVPAA-F-INS-055A RAW SC'!O103/'Midterm OVPAA-F-INS-055A RAW SC'!O$17*100)</f>
        <v/>
      </c>
      <c r="P103" s="126" t="str">
        <f>IF('Midterm OVPAA-F-INS-055A RAW SC'!P103="","",'Midterm OVPAA-F-INS-055A RAW SC'!P103/'Midterm OVPAA-F-INS-055A RAW SC'!P$17*100)</f>
        <v/>
      </c>
      <c r="Q103" s="126" t="str">
        <f>IF('Midterm OVPAA-F-INS-055A RAW SC'!Q103="","",'Midterm OVPAA-F-INS-055A RAW SC'!Q103/'Midterm OVPAA-F-INS-055A RAW SC'!Q$17*100)</f>
        <v/>
      </c>
      <c r="R103" s="126" t="str">
        <f>IF('Midterm OVPAA-F-INS-055A RAW SC'!R103="","",'Midterm OVPAA-F-INS-055A RAW SC'!R103/'Midterm OVPAA-F-INS-055A RAW SC'!R$17*100)</f>
        <v/>
      </c>
      <c r="S103" s="126" t="str">
        <f>IF('Midterm OVPAA-F-INS-055A RAW SC'!S103="","",'Midterm OVPAA-F-INS-055A RAW SC'!S103/'Midterm OVPAA-F-INS-055A RAW SC'!S$17*100)</f>
        <v/>
      </c>
      <c r="T103" s="126" t="str">
        <f>IF('Midterm OVPAA-F-INS-055A RAW SC'!T103="","",'Midterm OVPAA-F-INS-055A RAW SC'!T103/'Midterm OVPAA-F-INS-055A RAW SC'!T$17*100)</f>
        <v/>
      </c>
      <c r="U103" s="126" t="str">
        <f>IF('Midterm OVPAA-F-INS-055A RAW SC'!U103="","",'Midterm OVPAA-F-INS-055A RAW SC'!U103/'Midterm OVPAA-F-INS-055A RAW SC'!U$17*100)</f>
        <v/>
      </c>
      <c r="V103" s="126" t="str">
        <f>IF('Midterm OVPAA-F-INS-055A RAW SC'!V103="","",'Midterm OVPAA-F-INS-055A RAW SC'!V103/'Midterm OVPAA-F-INS-055A RAW SC'!V$17*100)</f>
        <v/>
      </c>
      <c r="W103" s="126" t="str">
        <f>IF('Midterm OVPAA-F-INS-055A RAW SC'!W103="","",'Midterm OVPAA-F-INS-055A RAW SC'!W103/'Midterm OVPAA-F-INS-055A RAW SC'!W$17*100)</f>
        <v/>
      </c>
      <c r="X103" s="126" t="str">
        <f>IF('Midterm OVPAA-F-INS-055A RAW SC'!X103="","",'Midterm OVPAA-F-INS-055A RAW SC'!X103/'Midterm OVPAA-F-INS-055A RAW SC'!X$17*100)</f>
        <v/>
      </c>
      <c r="Y103" s="126" t="str">
        <f>IF('Midterm OVPAA-F-INS-055A RAW SC'!Y103="","",'Midterm OVPAA-F-INS-055A RAW SC'!Y103/'Midterm OVPAA-F-INS-055A RAW SC'!Y$17*100)</f>
        <v/>
      </c>
      <c r="Z103" s="126" t="str">
        <f>IF('Midterm OVPAA-F-INS-055A RAW SC'!Z103="","",'Midterm OVPAA-F-INS-055A RAW SC'!Z103/'Midterm OVPAA-F-INS-055A RAW SC'!Z$17*100)</f>
        <v/>
      </c>
      <c r="AA103" s="126" t="str">
        <f>IF('Midterm OVPAA-F-INS-055A RAW SC'!AA103="","",'Midterm OVPAA-F-INS-055A RAW SC'!AA103/'Midterm OVPAA-F-INS-055A RAW SC'!AA$17*100)</f>
        <v/>
      </c>
      <c r="AB103" s="126" t="str">
        <f>IF('Midterm OVPAA-F-INS-055A RAW SC'!AB103="","",'Midterm OVPAA-F-INS-055A RAW SC'!AB103/'Midterm OVPAA-F-INS-055A RAW SC'!AB$17*100)</f>
        <v/>
      </c>
      <c r="AC103" s="126" t="str">
        <f>IF('Midterm OVPAA-F-INS-055A RAW SC'!AC103="","",'Midterm OVPAA-F-INS-055A RAW SC'!AC103/'Midterm OVPAA-F-INS-055A RAW SC'!AC$17*100)</f>
        <v/>
      </c>
      <c r="AD103" s="126" t="str">
        <f>IF('Midterm OVPAA-F-INS-055A RAW SC'!AD103="","",'Midterm OVPAA-F-INS-055A RAW SC'!AD103/'Midterm OVPAA-F-INS-055A RAW SC'!AD$17*100)</f>
        <v/>
      </c>
      <c r="AE103" s="126" t="str">
        <f>IF('Midterm OVPAA-F-INS-055A RAW SC'!AE103="","",'Midterm OVPAA-F-INS-055A RAW SC'!AE103/'Midterm OVPAA-F-INS-055A RAW SC'!AE$17*100)</f>
        <v/>
      </c>
      <c r="AF103" s="126" t="str">
        <f>IF('Midterm OVPAA-F-INS-055A RAW SC'!AF103="","",'Midterm OVPAA-F-INS-055A RAW SC'!AF103/'Midterm OVPAA-F-INS-055A RAW SC'!AF$17*100)</f>
        <v/>
      </c>
      <c r="AG103" s="126" t="str">
        <f>IF('Midterm OVPAA-F-INS-055A RAW SC'!AG103="","",'Midterm OVPAA-F-INS-055A RAW SC'!AG103/'Midterm OVPAA-F-INS-055A RAW SC'!AG$17*100)</f>
        <v/>
      </c>
      <c r="AH103" s="126" t="str">
        <f>IF('Midterm OVPAA-F-INS-055A RAW SC'!AH103="","",'Midterm OVPAA-F-INS-055A RAW SC'!AH103/'Midterm OVPAA-F-INS-055A RAW SC'!AH$17*100)</f>
        <v/>
      </c>
      <c r="AI103" s="126" t="str">
        <f>IF('Midterm OVPAA-F-INS-055A RAW SC'!AI103="","",'Midterm OVPAA-F-INS-055A RAW SC'!AI103/'Midterm OVPAA-F-INS-055A RAW SC'!AI$17*100)</f>
        <v/>
      </c>
      <c r="AJ103" s="126" t="str">
        <f>IF('Midterm OVPAA-F-INS-055A RAW SC'!AJ103="","",'Midterm OVPAA-F-INS-055A RAW SC'!AJ103/'Midterm OVPAA-F-INS-055A RAW SC'!AJ$17*100)</f>
        <v/>
      </c>
      <c r="AK103" s="126" t="str">
        <f>IF('Midterm OVPAA-F-INS-055A RAW SC'!AK103="","",'Midterm OVPAA-F-INS-055A RAW SC'!AK103/'Midterm OVPAA-F-INS-055A RAW SC'!AK$17*100)</f>
        <v/>
      </c>
      <c r="AL103" s="126" t="str">
        <f>IF('Midterm OVPAA-F-INS-055A RAW SC'!AL103="","",'Midterm OVPAA-F-INS-055A RAW SC'!AL103/'Midterm OVPAA-F-INS-055A RAW SC'!AL$17*100)</f>
        <v/>
      </c>
      <c r="AM103" s="126" t="str">
        <f>IF('Midterm OVPAA-F-INS-055A RAW SC'!AM103="","",'Midterm OVPAA-F-INS-055A RAW SC'!AM103/'Midterm OVPAA-F-INS-055A RAW SC'!AM$17*100)</f>
        <v/>
      </c>
      <c r="AN103" s="126" t="str">
        <f>IF('Midterm OVPAA-F-INS-055A RAW SC'!AN103="","",'Midterm OVPAA-F-INS-055A RAW SC'!AN103/'Midterm OVPAA-F-INS-055A RAW SC'!AN$17*100)</f>
        <v/>
      </c>
      <c r="AO103" s="126" t="str">
        <f>IF('Midterm OVPAA-F-INS-055A RAW SC'!AO103="","",'Midterm OVPAA-F-INS-055A RAW SC'!AO103/'Midterm OVPAA-F-INS-055A RAW SC'!AO$17*100)</f>
        <v/>
      </c>
      <c r="AP103" s="126" t="str">
        <f>IF('Midterm OVPAA-F-INS-055A RAW SC'!AP103="","",'Midterm OVPAA-F-INS-055A RAW SC'!AP103/'Midterm OVPAA-F-INS-055A RAW SC'!AP$17*100)</f>
        <v/>
      </c>
      <c r="AQ103" s="126" t="str">
        <f>IF('Midterm OVPAA-F-INS-055A RAW SC'!AQ103="","",'Midterm OVPAA-F-INS-055A RAW SC'!AQ103/'Midterm OVPAA-F-INS-055A RAW SC'!AQ$17*100)</f>
        <v/>
      </c>
      <c r="AR103" s="126" t="str">
        <f>IF('Midterm OVPAA-F-INS-055A RAW SC'!AR103="","",'Midterm OVPAA-F-INS-055A RAW SC'!AR103/'Midterm OVPAA-F-INS-055A RAW SC'!AR$17*100)</f>
        <v/>
      </c>
      <c r="AS103" s="126" t="str">
        <f>IF('Midterm OVPAA-F-INS-055A RAW SC'!AS103="","",'Midterm OVPAA-F-INS-055A RAW SC'!AS103/'Midterm OVPAA-F-INS-055A RAW SC'!AS$17*100)</f>
        <v/>
      </c>
      <c r="AT103" s="126" t="str">
        <f>IF('Midterm OVPAA-F-INS-055A RAW SC'!AT103="","",'Midterm OVPAA-F-INS-055A RAW SC'!AT103/'Midterm OVPAA-F-INS-055A RAW SC'!AT$17*100)</f>
        <v/>
      </c>
      <c r="AU103" s="126" t="str">
        <f>IF('Midterm OVPAA-F-INS-055A RAW SC'!AU103="","",'Midterm OVPAA-F-INS-055A RAW SC'!AU103/'Midterm OVPAA-F-INS-055A RAW SC'!AU$17*100)</f>
        <v/>
      </c>
      <c r="AV103" s="126" t="str">
        <f>IF('Midterm OVPAA-F-INS-055A RAW SC'!AV103="","",'Midterm OVPAA-F-INS-055A RAW SC'!AV103/'Midterm OVPAA-F-INS-055A RAW SC'!AV$17*100)</f>
        <v/>
      </c>
      <c r="AW103" s="126" t="str">
        <f>IF('Midterm OVPAA-F-INS-055A RAW SC'!AW103="","",'Midterm OVPAA-F-INS-055A RAW SC'!AW103/'Midterm OVPAA-F-INS-055A RAW SC'!AW$17*100)</f>
        <v/>
      </c>
      <c r="AX103" s="126" t="str">
        <f>IF('Midterm OVPAA-F-INS-055A RAW SC'!AX103="","",'Midterm OVPAA-F-INS-055A RAW SC'!AX103/'Midterm OVPAA-F-INS-055A RAW SC'!AX$17*100)</f>
        <v/>
      </c>
      <c r="AY103" s="126" t="str">
        <f>IF('Midterm OVPAA-F-INS-055A RAW SC'!AY103="","",'Midterm OVPAA-F-INS-055A RAW SC'!AY103/'Midterm OVPAA-F-INS-055A RAW SC'!AY$17*100)</f>
        <v/>
      </c>
      <c r="AZ103" s="126" t="str">
        <f>IF('Midterm OVPAA-F-INS-055A RAW SC'!AZ103="","",'Midterm OVPAA-F-INS-055A RAW SC'!AZ103/'Midterm OVPAA-F-INS-055A RAW SC'!AZ$17*100)</f>
        <v/>
      </c>
      <c r="BA103" s="126" t="str">
        <f>IF('Midterm OVPAA-F-INS-055A RAW SC'!BA103="","",'Midterm OVPAA-F-INS-055A RAW SC'!BA103/'Midterm OVPAA-F-INS-055A RAW SC'!BA$17*100)</f>
        <v/>
      </c>
      <c r="BB103" s="126" t="str">
        <f>IF('Midterm OVPAA-F-INS-055A RAW SC'!BB103="","",'Midterm OVPAA-F-INS-055A RAW SC'!BB103/'Midterm OVPAA-F-INS-055A RAW SC'!BB$17*100)</f>
        <v/>
      </c>
      <c r="BC103" s="126" t="str">
        <f>IF('Midterm OVPAA-F-INS-055A RAW SC'!BC103="","",'Midterm OVPAA-F-INS-055A RAW SC'!BC103/'Midterm OVPAA-F-INS-055A RAW SC'!BC$17*100)</f>
        <v/>
      </c>
      <c r="BD103" s="126" t="str">
        <f>IF('Midterm OVPAA-F-INS-055A RAW SC'!BD103="","",'Midterm OVPAA-F-INS-055A RAW SC'!BD103/'Midterm OVPAA-F-INS-055A RAW SC'!BD$17*100)</f>
        <v/>
      </c>
      <c r="BE103" s="126" t="str">
        <f>IF('Midterm OVPAA-F-INS-055A RAW SC'!BE103="","",'Midterm OVPAA-F-INS-055A RAW SC'!BE103/'Midterm OVPAA-F-INS-055A RAW SC'!BE$17*100)</f>
        <v/>
      </c>
      <c r="BF103" s="126" t="str">
        <f>IF('Midterm OVPAA-F-INS-055A RAW SC'!BF103="","",'Midterm OVPAA-F-INS-055A RAW SC'!BF103/'Midterm OVPAA-F-INS-055A RAW SC'!BF$17*100)</f>
        <v/>
      </c>
      <c r="BG103" s="126" t="str">
        <f>IF('Midterm OVPAA-F-INS-055A RAW SC'!BG103="","",'Midterm OVPAA-F-INS-055A RAW SC'!BG103/'Midterm OVPAA-F-INS-055A RAW SC'!BG$17*100)</f>
        <v/>
      </c>
      <c r="BH103" s="126" t="str">
        <f>IF('Midterm OVPAA-F-INS-055A RAW SC'!BH103="","",'Midterm OVPAA-F-INS-055A RAW SC'!BH103/'Midterm OVPAA-F-INS-055A RAW SC'!BH$17*100)</f>
        <v/>
      </c>
      <c r="BI103" s="126" t="str">
        <f>IF('Midterm OVPAA-F-INS-055A RAW SC'!BI103="","",'Midterm OVPAA-F-INS-055A RAW SC'!BI103/'Midterm OVPAA-F-INS-055A RAW SC'!BI$17*100)</f>
        <v/>
      </c>
      <c r="BJ103" s="126" t="str">
        <f>IF('Midterm OVPAA-F-INS-055A RAW SC'!BJ103="","",'Midterm OVPAA-F-INS-055A RAW SC'!BJ103/'Midterm OVPAA-F-INS-055A RAW SC'!BJ$17*100)</f>
        <v/>
      </c>
      <c r="BK103" s="126" t="str">
        <f>IF('Midterm OVPAA-F-INS-055A RAW SC'!BK103="","",'Midterm OVPAA-F-INS-055A RAW SC'!BK103/'Midterm OVPAA-F-INS-055A RAW SC'!BK$17*100)</f>
        <v/>
      </c>
      <c r="BL103" s="126" t="str">
        <f>IF('Midterm OVPAA-F-INS-055A RAW SC'!BL103="","",'Midterm OVPAA-F-INS-055A RAW SC'!BL103/'Midterm OVPAA-F-INS-055A RAW SC'!BL$17*100)</f>
        <v/>
      </c>
      <c r="BM103" s="126" t="str">
        <f>IF('Midterm OVPAA-F-INS-055A RAW SC'!BM103="","",'Midterm OVPAA-F-INS-055A RAW SC'!BM103/'Midterm OVPAA-F-INS-055A RAW SC'!BM$17*100)</f>
        <v/>
      </c>
      <c r="BN103" s="126" t="str">
        <f>IF('Midterm OVPAA-F-INS-055A RAW SC'!BN103="","",'Midterm OVPAA-F-INS-055A RAW SC'!BN103/'Midterm OVPAA-F-INS-055A RAW SC'!BN$17*100)</f>
        <v/>
      </c>
      <c r="BO103" s="126" t="str">
        <f>IF('Midterm OVPAA-F-INS-055A RAW SC'!BO103="","",'Midterm OVPAA-F-INS-055A RAW SC'!BO103/'Midterm OVPAA-F-INS-055A RAW SC'!BO$17*100)</f>
        <v/>
      </c>
      <c r="BP103" s="126" t="str">
        <f>IF('Midterm OVPAA-F-INS-055A RAW SC'!BP103="","",'Midterm OVPAA-F-INS-055A RAW SC'!BP103/'Midterm OVPAA-F-INS-055A RAW SC'!BP$17*100)</f>
        <v/>
      </c>
      <c r="BQ103" s="126" t="str">
        <f>IF('Midterm OVPAA-F-INS-055A RAW SC'!BQ103="","",'Midterm OVPAA-F-INS-055A RAW SC'!BQ103/'Midterm OVPAA-F-INS-055A RAW SC'!BQ$17*100)</f>
        <v/>
      </c>
      <c r="BR103" s="126" t="str">
        <f>IF('Midterm OVPAA-F-INS-055A RAW SC'!BR103="","",'Midterm OVPAA-F-INS-055A RAW SC'!BR103/'Midterm OVPAA-F-INS-055A RAW SC'!BR$17*100)</f>
        <v/>
      </c>
      <c r="BS103" s="126" t="str">
        <f>IF('Midterm OVPAA-F-INS-055A RAW SC'!BS103="","",'Midterm OVPAA-F-INS-055A RAW SC'!BS103/'Midterm OVPAA-F-INS-055A RAW SC'!BS$17*100)</f>
        <v/>
      </c>
      <c r="BT103" s="126" t="str">
        <f>IF('Midterm OVPAA-F-INS-055A RAW SC'!BT103="","",'Midterm OVPAA-F-INS-055A RAW SC'!BT103/'Midterm OVPAA-F-INS-055A RAW SC'!BT$17*100)</f>
        <v/>
      </c>
      <c r="BU103" s="127" t="str">
        <f t="array" ref="BU103">IF('Midterm OVPAA-F-INS-055A RAW SC'!$G103="","",IF((SUMPRODUCT(--ISBLANK('Midterm OVPAA-F-INS-055A RAW SC'!H103:BT103))=COLUMNS('Midterm OVPAA-F-INS-055A RAW SC'!H103:BT103))=TRUE,"",(((COUNTA('Midterm OVPAA-F-INS-055A RAW SC'!$H$17:$BT$17)+COUNTBLANK('Midterm OVPAA-F-INS-055A RAW SC'!H103:BT103))-COLUMNS('Midterm OVPAA-F-INS-055A RAW SC'!H103:BT103))*5+SUM(H103:BT103))/COUNTA('Midterm OVPAA-F-INS-055A RAW SC'!$H$17:$BT$17)))</f>
        <v/>
      </c>
      <c r="BV103" s="128" t="str">
        <f>IF(BU103="","",VLOOKUP(BU103,IF('Midterm OVPAA-F-INS-055A RAW SC'!$V$12=0.5,TRANSMUTATION!$C$4:$D$17,TRANSMUTATION!$G$4:$H$17),2,TRUE))</f>
        <v/>
      </c>
      <c r="BW103" s="129" t="str">
        <f>IF('Midterm OVPAA-F-INS-055A RAW SC'!BU103="","",'Midterm OVPAA-F-INS-055A RAW SC'!BU103/'Midterm OVPAA-F-INS-055A RAW SC'!BU$17*100)</f>
        <v/>
      </c>
      <c r="BX103" s="130" t="str">
        <f>IF('Midterm OVPAA-F-INS-055A RAW SC'!BV103="","",'Midterm OVPAA-F-INS-055A RAW SC'!BV103/'Midterm OVPAA-F-INS-055A RAW SC'!BV$17*100)</f>
        <v/>
      </c>
      <c r="BY103" s="130" t="str">
        <f>IF('Midterm OVPAA-F-INS-055A RAW SC'!BW103="","",'Midterm OVPAA-F-INS-055A RAW SC'!BW103/'Midterm OVPAA-F-INS-055A RAW SC'!BW$17*100)</f>
        <v/>
      </c>
      <c r="BZ103" s="130" t="str">
        <f>IF('Midterm OVPAA-F-INS-055A RAW SC'!BX103="","",'Midterm OVPAA-F-INS-055A RAW SC'!BX103/'Midterm OVPAA-F-INS-055A RAW SC'!BX$17*100)</f>
        <v/>
      </c>
      <c r="CA103" s="130" t="str">
        <f>IF('Midterm OVPAA-F-INS-055A RAW SC'!BY103="","",'Midterm OVPAA-F-INS-055A RAW SC'!BY103/'Midterm OVPAA-F-INS-055A RAW SC'!BY$17*100)</f>
        <v/>
      </c>
      <c r="CB103" s="130" t="str">
        <f>IF('Midterm OVPAA-F-INS-055A RAW SC'!BZ103="","",'Midterm OVPAA-F-INS-055A RAW SC'!BZ103/'Midterm OVPAA-F-INS-055A RAW SC'!BZ$17*100)</f>
        <v/>
      </c>
      <c r="CC103" s="130" t="str">
        <f>IF('Midterm OVPAA-F-INS-055A RAW SC'!CA103="","",'Midterm OVPAA-F-INS-055A RAW SC'!CA103/'Midterm OVPAA-F-INS-055A RAW SC'!CA$17*100)</f>
        <v/>
      </c>
      <c r="CD103" s="130" t="str">
        <f>IF('Midterm OVPAA-F-INS-055A RAW SC'!CB103="","",'Midterm OVPAA-F-INS-055A RAW SC'!CB103/'Midterm OVPAA-F-INS-055A RAW SC'!CB$17*100)</f>
        <v/>
      </c>
      <c r="CE103" s="130" t="str">
        <f>IF('Midterm OVPAA-F-INS-055A RAW SC'!CC103="","",'Midterm OVPAA-F-INS-055A RAW SC'!CC103/'Midterm OVPAA-F-INS-055A RAW SC'!CC$17*100)</f>
        <v/>
      </c>
      <c r="CF103" s="130" t="str">
        <f>IF('Midterm OVPAA-F-INS-055A RAW SC'!CD103="","",'Midterm OVPAA-F-INS-055A RAW SC'!CD103/'Midterm OVPAA-F-INS-055A RAW SC'!CD$17*100)</f>
        <v/>
      </c>
      <c r="CG103" s="130" t="str">
        <f>IF('Midterm OVPAA-F-INS-055A RAW SC'!CE103="","",'Midterm OVPAA-F-INS-055A RAW SC'!CE103/'Midterm OVPAA-F-INS-055A RAW SC'!CE$17*100)</f>
        <v/>
      </c>
      <c r="CH103" s="130" t="str">
        <f>IF('Midterm OVPAA-F-INS-055A RAW SC'!CF103="","",'Midterm OVPAA-F-INS-055A RAW SC'!CF103/'Midterm OVPAA-F-INS-055A RAW SC'!CF$17*100)</f>
        <v/>
      </c>
      <c r="CI103" s="130" t="str">
        <f>IF('Midterm OVPAA-F-INS-055A RAW SC'!CG103="","",'Midterm OVPAA-F-INS-055A RAW SC'!CG103/'Midterm OVPAA-F-INS-055A RAW SC'!CG$17*100)</f>
        <v/>
      </c>
      <c r="CJ103" s="130" t="str">
        <f>IF('Midterm OVPAA-F-INS-055A RAW SC'!CH103="","",'Midterm OVPAA-F-INS-055A RAW SC'!CH103/'Midterm OVPAA-F-INS-055A RAW SC'!CH$17*100)</f>
        <v/>
      </c>
      <c r="CK103" s="130" t="str">
        <f>IF('Midterm OVPAA-F-INS-055A RAW SC'!CI103="","",'Midterm OVPAA-F-INS-055A RAW SC'!CI103/'Midterm OVPAA-F-INS-055A RAW SC'!CI$17*100)</f>
        <v/>
      </c>
      <c r="CL103" s="130" t="str">
        <f>IF('Midterm OVPAA-F-INS-055A RAW SC'!CJ103="","",'Midterm OVPAA-F-INS-055A RAW SC'!CJ103/'Midterm OVPAA-F-INS-055A RAW SC'!CJ$17*100)</f>
        <v/>
      </c>
      <c r="CM103" s="130" t="str">
        <f>IF('Midterm OVPAA-F-INS-055A RAW SC'!CK103="","",'Midterm OVPAA-F-INS-055A RAW SC'!CK103/'Midterm OVPAA-F-INS-055A RAW SC'!CK$17*100)</f>
        <v/>
      </c>
      <c r="CN103" s="130" t="str">
        <f>IF('Midterm OVPAA-F-INS-055A RAW SC'!CL103="","",'Midterm OVPAA-F-INS-055A RAW SC'!CL103/'Midterm OVPAA-F-INS-055A RAW SC'!CL$17*100)</f>
        <v/>
      </c>
      <c r="CO103" s="130" t="str">
        <f>IF('Midterm OVPAA-F-INS-055A RAW SC'!CM103="","",'Midterm OVPAA-F-INS-055A RAW SC'!CM103/'Midterm OVPAA-F-INS-055A RAW SC'!CM$17*100)</f>
        <v/>
      </c>
      <c r="CP103" s="130" t="str">
        <f>IF('Midterm OVPAA-F-INS-055A RAW SC'!CN103="","",'Midterm OVPAA-F-INS-055A RAW SC'!CN103/'Midterm OVPAA-F-INS-055A RAW SC'!CN$17*100)</f>
        <v/>
      </c>
      <c r="CQ103" s="131" t="str">
        <f t="array" ref="CQ103">IF('Midterm OVPAA-F-INS-055A RAW SC'!G103="","",IF((SUMPRODUCT(--ISBLANK('Midterm OVPAA-F-INS-055A RAW SC'!BU103:CN103))=COLUMNS('Midterm OVPAA-F-INS-055A RAW SC'!BU103:CN103))=TRUE,"",(((COUNTA('Midterm OVPAA-F-INS-055A RAW SC'!$BU$17:$CN$17)+COUNTBLANK('Midterm OVPAA-F-INS-055A RAW SC'!BU103:CN103))-COLUMNS('Midterm OVPAA-F-INS-055A RAW SC'!BU103:CN103))*5+SUM(BW103:CP103))/COUNTA('Midterm OVPAA-F-INS-055A RAW SC'!$BU$17:$CN$17)))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IF('Midterm OVPAA-F-INS-055A RAW SC'!CO103="","",'Midterm OVPAA-F-INS-055A RAW SC'!CO103/'Midterm OVPAA-F-INS-055A RAW SC'!CO$17*100)</f>
        <v/>
      </c>
      <c r="CT103" s="133" t="str">
        <f>IF('Midterm OVPAA-F-INS-055A RAW SC'!CP103="","",'Midterm OVPAA-F-INS-055A RAW SC'!CP103/'Midterm OVPAA-F-INS-055A RAW SC'!CP$17*100)</f>
        <v/>
      </c>
      <c r="CU103" s="133" t="str">
        <f>IF('Midterm OVPAA-F-INS-055A RAW SC'!CQ103="","",'Midterm OVPAA-F-INS-055A RAW SC'!CQ103/'Midterm OVPAA-F-INS-055A RAW SC'!CQ$17*100)</f>
        <v/>
      </c>
      <c r="CV103" s="133" t="str">
        <f>IF('Midterm OVPAA-F-INS-055A RAW SC'!CR103="","",'Midterm OVPAA-F-INS-055A RAW SC'!CR103/'Midterm OVPAA-F-INS-055A RAW SC'!CR$17*100)</f>
        <v/>
      </c>
      <c r="CW103" s="133" t="str">
        <f>IF('Midterm OVPAA-F-INS-055A RAW SC'!CS103="","",'Midterm OVPAA-F-INS-055A RAW SC'!CS103/'Midterm OVPAA-F-INS-055A RAW SC'!CS$17*100)</f>
        <v/>
      </c>
      <c r="CX103" s="133" t="str">
        <f>IF('Midterm OVPAA-F-INS-055A RAW SC'!CT103="","",'Midterm OVPAA-F-INS-055A RAW SC'!CT103/'Midterm OVPAA-F-INS-055A RAW SC'!CT$17*100)</f>
        <v/>
      </c>
      <c r="CY103" s="133" t="str">
        <f>IF('Midterm OVPAA-F-INS-055A RAW SC'!CU103="","",'Midterm OVPAA-F-INS-055A RAW SC'!CU103/'Midterm OVPAA-F-INS-055A RAW SC'!CU$17*100)</f>
        <v/>
      </c>
      <c r="CZ103" s="133" t="str">
        <f>IF('Midterm OVPAA-F-INS-055A RAW SC'!CV103="","",'Midterm OVPAA-F-INS-055A RAW SC'!CV103/'Midterm OVPAA-F-INS-055A RAW SC'!CV$17*100)</f>
        <v/>
      </c>
      <c r="DA103" s="133" t="str">
        <f>IF('Midterm OVPAA-F-INS-055A RAW SC'!CW103="","",'Midterm OVPAA-F-INS-055A RAW SC'!CW103/'Midterm OVPAA-F-INS-055A RAW SC'!CW$17*100)</f>
        <v/>
      </c>
      <c r="DB103" s="133" t="str">
        <f>IF('Midterm OVPAA-F-INS-055A RAW SC'!CX103="","",'Midterm OVPAA-F-INS-055A RAW SC'!CX103/'Midterm OVPAA-F-INS-055A RAW SC'!CX$17*100)</f>
        <v/>
      </c>
      <c r="DC103" s="134" t="str">
        <f t="array" ref="DC103">IF('Midterm OVPAA-F-INS-055A RAW SC'!$G103="","",IF((SUMPRODUCT(--ISBLANK('Midterm OVPAA-F-INS-055A RAW SC'!CO103:CX103))=COLUMNS('Midterm OVPAA-F-INS-055A RAW SC'!CO103:CX103))=TRUE,"",(((COUNTA('Midterm OVPAA-F-INS-055A RAW SC'!$CO$17:$CX$17)+COUNTBLANK('Midterm OVPAA-F-INS-055A RAW SC'!CO103:CX103))-COLUMNS('Midterm OVPAA-F-INS-055A RAW SC'!CO103:CX103))*5+SUM(CS103:DB103))/COUNTA('Midterm OVPAA-F-INS-055A RAW SC'!$CO$17:$CX$17)))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37" t="str">
        <f t="shared" si="2"/>
        <v/>
      </c>
      <c r="DG103" s="138" t="str">
        <f t="shared" si="3"/>
        <v/>
      </c>
      <c r="DH103" s="136" t="str">
        <f t="shared" si="4"/>
        <v/>
      </c>
      <c r="DI103" s="123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IF('Midterm OVPAA-F-INS-055A RAW SC'!H104="","",'Midterm OVPAA-F-INS-055A RAW SC'!H104/'Midterm OVPAA-F-INS-055A RAW SC'!H$17*100)</f>
        <v/>
      </c>
      <c r="I104" s="126" t="str">
        <f>IF('Midterm OVPAA-F-INS-055A RAW SC'!I104="","",'Midterm OVPAA-F-INS-055A RAW SC'!I104/'Midterm OVPAA-F-INS-055A RAW SC'!I$17*100)</f>
        <v/>
      </c>
      <c r="J104" s="126" t="str">
        <f>IF('Midterm OVPAA-F-INS-055A RAW SC'!J104="","",'Midterm OVPAA-F-INS-055A RAW SC'!J104/'Midterm OVPAA-F-INS-055A RAW SC'!J$17*100)</f>
        <v/>
      </c>
      <c r="K104" s="126" t="str">
        <f>IF('Midterm OVPAA-F-INS-055A RAW SC'!K104="","",'Midterm OVPAA-F-INS-055A RAW SC'!K104/'Midterm OVPAA-F-INS-055A RAW SC'!K$17*100)</f>
        <v/>
      </c>
      <c r="L104" s="126" t="str">
        <f>IF('Midterm OVPAA-F-INS-055A RAW SC'!L104="","",'Midterm OVPAA-F-INS-055A RAW SC'!L104/'Midterm OVPAA-F-INS-055A RAW SC'!L$17*100)</f>
        <v/>
      </c>
      <c r="M104" s="126" t="str">
        <f>IF('Midterm OVPAA-F-INS-055A RAW SC'!M104="","",'Midterm OVPAA-F-INS-055A RAW SC'!M104/'Midterm OVPAA-F-INS-055A RAW SC'!M$17*100)</f>
        <v/>
      </c>
      <c r="N104" s="126" t="str">
        <f>IF('Midterm OVPAA-F-INS-055A RAW SC'!N104="","",'Midterm OVPAA-F-INS-055A RAW SC'!N104/'Midterm OVPAA-F-INS-055A RAW SC'!N$17*100)</f>
        <v/>
      </c>
      <c r="O104" s="126" t="str">
        <f>IF('Midterm OVPAA-F-INS-055A RAW SC'!O104="","",'Midterm OVPAA-F-INS-055A RAW SC'!O104/'Midterm OVPAA-F-INS-055A RAW SC'!O$17*100)</f>
        <v/>
      </c>
      <c r="P104" s="126" t="str">
        <f>IF('Midterm OVPAA-F-INS-055A RAW SC'!P104="","",'Midterm OVPAA-F-INS-055A RAW SC'!P104/'Midterm OVPAA-F-INS-055A RAW SC'!P$17*100)</f>
        <v/>
      </c>
      <c r="Q104" s="126" t="str">
        <f>IF('Midterm OVPAA-F-INS-055A RAW SC'!Q104="","",'Midterm OVPAA-F-INS-055A RAW SC'!Q104/'Midterm OVPAA-F-INS-055A RAW SC'!Q$17*100)</f>
        <v/>
      </c>
      <c r="R104" s="126" t="str">
        <f>IF('Midterm OVPAA-F-INS-055A RAW SC'!R104="","",'Midterm OVPAA-F-INS-055A RAW SC'!R104/'Midterm OVPAA-F-INS-055A RAW SC'!R$17*100)</f>
        <v/>
      </c>
      <c r="S104" s="126" t="str">
        <f>IF('Midterm OVPAA-F-INS-055A RAW SC'!S104="","",'Midterm OVPAA-F-INS-055A RAW SC'!S104/'Midterm OVPAA-F-INS-055A RAW SC'!S$17*100)</f>
        <v/>
      </c>
      <c r="T104" s="126" t="str">
        <f>IF('Midterm OVPAA-F-INS-055A RAW SC'!T104="","",'Midterm OVPAA-F-INS-055A RAW SC'!T104/'Midterm OVPAA-F-INS-055A RAW SC'!T$17*100)</f>
        <v/>
      </c>
      <c r="U104" s="126" t="str">
        <f>IF('Midterm OVPAA-F-INS-055A RAW SC'!U104="","",'Midterm OVPAA-F-INS-055A RAW SC'!U104/'Midterm OVPAA-F-INS-055A RAW SC'!U$17*100)</f>
        <v/>
      </c>
      <c r="V104" s="126" t="str">
        <f>IF('Midterm OVPAA-F-INS-055A RAW SC'!V104="","",'Midterm OVPAA-F-INS-055A RAW SC'!V104/'Midterm OVPAA-F-INS-055A RAW SC'!V$17*100)</f>
        <v/>
      </c>
      <c r="W104" s="126" t="str">
        <f>IF('Midterm OVPAA-F-INS-055A RAW SC'!W104="","",'Midterm OVPAA-F-INS-055A RAW SC'!W104/'Midterm OVPAA-F-INS-055A RAW SC'!W$17*100)</f>
        <v/>
      </c>
      <c r="X104" s="126" t="str">
        <f>IF('Midterm OVPAA-F-INS-055A RAW SC'!X104="","",'Midterm OVPAA-F-INS-055A RAW SC'!X104/'Midterm OVPAA-F-INS-055A RAW SC'!X$17*100)</f>
        <v/>
      </c>
      <c r="Y104" s="126" t="str">
        <f>IF('Midterm OVPAA-F-INS-055A RAW SC'!Y104="","",'Midterm OVPAA-F-INS-055A RAW SC'!Y104/'Midterm OVPAA-F-INS-055A RAW SC'!Y$17*100)</f>
        <v/>
      </c>
      <c r="Z104" s="126" t="str">
        <f>IF('Midterm OVPAA-F-INS-055A RAW SC'!Z104="","",'Midterm OVPAA-F-INS-055A RAW SC'!Z104/'Midterm OVPAA-F-INS-055A RAW SC'!Z$17*100)</f>
        <v/>
      </c>
      <c r="AA104" s="126" t="str">
        <f>IF('Midterm OVPAA-F-INS-055A RAW SC'!AA104="","",'Midterm OVPAA-F-INS-055A RAW SC'!AA104/'Midterm OVPAA-F-INS-055A RAW SC'!AA$17*100)</f>
        <v/>
      </c>
      <c r="AB104" s="126" t="str">
        <f>IF('Midterm OVPAA-F-INS-055A RAW SC'!AB104="","",'Midterm OVPAA-F-INS-055A RAW SC'!AB104/'Midterm OVPAA-F-INS-055A RAW SC'!AB$17*100)</f>
        <v/>
      </c>
      <c r="AC104" s="126" t="str">
        <f>IF('Midterm OVPAA-F-INS-055A RAW SC'!AC104="","",'Midterm OVPAA-F-INS-055A RAW SC'!AC104/'Midterm OVPAA-F-INS-055A RAW SC'!AC$17*100)</f>
        <v/>
      </c>
      <c r="AD104" s="126" t="str">
        <f>IF('Midterm OVPAA-F-INS-055A RAW SC'!AD104="","",'Midterm OVPAA-F-INS-055A RAW SC'!AD104/'Midterm OVPAA-F-INS-055A RAW SC'!AD$17*100)</f>
        <v/>
      </c>
      <c r="AE104" s="126" t="str">
        <f>IF('Midterm OVPAA-F-INS-055A RAW SC'!AE104="","",'Midterm OVPAA-F-INS-055A RAW SC'!AE104/'Midterm OVPAA-F-INS-055A RAW SC'!AE$17*100)</f>
        <v/>
      </c>
      <c r="AF104" s="126" t="str">
        <f>IF('Midterm OVPAA-F-INS-055A RAW SC'!AF104="","",'Midterm OVPAA-F-INS-055A RAW SC'!AF104/'Midterm OVPAA-F-INS-055A RAW SC'!AF$17*100)</f>
        <v/>
      </c>
      <c r="AG104" s="126" t="str">
        <f>IF('Midterm OVPAA-F-INS-055A RAW SC'!AG104="","",'Midterm OVPAA-F-INS-055A RAW SC'!AG104/'Midterm OVPAA-F-INS-055A RAW SC'!AG$17*100)</f>
        <v/>
      </c>
      <c r="AH104" s="126" t="str">
        <f>IF('Midterm OVPAA-F-INS-055A RAW SC'!AH104="","",'Midterm OVPAA-F-INS-055A RAW SC'!AH104/'Midterm OVPAA-F-INS-055A RAW SC'!AH$17*100)</f>
        <v/>
      </c>
      <c r="AI104" s="126" t="str">
        <f>IF('Midterm OVPAA-F-INS-055A RAW SC'!AI104="","",'Midterm OVPAA-F-INS-055A RAW SC'!AI104/'Midterm OVPAA-F-INS-055A RAW SC'!AI$17*100)</f>
        <v/>
      </c>
      <c r="AJ104" s="126" t="str">
        <f>IF('Midterm OVPAA-F-INS-055A RAW SC'!AJ104="","",'Midterm OVPAA-F-INS-055A RAW SC'!AJ104/'Midterm OVPAA-F-INS-055A RAW SC'!AJ$17*100)</f>
        <v/>
      </c>
      <c r="AK104" s="126" t="str">
        <f>IF('Midterm OVPAA-F-INS-055A RAW SC'!AK104="","",'Midterm OVPAA-F-INS-055A RAW SC'!AK104/'Midterm OVPAA-F-INS-055A RAW SC'!AK$17*100)</f>
        <v/>
      </c>
      <c r="AL104" s="126" t="str">
        <f>IF('Midterm OVPAA-F-INS-055A RAW SC'!AL104="","",'Midterm OVPAA-F-INS-055A RAW SC'!AL104/'Midterm OVPAA-F-INS-055A RAW SC'!AL$17*100)</f>
        <v/>
      </c>
      <c r="AM104" s="126" t="str">
        <f>IF('Midterm OVPAA-F-INS-055A RAW SC'!AM104="","",'Midterm OVPAA-F-INS-055A RAW SC'!AM104/'Midterm OVPAA-F-INS-055A RAW SC'!AM$17*100)</f>
        <v/>
      </c>
      <c r="AN104" s="126" t="str">
        <f>IF('Midterm OVPAA-F-INS-055A RAW SC'!AN104="","",'Midterm OVPAA-F-INS-055A RAW SC'!AN104/'Midterm OVPAA-F-INS-055A RAW SC'!AN$17*100)</f>
        <v/>
      </c>
      <c r="AO104" s="126" t="str">
        <f>IF('Midterm OVPAA-F-INS-055A RAW SC'!AO104="","",'Midterm OVPAA-F-INS-055A RAW SC'!AO104/'Midterm OVPAA-F-INS-055A RAW SC'!AO$17*100)</f>
        <v/>
      </c>
      <c r="AP104" s="126" t="str">
        <f>IF('Midterm OVPAA-F-INS-055A RAW SC'!AP104="","",'Midterm OVPAA-F-INS-055A RAW SC'!AP104/'Midterm OVPAA-F-INS-055A RAW SC'!AP$17*100)</f>
        <v/>
      </c>
      <c r="AQ104" s="126" t="str">
        <f>IF('Midterm OVPAA-F-INS-055A RAW SC'!AQ104="","",'Midterm OVPAA-F-INS-055A RAW SC'!AQ104/'Midterm OVPAA-F-INS-055A RAW SC'!AQ$17*100)</f>
        <v/>
      </c>
      <c r="AR104" s="126" t="str">
        <f>IF('Midterm OVPAA-F-INS-055A RAW SC'!AR104="","",'Midterm OVPAA-F-INS-055A RAW SC'!AR104/'Midterm OVPAA-F-INS-055A RAW SC'!AR$17*100)</f>
        <v/>
      </c>
      <c r="AS104" s="126" t="str">
        <f>IF('Midterm OVPAA-F-INS-055A RAW SC'!AS104="","",'Midterm OVPAA-F-INS-055A RAW SC'!AS104/'Midterm OVPAA-F-INS-055A RAW SC'!AS$17*100)</f>
        <v/>
      </c>
      <c r="AT104" s="126" t="str">
        <f>IF('Midterm OVPAA-F-INS-055A RAW SC'!AT104="","",'Midterm OVPAA-F-INS-055A RAW SC'!AT104/'Midterm OVPAA-F-INS-055A RAW SC'!AT$17*100)</f>
        <v/>
      </c>
      <c r="AU104" s="126" t="str">
        <f>IF('Midterm OVPAA-F-INS-055A RAW SC'!AU104="","",'Midterm OVPAA-F-INS-055A RAW SC'!AU104/'Midterm OVPAA-F-INS-055A RAW SC'!AU$17*100)</f>
        <v/>
      </c>
      <c r="AV104" s="126" t="str">
        <f>IF('Midterm OVPAA-F-INS-055A RAW SC'!AV104="","",'Midterm OVPAA-F-INS-055A RAW SC'!AV104/'Midterm OVPAA-F-INS-055A RAW SC'!AV$17*100)</f>
        <v/>
      </c>
      <c r="AW104" s="126" t="str">
        <f>IF('Midterm OVPAA-F-INS-055A RAW SC'!AW104="","",'Midterm OVPAA-F-INS-055A RAW SC'!AW104/'Midterm OVPAA-F-INS-055A RAW SC'!AW$17*100)</f>
        <v/>
      </c>
      <c r="AX104" s="126" t="str">
        <f>IF('Midterm OVPAA-F-INS-055A RAW SC'!AX104="","",'Midterm OVPAA-F-INS-055A RAW SC'!AX104/'Midterm OVPAA-F-INS-055A RAW SC'!AX$17*100)</f>
        <v/>
      </c>
      <c r="AY104" s="126" t="str">
        <f>IF('Midterm OVPAA-F-INS-055A RAW SC'!AY104="","",'Midterm OVPAA-F-INS-055A RAW SC'!AY104/'Midterm OVPAA-F-INS-055A RAW SC'!AY$17*100)</f>
        <v/>
      </c>
      <c r="AZ104" s="126" t="str">
        <f>IF('Midterm OVPAA-F-INS-055A RAW SC'!AZ104="","",'Midterm OVPAA-F-INS-055A RAW SC'!AZ104/'Midterm OVPAA-F-INS-055A RAW SC'!AZ$17*100)</f>
        <v/>
      </c>
      <c r="BA104" s="126" t="str">
        <f>IF('Midterm OVPAA-F-INS-055A RAW SC'!BA104="","",'Midterm OVPAA-F-INS-055A RAW SC'!BA104/'Midterm OVPAA-F-INS-055A RAW SC'!BA$17*100)</f>
        <v/>
      </c>
      <c r="BB104" s="126" t="str">
        <f>IF('Midterm OVPAA-F-INS-055A RAW SC'!BB104="","",'Midterm OVPAA-F-INS-055A RAW SC'!BB104/'Midterm OVPAA-F-INS-055A RAW SC'!BB$17*100)</f>
        <v/>
      </c>
      <c r="BC104" s="126" t="str">
        <f>IF('Midterm OVPAA-F-INS-055A RAW SC'!BC104="","",'Midterm OVPAA-F-INS-055A RAW SC'!BC104/'Midterm OVPAA-F-INS-055A RAW SC'!BC$17*100)</f>
        <v/>
      </c>
      <c r="BD104" s="126" t="str">
        <f>IF('Midterm OVPAA-F-INS-055A RAW SC'!BD104="","",'Midterm OVPAA-F-INS-055A RAW SC'!BD104/'Midterm OVPAA-F-INS-055A RAW SC'!BD$17*100)</f>
        <v/>
      </c>
      <c r="BE104" s="126" t="str">
        <f>IF('Midterm OVPAA-F-INS-055A RAW SC'!BE104="","",'Midterm OVPAA-F-INS-055A RAW SC'!BE104/'Midterm OVPAA-F-INS-055A RAW SC'!BE$17*100)</f>
        <v/>
      </c>
      <c r="BF104" s="126" t="str">
        <f>IF('Midterm OVPAA-F-INS-055A RAW SC'!BF104="","",'Midterm OVPAA-F-INS-055A RAW SC'!BF104/'Midterm OVPAA-F-INS-055A RAW SC'!BF$17*100)</f>
        <v/>
      </c>
      <c r="BG104" s="126" t="str">
        <f>IF('Midterm OVPAA-F-INS-055A RAW SC'!BG104="","",'Midterm OVPAA-F-INS-055A RAW SC'!BG104/'Midterm OVPAA-F-INS-055A RAW SC'!BG$17*100)</f>
        <v/>
      </c>
      <c r="BH104" s="126" t="str">
        <f>IF('Midterm OVPAA-F-INS-055A RAW SC'!BH104="","",'Midterm OVPAA-F-INS-055A RAW SC'!BH104/'Midterm OVPAA-F-INS-055A RAW SC'!BH$17*100)</f>
        <v/>
      </c>
      <c r="BI104" s="126" t="str">
        <f>IF('Midterm OVPAA-F-INS-055A RAW SC'!BI104="","",'Midterm OVPAA-F-INS-055A RAW SC'!BI104/'Midterm OVPAA-F-INS-055A RAW SC'!BI$17*100)</f>
        <v/>
      </c>
      <c r="BJ104" s="126" t="str">
        <f>IF('Midterm OVPAA-F-INS-055A RAW SC'!BJ104="","",'Midterm OVPAA-F-INS-055A RAW SC'!BJ104/'Midterm OVPAA-F-INS-055A RAW SC'!BJ$17*100)</f>
        <v/>
      </c>
      <c r="BK104" s="126" t="str">
        <f>IF('Midterm OVPAA-F-INS-055A RAW SC'!BK104="","",'Midterm OVPAA-F-INS-055A RAW SC'!BK104/'Midterm OVPAA-F-INS-055A RAW SC'!BK$17*100)</f>
        <v/>
      </c>
      <c r="BL104" s="126" t="str">
        <f>IF('Midterm OVPAA-F-INS-055A RAW SC'!BL104="","",'Midterm OVPAA-F-INS-055A RAW SC'!BL104/'Midterm OVPAA-F-INS-055A RAW SC'!BL$17*100)</f>
        <v/>
      </c>
      <c r="BM104" s="126" t="str">
        <f>IF('Midterm OVPAA-F-INS-055A RAW SC'!BM104="","",'Midterm OVPAA-F-INS-055A RAW SC'!BM104/'Midterm OVPAA-F-INS-055A RAW SC'!BM$17*100)</f>
        <v/>
      </c>
      <c r="BN104" s="126" t="str">
        <f>IF('Midterm OVPAA-F-INS-055A RAW SC'!BN104="","",'Midterm OVPAA-F-INS-055A RAW SC'!BN104/'Midterm OVPAA-F-INS-055A RAW SC'!BN$17*100)</f>
        <v/>
      </c>
      <c r="BO104" s="126" t="str">
        <f>IF('Midterm OVPAA-F-INS-055A RAW SC'!BO104="","",'Midterm OVPAA-F-INS-055A RAW SC'!BO104/'Midterm OVPAA-F-INS-055A RAW SC'!BO$17*100)</f>
        <v/>
      </c>
      <c r="BP104" s="126" t="str">
        <f>IF('Midterm OVPAA-F-INS-055A RAW SC'!BP104="","",'Midterm OVPAA-F-INS-055A RAW SC'!BP104/'Midterm OVPAA-F-INS-055A RAW SC'!BP$17*100)</f>
        <v/>
      </c>
      <c r="BQ104" s="126" t="str">
        <f>IF('Midterm OVPAA-F-INS-055A RAW SC'!BQ104="","",'Midterm OVPAA-F-INS-055A RAW SC'!BQ104/'Midterm OVPAA-F-INS-055A RAW SC'!BQ$17*100)</f>
        <v/>
      </c>
      <c r="BR104" s="126" t="str">
        <f>IF('Midterm OVPAA-F-INS-055A RAW SC'!BR104="","",'Midterm OVPAA-F-INS-055A RAW SC'!BR104/'Midterm OVPAA-F-INS-055A RAW SC'!BR$17*100)</f>
        <v/>
      </c>
      <c r="BS104" s="126" t="str">
        <f>IF('Midterm OVPAA-F-INS-055A RAW SC'!BS104="","",'Midterm OVPAA-F-INS-055A RAW SC'!BS104/'Midterm OVPAA-F-INS-055A RAW SC'!BS$17*100)</f>
        <v/>
      </c>
      <c r="BT104" s="126" t="str">
        <f>IF('Midterm OVPAA-F-INS-055A RAW SC'!BT104="","",'Midterm OVPAA-F-INS-055A RAW SC'!BT104/'Midterm OVPAA-F-INS-055A RAW SC'!BT$17*100)</f>
        <v/>
      </c>
      <c r="BU104" s="127" t="str">
        <f t="array" ref="BU104">IF('Midterm OVPAA-F-INS-055A RAW SC'!$G104="","",IF((SUMPRODUCT(--ISBLANK('Midterm OVPAA-F-INS-055A RAW SC'!H104:BT104))=COLUMNS('Midterm OVPAA-F-INS-055A RAW SC'!H104:BT104))=TRUE,"",(((COUNTA('Midterm OVPAA-F-INS-055A RAW SC'!$H$17:$BT$17)+COUNTBLANK('Midterm OVPAA-F-INS-055A RAW SC'!H104:BT104))-COLUMNS('Midterm OVPAA-F-INS-055A RAW SC'!H104:BT104))*5+SUM(H104:BT104))/COUNTA('Midterm OVPAA-F-INS-055A RAW SC'!$H$17:$BT$17)))</f>
        <v/>
      </c>
      <c r="BV104" s="128" t="str">
        <f>IF(BU104="","",VLOOKUP(BU104,IF('Midterm OVPAA-F-INS-055A RAW SC'!$V$12=0.5,TRANSMUTATION!$C$4:$D$17,TRANSMUTATION!$G$4:$H$17),2,TRUE))</f>
        <v/>
      </c>
      <c r="BW104" s="129" t="str">
        <f>IF('Midterm OVPAA-F-INS-055A RAW SC'!BU104="","",'Midterm OVPAA-F-INS-055A RAW SC'!BU104/'Midterm OVPAA-F-INS-055A RAW SC'!BU$17*100)</f>
        <v/>
      </c>
      <c r="BX104" s="130" t="str">
        <f>IF('Midterm OVPAA-F-INS-055A RAW SC'!BV104="","",'Midterm OVPAA-F-INS-055A RAW SC'!BV104/'Midterm OVPAA-F-INS-055A RAW SC'!BV$17*100)</f>
        <v/>
      </c>
      <c r="BY104" s="130" t="str">
        <f>IF('Midterm OVPAA-F-INS-055A RAW SC'!BW104="","",'Midterm OVPAA-F-INS-055A RAW SC'!BW104/'Midterm OVPAA-F-INS-055A RAW SC'!BW$17*100)</f>
        <v/>
      </c>
      <c r="BZ104" s="130" t="str">
        <f>IF('Midterm OVPAA-F-INS-055A RAW SC'!BX104="","",'Midterm OVPAA-F-INS-055A RAW SC'!BX104/'Midterm OVPAA-F-INS-055A RAW SC'!BX$17*100)</f>
        <v/>
      </c>
      <c r="CA104" s="130" t="str">
        <f>IF('Midterm OVPAA-F-INS-055A RAW SC'!BY104="","",'Midterm OVPAA-F-INS-055A RAW SC'!BY104/'Midterm OVPAA-F-INS-055A RAW SC'!BY$17*100)</f>
        <v/>
      </c>
      <c r="CB104" s="130" t="str">
        <f>IF('Midterm OVPAA-F-INS-055A RAW SC'!BZ104="","",'Midterm OVPAA-F-INS-055A RAW SC'!BZ104/'Midterm OVPAA-F-INS-055A RAW SC'!BZ$17*100)</f>
        <v/>
      </c>
      <c r="CC104" s="130" t="str">
        <f>IF('Midterm OVPAA-F-INS-055A RAW SC'!CA104="","",'Midterm OVPAA-F-INS-055A RAW SC'!CA104/'Midterm OVPAA-F-INS-055A RAW SC'!CA$17*100)</f>
        <v/>
      </c>
      <c r="CD104" s="130" t="str">
        <f>IF('Midterm OVPAA-F-INS-055A RAW SC'!CB104="","",'Midterm OVPAA-F-INS-055A RAW SC'!CB104/'Midterm OVPAA-F-INS-055A RAW SC'!CB$17*100)</f>
        <v/>
      </c>
      <c r="CE104" s="130" t="str">
        <f>IF('Midterm OVPAA-F-INS-055A RAW SC'!CC104="","",'Midterm OVPAA-F-INS-055A RAW SC'!CC104/'Midterm OVPAA-F-INS-055A RAW SC'!CC$17*100)</f>
        <v/>
      </c>
      <c r="CF104" s="130" t="str">
        <f>IF('Midterm OVPAA-F-INS-055A RAW SC'!CD104="","",'Midterm OVPAA-F-INS-055A RAW SC'!CD104/'Midterm OVPAA-F-INS-055A RAW SC'!CD$17*100)</f>
        <v/>
      </c>
      <c r="CG104" s="130" t="str">
        <f>IF('Midterm OVPAA-F-INS-055A RAW SC'!CE104="","",'Midterm OVPAA-F-INS-055A RAW SC'!CE104/'Midterm OVPAA-F-INS-055A RAW SC'!CE$17*100)</f>
        <v/>
      </c>
      <c r="CH104" s="130" t="str">
        <f>IF('Midterm OVPAA-F-INS-055A RAW SC'!CF104="","",'Midterm OVPAA-F-INS-055A RAW SC'!CF104/'Midterm OVPAA-F-INS-055A RAW SC'!CF$17*100)</f>
        <v/>
      </c>
      <c r="CI104" s="130" t="str">
        <f>IF('Midterm OVPAA-F-INS-055A RAW SC'!CG104="","",'Midterm OVPAA-F-INS-055A RAW SC'!CG104/'Midterm OVPAA-F-INS-055A RAW SC'!CG$17*100)</f>
        <v/>
      </c>
      <c r="CJ104" s="130" t="str">
        <f>IF('Midterm OVPAA-F-INS-055A RAW SC'!CH104="","",'Midterm OVPAA-F-INS-055A RAW SC'!CH104/'Midterm OVPAA-F-INS-055A RAW SC'!CH$17*100)</f>
        <v/>
      </c>
      <c r="CK104" s="130" t="str">
        <f>IF('Midterm OVPAA-F-INS-055A RAW SC'!CI104="","",'Midterm OVPAA-F-INS-055A RAW SC'!CI104/'Midterm OVPAA-F-INS-055A RAW SC'!CI$17*100)</f>
        <v/>
      </c>
      <c r="CL104" s="130" t="str">
        <f>IF('Midterm OVPAA-F-INS-055A RAW SC'!CJ104="","",'Midterm OVPAA-F-INS-055A RAW SC'!CJ104/'Midterm OVPAA-F-INS-055A RAW SC'!CJ$17*100)</f>
        <v/>
      </c>
      <c r="CM104" s="130" t="str">
        <f>IF('Midterm OVPAA-F-INS-055A RAW SC'!CK104="","",'Midterm OVPAA-F-INS-055A RAW SC'!CK104/'Midterm OVPAA-F-INS-055A RAW SC'!CK$17*100)</f>
        <v/>
      </c>
      <c r="CN104" s="130" t="str">
        <f>IF('Midterm OVPAA-F-INS-055A RAW SC'!CL104="","",'Midterm OVPAA-F-INS-055A RAW SC'!CL104/'Midterm OVPAA-F-INS-055A RAW SC'!CL$17*100)</f>
        <v/>
      </c>
      <c r="CO104" s="130" t="str">
        <f>IF('Midterm OVPAA-F-INS-055A RAW SC'!CM104="","",'Midterm OVPAA-F-INS-055A RAW SC'!CM104/'Midterm OVPAA-F-INS-055A RAW SC'!CM$17*100)</f>
        <v/>
      </c>
      <c r="CP104" s="130" t="str">
        <f>IF('Midterm OVPAA-F-INS-055A RAW SC'!CN104="","",'Midterm OVPAA-F-INS-055A RAW SC'!CN104/'Midterm OVPAA-F-INS-055A RAW SC'!CN$17*100)</f>
        <v/>
      </c>
      <c r="CQ104" s="131" t="str">
        <f t="array" ref="CQ104">IF('Midterm OVPAA-F-INS-055A RAW SC'!G104="","",IF((SUMPRODUCT(--ISBLANK('Midterm OVPAA-F-INS-055A RAW SC'!BU104:CN104))=COLUMNS('Midterm OVPAA-F-INS-055A RAW SC'!BU104:CN104))=TRUE,"",(((COUNTA('Midterm OVPAA-F-INS-055A RAW SC'!$BU$17:$CN$17)+COUNTBLANK('Midterm OVPAA-F-INS-055A RAW SC'!BU104:CN104))-COLUMNS('Midterm OVPAA-F-INS-055A RAW SC'!BU104:CN104))*5+SUM(BW104:CP104))/COUNTA('Midterm OVPAA-F-INS-055A RAW SC'!$BU$17:$CN$17)))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IF('Midterm OVPAA-F-INS-055A RAW SC'!CO104="","",'Midterm OVPAA-F-INS-055A RAW SC'!CO104/'Midterm OVPAA-F-INS-055A RAW SC'!CO$17*100)</f>
        <v/>
      </c>
      <c r="CT104" s="133" t="str">
        <f>IF('Midterm OVPAA-F-INS-055A RAW SC'!CP104="","",'Midterm OVPAA-F-INS-055A RAW SC'!CP104/'Midterm OVPAA-F-INS-055A RAW SC'!CP$17*100)</f>
        <v/>
      </c>
      <c r="CU104" s="133" t="str">
        <f>IF('Midterm OVPAA-F-INS-055A RAW SC'!CQ104="","",'Midterm OVPAA-F-INS-055A RAW SC'!CQ104/'Midterm OVPAA-F-INS-055A RAW SC'!CQ$17*100)</f>
        <v/>
      </c>
      <c r="CV104" s="133" t="str">
        <f>IF('Midterm OVPAA-F-INS-055A RAW SC'!CR104="","",'Midterm OVPAA-F-INS-055A RAW SC'!CR104/'Midterm OVPAA-F-INS-055A RAW SC'!CR$17*100)</f>
        <v/>
      </c>
      <c r="CW104" s="133" t="str">
        <f>IF('Midterm OVPAA-F-INS-055A RAW SC'!CS104="","",'Midterm OVPAA-F-INS-055A RAW SC'!CS104/'Midterm OVPAA-F-INS-055A RAW SC'!CS$17*100)</f>
        <v/>
      </c>
      <c r="CX104" s="133" t="str">
        <f>IF('Midterm OVPAA-F-INS-055A RAW SC'!CT104="","",'Midterm OVPAA-F-INS-055A RAW SC'!CT104/'Midterm OVPAA-F-INS-055A RAW SC'!CT$17*100)</f>
        <v/>
      </c>
      <c r="CY104" s="133" t="str">
        <f>IF('Midterm OVPAA-F-INS-055A RAW SC'!CU104="","",'Midterm OVPAA-F-INS-055A RAW SC'!CU104/'Midterm OVPAA-F-INS-055A RAW SC'!CU$17*100)</f>
        <v/>
      </c>
      <c r="CZ104" s="133" t="str">
        <f>IF('Midterm OVPAA-F-INS-055A RAW SC'!CV104="","",'Midterm OVPAA-F-INS-055A RAW SC'!CV104/'Midterm OVPAA-F-INS-055A RAW SC'!CV$17*100)</f>
        <v/>
      </c>
      <c r="DA104" s="133" t="str">
        <f>IF('Midterm OVPAA-F-INS-055A RAW SC'!CW104="","",'Midterm OVPAA-F-INS-055A RAW SC'!CW104/'Midterm OVPAA-F-INS-055A RAW SC'!CW$17*100)</f>
        <v/>
      </c>
      <c r="DB104" s="133" t="str">
        <f>IF('Midterm OVPAA-F-INS-055A RAW SC'!CX104="","",'Midterm OVPAA-F-INS-055A RAW SC'!CX104/'Midterm OVPAA-F-INS-055A RAW SC'!CX$17*100)</f>
        <v/>
      </c>
      <c r="DC104" s="134" t="str">
        <f t="array" ref="DC104">IF('Midterm OVPAA-F-INS-055A RAW SC'!$G104="","",IF((SUMPRODUCT(--ISBLANK('Midterm OVPAA-F-INS-055A RAW SC'!CO104:CX104))=COLUMNS('Midterm OVPAA-F-INS-055A RAW SC'!CO104:CX104))=TRUE,"",(((COUNTA('Midterm OVPAA-F-INS-055A RAW SC'!$CO$17:$CX$17)+COUNTBLANK('Midterm OVPAA-F-INS-055A RAW SC'!CO104:CX104))-COLUMNS('Midterm OVPAA-F-INS-055A RAW SC'!CO104:CX104))*5+SUM(CS104:DB104))/COUNTA('Midterm OVPAA-F-INS-055A RAW SC'!$CO$17:$CX$17)))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37" t="str">
        <f t="shared" si="2"/>
        <v/>
      </c>
      <c r="DG104" s="138" t="str">
        <f t="shared" si="3"/>
        <v/>
      </c>
      <c r="DH104" s="136" t="str">
        <f t="shared" si="4"/>
        <v/>
      </c>
      <c r="DI104" s="123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IF('Midterm OVPAA-F-INS-055A RAW SC'!H105="","",'Midterm OVPAA-F-INS-055A RAW SC'!H105/'Midterm OVPAA-F-INS-055A RAW SC'!H$17*100)</f>
        <v/>
      </c>
      <c r="I105" s="126" t="str">
        <f>IF('Midterm OVPAA-F-INS-055A RAW SC'!I105="","",'Midterm OVPAA-F-INS-055A RAW SC'!I105/'Midterm OVPAA-F-INS-055A RAW SC'!I$17*100)</f>
        <v/>
      </c>
      <c r="J105" s="126" t="str">
        <f>IF('Midterm OVPAA-F-INS-055A RAW SC'!J105="","",'Midterm OVPAA-F-INS-055A RAW SC'!J105/'Midterm OVPAA-F-INS-055A RAW SC'!J$17*100)</f>
        <v/>
      </c>
      <c r="K105" s="126" t="str">
        <f>IF('Midterm OVPAA-F-INS-055A RAW SC'!K105="","",'Midterm OVPAA-F-INS-055A RAW SC'!K105/'Midterm OVPAA-F-INS-055A RAW SC'!K$17*100)</f>
        <v/>
      </c>
      <c r="L105" s="126" t="str">
        <f>IF('Midterm OVPAA-F-INS-055A RAW SC'!L105="","",'Midterm OVPAA-F-INS-055A RAW SC'!L105/'Midterm OVPAA-F-INS-055A RAW SC'!L$17*100)</f>
        <v/>
      </c>
      <c r="M105" s="126" t="str">
        <f>IF('Midterm OVPAA-F-INS-055A RAW SC'!M105="","",'Midterm OVPAA-F-INS-055A RAW SC'!M105/'Midterm OVPAA-F-INS-055A RAW SC'!M$17*100)</f>
        <v/>
      </c>
      <c r="N105" s="126" t="str">
        <f>IF('Midterm OVPAA-F-INS-055A RAW SC'!N105="","",'Midterm OVPAA-F-INS-055A RAW SC'!N105/'Midterm OVPAA-F-INS-055A RAW SC'!N$17*100)</f>
        <v/>
      </c>
      <c r="O105" s="126" t="str">
        <f>IF('Midterm OVPAA-F-INS-055A RAW SC'!O105="","",'Midterm OVPAA-F-INS-055A RAW SC'!O105/'Midterm OVPAA-F-INS-055A RAW SC'!O$17*100)</f>
        <v/>
      </c>
      <c r="P105" s="126" t="str">
        <f>IF('Midterm OVPAA-F-INS-055A RAW SC'!P105="","",'Midterm OVPAA-F-INS-055A RAW SC'!P105/'Midterm OVPAA-F-INS-055A RAW SC'!P$17*100)</f>
        <v/>
      </c>
      <c r="Q105" s="126" t="str">
        <f>IF('Midterm OVPAA-F-INS-055A RAW SC'!Q105="","",'Midterm OVPAA-F-INS-055A RAW SC'!Q105/'Midterm OVPAA-F-INS-055A RAW SC'!Q$17*100)</f>
        <v/>
      </c>
      <c r="R105" s="126" t="str">
        <f>IF('Midterm OVPAA-F-INS-055A RAW SC'!R105="","",'Midterm OVPAA-F-INS-055A RAW SC'!R105/'Midterm OVPAA-F-INS-055A RAW SC'!R$17*100)</f>
        <v/>
      </c>
      <c r="S105" s="126" t="str">
        <f>IF('Midterm OVPAA-F-INS-055A RAW SC'!S105="","",'Midterm OVPAA-F-INS-055A RAW SC'!S105/'Midterm OVPAA-F-INS-055A RAW SC'!S$17*100)</f>
        <v/>
      </c>
      <c r="T105" s="126" t="str">
        <f>IF('Midterm OVPAA-F-INS-055A RAW SC'!T105="","",'Midterm OVPAA-F-INS-055A RAW SC'!T105/'Midterm OVPAA-F-INS-055A RAW SC'!T$17*100)</f>
        <v/>
      </c>
      <c r="U105" s="126" t="str">
        <f>IF('Midterm OVPAA-F-INS-055A RAW SC'!U105="","",'Midterm OVPAA-F-INS-055A RAW SC'!U105/'Midterm OVPAA-F-INS-055A RAW SC'!U$17*100)</f>
        <v/>
      </c>
      <c r="V105" s="126" t="str">
        <f>IF('Midterm OVPAA-F-INS-055A RAW SC'!V105="","",'Midterm OVPAA-F-INS-055A RAW SC'!V105/'Midterm OVPAA-F-INS-055A RAW SC'!V$17*100)</f>
        <v/>
      </c>
      <c r="W105" s="126" t="str">
        <f>IF('Midterm OVPAA-F-INS-055A RAW SC'!W105="","",'Midterm OVPAA-F-INS-055A RAW SC'!W105/'Midterm OVPAA-F-INS-055A RAW SC'!W$17*100)</f>
        <v/>
      </c>
      <c r="X105" s="126" t="str">
        <f>IF('Midterm OVPAA-F-INS-055A RAW SC'!X105="","",'Midterm OVPAA-F-INS-055A RAW SC'!X105/'Midterm OVPAA-F-INS-055A RAW SC'!X$17*100)</f>
        <v/>
      </c>
      <c r="Y105" s="126" t="str">
        <f>IF('Midterm OVPAA-F-INS-055A RAW SC'!Y105="","",'Midterm OVPAA-F-INS-055A RAW SC'!Y105/'Midterm OVPAA-F-INS-055A RAW SC'!Y$17*100)</f>
        <v/>
      </c>
      <c r="Z105" s="126" t="str">
        <f>IF('Midterm OVPAA-F-INS-055A RAW SC'!Z105="","",'Midterm OVPAA-F-INS-055A RAW SC'!Z105/'Midterm OVPAA-F-INS-055A RAW SC'!Z$17*100)</f>
        <v/>
      </c>
      <c r="AA105" s="126" t="str">
        <f>IF('Midterm OVPAA-F-INS-055A RAW SC'!AA105="","",'Midterm OVPAA-F-INS-055A RAW SC'!AA105/'Midterm OVPAA-F-INS-055A RAW SC'!AA$17*100)</f>
        <v/>
      </c>
      <c r="AB105" s="126" t="str">
        <f>IF('Midterm OVPAA-F-INS-055A RAW SC'!AB105="","",'Midterm OVPAA-F-INS-055A RAW SC'!AB105/'Midterm OVPAA-F-INS-055A RAW SC'!AB$17*100)</f>
        <v/>
      </c>
      <c r="AC105" s="126" t="str">
        <f>IF('Midterm OVPAA-F-INS-055A RAW SC'!AC105="","",'Midterm OVPAA-F-INS-055A RAW SC'!AC105/'Midterm OVPAA-F-INS-055A RAW SC'!AC$17*100)</f>
        <v/>
      </c>
      <c r="AD105" s="126" t="str">
        <f>IF('Midterm OVPAA-F-INS-055A RAW SC'!AD105="","",'Midterm OVPAA-F-INS-055A RAW SC'!AD105/'Midterm OVPAA-F-INS-055A RAW SC'!AD$17*100)</f>
        <v/>
      </c>
      <c r="AE105" s="126" t="str">
        <f>IF('Midterm OVPAA-F-INS-055A RAW SC'!AE105="","",'Midterm OVPAA-F-INS-055A RAW SC'!AE105/'Midterm OVPAA-F-INS-055A RAW SC'!AE$17*100)</f>
        <v/>
      </c>
      <c r="AF105" s="126" t="str">
        <f>IF('Midterm OVPAA-F-INS-055A RAW SC'!AF105="","",'Midterm OVPAA-F-INS-055A RAW SC'!AF105/'Midterm OVPAA-F-INS-055A RAW SC'!AF$17*100)</f>
        <v/>
      </c>
      <c r="AG105" s="126" t="str">
        <f>IF('Midterm OVPAA-F-INS-055A RAW SC'!AG105="","",'Midterm OVPAA-F-INS-055A RAW SC'!AG105/'Midterm OVPAA-F-INS-055A RAW SC'!AG$17*100)</f>
        <v/>
      </c>
      <c r="AH105" s="126" t="str">
        <f>IF('Midterm OVPAA-F-INS-055A RAW SC'!AH105="","",'Midterm OVPAA-F-INS-055A RAW SC'!AH105/'Midterm OVPAA-F-INS-055A RAW SC'!AH$17*100)</f>
        <v/>
      </c>
      <c r="AI105" s="126" t="str">
        <f>IF('Midterm OVPAA-F-INS-055A RAW SC'!AI105="","",'Midterm OVPAA-F-INS-055A RAW SC'!AI105/'Midterm OVPAA-F-INS-055A RAW SC'!AI$17*100)</f>
        <v/>
      </c>
      <c r="AJ105" s="126" t="str">
        <f>IF('Midterm OVPAA-F-INS-055A RAW SC'!AJ105="","",'Midterm OVPAA-F-INS-055A RAW SC'!AJ105/'Midterm OVPAA-F-INS-055A RAW SC'!AJ$17*100)</f>
        <v/>
      </c>
      <c r="AK105" s="126" t="str">
        <f>IF('Midterm OVPAA-F-INS-055A RAW SC'!AK105="","",'Midterm OVPAA-F-INS-055A RAW SC'!AK105/'Midterm OVPAA-F-INS-055A RAW SC'!AK$17*100)</f>
        <v/>
      </c>
      <c r="AL105" s="126" t="str">
        <f>IF('Midterm OVPAA-F-INS-055A RAW SC'!AL105="","",'Midterm OVPAA-F-INS-055A RAW SC'!AL105/'Midterm OVPAA-F-INS-055A RAW SC'!AL$17*100)</f>
        <v/>
      </c>
      <c r="AM105" s="126" t="str">
        <f>IF('Midterm OVPAA-F-INS-055A RAW SC'!AM105="","",'Midterm OVPAA-F-INS-055A RAW SC'!AM105/'Midterm OVPAA-F-INS-055A RAW SC'!AM$17*100)</f>
        <v/>
      </c>
      <c r="AN105" s="126" t="str">
        <f>IF('Midterm OVPAA-F-INS-055A RAW SC'!AN105="","",'Midterm OVPAA-F-INS-055A RAW SC'!AN105/'Midterm OVPAA-F-INS-055A RAW SC'!AN$17*100)</f>
        <v/>
      </c>
      <c r="AO105" s="126" t="str">
        <f>IF('Midterm OVPAA-F-INS-055A RAW SC'!AO105="","",'Midterm OVPAA-F-INS-055A RAW SC'!AO105/'Midterm OVPAA-F-INS-055A RAW SC'!AO$17*100)</f>
        <v/>
      </c>
      <c r="AP105" s="126" t="str">
        <f>IF('Midterm OVPAA-F-INS-055A RAW SC'!AP105="","",'Midterm OVPAA-F-INS-055A RAW SC'!AP105/'Midterm OVPAA-F-INS-055A RAW SC'!AP$17*100)</f>
        <v/>
      </c>
      <c r="AQ105" s="126" t="str">
        <f>IF('Midterm OVPAA-F-INS-055A RAW SC'!AQ105="","",'Midterm OVPAA-F-INS-055A RAW SC'!AQ105/'Midterm OVPAA-F-INS-055A RAW SC'!AQ$17*100)</f>
        <v/>
      </c>
      <c r="AR105" s="126" t="str">
        <f>IF('Midterm OVPAA-F-INS-055A RAW SC'!AR105="","",'Midterm OVPAA-F-INS-055A RAW SC'!AR105/'Midterm OVPAA-F-INS-055A RAW SC'!AR$17*100)</f>
        <v/>
      </c>
      <c r="AS105" s="126" t="str">
        <f>IF('Midterm OVPAA-F-INS-055A RAW SC'!AS105="","",'Midterm OVPAA-F-INS-055A RAW SC'!AS105/'Midterm OVPAA-F-INS-055A RAW SC'!AS$17*100)</f>
        <v/>
      </c>
      <c r="AT105" s="126" t="str">
        <f>IF('Midterm OVPAA-F-INS-055A RAW SC'!AT105="","",'Midterm OVPAA-F-INS-055A RAW SC'!AT105/'Midterm OVPAA-F-INS-055A RAW SC'!AT$17*100)</f>
        <v/>
      </c>
      <c r="AU105" s="126" t="str">
        <f>IF('Midterm OVPAA-F-INS-055A RAW SC'!AU105="","",'Midterm OVPAA-F-INS-055A RAW SC'!AU105/'Midterm OVPAA-F-INS-055A RAW SC'!AU$17*100)</f>
        <v/>
      </c>
      <c r="AV105" s="126" t="str">
        <f>IF('Midterm OVPAA-F-INS-055A RAW SC'!AV105="","",'Midterm OVPAA-F-INS-055A RAW SC'!AV105/'Midterm OVPAA-F-INS-055A RAW SC'!AV$17*100)</f>
        <v/>
      </c>
      <c r="AW105" s="126" t="str">
        <f>IF('Midterm OVPAA-F-INS-055A RAW SC'!AW105="","",'Midterm OVPAA-F-INS-055A RAW SC'!AW105/'Midterm OVPAA-F-INS-055A RAW SC'!AW$17*100)</f>
        <v/>
      </c>
      <c r="AX105" s="126" t="str">
        <f>IF('Midterm OVPAA-F-INS-055A RAW SC'!AX105="","",'Midterm OVPAA-F-INS-055A RAW SC'!AX105/'Midterm OVPAA-F-INS-055A RAW SC'!AX$17*100)</f>
        <v/>
      </c>
      <c r="AY105" s="126" t="str">
        <f>IF('Midterm OVPAA-F-INS-055A RAW SC'!AY105="","",'Midterm OVPAA-F-INS-055A RAW SC'!AY105/'Midterm OVPAA-F-INS-055A RAW SC'!AY$17*100)</f>
        <v/>
      </c>
      <c r="AZ105" s="126" t="str">
        <f>IF('Midterm OVPAA-F-INS-055A RAW SC'!AZ105="","",'Midterm OVPAA-F-INS-055A RAW SC'!AZ105/'Midterm OVPAA-F-INS-055A RAW SC'!AZ$17*100)</f>
        <v/>
      </c>
      <c r="BA105" s="126" t="str">
        <f>IF('Midterm OVPAA-F-INS-055A RAW SC'!BA105="","",'Midterm OVPAA-F-INS-055A RAW SC'!BA105/'Midterm OVPAA-F-INS-055A RAW SC'!BA$17*100)</f>
        <v/>
      </c>
      <c r="BB105" s="126" t="str">
        <f>IF('Midterm OVPAA-F-INS-055A RAW SC'!BB105="","",'Midterm OVPAA-F-INS-055A RAW SC'!BB105/'Midterm OVPAA-F-INS-055A RAW SC'!BB$17*100)</f>
        <v/>
      </c>
      <c r="BC105" s="126" t="str">
        <f>IF('Midterm OVPAA-F-INS-055A RAW SC'!BC105="","",'Midterm OVPAA-F-INS-055A RAW SC'!BC105/'Midterm OVPAA-F-INS-055A RAW SC'!BC$17*100)</f>
        <v/>
      </c>
      <c r="BD105" s="126" t="str">
        <f>IF('Midterm OVPAA-F-INS-055A RAW SC'!BD105="","",'Midterm OVPAA-F-INS-055A RAW SC'!BD105/'Midterm OVPAA-F-INS-055A RAW SC'!BD$17*100)</f>
        <v/>
      </c>
      <c r="BE105" s="126" t="str">
        <f>IF('Midterm OVPAA-F-INS-055A RAW SC'!BE105="","",'Midterm OVPAA-F-INS-055A RAW SC'!BE105/'Midterm OVPAA-F-INS-055A RAW SC'!BE$17*100)</f>
        <v/>
      </c>
      <c r="BF105" s="126" t="str">
        <f>IF('Midterm OVPAA-F-INS-055A RAW SC'!BF105="","",'Midterm OVPAA-F-INS-055A RAW SC'!BF105/'Midterm OVPAA-F-INS-055A RAW SC'!BF$17*100)</f>
        <v/>
      </c>
      <c r="BG105" s="126" t="str">
        <f>IF('Midterm OVPAA-F-INS-055A RAW SC'!BG105="","",'Midterm OVPAA-F-INS-055A RAW SC'!BG105/'Midterm OVPAA-F-INS-055A RAW SC'!BG$17*100)</f>
        <v/>
      </c>
      <c r="BH105" s="126" t="str">
        <f>IF('Midterm OVPAA-F-INS-055A RAW SC'!BH105="","",'Midterm OVPAA-F-INS-055A RAW SC'!BH105/'Midterm OVPAA-F-INS-055A RAW SC'!BH$17*100)</f>
        <v/>
      </c>
      <c r="BI105" s="126" t="str">
        <f>IF('Midterm OVPAA-F-INS-055A RAW SC'!BI105="","",'Midterm OVPAA-F-INS-055A RAW SC'!BI105/'Midterm OVPAA-F-INS-055A RAW SC'!BI$17*100)</f>
        <v/>
      </c>
      <c r="BJ105" s="126" t="str">
        <f>IF('Midterm OVPAA-F-INS-055A RAW SC'!BJ105="","",'Midterm OVPAA-F-INS-055A RAW SC'!BJ105/'Midterm OVPAA-F-INS-055A RAW SC'!BJ$17*100)</f>
        <v/>
      </c>
      <c r="BK105" s="126" t="str">
        <f>IF('Midterm OVPAA-F-INS-055A RAW SC'!BK105="","",'Midterm OVPAA-F-INS-055A RAW SC'!BK105/'Midterm OVPAA-F-INS-055A RAW SC'!BK$17*100)</f>
        <v/>
      </c>
      <c r="BL105" s="126" t="str">
        <f>IF('Midterm OVPAA-F-INS-055A RAW SC'!BL105="","",'Midterm OVPAA-F-INS-055A RAW SC'!BL105/'Midterm OVPAA-F-INS-055A RAW SC'!BL$17*100)</f>
        <v/>
      </c>
      <c r="BM105" s="126" t="str">
        <f>IF('Midterm OVPAA-F-INS-055A RAW SC'!BM105="","",'Midterm OVPAA-F-INS-055A RAW SC'!BM105/'Midterm OVPAA-F-INS-055A RAW SC'!BM$17*100)</f>
        <v/>
      </c>
      <c r="BN105" s="126" t="str">
        <f>IF('Midterm OVPAA-F-INS-055A RAW SC'!BN105="","",'Midterm OVPAA-F-INS-055A RAW SC'!BN105/'Midterm OVPAA-F-INS-055A RAW SC'!BN$17*100)</f>
        <v/>
      </c>
      <c r="BO105" s="126" t="str">
        <f>IF('Midterm OVPAA-F-INS-055A RAW SC'!BO105="","",'Midterm OVPAA-F-INS-055A RAW SC'!BO105/'Midterm OVPAA-F-INS-055A RAW SC'!BO$17*100)</f>
        <v/>
      </c>
      <c r="BP105" s="126" t="str">
        <f>IF('Midterm OVPAA-F-INS-055A RAW SC'!BP105="","",'Midterm OVPAA-F-INS-055A RAW SC'!BP105/'Midterm OVPAA-F-INS-055A RAW SC'!BP$17*100)</f>
        <v/>
      </c>
      <c r="BQ105" s="126" t="str">
        <f>IF('Midterm OVPAA-F-INS-055A RAW SC'!BQ105="","",'Midterm OVPAA-F-INS-055A RAW SC'!BQ105/'Midterm OVPAA-F-INS-055A RAW SC'!BQ$17*100)</f>
        <v/>
      </c>
      <c r="BR105" s="126" t="str">
        <f>IF('Midterm OVPAA-F-INS-055A RAW SC'!BR105="","",'Midterm OVPAA-F-INS-055A RAW SC'!BR105/'Midterm OVPAA-F-INS-055A RAW SC'!BR$17*100)</f>
        <v/>
      </c>
      <c r="BS105" s="126" t="str">
        <f>IF('Midterm OVPAA-F-INS-055A RAW SC'!BS105="","",'Midterm OVPAA-F-INS-055A RAW SC'!BS105/'Midterm OVPAA-F-INS-055A RAW SC'!BS$17*100)</f>
        <v/>
      </c>
      <c r="BT105" s="126" t="str">
        <f>IF('Midterm OVPAA-F-INS-055A RAW SC'!BT105="","",'Midterm OVPAA-F-INS-055A RAW SC'!BT105/'Midterm OVPAA-F-INS-055A RAW SC'!BT$17*100)</f>
        <v/>
      </c>
      <c r="BU105" s="127" t="str">
        <f t="array" ref="BU105">IF('Midterm OVPAA-F-INS-055A RAW SC'!$G105="","",IF((SUMPRODUCT(--ISBLANK('Midterm OVPAA-F-INS-055A RAW SC'!H105:BT105))=COLUMNS('Midterm OVPAA-F-INS-055A RAW SC'!H105:BT105))=TRUE,"",(((COUNTA('Midterm OVPAA-F-INS-055A RAW SC'!$H$17:$BT$17)+COUNTBLANK('Midterm OVPAA-F-INS-055A RAW SC'!H105:BT105))-COLUMNS('Midterm OVPAA-F-INS-055A RAW SC'!H105:BT105))*5+SUM(H105:BT105))/COUNTA('Midterm OVPAA-F-INS-055A RAW SC'!$H$17:$BT$17)))</f>
        <v/>
      </c>
      <c r="BV105" s="128" t="str">
        <f>IF(BU105="","",VLOOKUP(BU105,IF('Midterm OVPAA-F-INS-055A RAW SC'!$V$12=0.5,TRANSMUTATION!$C$4:$D$17,TRANSMUTATION!$G$4:$H$17),2,TRUE))</f>
        <v/>
      </c>
      <c r="BW105" s="129" t="str">
        <f>IF('Midterm OVPAA-F-INS-055A RAW SC'!BU105="","",'Midterm OVPAA-F-INS-055A RAW SC'!BU105/'Midterm OVPAA-F-INS-055A RAW SC'!BU$17*100)</f>
        <v/>
      </c>
      <c r="BX105" s="130" t="str">
        <f>IF('Midterm OVPAA-F-INS-055A RAW SC'!BV105="","",'Midterm OVPAA-F-INS-055A RAW SC'!BV105/'Midterm OVPAA-F-INS-055A RAW SC'!BV$17*100)</f>
        <v/>
      </c>
      <c r="BY105" s="130" t="str">
        <f>IF('Midterm OVPAA-F-INS-055A RAW SC'!BW105="","",'Midterm OVPAA-F-INS-055A RAW SC'!BW105/'Midterm OVPAA-F-INS-055A RAW SC'!BW$17*100)</f>
        <v/>
      </c>
      <c r="BZ105" s="130" t="str">
        <f>IF('Midterm OVPAA-F-INS-055A RAW SC'!BX105="","",'Midterm OVPAA-F-INS-055A RAW SC'!BX105/'Midterm OVPAA-F-INS-055A RAW SC'!BX$17*100)</f>
        <v/>
      </c>
      <c r="CA105" s="130" t="str">
        <f>IF('Midterm OVPAA-F-INS-055A RAW SC'!BY105="","",'Midterm OVPAA-F-INS-055A RAW SC'!BY105/'Midterm OVPAA-F-INS-055A RAW SC'!BY$17*100)</f>
        <v/>
      </c>
      <c r="CB105" s="130" t="str">
        <f>IF('Midterm OVPAA-F-INS-055A RAW SC'!BZ105="","",'Midterm OVPAA-F-INS-055A RAW SC'!BZ105/'Midterm OVPAA-F-INS-055A RAW SC'!BZ$17*100)</f>
        <v/>
      </c>
      <c r="CC105" s="130" t="str">
        <f>IF('Midterm OVPAA-F-INS-055A RAW SC'!CA105="","",'Midterm OVPAA-F-INS-055A RAW SC'!CA105/'Midterm OVPAA-F-INS-055A RAW SC'!CA$17*100)</f>
        <v/>
      </c>
      <c r="CD105" s="130" t="str">
        <f>IF('Midterm OVPAA-F-INS-055A RAW SC'!CB105="","",'Midterm OVPAA-F-INS-055A RAW SC'!CB105/'Midterm OVPAA-F-INS-055A RAW SC'!CB$17*100)</f>
        <v/>
      </c>
      <c r="CE105" s="130" t="str">
        <f>IF('Midterm OVPAA-F-INS-055A RAW SC'!CC105="","",'Midterm OVPAA-F-INS-055A RAW SC'!CC105/'Midterm OVPAA-F-INS-055A RAW SC'!CC$17*100)</f>
        <v/>
      </c>
      <c r="CF105" s="130" t="str">
        <f>IF('Midterm OVPAA-F-INS-055A RAW SC'!CD105="","",'Midterm OVPAA-F-INS-055A RAW SC'!CD105/'Midterm OVPAA-F-INS-055A RAW SC'!CD$17*100)</f>
        <v/>
      </c>
      <c r="CG105" s="130" t="str">
        <f>IF('Midterm OVPAA-F-INS-055A RAW SC'!CE105="","",'Midterm OVPAA-F-INS-055A RAW SC'!CE105/'Midterm OVPAA-F-INS-055A RAW SC'!CE$17*100)</f>
        <v/>
      </c>
      <c r="CH105" s="130" t="str">
        <f>IF('Midterm OVPAA-F-INS-055A RAW SC'!CF105="","",'Midterm OVPAA-F-INS-055A RAW SC'!CF105/'Midterm OVPAA-F-INS-055A RAW SC'!CF$17*100)</f>
        <v/>
      </c>
      <c r="CI105" s="130" t="str">
        <f>IF('Midterm OVPAA-F-INS-055A RAW SC'!CG105="","",'Midterm OVPAA-F-INS-055A RAW SC'!CG105/'Midterm OVPAA-F-INS-055A RAW SC'!CG$17*100)</f>
        <v/>
      </c>
      <c r="CJ105" s="130" t="str">
        <f>IF('Midterm OVPAA-F-INS-055A RAW SC'!CH105="","",'Midterm OVPAA-F-INS-055A RAW SC'!CH105/'Midterm OVPAA-F-INS-055A RAW SC'!CH$17*100)</f>
        <v/>
      </c>
      <c r="CK105" s="130" t="str">
        <f>IF('Midterm OVPAA-F-INS-055A RAW SC'!CI105="","",'Midterm OVPAA-F-INS-055A RAW SC'!CI105/'Midterm OVPAA-F-INS-055A RAW SC'!CI$17*100)</f>
        <v/>
      </c>
      <c r="CL105" s="130" t="str">
        <f>IF('Midterm OVPAA-F-INS-055A RAW SC'!CJ105="","",'Midterm OVPAA-F-INS-055A RAW SC'!CJ105/'Midterm OVPAA-F-INS-055A RAW SC'!CJ$17*100)</f>
        <v/>
      </c>
      <c r="CM105" s="130" t="str">
        <f>IF('Midterm OVPAA-F-INS-055A RAW SC'!CK105="","",'Midterm OVPAA-F-INS-055A RAW SC'!CK105/'Midterm OVPAA-F-INS-055A RAW SC'!CK$17*100)</f>
        <v/>
      </c>
      <c r="CN105" s="130" t="str">
        <f>IF('Midterm OVPAA-F-INS-055A RAW SC'!CL105="","",'Midterm OVPAA-F-INS-055A RAW SC'!CL105/'Midterm OVPAA-F-INS-055A RAW SC'!CL$17*100)</f>
        <v/>
      </c>
      <c r="CO105" s="130" t="str">
        <f>IF('Midterm OVPAA-F-INS-055A RAW SC'!CM105="","",'Midterm OVPAA-F-INS-055A RAW SC'!CM105/'Midterm OVPAA-F-INS-055A RAW SC'!CM$17*100)</f>
        <v/>
      </c>
      <c r="CP105" s="130" t="str">
        <f>IF('Midterm OVPAA-F-INS-055A RAW SC'!CN105="","",'Midterm OVPAA-F-INS-055A RAW SC'!CN105/'Midterm OVPAA-F-INS-055A RAW SC'!CN$17*100)</f>
        <v/>
      </c>
      <c r="CQ105" s="131" t="str">
        <f t="array" ref="CQ105">IF('Midterm OVPAA-F-INS-055A RAW SC'!G105="","",IF((SUMPRODUCT(--ISBLANK('Midterm OVPAA-F-INS-055A RAW SC'!BU105:CN105))=COLUMNS('Midterm OVPAA-F-INS-055A RAW SC'!BU105:CN105))=TRUE,"",(((COUNTA('Midterm OVPAA-F-INS-055A RAW SC'!$BU$17:$CN$17)+COUNTBLANK('Midterm OVPAA-F-INS-055A RAW SC'!BU105:CN105))-COLUMNS('Midterm OVPAA-F-INS-055A RAW SC'!BU105:CN105))*5+SUM(BW105:CP105))/COUNTA('Midterm OVPAA-F-INS-055A RAW SC'!$BU$17:$CN$17)))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IF('Midterm OVPAA-F-INS-055A RAW SC'!CO105="","",'Midterm OVPAA-F-INS-055A RAW SC'!CO105/'Midterm OVPAA-F-INS-055A RAW SC'!CO$17*100)</f>
        <v/>
      </c>
      <c r="CT105" s="133" t="str">
        <f>IF('Midterm OVPAA-F-INS-055A RAW SC'!CP105="","",'Midterm OVPAA-F-INS-055A RAW SC'!CP105/'Midterm OVPAA-F-INS-055A RAW SC'!CP$17*100)</f>
        <v/>
      </c>
      <c r="CU105" s="133" t="str">
        <f>IF('Midterm OVPAA-F-INS-055A RAW SC'!CQ105="","",'Midterm OVPAA-F-INS-055A RAW SC'!CQ105/'Midterm OVPAA-F-INS-055A RAW SC'!CQ$17*100)</f>
        <v/>
      </c>
      <c r="CV105" s="133" t="str">
        <f>IF('Midterm OVPAA-F-INS-055A RAW SC'!CR105="","",'Midterm OVPAA-F-INS-055A RAW SC'!CR105/'Midterm OVPAA-F-INS-055A RAW SC'!CR$17*100)</f>
        <v/>
      </c>
      <c r="CW105" s="133" t="str">
        <f>IF('Midterm OVPAA-F-INS-055A RAW SC'!CS105="","",'Midterm OVPAA-F-INS-055A RAW SC'!CS105/'Midterm OVPAA-F-INS-055A RAW SC'!CS$17*100)</f>
        <v/>
      </c>
      <c r="CX105" s="133" t="str">
        <f>IF('Midterm OVPAA-F-INS-055A RAW SC'!CT105="","",'Midterm OVPAA-F-INS-055A RAW SC'!CT105/'Midterm OVPAA-F-INS-055A RAW SC'!CT$17*100)</f>
        <v/>
      </c>
      <c r="CY105" s="133" t="str">
        <f>IF('Midterm OVPAA-F-INS-055A RAW SC'!CU105="","",'Midterm OVPAA-F-INS-055A RAW SC'!CU105/'Midterm OVPAA-F-INS-055A RAW SC'!CU$17*100)</f>
        <v/>
      </c>
      <c r="CZ105" s="133" t="str">
        <f>IF('Midterm OVPAA-F-INS-055A RAW SC'!CV105="","",'Midterm OVPAA-F-INS-055A RAW SC'!CV105/'Midterm OVPAA-F-INS-055A RAW SC'!CV$17*100)</f>
        <v/>
      </c>
      <c r="DA105" s="133" t="str">
        <f>IF('Midterm OVPAA-F-INS-055A RAW SC'!CW105="","",'Midterm OVPAA-F-INS-055A RAW SC'!CW105/'Midterm OVPAA-F-INS-055A RAW SC'!CW$17*100)</f>
        <v/>
      </c>
      <c r="DB105" s="133" t="str">
        <f>IF('Midterm OVPAA-F-INS-055A RAW SC'!CX105="","",'Midterm OVPAA-F-INS-055A RAW SC'!CX105/'Midterm OVPAA-F-INS-055A RAW SC'!CX$17*100)</f>
        <v/>
      </c>
      <c r="DC105" s="134" t="str">
        <f t="array" ref="DC105">IF('Midterm OVPAA-F-INS-055A RAW SC'!$G105="","",IF((SUMPRODUCT(--ISBLANK('Midterm OVPAA-F-INS-055A RAW SC'!CO105:CX105))=COLUMNS('Midterm OVPAA-F-INS-055A RAW SC'!CO105:CX105))=TRUE,"",(((COUNTA('Midterm OVPAA-F-INS-055A RAW SC'!$CO$17:$CX$17)+COUNTBLANK('Midterm OVPAA-F-INS-055A RAW SC'!CO105:CX105))-COLUMNS('Midterm OVPAA-F-INS-055A RAW SC'!CO105:CX105))*5+SUM(CS105:DB105))/COUNTA('Midterm OVPAA-F-INS-055A RAW SC'!$CO$17:$CX$17)))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37" t="str">
        <f t="shared" si="2"/>
        <v/>
      </c>
      <c r="DG105" s="138" t="str">
        <f t="shared" si="3"/>
        <v/>
      </c>
      <c r="DH105" s="136" t="str">
        <f t="shared" si="4"/>
        <v/>
      </c>
      <c r="DI105" s="123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IF('Midterm OVPAA-F-INS-055A RAW SC'!H106="","",'Midterm OVPAA-F-INS-055A RAW SC'!H106/'Midterm OVPAA-F-INS-055A RAW SC'!H$17*100)</f>
        <v/>
      </c>
      <c r="I106" s="126" t="str">
        <f>IF('Midterm OVPAA-F-INS-055A RAW SC'!I106="","",'Midterm OVPAA-F-INS-055A RAW SC'!I106/'Midterm OVPAA-F-INS-055A RAW SC'!I$17*100)</f>
        <v/>
      </c>
      <c r="J106" s="126" t="str">
        <f>IF('Midterm OVPAA-F-INS-055A RAW SC'!J106="","",'Midterm OVPAA-F-INS-055A RAW SC'!J106/'Midterm OVPAA-F-INS-055A RAW SC'!J$17*100)</f>
        <v/>
      </c>
      <c r="K106" s="126" t="str">
        <f>IF('Midterm OVPAA-F-INS-055A RAW SC'!K106="","",'Midterm OVPAA-F-INS-055A RAW SC'!K106/'Midterm OVPAA-F-INS-055A RAW SC'!K$17*100)</f>
        <v/>
      </c>
      <c r="L106" s="126" t="str">
        <f>IF('Midterm OVPAA-F-INS-055A RAW SC'!L106="","",'Midterm OVPAA-F-INS-055A RAW SC'!L106/'Midterm OVPAA-F-INS-055A RAW SC'!L$17*100)</f>
        <v/>
      </c>
      <c r="M106" s="126" t="str">
        <f>IF('Midterm OVPAA-F-INS-055A RAW SC'!M106="","",'Midterm OVPAA-F-INS-055A RAW SC'!M106/'Midterm OVPAA-F-INS-055A RAW SC'!M$17*100)</f>
        <v/>
      </c>
      <c r="N106" s="126" t="str">
        <f>IF('Midterm OVPAA-F-INS-055A RAW SC'!N106="","",'Midterm OVPAA-F-INS-055A RAW SC'!N106/'Midterm OVPAA-F-INS-055A RAW SC'!N$17*100)</f>
        <v/>
      </c>
      <c r="O106" s="126" t="str">
        <f>IF('Midterm OVPAA-F-INS-055A RAW SC'!O106="","",'Midterm OVPAA-F-INS-055A RAW SC'!O106/'Midterm OVPAA-F-INS-055A RAW SC'!O$17*100)</f>
        <v/>
      </c>
      <c r="P106" s="126" t="str">
        <f>IF('Midterm OVPAA-F-INS-055A RAW SC'!P106="","",'Midterm OVPAA-F-INS-055A RAW SC'!P106/'Midterm OVPAA-F-INS-055A RAW SC'!P$17*100)</f>
        <v/>
      </c>
      <c r="Q106" s="126" t="str">
        <f>IF('Midterm OVPAA-F-INS-055A RAW SC'!Q106="","",'Midterm OVPAA-F-INS-055A RAW SC'!Q106/'Midterm OVPAA-F-INS-055A RAW SC'!Q$17*100)</f>
        <v/>
      </c>
      <c r="R106" s="126" t="str">
        <f>IF('Midterm OVPAA-F-INS-055A RAW SC'!R106="","",'Midterm OVPAA-F-INS-055A RAW SC'!R106/'Midterm OVPAA-F-INS-055A RAW SC'!R$17*100)</f>
        <v/>
      </c>
      <c r="S106" s="126" t="str">
        <f>IF('Midterm OVPAA-F-INS-055A RAW SC'!S106="","",'Midterm OVPAA-F-INS-055A RAW SC'!S106/'Midterm OVPAA-F-INS-055A RAW SC'!S$17*100)</f>
        <v/>
      </c>
      <c r="T106" s="126" t="str">
        <f>IF('Midterm OVPAA-F-INS-055A RAW SC'!T106="","",'Midterm OVPAA-F-INS-055A RAW SC'!T106/'Midterm OVPAA-F-INS-055A RAW SC'!T$17*100)</f>
        <v/>
      </c>
      <c r="U106" s="126" t="str">
        <f>IF('Midterm OVPAA-F-INS-055A RAW SC'!U106="","",'Midterm OVPAA-F-INS-055A RAW SC'!U106/'Midterm OVPAA-F-INS-055A RAW SC'!U$17*100)</f>
        <v/>
      </c>
      <c r="V106" s="126" t="str">
        <f>IF('Midterm OVPAA-F-INS-055A RAW SC'!V106="","",'Midterm OVPAA-F-INS-055A RAW SC'!V106/'Midterm OVPAA-F-INS-055A RAW SC'!V$17*100)</f>
        <v/>
      </c>
      <c r="W106" s="126" t="str">
        <f>IF('Midterm OVPAA-F-INS-055A RAW SC'!W106="","",'Midterm OVPAA-F-INS-055A RAW SC'!W106/'Midterm OVPAA-F-INS-055A RAW SC'!W$17*100)</f>
        <v/>
      </c>
      <c r="X106" s="126" t="str">
        <f>IF('Midterm OVPAA-F-INS-055A RAW SC'!X106="","",'Midterm OVPAA-F-INS-055A RAW SC'!X106/'Midterm OVPAA-F-INS-055A RAW SC'!X$17*100)</f>
        <v/>
      </c>
      <c r="Y106" s="126" t="str">
        <f>IF('Midterm OVPAA-F-INS-055A RAW SC'!Y106="","",'Midterm OVPAA-F-INS-055A RAW SC'!Y106/'Midterm OVPAA-F-INS-055A RAW SC'!Y$17*100)</f>
        <v/>
      </c>
      <c r="Z106" s="126" t="str">
        <f>IF('Midterm OVPAA-F-INS-055A RAW SC'!Z106="","",'Midterm OVPAA-F-INS-055A RAW SC'!Z106/'Midterm OVPAA-F-INS-055A RAW SC'!Z$17*100)</f>
        <v/>
      </c>
      <c r="AA106" s="126" t="str">
        <f>IF('Midterm OVPAA-F-INS-055A RAW SC'!AA106="","",'Midterm OVPAA-F-INS-055A RAW SC'!AA106/'Midterm OVPAA-F-INS-055A RAW SC'!AA$17*100)</f>
        <v/>
      </c>
      <c r="AB106" s="126" t="str">
        <f>IF('Midterm OVPAA-F-INS-055A RAW SC'!AB106="","",'Midterm OVPAA-F-INS-055A RAW SC'!AB106/'Midterm OVPAA-F-INS-055A RAW SC'!AB$17*100)</f>
        <v/>
      </c>
      <c r="AC106" s="126" t="str">
        <f>IF('Midterm OVPAA-F-INS-055A RAW SC'!AC106="","",'Midterm OVPAA-F-INS-055A RAW SC'!AC106/'Midterm OVPAA-F-INS-055A RAW SC'!AC$17*100)</f>
        <v/>
      </c>
      <c r="AD106" s="126" t="str">
        <f>IF('Midterm OVPAA-F-INS-055A RAW SC'!AD106="","",'Midterm OVPAA-F-INS-055A RAW SC'!AD106/'Midterm OVPAA-F-INS-055A RAW SC'!AD$17*100)</f>
        <v/>
      </c>
      <c r="AE106" s="126" t="str">
        <f>IF('Midterm OVPAA-F-INS-055A RAW SC'!AE106="","",'Midterm OVPAA-F-INS-055A RAW SC'!AE106/'Midterm OVPAA-F-INS-055A RAW SC'!AE$17*100)</f>
        <v/>
      </c>
      <c r="AF106" s="126" t="str">
        <f>IF('Midterm OVPAA-F-INS-055A RAW SC'!AF106="","",'Midterm OVPAA-F-INS-055A RAW SC'!AF106/'Midterm OVPAA-F-INS-055A RAW SC'!AF$17*100)</f>
        <v/>
      </c>
      <c r="AG106" s="126" t="str">
        <f>IF('Midterm OVPAA-F-INS-055A RAW SC'!AG106="","",'Midterm OVPAA-F-INS-055A RAW SC'!AG106/'Midterm OVPAA-F-INS-055A RAW SC'!AG$17*100)</f>
        <v/>
      </c>
      <c r="AH106" s="126" t="str">
        <f>IF('Midterm OVPAA-F-INS-055A RAW SC'!AH106="","",'Midterm OVPAA-F-INS-055A RAW SC'!AH106/'Midterm OVPAA-F-INS-055A RAW SC'!AH$17*100)</f>
        <v/>
      </c>
      <c r="AI106" s="126" t="str">
        <f>IF('Midterm OVPAA-F-INS-055A RAW SC'!AI106="","",'Midterm OVPAA-F-INS-055A RAW SC'!AI106/'Midterm OVPAA-F-INS-055A RAW SC'!AI$17*100)</f>
        <v/>
      </c>
      <c r="AJ106" s="126" t="str">
        <f>IF('Midterm OVPAA-F-INS-055A RAW SC'!AJ106="","",'Midterm OVPAA-F-INS-055A RAW SC'!AJ106/'Midterm OVPAA-F-INS-055A RAW SC'!AJ$17*100)</f>
        <v/>
      </c>
      <c r="AK106" s="126" t="str">
        <f>IF('Midterm OVPAA-F-INS-055A RAW SC'!AK106="","",'Midterm OVPAA-F-INS-055A RAW SC'!AK106/'Midterm OVPAA-F-INS-055A RAW SC'!AK$17*100)</f>
        <v/>
      </c>
      <c r="AL106" s="126" t="str">
        <f>IF('Midterm OVPAA-F-INS-055A RAW SC'!AL106="","",'Midterm OVPAA-F-INS-055A RAW SC'!AL106/'Midterm OVPAA-F-INS-055A RAW SC'!AL$17*100)</f>
        <v/>
      </c>
      <c r="AM106" s="126" t="str">
        <f>IF('Midterm OVPAA-F-INS-055A RAW SC'!AM106="","",'Midterm OVPAA-F-INS-055A RAW SC'!AM106/'Midterm OVPAA-F-INS-055A RAW SC'!AM$17*100)</f>
        <v/>
      </c>
      <c r="AN106" s="126" t="str">
        <f>IF('Midterm OVPAA-F-INS-055A RAW SC'!AN106="","",'Midterm OVPAA-F-INS-055A RAW SC'!AN106/'Midterm OVPAA-F-INS-055A RAW SC'!AN$17*100)</f>
        <v/>
      </c>
      <c r="AO106" s="126" t="str">
        <f>IF('Midterm OVPAA-F-INS-055A RAW SC'!AO106="","",'Midterm OVPAA-F-INS-055A RAW SC'!AO106/'Midterm OVPAA-F-INS-055A RAW SC'!AO$17*100)</f>
        <v/>
      </c>
      <c r="AP106" s="126" t="str">
        <f>IF('Midterm OVPAA-F-INS-055A RAW SC'!AP106="","",'Midterm OVPAA-F-INS-055A RAW SC'!AP106/'Midterm OVPAA-F-INS-055A RAW SC'!AP$17*100)</f>
        <v/>
      </c>
      <c r="AQ106" s="126" t="str">
        <f>IF('Midterm OVPAA-F-INS-055A RAW SC'!AQ106="","",'Midterm OVPAA-F-INS-055A RAW SC'!AQ106/'Midterm OVPAA-F-INS-055A RAW SC'!AQ$17*100)</f>
        <v/>
      </c>
      <c r="AR106" s="126" t="str">
        <f>IF('Midterm OVPAA-F-INS-055A RAW SC'!AR106="","",'Midterm OVPAA-F-INS-055A RAW SC'!AR106/'Midterm OVPAA-F-INS-055A RAW SC'!AR$17*100)</f>
        <v/>
      </c>
      <c r="AS106" s="126" t="str">
        <f>IF('Midterm OVPAA-F-INS-055A RAW SC'!AS106="","",'Midterm OVPAA-F-INS-055A RAW SC'!AS106/'Midterm OVPAA-F-INS-055A RAW SC'!AS$17*100)</f>
        <v/>
      </c>
      <c r="AT106" s="126" t="str">
        <f>IF('Midterm OVPAA-F-INS-055A RAW SC'!AT106="","",'Midterm OVPAA-F-INS-055A RAW SC'!AT106/'Midterm OVPAA-F-INS-055A RAW SC'!AT$17*100)</f>
        <v/>
      </c>
      <c r="AU106" s="126" t="str">
        <f>IF('Midterm OVPAA-F-INS-055A RAW SC'!AU106="","",'Midterm OVPAA-F-INS-055A RAW SC'!AU106/'Midterm OVPAA-F-INS-055A RAW SC'!AU$17*100)</f>
        <v/>
      </c>
      <c r="AV106" s="126" t="str">
        <f>IF('Midterm OVPAA-F-INS-055A RAW SC'!AV106="","",'Midterm OVPAA-F-INS-055A RAW SC'!AV106/'Midterm OVPAA-F-INS-055A RAW SC'!AV$17*100)</f>
        <v/>
      </c>
      <c r="AW106" s="126" t="str">
        <f>IF('Midterm OVPAA-F-INS-055A RAW SC'!AW106="","",'Midterm OVPAA-F-INS-055A RAW SC'!AW106/'Midterm OVPAA-F-INS-055A RAW SC'!AW$17*100)</f>
        <v/>
      </c>
      <c r="AX106" s="126" t="str">
        <f>IF('Midterm OVPAA-F-INS-055A RAW SC'!AX106="","",'Midterm OVPAA-F-INS-055A RAW SC'!AX106/'Midterm OVPAA-F-INS-055A RAW SC'!AX$17*100)</f>
        <v/>
      </c>
      <c r="AY106" s="126" t="str">
        <f>IF('Midterm OVPAA-F-INS-055A RAW SC'!AY106="","",'Midterm OVPAA-F-INS-055A RAW SC'!AY106/'Midterm OVPAA-F-INS-055A RAW SC'!AY$17*100)</f>
        <v/>
      </c>
      <c r="AZ106" s="126" t="str">
        <f>IF('Midterm OVPAA-F-INS-055A RAW SC'!AZ106="","",'Midterm OVPAA-F-INS-055A RAW SC'!AZ106/'Midterm OVPAA-F-INS-055A RAW SC'!AZ$17*100)</f>
        <v/>
      </c>
      <c r="BA106" s="126" t="str">
        <f>IF('Midterm OVPAA-F-INS-055A RAW SC'!BA106="","",'Midterm OVPAA-F-INS-055A RAW SC'!BA106/'Midterm OVPAA-F-INS-055A RAW SC'!BA$17*100)</f>
        <v/>
      </c>
      <c r="BB106" s="126" t="str">
        <f>IF('Midterm OVPAA-F-INS-055A RAW SC'!BB106="","",'Midterm OVPAA-F-INS-055A RAW SC'!BB106/'Midterm OVPAA-F-INS-055A RAW SC'!BB$17*100)</f>
        <v/>
      </c>
      <c r="BC106" s="126" t="str">
        <f>IF('Midterm OVPAA-F-INS-055A RAW SC'!BC106="","",'Midterm OVPAA-F-INS-055A RAW SC'!BC106/'Midterm OVPAA-F-INS-055A RAW SC'!BC$17*100)</f>
        <v/>
      </c>
      <c r="BD106" s="126" t="str">
        <f>IF('Midterm OVPAA-F-INS-055A RAW SC'!BD106="","",'Midterm OVPAA-F-INS-055A RAW SC'!BD106/'Midterm OVPAA-F-INS-055A RAW SC'!BD$17*100)</f>
        <v/>
      </c>
      <c r="BE106" s="126" t="str">
        <f>IF('Midterm OVPAA-F-INS-055A RAW SC'!BE106="","",'Midterm OVPAA-F-INS-055A RAW SC'!BE106/'Midterm OVPAA-F-INS-055A RAW SC'!BE$17*100)</f>
        <v/>
      </c>
      <c r="BF106" s="126" t="str">
        <f>IF('Midterm OVPAA-F-INS-055A RAW SC'!BF106="","",'Midterm OVPAA-F-INS-055A RAW SC'!BF106/'Midterm OVPAA-F-INS-055A RAW SC'!BF$17*100)</f>
        <v/>
      </c>
      <c r="BG106" s="126" t="str">
        <f>IF('Midterm OVPAA-F-INS-055A RAW SC'!BG106="","",'Midterm OVPAA-F-INS-055A RAW SC'!BG106/'Midterm OVPAA-F-INS-055A RAW SC'!BG$17*100)</f>
        <v/>
      </c>
      <c r="BH106" s="126" t="str">
        <f>IF('Midterm OVPAA-F-INS-055A RAW SC'!BH106="","",'Midterm OVPAA-F-INS-055A RAW SC'!BH106/'Midterm OVPAA-F-INS-055A RAW SC'!BH$17*100)</f>
        <v/>
      </c>
      <c r="BI106" s="126" t="str">
        <f>IF('Midterm OVPAA-F-INS-055A RAW SC'!BI106="","",'Midterm OVPAA-F-INS-055A RAW SC'!BI106/'Midterm OVPAA-F-INS-055A RAW SC'!BI$17*100)</f>
        <v/>
      </c>
      <c r="BJ106" s="126" t="str">
        <f>IF('Midterm OVPAA-F-INS-055A RAW SC'!BJ106="","",'Midterm OVPAA-F-INS-055A RAW SC'!BJ106/'Midterm OVPAA-F-INS-055A RAW SC'!BJ$17*100)</f>
        <v/>
      </c>
      <c r="BK106" s="126" t="str">
        <f>IF('Midterm OVPAA-F-INS-055A RAW SC'!BK106="","",'Midterm OVPAA-F-INS-055A RAW SC'!BK106/'Midterm OVPAA-F-INS-055A RAW SC'!BK$17*100)</f>
        <v/>
      </c>
      <c r="BL106" s="126" t="str">
        <f>IF('Midterm OVPAA-F-INS-055A RAW SC'!BL106="","",'Midterm OVPAA-F-INS-055A RAW SC'!BL106/'Midterm OVPAA-F-INS-055A RAW SC'!BL$17*100)</f>
        <v/>
      </c>
      <c r="BM106" s="126" t="str">
        <f>IF('Midterm OVPAA-F-INS-055A RAW SC'!BM106="","",'Midterm OVPAA-F-INS-055A RAW SC'!BM106/'Midterm OVPAA-F-INS-055A RAW SC'!BM$17*100)</f>
        <v/>
      </c>
      <c r="BN106" s="126" t="str">
        <f>IF('Midterm OVPAA-F-INS-055A RAW SC'!BN106="","",'Midterm OVPAA-F-INS-055A RAW SC'!BN106/'Midterm OVPAA-F-INS-055A RAW SC'!BN$17*100)</f>
        <v/>
      </c>
      <c r="BO106" s="126" t="str">
        <f>IF('Midterm OVPAA-F-INS-055A RAW SC'!BO106="","",'Midterm OVPAA-F-INS-055A RAW SC'!BO106/'Midterm OVPAA-F-INS-055A RAW SC'!BO$17*100)</f>
        <v/>
      </c>
      <c r="BP106" s="126" t="str">
        <f>IF('Midterm OVPAA-F-INS-055A RAW SC'!BP106="","",'Midterm OVPAA-F-INS-055A RAW SC'!BP106/'Midterm OVPAA-F-INS-055A RAW SC'!BP$17*100)</f>
        <v/>
      </c>
      <c r="BQ106" s="126" t="str">
        <f>IF('Midterm OVPAA-F-INS-055A RAW SC'!BQ106="","",'Midterm OVPAA-F-INS-055A RAW SC'!BQ106/'Midterm OVPAA-F-INS-055A RAW SC'!BQ$17*100)</f>
        <v/>
      </c>
      <c r="BR106" s="126" t="str">
        <f>IF('Midterm OVPAA-F-INS-055A RAW SC'!BR106="","",'Midterm OVPAA-F-INS-055A RAW SC'!BR106/'Midterm OVPAA-F-INS-055A RAW SC'!BR$17*100)</f>
        <v/>
      </c>
      <c r="BS106" s="126" t="str">
        <f>IF('Midterm OVPAA-F-INS-055A RAW SC'!BS106="","",'Midterm OVPAA-F-INS-055A RAW SC'!BS106/'Midterm OVPAA-F-INS-055A RAW SC'!BS$17*100)</f>
        <v/>
      </c>
      <c r="BT106" s="126" t="str">
        <f>IF('Midterm OVPAA-F-INS-055A RAW SC'!BT106="","",'Midterm OVPAA-F-INS-055A RAW SC'!BT106/'Midterm OVPAA-F-INS-055A RAW SC'!BT$17*100)</f>
        <v/>
      </c>
      <c r="BU106" s="127" t="str">
        <f t="array" ref="BU106">IF('Midterm OVPAA-F-INS-055A RAW SC'!$G106="","",IF((SUMPRODUCT(--ISBLANK('Midterm OVPAA-F-INS-055A RAW SC'!H106:BT106))=COLUMNS('Midterm OVPAA-F-INS-055A RAW SC'!H106:BT106))=TRUE,"",(((COUNTA('Midterm OVPAA-F-INS-055A RAW SC'!$H$17:$BT$17)+COUNTBLANK('Midterm OVPAA-F-INS-055A RAW SC'!H106:BT106))-COLUMNS('Midterm OVPAA-F-INS-055A RAW SC'!H106:BT106))*5+SUM(H106:BT106))/COUNTA('Midterm OVPAA-F-INS-055A RAW SC'!$H$17:$BT$17)))</f>
        <v/>
      </c>
      <c r="BV106" s="128" t="str">
        <f>IF(BU106="","",VLOOKUP(BU106,IF('Midterm OVPAA-F-INS-055A RAW SC'!$V$12=0.5,TRANSMUTATION!$C$4:$D$17,TRANSMUTATION!$G$4:$H$17),2,TRUE))</f>
        <v/>
      </c>
      <c r="BW106" s="129" t="str">
        <f>IF('Midterm OVPAA-F-INS-055A RAW SC'!BU106="","",'Midterm OVPAA-F-INS-055A RAW SC'!BU106/'Midterm OVPAA-F-INS-055A RAW SC'!BU$17*100)</f>
        <v/>
      </c>
      <c r="BX106" s="130" t="str">
        <f>IF('Midterm OVPAA-F-INS-055A RAW SC'!BV106="","",'Midterm OVPAA-F-INS-055A RAW SC'!BV106/'Midterm OVPAA-F-INS-055A RAW SC'!BV$17*100)</f>
        <v/>
      </c>
      <c r="BY106" s="130" t="str">
        <f>IF('Midterm OVPAA-F-INS-055A RAW SC'!BW106="","",'Midterm OVPAA-F-INS-055A RAW SC'!BW106/'Midterm OVPAA-F-INS-055A RAW SC'!BW$17*100)</f>
        <v/>
      </c>
      <c r="BZ106" s="130" t="str">
        <f>IF('Midterm OVPAA-F-INS-055A RAW SC'!BX106="","",'Midterm OVPAA-F-INS-055A RAW SC'!BX106/'Midterm OVPAA-F-INS-055A RAW SC'!BX$17*100)</f>
        <v/>
      </c>
      <c r="CA106" s="130" t="str">
        <f>IF('Midterm OVPAA-F-INS-055A RAW SC'!BY106="","",'Midterm OVPAA-F-INS-055A RAW SC'!BY106/'Midterm OVPAA-F-INS-055A RAW SC'!BY$17*100)</f>
        <v/>
      </c>
      <c r="CB106" s="130" t="str">
        <f>IF('Midterm OVPAA-F-INS-055A RAW SC'!BZ106="","",'Midterm OVPAA-F-INS-055A RAW SC'!BZ106/'Midterm OVPAA-F-INS-055A RAW SC'!BZ$17*100)</f>
        <v/>
      </c>
      <c r="CC106" s="130" t="str">
        <f>IF('Midterm OVPAA-F-INS-055A RAW SC'!CA106="","",'Midterm OVPAA-F-INS-055A RAW SC'!CA106/'Midterm OVPAA-F-INS-055A RAW SC'!CA$17*100)</f>
        <v/>
      </c>
      <c r="CD106" s="130" t="str">
        <f>IF('Midterm OVPAA-F-INS-055A RAW SC'!CB106="","",'Midterm OVPAA-F-INS-055A RAW SC'!CB106/'Midterm OVPAA-F-INS-055A RAW SC'!CB$17*100)</f>
        <v/>
      </c>
      <c r="CE106" s="130" t="str">
        <f>IF('Midterm OVPAA-F-INS-055A RAW SC'!CC106="","",'Midterm OVPAA-F-INS-055A RAW SC'!CC106/'Midterm OVPAA-F-INS-055A RAW SC'!CC$17*100)</f>
        <v/>
      </c>
      <c r="CF106" s="130" t="str">
        <f>IF('Midterm OVPAA-F-INS-055A RAW SC'!CD106="","",'Midterm OVPAA-F-INS-055A RAW SC'!CD106/'Midterm OVPAA-F-INS-055A RAW SC'!CD$17*100)</f>
        <v/>
      </c>
      <c r="CG106" s="130" t="str">
        <f>IF('Midterm OVPAA-F-INS-055A RAW SC'!CE106="","",'Midterm OVPAA-F-INS-055A RAW SC'!CE106/'Midterm OVPAA-F-INS-055A RAW SC'!CE$17*100)</f>
        <v/>
      </c>
      <c r="CH106" s="130" t="str">
        <f>IF('Midterm OVPAA-F-INS-055A RAW SC'!CF106="","",'Midterm OVPAA-F-INS-055A RAW SC'!CF106/'Midterm OVPAA-F-INS-055A RAW SC'!CF$17*100)</f>
        <v/>
      </c>
      <c r="CI106" s="130" t="str">
        <f>IF('Midterm OVPAA-F-INS-055A RAW SC'!CG106="","",'Midterm OVPAA-F-INS-055A RAW SC'!CG106/'Midterm OVPAA-F-INS-055A RAW SC'!CG$17*100)</f>
        <v/>
      </c>
      <c r="CJ106" s="130" t="str">
        <f>IF('Midterm OVPAA-F-INS-055A RAW SC'!CH106="","",'Midterm OVPAA-F-INS-055A RAW SC'!CH106/'Midterm OVPAA-F-INS-055A RAW SC'!CH$17*100)</f>
        <v/>
      </c>
      <c r="CK106" s="130" t="str">
        <f>IF('Midterm OVPAA-F-INS-055A RAW SC'!CI106="","",'Midterm OVPAA-F-INS-055A RAW SC'!CI106/'Midterm OVPAA-F-INS-055A RAW SC'!CI$17*100)</f>
        <v/>
      </c>
      <c r="CL106" s="130" t="str">
        <f>IF('Midterm OVPAA-F-INS-055A RAW SC'!CJ106="","",'Midterm OVPAA-F-INS-055A RAW SC'!CJ106/'Midterm OVPAA-F-INS-055A RAW SC'!CJ$17*100)</f>
        <v/>
      </c>
      <c r="CM106" s="130" t="str">
        <f>IF('Midterm OVPAA-F-INS-055A RAW SC'!CK106="","",'Midterm OVPAA-F-INS-055A RAW SC'!CK106/'Midterm OVPAA-F-INS-055A RAW SC'!CK$17*100)</f>
        <v/>
      </c>
      <c r="CN106" s="130" t="str">
        <f>IF('Midterm OVPAA-F-INS-055A RAW SC'!CL106="","",'Midterm OVPAA-F-INS-055A RAW SC'!CL106/'Midterm OVPAA-F-INS-055A RAW SC'!CL$17*100)</f>
        <v/>
      </c>
      <c r="CO106" s="130" t="str">
        <f>IF('Midterm OVPAA-F-INS-055A RAW SC'!CM106="","",'Midterm OVPAA-F-INS-055A RAW SC'!CM106/'Midterm OVPAA-F-INS-055A RAW SC'!CM$17*100)</f>
        <v/>
      </c>
      <c r="CP106" s="130" t="str">
        <f>IF('Midterm OVPAA-F-INS-055A RAW SC'!CN106="","",'Midterm OVPAA-F-INS-055A RAW SC'!CN106/'Midterm OVPAA-F-INS-055A RAW SC'!CN$17*100)</f>
        <v/>
      </c>
      <c r="CQ106" s="131" t="str">
        <f t="array" ref="CQ106">IF('Midterm OVPAA-F-INS-055A RAW SC'!G106="","",IF((SUMPRODUCT(--ISBLANK('Midterm OVPAA-F-INS-055A RAW SC'!BU106:CN106))=COLUMNS('Midterm OVPAA-F-INS-055A RAW SC'!BU106:CN106))=TRUE,"",(((COUNTA('Midterm OVPAA-F-INS-055A RAW SC'!$BU$17:$CN$17)+COUNTBLANK('Midterm OVPAA-F-INS-055A RAW SC'!BU106:CN106))-COLUMNS('Midterm OVPAA-F-INS-055A RAW SC'!BU106:CN106))*5+SUM(BW106:CP106))/COUNTA('Midterm OVPAA-F-INS-055A RAW SC'!$BU$17:$CN$17)))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IF('Midterm OVPAA-F-INS-055A RAW SC'!CO106="","",'Midterm OVPAA-F-INS-055A RAW SC'!CO106/'Midterm OVPAA-F-INS-055A RAW SC'!CO$17*100)</f>
        <v/>
      </c>
      <c r="CT106" s="133" t="str">
        <f>IF('Midterm OVPAA-F-INS-055A RAW SC'!CP106="","",'Midterm OVPAA-F-INS-055A RAW SC'!CP106/'Midterm OVPAA-F-INS-055A RAW SC'!CP$17*100)</f>
        <v/>
      </c>
      <c r="CU106" s="133" t="str">
        <f>IF('Midterm OVPAA-F-INS-055A RAW SC'!CQ106="","",'Midterm OVPAA-F-INS-055A RAW SC'!CQ106/'Midterm OVPAA-F-INS-055A RAW SC'!CQ$17*100)</f>
        <v/>
      </c>
      <c r="CV106" s="133" t="str">
        <f>IF('Midterm OVPAA-F-INS-055A RAW SC'!CR106="","",'Midterm OVPAA-F-INS-055A RAW SC'!CR106/'Midterm OVPAA-F-INS-055A RAW SC'!CR$17*100)</f>
        <v/>
      </c>
      <c r="CW106" s="133" t="str">
        <f>IF('Midterm OVPAA-F-INS-055A RAW SC'!CS106="","",'Midterm OVPAA-F-INS-055A RAW SC'!CS106/'Midterm OVPAA-F-INS-055A RAW SC'!CS$17*100)</f>
        <v/>
      </c>
      <c r="CX106" s="133" t="str">
        <f>IF('Midterm OVPAA-F-INS-055A RAW SC'!CT106="","",'Midterm OVPAA-F-INS-055A RAW SC'!CT106/'Midterm OVPAA-F-INS-055A RAW SC'!CT$17*100)</f>
        <v/>
      </c>
      <c r="CY106" s="133" t="str">
        <f>IF('Midterm OVPAA-F-INS-055A RAW SC'!CU106="","",'Midterm OVPAA-F-INS-055A RAW SC'!CU106/'Midterm OVPAA-F-INS-055A RAW SC'!CU$17*100)</f>
        <v/>
      </c>
      <c r="CZ106" s="133" t="str">
        <f>IF('Midterm OVPAA-F-INS-055A RAW SC'!CV106="","",'Midterm OVPAA-F-INS-055A RAW SC'!CV106/'Midterm OVPAA-F-INS-055A RAW SC'!CV$17*100)</f>
        <v/>
      </c>
      <c r="DA106" s="133" t="str">
        <f>IF('Midterm OVPAA-F-INS-055A RAW SC'!CW106="","",'Midterm OVPAA-F-INS-055A RAW SC'!CW106/'Midterm OVPAA-F-INS-055A RAW SC'!CW$17*100)</f>
        <v/>
      </c>
      <c r="DB106" s="133" t="str">
        <f>IF('Midterm OVPAA-F-INS-055A RAW SC'!CX106="","",'Midterm OVPAA-F-INS-055A RAW SC'!CX106/'Midterm OVPAA-F-INS-055A RAW SC'!CX$17*100)</f>
        <v/>
      </c>
      <c r="DC106" s="134" t="str">
        <f t="array" ref="DC106">IF('Midterm OVPAA-F-INS-055A RAW SC'!$G106="","",IF((SUMPRODUCT(--ISBLANK('Midterm OVPAA-F-INS-055A RAW SC'!CO106:CX106))=COLUMNS('Midterm OVPAA-F-INS-055A RAW SC'!CO106:CX106))=TRUE,"",(((COUNTA('Midterm OVPAA-F-INS-055A RAW SC'!$CO$17:$CX$17)+COUNTBLANK('Midterm OVPAA-F-INS-055A RAW SC'!CO106:CX106))-COLUMNS('Midterm OVPAA-F-INS-055A RAW SC'!CO106:CX106))*5+SUM(CS106:DB106))/COUNTA('Midterm OVPAA-F-INS-055A RAW SC'!$CO$17:$CX$17)))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37" t="str">
        <f t="shared" si="2"/>
        <v/>
      </c>
      <c r="DG106" s="138" t="str">
        <f t="shared" si="3"/>
        <v/>
      </c>
      <c r="DH106" s="136" t="str">
        <f t="shared" si="4"/>
        <v/>
      </c>
      <c r="DI106" s="123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IF('Midterm OVPAA-F-INS-055A RAW SC'!H107="","",'Midterm OVPAA-F-INS-055A RAW SC'!H107/'Midterm OVPAA-F-INS-055A RAW SC'!H$17*100)</f>
        <v/>
      </c>
      <c r="I107" s="126" t="str">
        <f>IF('Midterm OVPAA-F-INS-055A RAW SC'!I107="","",'Midterm OVPAA-F-INS-055A RAW SC'!I107/'Midterm OVPAA-F-INS-055A RAW SC'!I$17*100)</f>
        <v/>
      </c>
      <c r="J107" s="126" t="str">
        <f>IF('Midterm OVPAA-F-INS-055A RAW SC'!J107="","",'Midterm OVPAA-F-INS-055A RAW SC'!J107/'Midterm OVPAA-F-INS-055A RAW SC'!J$17*100)</f>
        <v/>
      </c>
      <c r="K107" s="126" t="str">
        <f>IF('Midterm OVPAA-F-INS-055A RAW SC'!K107="","",'Midterm OVPAA-F-INS-055A RAW SC'!K107/'Midterm OVPAA-F-INS-055A RAW SC'!K$17*100)</f>
        <v/>
      </c>
      <c r="L107" s="126" t="str">
        <f>IF('Midterm OVPAA-F-INS-055A RAW SC'!L107="","",'Midterm OVPAA-F-INS-055A RAW SC'!L107/'Midterm OVPAA-F-INS-055A RAW SC'!L$17*100)</f>
        <v/>
      </c>
      <c r="M107" s="126" t="str">
        <f>IF('Midterm OVPAA-F-INS-055A RAW SC'!M107="","",'Midterm OVPAA-F-INS-055A RAW SC'!M107/'Midterm OVPAA-F-INS-055A RAW SC'!M$17*100)</f>
        <v/>
      </c>
      <c r="N107" s="126" t="str">
        <f>IF('Midterm OVPAA-F-INS-055A RAW SC'!N107="","",'Midterm OVPAA-F-INS-055A RAW SC'!N107/'Midterm OVPAA-F-INS-055A RAW SC'!N$17*100)</f>
        <v/>
      </c>
      <c r="O107" s="126" t="str">
        <f>IF('Midterm OVPAA-F-INS-055A RAW SC'!O107="","",'Midterm OVPAA-F-INS-055A RAW SC'!O107/'Midterm OVPAA-F-INS-055A RAW SC'!O$17*100)</f>
        <v/>
      </c>
      <c r="P107" s="126" t="str">
        <f>IF('Midterm OVPAA-F-INS-055A RAW SC'!P107="","",'Midterm OVPAA-F-INS-055A RAW SC'!P107/'Midterm OVPAA-F-INS-055A RAW SC'!P$17*100)</f>
        <v/>
      </c>
      <c r="Q107" s="126" t="str">
        <f>IF('Midterm OVPAA-F-INS-055A RAW SC'!Q107="","",'Midterm OVPAA-F-INS-055A RAW SC'!Q107/'Midterm OVPAA-F-INS-055A RAW SC'!Q$17*100)</f>
        <v/>
      </c>
      <c r="R107" s="126" t="str">
        <f>IF('Midterm OVPAA-F-INS-055A RAW SC'!R107="","",'Midterm OVPAA-F-INS-055A RAW SC'!R107/'Midterm OVPAA-F-INS-055A RAW SC'!R$17*100)</f>
        <v/>
      </c>
      <c r="S107" s="126" t="str">
        <f>IF('Midterm OVPAA-F-INS-055A RAW SC'!S107="","",'Midterm OVPAA-F-INS-055A RAW SC'!S107/'Midterm OVPAA-F-INS-055A RAW SC'!S$17*100)</f>
        <v/>
      </c>
      <c r="T107" s="126" t="str">
        <f>IF('Midterm OVPAA-F-INS-055A RAW SC'!T107="","",'Midterm OVPAA-F-INS-055A RAW SC'!T107/'Midterm OVPAA-F-INS-055A RAW SC'!T$17*100)</f>
        <v/>
      </c>
      <c r="U107" s="126" t="str">
        <f>IF('Midterm OVPAA-F-INS-055A RAW SC'!U107="","",'Midterm OVPAA-F-INS-055A RAW SC'!U107/'Midterm OVPAA-F-INS-055A RAW SC'!U$17*100)</f>
        <v/>
      </c>
      <c r="V107" s="126" t="str">
        <f>IF('Midterm OVPAA-F-INS-055A RAW SC'!V107="","",'Midterm OVPAA-F-INS-055A RAW SC'!V107/'Midterm OVPAA-F-INS-055A RAW SC'!V$17*100)</f>
        <v/>
      </c>
      <c r="W107" s="126" t="str">
        <f>IF('Midterm OVPAA-F-INS-055A RAW SC'!W107="","",'Midterm OVPAA-F-INS-055A RAW SC'!W107/'Midterm OVPAA-F-INS-055A RAW SC'!W$17*100)</f>
        <v/>
      </c>
      <c r="X107" s="126" t="str">
        <f>IF('Midterm OVPAA-F-INS-055A RAW SC'!X107="","",'Midterm OVPAA-F-INS-055A RAW SC'!X107/'Midterm OVPAA-F-INS-055A RAW SC'!X$17*100)</f>
        <v/>
      </c>
      <c r="Y107" s="126" t="str">
        <f>IF('Midterm OVPAA-F-INS-055A RAW SC'!Y107="","",'Midterm OVPAA-F-INS-055A RAW SC'!Y107/'Midterm OVPAA-F-INS-055A RAW SC'!Y$17*100)</f>
        <v/>
      </c>
      <c r="Z107" s="126" t="str">
        <f>IF('Midterm OVPAA-F-INS-055A RAW SC'!Z107="","",'Midterm OVPAA-F-INS-055A RAW SC'!Z107/'Midterm OVPAA-F-INS-055A RAW SC'!Z$17*100)</f>
        <v/>
      </c>
      <c r="AA107" s="126" t="str">
        <f>IF('Midterm OVPAA-F-INS-055A RAW SC'!AA107="","",'Midterm OVPAA-F-INS-055A RAW SC'!AA107/'Midterm OVPAA-F-INS-055A RAW SC'!AA$17*100)</f>
        <v/>
      </c>
      <c r="AB107" s="126" t="str">
        <f>IF('Midterm OVPAA-F-INS-055A RAW SC'!AB107="","",'Midterm OVPAA-F-INS-055A RAW SC'!AB107/'Midterm OVPAA-F-INS-055A RAW SC'!AB$17*100)</f>
        <v/>
      </c>
      <c r="AC107" s="126" t="str">
        <f>IF('Midterm OVPAA-F-INS-055A RAW SC'!AC107="","",'Midterm OVPAA-F-INS-055A RAW SC'!AC107/'Midterm OVPAA-F-INS-055A RAW SC'!AC$17*100)</f>
        <v/>
      </c>
      <c r="AD107" s="126" t="str">
        <f>IF('Midterm OVPAA-F-INS-055A RAW SC'!AD107="","",'Midterm OVPAA-F-INS-055A RAW SC'!AD107/'Midterm OVPAA-F-INS-055A RAW SC'!AD$17*100)</f>
        <v/>
      </c>
      <c r="AE107" s="126" t="str">
        <f>IF('Midterm OVPAA-F-INS-055A RAW SC'!AE107="","",'Midterm OVPAA-F-INS-055A RAW SC'!AE107/'Midterm OVPAA-F-INS-055A RAW SC'!AE$17*100)</f>
        <v/>
      </c>
      <c r="AF107" s="126" t="str">
        <f>IF('Midterm OVPAA-F-INS-055A RAW SC'!AF107="","",'Midterm OVPAA-F-INS-055A RAW SC'!AF107/'Midterm OVPAA-F-INS-055A RAW SC'!AF$17*100)</f>
        <v/>
      </c>
      <c r="AG107" s="126" t="str">
        <f>IF('Midterm OVPAA-F-INS-055A RAW SC'!AG107="","",'Midterm OVPAA-F-INS-055A RAW SC'!AG107/'Midterm OVPAA-F-INS-055A RAW SC'!AG$17*100)</f>
        <v/>
      </c>
      <c r="AH107" s="126" t="str">
        <f>IF('Midterm OVPAA-F-INS-055A RAW SC'!AH107="","",'Midterm OVPAA-F-INS-055A RAW SC'!AH107/'Midterm OVPAA-F-INS-055A RAW SC'!AH$17*100)</f>
        <v/>
      </c>
      <c r="AI107" s="126" t="str">
        <f>IF('Midterm OVPAA-F-INS-055A RAW SC'!AI107="","",'Midterm OVPAA-F-INS-055A RAW SC'!AI107/'Midterm OVPAA-F-INS-055A RAW SC'!AI$17*100)</f>
        <v/>
      </c>
      <c r="AJ107" s="126" t="str">
        <f>IF('Midterm OVPAA-F-INS-055A RAW SC'!AJ107="","",'Midterm OVPAA-F-INS-055A RAW SC'!AJ107/'Midterm OVPAA-F-INS-055A RAW SC'!AJ$17*100)</f>
        <v/>
      </c>
      <c r="AK107" s="126" t="str">
        <f>IF('Midterm OVPAA-F-INS-055A RAW SC'!AK107="","",'Midterm OVPAA-F-INS-055A RAW SC'!AK107/'Midterm OVPAA-F-INS-055A RAW SC'!AK$17*100)</f>
        <v/>
      </c>
      <c r="AL107" s="126" t="str">
        <f>IF('Midterm OVPAA-F-INS-055A RAW SC'!AL107="","",'Midterm OVPAA-F-INS-055A RAW SC'!AL107/'Midterm OVPAA-F-INS-055A RAW SC'!AL$17*100)</f>
        <v/>
      </c>
      <c r="AM107" s="126" t="str">
        <f>IF('Midterm OVPAA-F-INS-055A RAW SC'!AM107="","",'Midterm OVPAA-F-INS-055A RAW SC'!AM107/'Midterm OVPAA-F-INS-055A RAW SC'!AM$17*100)</f>
        <v/>
      </c>
      <c r="AN107" s="126" t="str">
        <f>IF('Midterm OVPAA-F-INS-055A RAW SC'!AN107="","",'Midterm OVPAA-F-INS-055A RAW SC'!AN107/'Midterm OVPAA-F-INS-055A RAW SC'!AN$17*100)</f>
        <v/>
      </c>
      <c r="AO107" s="126" t="str">
        <f>IF('Midterm OVPAA-F-INS-055A RAW SC'!AO107="","",'Midterm OVPAA-F-INS-055A RAW SC'!AO107/'Midterm OVPAA-F-INS-055A RAW SC'!AO$17*100)</f>
        <v/>
      </c>
      <c r="AP107" s="126" t="str">
        <f>IF('Midterm OVPAA-F-INS-055A RAW SC'!AP107="","",'Midterm OVPAA-F-INS-055A RAW SC'!AP107/'Midterm OVPAA-F-INS-055A RAW SC'!AP$17*100)</f>
        <v/>
      </c>
      <c r="AQ107" s="126" t="str">
        <f>IF('Midterm OVPAA-F-INS-055A RAW SC'!AQ107="","",'Midterm OVPAA-F-INS-055A RAW SC'!AQ107/'Midterm OVPAA-F-INS-055A RAW SC'!AQ$17*100)</f>
        <v/>
      </c>
      <c r="AR107" s="126" t="str">
        <f>IF('Midterm OVPAA-F-INS-055A RAW SC'!AR107="","",'Midterm OVPAA-F-INS-055A RAW SC'!AR107/'Midterm OVPAA-F-INS-055A RAW SC'!AR$17*100)</f>
        <v/>
      </c>
      <c r="AS107" s="126" t="str">
        <f>IF('Midterm OVPAA-F-INS-055A RAW SC'!AS107="","",'Midterm OVPAA-F-INS-055A RAW SC'!AS107/'Midterm OVPAA-F-INS-055A RAW SC'!AS$17*100)</f>
        <v/>
      </c>
      <c r="AT107" s="126" t="str">
        <f>IF('Midterm OVPAA-F-INS-055A RAW SC'!AT107="","",'Midterm OVPAA-F-INS-055A RAW SC'!AT107/'Midterm OVPAA-F-INS-055A RAW SC'!AT$17*100)</f>
        <v/>
      </c>
      <c r="AU107" s="126" t="str">
        <f>IF('Midterm OVPAA-F-INS-055A RAW SC'!AU107="","",'Midterm OVPAA-F-INS-055A RAW SC'!AU107/'Midterm OVPAA-F-INS-055A RAW SC'!AU$17*100)</f>
        <v/>
      </c>
      <c r="AV107" s="126" t="str">
        <f>IF('Midterm OVPAA-F-INS-055A RAW SC'!AV107="","",'Midterm OVPAA-F-INS-055A RAW SC'!AV107/'Midterm OVPAA-F-INS-055A RAW SC'!AV$17*100)</f>
        <v/>
      </c>
      <c r="AW107" s="126" t="str">
        <f>IF('Midterm OVPAA-F-INS-055A RAW SC'!AW107="","",'Midterm OVPAA-F-INS-055A RAW SC'!AW107/'Midterm OVPAA-F-INS-055A RAW SC'!AW$17*100)</f>
        <v/>
      </c>
      <c r="AX107" s="126" t="str">
        <f>IF('Midterm OVPAA-F-INS-055A RAW SC'!AX107="","",'Midterm OVPAA-F-INS-055A RAW SC'!AX107/'Midterm OVPAA-F-INS-055A RAW SC'!AX$17*100)</f>
        <v/>
      </c>
      <c r="AY107" s="126" t="str">
        <f>IF('Midterm OVPAA-F-INS-055A RAW SC'!AY107="","",'Midterm OVPAA-F-INS-055A RAW SC'!AY107/'Midterm OVPAA-F-INS-055A RAW SC'!AY$17*100)</f>
        <v/>
      </c>
      <c r="AZ107" s="126" t="str">
        <f>IF('Midterm OVPAA-F-INS-055A RAW SC'!AZ107="","",'Midterm OVPAA-F-INS-055A RAW SC'!AZ107/'Midterm OVPAA-F-INS-055A RAW SC'!AZ$17*100)</f>
        <v/>
      </c>
      <c r="BA107" s="126" t="str">
        <f>IF('Midterm OVPAA-F-INS-055A RAW SC'!BA107="","",'Midterm OVPAA-F-INS-055A RAW SC'!BA107/'Midterm OVPAA-F-INS-055A RAW SC'!BA$17*100)</f>
        <v/>
      </c>
      <c r="BB107" s="126" t="str">
        <f>IF('Midterm OVPAA-F-INS-055A RAW SC'!BB107="","",'Midterm OVPAA-F-INS-055A RAW SC'!BB107/'Midterm OVPAA-F-INS-055A RAW SC'!BB$17*100)</f>
        <v/>
      </c>
      <c r="BC107" s="126" t="str">
        <f>IF('Midterm OVPAA-F-INS-055A RAW SC'!BC107="","",'Midterm OVPAA-F-INS-055A RAW SC'!BC107/'Midterm OVPAA-F-INS-055A RAW SC'!BC$17*100)</f>
        <v/>
      </c>
      <c r="BD107" s="126" t="str">
        <f>IF('Midterm OVPAA-F-INS-055A RAW SC'!BD107="","",'Midterm OVPAA-F-INS-055A RAW SC'!BD107/'Midterm OVPAA-F-INS-055A RAW SC'!BD$17*100)</f>
        <v/>
      </c>
      <c r="BE107" s="126" t="str">
        <f>IF('Midterm OVPAA-F-INS-055A RAW SC'!BE107="","",'Midterm OVPAA-F-INS-055A RAW SC'!BE107/'Midterm OVPAA-F-INS-055A RAW SC'!BE$17*100)</f>
        <v/>
      </c>
      <c r="BF107" s="126" t="str">
        <f>IF('Midterm OVPAA-F-INS-055A RAW SC'!BF107="","",'Midterm OVPAA-F-INS-055A RAW SC'!BF107/'Midterm OVPAA-F-INS-055A RAW SC'!BF$17*100)</f>
        <v/>
      </c>
      <c r="BG107" s="126" t="str">
        <f>IF('Midterm OVPAA-F-INS-055A RAW SC'!BG107="","",'Midterm OVPAA-F-INS-055A RAW SC'!BG107/'Midterm OVPAA-F-INS-055A RAW SC'!BG$17*100)</f>
        <v/>
      </c>
      <c r="BH107" s="126" t="str">
        <f>IF('Midterm OVPAA-F-INS-055A RAW SC'!BH107="","",'Midterm OVPAA-F-INS-055A RAW SC'!BH107/'Midterm OVPAA-F-INS-055A RAW SC'!BH$17*100)</f>
        <v/>
      </c>
      <c r="BI107" s="126" t="str">
        <f>IF('Midterm OVPAA-F-INS-055A RAW SC'!BI107="","",'Midterm OVPAA-F-INS-055A RAW SC'!BI107/'Midterm OVPAA-F-INS-055A RAW SC'!BI$17*100)</f>
        <v/>
      </c>
      <c r="BJ107" s="126" t="str">
        <f>IF('Midterm OVPAA-F-INS-055A RAW SC'!BJ107="","",'Midterm OVPAA-F-INS-055A RAW SC'!BJ107/'Midterm OVPAA-F-INS-055A RAW SC'!BJ$17*100)</f>
        <v/>
      </c>
      <c r="BK107" s="126" t="str">
        <f>IF('Midterm OVPAA-F-INS-055A RAW SC'!BK107="","",'Midterm OVPAA-F-INS-055A RAW SC'!BK107/'Midterm OVPAA-F-INS-055A RAW SC'!BK$17*100)</f>
        <v/>
      </c>
      <c r="BL107" s="126" t="str">
        <f>IF('Midterm OVPAA-F-INS-055A RAW SC'!BL107="","",'Midterm OVPAA-F-INS-055A RAW SC'!BL107/'Midterm OVPAA-F-INS-055A RAW SC'!BL$17*100)</f>
        <v/>
      </c>
      <c r="BM107" s="126" t="str">
        <f>IF('Midterm OVPAA-F-INS-055A RAW SC'!BM107="","",'Midterm OVPAA-F-INS-055A RAW SC'!BM107/'Midterm OVPAA-F-INS-055A RAW SC'!BM$17*100)</f>
        <v/>
      </c>
      <c r="BN107" s="126" t="str">
        <f>IF('Midterm OVPAA-F-INS-055A RAW SC'!BN107="","",'Midterm OVPAA-F-INS-055A RAW SC'!BN107/'Midterm OVPAA-F-INS-055A RAW SC'!BN$17*100)</f>
        <v/>
      </c>
      <c r="BO107" s="126" t="str">
        <f>IF('Midterm OVPAA-F-INS-055A RAW SC'!BO107="","",'Midterm OVPAA-F-INS-055A RAW SC'!BO107/'Midterm OVPAA-F-INS-055A RAW SC'!BO$17*100)</f>
        <v/>
      </c>
      <c r="BP107" s="126" t="str">
        <f>IF('Midterm OVPAA-F-INS-055A RAW SC'!BP107="","",'Midterm OVPAA-F-INS-055A RAW SC'!BP107/'Midterm OVPAA-F-INS-055A RAW SC'!BP$17*100)</f>
        <v/>
      </c>
      <c r="BQ107" s="126" t="str">
        <f>IF('Midterm OVPAA-F-INS-055A RAW SC'!BQ107="","",'Midterm OVPAA-F-INS-055A RAW SC'!BQ107/'Midterm OVPAA-F-INS-055A RAW SC'!BQ$17*100)</f>
        <v/>
      </c>
      <c r="BR107" s="126" t="str">
        <f>IF('Midterm OVPAA-F-INS-055A RAW SC'!BR107="","",'Midterm OVPAA-F-INS-055A RAW SC'!BR107/'Midterm OVPAA-F-INS-055A RAW SC'!BR$17*100)</f>
        <v/>
      </c>
      <c r="BS107" s="126" t="str">
        <f>IF('Midterm OVPAA-F-INS-055A RAW SC'!BS107="","",'Midterm OVPAA-F-INS-055A RAW SC'!BS107/'Midterm OVPAA-F-INS-055A RAW SC'!BS$17*100)</f>
        <v/>
      </c>
      <c r="BT107" s="126" t="str">
        <f>IF('Midterm OVPAA-F-INS-055A RAW SC'!BT107="","",'Midterm OVPAA-F-INS-055A RAW SC'!BT107/'Midterm OVPAA-F-INS-055A RAW SC'!BT$17*100)</f>
        <v/>
      </c>
      <c r="BU107" s="127" t="str">
        <f t="array" ref="BU107">IF('Midterm OVPAA-F-INS-055A RAW SC'!$G107="","",IF((SUMPRODUCT(--ISBLANK('Midterm OVPAA-F-INS-055A RAW SC'!H107:BT107))=COLUMNS('Midterm OVPAA-F-INS-055A RAW SC'!H107:BT107))=TRUE,"",(((COUNTA('Midterm OVPAA-F-INS-055A RAW SC'!$H$17:$BT$17)+COUNTBLANK('Midterm OVPAA-F-INS-055A RAW SC'!H107:BT107))-COLUMNS('Midterm OVPAA-F-INS-055A RAW SC'!H107:BT107))*5+SUM(H107:BT107))/COUNTA('Midterm OVPAA-F-INS-055A RAW SC'!$H$17:$BT$17)))</f>
        <v/>
      </c>
      <c r="BV107" s="128" t="str">
        <f>IF(BU107="","",VLOOKUP(BU107,IF('Midterm OVPAA-F-INS-055A RAW SC'!$V$12=0.5,TRANSMUTATION!$C$4:$D$17,TRANSMUTATION!$G$4:$H$17),2,TRUE))</f>
        <v/>
      </c>
      <c r="BW107" s="129" t="str">
        <f>IF('Midterm OVPAA-F-INS-055A RAW SC'!BU107="","",'Midterm OVPAA-F-INS-055A RAW SC'!BU107/'Midterm OVPAA-F-INS-055A RAW SC'!BU$17*100)</f>
        <v/>
      </c>
      <c r="BX107" s="130" t="str">
        <f>IF('Midterm OVPAA-F-INS-055A RAW SC'!BV107="","",'Midterm OVPAA-F-INS-055A RAW SC'!BV107/'Midterm OVPAA-F-INS-055A RAW SC'!BV$17*100)</f>
        <v/>
      </c>
      <c r="BY107" s="130" t="str">
        <f>IF('Midterm OVPAA-F-INS-055A RAW SC'!BW107="","",'Midterm OVPAA-F-INS-055A RAW SC'!BW107/'Midterm OVPAA-F-INS-055A RAW SC'!BW$17*100)</f>
        <v/>
      </c>
      <c r="BZ107" s="130" t="str">
        <f>IF('Midterm OVPAA-F-INS-055A RAW SC'!BX107="","",'Midterm OVPAA-F-INS-055A RAW SC'!BX107/'Midterm OVPAA-F-INS-055A RAW SC'!BX$17*100)</f>
        <v/>
      </c>
      <c r="CA107" s="130" t="str">
        <f>IF('Midterm OVPAA-F-INS-055A RAW SC'!BY107="","",'Midterm OVPAA-F-INS-055A RAW SC'!BY107/'Midterm OVPAA-F-INS-055A RAW SC'!BY$17*100)</f>
        <v/>
      </c>
      <c r="CB107" s="130" t="str">
        <f>IF('Midterm OVPAA-F-INS-055A RAW SC'!BZ107="","",'Midterm OVPAA-F-INS-055A RAW SC'!BZ107/'Midterm OVPAA-F-INS-055A RAW SC'!BZ$17*100)</f>
        <v/>
      </c>
      <c r="CC107" s="130" t="str">
        <f>IF('Midterm OVPAA-F-INS-055A RAW SC'!CA107="","",'Midterm OVPAA-F-INS-055A RAW SC'!CA107/'Midterm OVPAA-F-INS-055A RAW SC'!CA$17*100)</f>
        <v/>
      </c>
      <c r="CD107" s="130" t="str">
        <f>IF('Midterm OVPAA-F-INS-055A RAW SC'!CB107="","",'Midterm OVPAA-F-INS-055A RAW SC'!CB107/'Midterm OVPAA-F-INS-055A RAW SC'!CB$17*100)</f>
        <v/>
      </c>
      <c r="CE107" s="130" t="str">
        <f>IF('Midterm OVPAA-F-INS-055A RAW SC'!CC107="","",'Midterm OVPAA-F-INS-055A RAW SC'!CC107/'Midterm OVPAA-F-INS-055A RAW SC'!CC$17*100)</f>
        <v/>
      </c>
      <c r="CF107" s="130" t="str">
        <f>IF('Midterm OVPAA-F-INS-055A RAW SC'!CD107="","",'Midterm OVPAA-F-INS-055A RAW SC'!CD107/'Midterm OVPAA-F-INS-055A RAW SC'!CD$17*100)</f>
        <v/>
      </c>
      <c r="CG107" s="130" t="str">
        <f>IF('Midterm OVPAA-F-INS-055A RAW SC'!CE107="","",'Midterm OVPAA-F-INS-055A RAW SC'!CE107/'Midterm OVPAA-F-INS-055A RAW SC'!CE$17*100)</f>
        <v/>
      </c>
      <c r="CH107" s="130" t="str">
        <f>IF('Midterm OVPAA-F-INS-055A RAW SC'!CF107="","",'Midterm OVPAA-F-INS-055A RAW SC'!CF107/'Midterm OVPAA-F-INS-055A RAW SC'!CF$17*100)</f>
        <v/>
      </c>
      <c r="CI107" s="130" t="str">
        <f>IF('Midterm OVPAA-F-INS-055A RAW SC'!CG107="","",'Midterm OVPAA-F-INS-055A RAW SC'!CG107/'Midterm OVPAA-F-INS-055A RAW SC'!CG$17*100)</f>
        <v/>
      </c>
      <c r="CJ107" s="130" t="str">
        <f>IF('Midterm OVPAA-F-INS-055A RAW SC'!CH107="","",'Midterm OVPAA-F-INS-055A RAW SC'!CH107/'Midterm OVPAA-F-INS-055A RAW SC'!CH$17*100)</f>
        <v/>
      </c>
      <c r="CK107" s="130" t="str">
        <f>IF('Midterm OVPAA-F-INS-055A RAW SC'!CI107="","",'Midterm OVPAA-F-INS-055A RAW SC'!CI107/'Midterm OVPAA-F-INS-055A RAW SC'!CI$17*100)</f>
        <v/>
      </c>
      <c r="CL107" s="130" t="str">
        <f>IF('Midterm OVPAA-F-INS-055A RAW SC'!CJ107="","",'Midterm OVPAA-F-INS-055A RAW SC'!CJ107/'Midterm OVPAA-F-INS-055A RAW SC'!CJ$17*100)</f>
        <v/>
      </c>
      <c r="CM107" s="130" t="str">
        <f>IF('Midterm OVPAA-F-INS-055A RAW SC'!CK107="","",'Midterm OVPAA-F-INS-055A RAW SC'!CK107/'Midterm OVPAA-F-INS-055A RAW SC'!CK$17*100)</f>
        <v/>
      </c>
      <c r="CN107" s="130" t="str">
        <f>IF('Midterm OVPAA-F-INS-055A RAW SC'!CL107="","",'Midterm OVPAA-F-INS-055A RAW SC'!CL107/'Midterm OVPAA-F-INS-055A RAW SC'!CL$17*100)</f>
        <v/>
      </c>
      <c r="CO107" s="130" t="str">
        <f>IF('Midterm OVPAA-F-INS-055A RAW SC'!CM107="","",'Midterm OVPAA-F-INS-055A RAW SC'!CM107/'Midterm OVPAA-F-INS-055A RAW SC'!CM$17*100)</f>
        <v/>
      </c>
      <c r="CP107" s="130" t="str">
        <f>IF('Midterm OVPAA-F-INS-055A RAW SC'!CN107="","",'Midterm OVPAA-F-INS-055A RAW SC'!CN107/'Midterm OVPAA-F-INS-055A RAW SC'!CN$17*100)</f>
        <v/>
      </c>
      <c r="CQ107" s="131" t="str">
        <f t="array" ref="CQ107">IF('Midterm OVPAA-F-INS-055A RAW SC'!G107="","",IF((SUMPRODUCT(--ISBLANK('Midterm OVPAA-F-INS-055A RAW SC'!BU107:CN107))=COLUMNS('Midterm OVPAA-F-INS-055A RAW SC'!BU107:CN107))=TRUE,"",(((COUNTA('Midterm OVPAA-F-INS-055A RAW SC'!$BU$17:$CN$17)+COUNTBLANK('Midterm OVPAA-F-INS-055A RAW SC'!BU107:CN107))-COLUMNS('Midterm OVPAA-F-INS-055A RAW SC'!BU107:CN107))*5+SUM(BW107:CP107))/COUNTA('Midterm OVPAA-F-INS-055A RAW SC'!$BU$17:$CN$17)))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IF('Midterm OVPAA-F-INS-055A RAW SC'!CO107="","",'Midterm OVPAA-F-INS-055A RAW SC'!CO107/'Midterm OVPAA-F-INS-055A RAW SC'!CO$17*100)</f>
        <v/>
      </c>
      <c r="CT107" s="133" t="str">
        <f>IF('Midterm OVPAA-F-INS-055A RAW SC'!CP107="","",'Midterm OVPAA-F-INS-055A RAW SC'!CP107/'Midterm OVPAA-F-INS-055A RAW SC'!CP$17*100)</f>
        <v/>
      </c>
      <c r="CU107" s="133" t="str">
        <f>IF('Midterm OVPAA-F-INS-055A RAW SC'!CQ107="","",'Midterm OVPAA-F-INS-055A RAW SC'!CQ107/'Midterm OVPAA-F-INS-055A RAW SC'!CQ$17*100)</f>
        <v/>
      </c>
      <c r="CV107" s="133" t="str">
        <f>IF('Midterm OVPAA-F-INS-055A RAW SC'!CR107="","",'Midterm OVPAA-F-INS-055A RAW SC'!CR107/'Midterm OVPAA-F-INS-055A RAW SC'!CR$17*100)</f>
        <v/>
      </c>
      <c r="CW107" s="133" t="str">
        <f>IF('Midterm OVPAA-F-INS-055A RAW SC'!CS107="","",'Midterm OVPAA-F-INS-055A RAW SC'!CS107/'Midterm OVPAA-F-INS-055A RAW SC'!CS$17*100)</f>
        <v/>
      </c>
      <c r="CX107" s="133" t="str">
        <f>IF('Midterm OVPAA-F-INS-055A RAW SC'!CT107="","",'Midterm OVPAA-F-INS-055A RAW SC'!CT107/'Midterm OVPAA-F-INS-055A RAW SC'!CT$17*100)</f>
        <v/>
      </c>
      <c r="CY107" s="133" t="str">
        <f>IF('Midterm OVPAA-F-INS-055A RAW SC'!CU107="","",'Midterm OVPAA-F-INS-055A RAW SC'!CU107/'Midterm OVPAA-F-INS-055A RAW SC'!CU$17*100)</f>
        <v/>
      </c>
      <c r="CZ107" s="133" t="str">
        <f>IF('Midterm OVPAA-F-INS-055A RAW SC'!CV107="","",'Midterm OVPAA-F-INS-055A RAW SC'!CV107/'Midterm OVPAA-F-INS-055A RAW SC'!CV$17*100)</f>
        <v/>
      </c>
      <c r="DA107" s="133" t="str">
        <f>IF('Midterm OVPAA-F-INS-055A RAW SC'!CW107="","",'Midterm OVPAA-F-INS-055A RAW SC'!CW107/'Midterm OVPAA-F-INS-055A RAW SC'!CW$17*100)</f>
        <v/>
      </c>
      <c r="DB107" s="133" t="str">
        <f>IF('Midterm OVPAA-F-INS-055A RAW SC'!CX107="","",'Midterm OVPAA-F-INS-055A RAW SC'!CX107/'Midterm OVPAA-F-INS-055A RAW SC'!CX$17*100)</f>
        <v/>
      </c>
      <c r="DC107" s="134" t="str">
        <f t="array" ref="DC107">IF('Midterm OVPAA-F-INS-055A RAW SC'!$G107="","",IF((SUMPRODUCT(--ISBLANK('Midterm OVPAA-F-INS-055A RAW SC'!CO107:CX107))=COLUMNS('Midterm OVPAA-F-INS-055A RAW SC'!CO107:CX107))=TRUE,"",(((COUNTA('Midterm OVPAA-F-INS-055A RAW SC'!$CO$17:$CX$17)+COUNTBLANK('Midterm OVPAA-F-INS-055A RAW SC'!CO107:CX107))-COLUMNS('Midterm OVPAA-F-INS-055A RAW SC'!CO107:CX107))*5+SUM(CS107:DB107))/COUNTA('Midterm OVPAA-F-INS-055A RAW SC'!$CO$17:$CX$17)))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37" t="str">
        <f t="shared" si="2"/>
        <v/>
      </c>
      <c r="DG107" s="138" t="str">
        <f t="shared" si="3"/>
        <v/>
      </c>
      <c r="DH107" s="136" t="str">
        <f t="shared" si="4"/>
        <v/>
      </c>
      <c r="DI107" s="123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IF('Midterm OVPAA-F-INS-055A RAW SC'!H108="","",'Midterm OVPAA-F-INS-055A RAW SC'!H108/'Midterm OVPAA-F-INS-055A RAW SC'!H$17*100)</f>
        <v/>
      </c>
      <c r="I108" s="126" t="str">
        <f>IF('Midterm OVPAA-F-INS-055A RAW SC'!I108="","",'Midterm OVPAA-F-INS-055A RAW SC'!I108/'Midterm OVPAA-F-INS-055A RAW SC'!I$17*100)</f>
        <v/>
      </c>
      <c r="J108" s="126" t="str">
        <f>IF('Midterm OVPAA-F-INS-055A RAW SC'!J108="","",'Midterm OVPAA-F-INS-055A RAW SC'!J108/'Midterm OVPAA-F-INS-055A RAW SC'!J$17*100)</f>
        <v/>
      </c>
      <c r="K108" s="126" t="str">
        <f>IF('Midterm OVPAA-F-INS-055A RAW SC'!K108="","",'Midterm OVPAA-F-INS-055A RAW SC'!K108/'Midterm OVPAA-F-INS-055A RAW SC'!K$17*100)</f>
        <v/>
      </c>
      <c r="L108" s="126" t="str">
        <f>IF('Midterm OVPAA-F-INS-055A RAW SC'!L108="","",'Midterm OVPAA-F-INS-055A RAW SC'!L108/'Midterm OVPAA-F-INS-055A RAW SC'!L$17*100)</f>
        <v/>
      </c>
      <c r="M108" s="126" t="str">
        <f>IF('Midterm OVPAA-F-INS-055A RAW SC'!M108="","",'Midterm OVPAA-F-INS-055A RAW SC'!M108/'Midterm OVPAA-F-INS-055A RAW SC'!M$17*100)</f>
        <v/>
      </c>
      <c r="N108" s="126" t="str">
        <f>IF('Midterm OVPAA-F-INS-055A RAW SC'!N108="","",'Midterm OVPAA-F-INS-055A RAW SC'!N108/'Midterm OVPAA-F-INS-055A RAW SC'!N$17*100)</f>
        <v/>
      </c>
      <c r="O108" s="126" t="str">
        <f>IF('Midterm OVPAA-F-INS-055A RAW SC'!O108="","",'Midterm OVPAA-F-INS-055A RAW SC'!O108/'Midterm OVPAA-F-INS-055A RAW SC'!O$17*100)</f>
        <v/>
      </c>
      <c r="P108" s="126" t="str">
        <f>IF('Midterm OVPAA-F-INS-055A RAW SC'!P108="","",'Midterm OVPAA-F-INS-055A RAW SC'!P108/'Midterm OVPAA-F-INS-055A RAW SC'!P$17*100)</f>
        <v/>
      </c>
      <c r="Q108" s="126" t="str">
        <f>IF('Midterm OVPAA-F-INS-055A RAW SC'!Q108="","",'Midterm OVPAA-F-INS-055A RAW SC'!Q108/'Midterm OVPAA-F-INS-055A RAW SC'!Q$17*100)</f>
        <v/>
      </c>
      <c r="R108" s="126" t="str">
        <f>IF('Midterm OVPAA-F-INS-055A RAW SC'!R108="","",'Midterm OVPAA-F-INS-055A RAW SC'!R108/'Midterm OVPAA-F-INS-055A RAW SC'!R$17*100)</f>
        <v/>
      </c>
      <c r="S108" s="126" t="str">
        <f>IF('Midterm OVPAA-F-INS-055A RAW SC'!S108="","",'Midterm OVPAA-F-INS-055A RAW SC'!S108/'Midterm OVPAA-F-INS-055A RAW SC'!S$17*100)</f>
        <v/>
      </c>
      <c r="T108" s="126" t="str">
        <f>IF('Midterm OVPAA-F-INS-055A RAW SC'!T108="","",'Midterm OVPAA-F-INS-055A RAW SC'!T108/'Midterm OVPAA-F-INS-055A RAW SC'!T$17*100)</f>
        <v/>
      </c>
      <c r="U108" s="126" t="str">
        <f>IF('Midterm OVPAA-F-INS-055A RAW SC'!U108="","",'Midterm OVPAA-F-INS-055A RAW SC'!U108/'Midterm OVPAA-F-INS-055A RAW SC'!U$17*100)</f>
        <v/>
      </c>
      <c r="V108" s="126" t="str">
        <f>IF('Midterm OVPAA-F-INS-055A RAW SC'!V108="","",'Midterm OVPAA-F-INS-055A RAW SC'!V108/'Midterm OVPAA-F-INS-055A RAW SC'!V$17*100)</f>
        <v/>
      </c>
      <c r="W108" s="126" t="str">
        <f>IF('Midterm OVPAA-F-INS-055A RAW SC'!W108="","",'Midterm OVPAA-F-INS-055A RAW SC'!W108/'Midterm OVPAA-F-INS-055A RAW SC'!W$17*100)</f>
        <v/>
      </c>
      <c r="X108" s="126" t="str">
        <f>IF('Midterm OVPAA-F-INS-055A RAW SC'!X108="","",'Midterm OVPAA-F-INS-055A RAW SC'!X108/'Midterm OVPAA-F-INS-055A RAW SC'!X$17*100)</f>
        <v/>
      </c>
      <c r="Y108" s="126" t="str">
        <f>IF('Midterm OVPAA-F-INS-055A RAW SC'!Y108="","",'Midterm OVPAA-F-INS-055A RAW SC'!Y108/'Midterm OVPAA-F-INS-055A RAW SC'!Y$17*100)</f>
        <v/>
      </c>
      <c r="Z108" s="126" t="str">
        <f>IF('Midterm OVPAA-F-INS-055A RAW SC'!Z108="","",'Midterm OVPAA-F-INS-055A RAW SC'!Z108/'Midterm OVPAA-F-INS-055A RAW SC'!Z$17*100)</f>
        <v/>
      </c>
      <c r="AA108" s="126" t="str">
        <f>IF('Midterm OVPAA-F-INS-055A RAW SC'!AA108="","",'Midterm OVPAA-F-INS-055A RAW SC'!AA108/'Midterm OVPAA-F-INS-055A RAW SC'!AA$17*100)</f>
        <v/>
      </c>
      <c r="AB108" s="126" t="str">
        <f>IF('Midterm OVPAA-F-INS-055A RAW SC'!AB108="","",'Midterm OVPAA-F-INS-055A RAW SC'!AB108/'Midterm OVPAA-F-INS-055A RAW SC'!AB$17*100)</f>
        <v/>
      </c>
      <c r="AC108" s="126" t="str">
        <f>IF('Midterm OVPAA-F-INS-055A RAW SC'!AC108="","",'Midterm OVPAA-F-INS-055A RAW SC'!AC108/'Midterm OVPAA-F-INS-055A RAW SC'!AC$17*100)</f>
        <v/>
      </c>
      <c r="AD108" s="126" t="str">
        <f>IF('Midterm OVPAA-F-INS-055A RAW SC'!AD108="","",'Midterm OVPAA-F-INS-055A RAW SC'!AD108/'Midterm OVPAA-F-INS-055A RAW SC'!AD$17*100)</f>
        <v/>
      </c>
      <c r="AE108" s="126" t="str">
        <f>IF('Midterm OVPAA-F-INS-055A RAW SC'!AE108="","",'Midterm OVPAA-F-INS-055A RAW SC'!AE108/'Midterm OVPAA-F-INS-055A RAW SC'!AE$17*100)</f>
        <v/>
      </c>
      <c r="AF108" s="126" t="str">
        <f>IF('Midterm OVPAA-F-INS-055A RAW SC'!AF108="","",'Midterm OVPAA-F-INS-055A RAW SC'!AF108/'Midterm OVPAA-F-INS-055A RAW SC'!AF$17*100)</f>
        <v/>
      </c>
      <c r="AG108" s="126" t="str">
        <f>IF('Midterm OVPAA-F-INS-055A RAW SC'!AG108="","",'Midterm OVPAA-F-INS-055A RAW SC'!AG108/'Midterm OVPAA-F-INS-055A RAW SC'!AG$17*100)</f>
        <v/>
      </c>
      <c r="AH108" s="126" t="str">
        <f>IF('Midterm OVPAA-F-INS-055A RAW SC'!AH108="","",'Midterm OVPAA-F-INS-055A RAW SC'!AH108/'Midterm OVPAA-F-INS-055A RAW SC'!AH$17*100)</f>
        <v/>
      </c>
      <c r="AI108" s="126" t="str">
        <f>IF('Midterm OVPAA-F-INS-055A RAW SC'!AI108="","",'Midterm OVPAA-F-INS-055A RAW SC'!AI108/'Midterm OVPAA-F-INS-055A RAW SC'!AI$17*100)</f>
        <v/>
      </c>
      <c r="AJ108" s="126" t="str">
        <f>IF('Midterm OVPAA-F-INS-055A RAW SC'!AJ108="","",'Midterm OVPAA-F-INS-055A RAW SC'!AJ108/'Midterm OVPAA-F-INS-055A RAW SC'!AJ$17*100)</f>
        <v/>
      </c>
      <c r="AK108" s="126" t="str">
        <f>IF('Midterm OVPAA-F-INS-055A RAW SC'!AK108="","",'Midterm OVPAA-F-INS-055A RAW SC'!AK108/'Midterm OVPAA-F-INS-055A RAW SC'!AK$17*100)</f>
        <v/>
      </c>
      <c r="AL108" s="126" t="str">
        <f>IF('Midterm OVPAA-F-INS-055A RAW SC'!AL108="","",'Midterm OVPAA-F-INS-055A RAW SC'!AL108/'Midterm OVPAA-F-INS-055A RAW SC'!AL$17*100)</f>
        <v/>
      </c>
      <c r="AM108" s="126" t="str">
        <f>IF('Midterm OVPAA-F-INS-055A RAW SC'!AM108="","",'Midterm OVPAA-F-INS-055A RAW SC'!AM108/'Midterm OVPAA-F-INS-055A RAW SC'!AM$17*100)</f>
        <v/>
      </c>
      <c r="AN108" s="126" t="str">
        <f>IF('Midterm OVPAA-F-INS-055A RAW SC'!AN108="","",'Midterm OVPAA-F-INS-055A RAW SC'!AN108/'Midterm OVPAA-F-INS-055A RAW SC'!AN$17*100)</f>
        <v/>
      </c>
      <c r="AO108" s="126" t="str">
        <f>IF('Midterm OVPAA-F-INS-055A RAW SC'!AO108="","",'Midterm OVPAA-F-INS-055A RAW SC'!AO108/'Midterm OVPAA-F-INS-055A RAW SC'!AO$17*100)</f>
        <v/>
      </c>
      <c r="AP108" s="126" t="str">
        <f>IF('Midterm OVPAA-F-INS-055A RAW SC'!AP108="","",'Midterm OVPAA-F-INS-055A RAW SC'!AP108/'Midterm OVPAA-F-INS-055A RAW SC'!AP$17*100)</f>
        <v/>
      </c>
      <c r="AQ108" s="126" t="str">
        <f>IF('Midterm OVPAA-F-INS-055A RAW SC'!AQ108="","",'Midterm OVPAA-F-INS-055A RAW SC'!AQ108/'Midterm OVPAA-F-INS-055A RAW SC'!AQ$17*100)</f>
        <v/>
      </c>
      <c r="AR108" s="126" t="str">
        <f>IF('Midterm OVPAA-F-INS-055A RAW SC'!AR108="","",'Midterm OVPAA-F-INS-055A RAW SC'!AR108/'Midterm OVPAA-F-INS-055A RAW SC'!AR$17*100)</f>
        <v/>
      </c>
      <c r="AS108" s="126" t="str">
        <f>IF('Midterm OVPAA-F-INS-055A RAW SC'!AS108="","",'Midterm OVPAA-F-INS-055A RAW SC'!AS108/'Midterm OVPAA-F-INS-055A RAW SC'!AS$17*100)</f>
        <v/>
      </c>
      <c r="AT108" s="126" t="str">
        <f>IF('Midterm OVPAA-F-INS-055A RAW SC'!AT108="","",'Midterm OVPAA-F-INS-055A RAW SC'!AT108/'Midterm OVPAA-F-INS-055A RAW SC'!AT$17*100)</f>
        <v/>
      </c>
      <c r="AU108" s="126" t="str">
        <f>IF('Midterm OVPAA-F-INS-055A RAW SC'!AU108="","",'Midterm OVPAA-F-INS-055A RAW SC'!AU108/'Midterm OVPAA-F-INS-055A RAW SC'!AU$17*100)</f>
        <v/>
      </c>
      <c r="AV108" s="126" t="str">
        <f>IF('Midterm OVPAA-F-INS-055A RAW SC'!AV108="","",'Midterm OVPAA-F-INS-055A RAW SC'!AV108/'Midterm OVPAA-F-INS-055A RAW SC'!AV$17*100)</f>
        <v/>
      </c>
      <c r="AW108" s="126" t="str">
        <f>IF('Midterm OVPAA-F-INS-055A RAW SC'!AW108="","",'Midterm OVPAA-F-INS-055A RAW SC'!AW108/'Midterm OVPAA-F-INS-055A RAW SC'!AW$17*100)</f>
        <v/>
      </c>
      <c r="AX108" s="126" t="str">
        <f>IF('Midterm OVPAA-F-INS-055A RAW SC'!AX108="","",'Midterm OVPAA-F-INS-055A RAW SC'!AX108/'Midterm OVPAA-F-INS-055A RAW SC'!AX$17*100)</f>
        <v/>
      </c>
      <c r="AY108" s="126" t="str">
        <f>IF('Midterm OVPAA-F-INS-055A RAW SC'!AY108="","",'Midterm OVPAA-F-INS-055A RAW SC'!AY108/'Midterm OVPAA-F-INS-055A RAW SC'!AY$17*100)</f>
        <v/>
      </c>
      <c r="AZ108" s="126" t="str">
        <f>IF('Midterm OVPAA-F-INS-055A RAW SC'!AZ108="","",'Midterm OVPAA-F-INS-055A RAW SC'!AZ108/'Midterm OVPAA-F-INS-055A RAW SC'!AZ$17*100)</f>
        <v/>
      </c>
      <c r="BA108" s="126" t="str">
        <f>IF('Midterm OVPAA-F-INS-055A RAW SC'!BA108="","",'Midterm OVPAA-F-INS-055A RAW SC'!BA108/'Midterm OVPAA-F-INS-055A RAW SC'!BA$17*100)</f>
        <v/>
      </c>
      <c r="BB108" s="126" t="str">
        <f>IF('Midterm OVPAA-F-INS-055A RAW SC'!BB108="","",'Midterm OVPAA-F-INS-055A RAW SC'!BB108/'Midterm OVPAA-F-INS-055A RAW SC'!BB$17*100)</f>
        <v/>
      </c>
      <c r="BC108" s="126" t="str">
        <f>IF('Midterm OVPAA-F-INS-055A RAW SC'!BC108="","",'Midterm OVPAA-F-INS-055A RAW SC'!BC108/'Midterm OVPAA-F-INS-055A RAW SC'!BC$17*100)</f>
        <v/>
      </c>
      <c r="BD108" s="126" t="str">
        <f>IF('Midterm OVPAA-F-INS-055A RAW SC'!BD108="","",'Midterm OVPAA-F-INS-055A RAW SC'!BD108/'Midterm OVPAA-F-INS-055A RAW SC'!BD$17*100)</f>
        <v/>
      </c>
      <c r="BE108" s="126" t="str">
        <f>IF('Midterm OVPAA-F-INS-055A RAW SC'!BE108="","",'Midterm OVPAA-F-INS-055A RAW SC'!BE108/'Midterm OVPAA-F-INS-055A RAW SC'!BE$17*100)</f>
        <v/>
      </c>
      <c r="BF108" s="126" t="str">
        <f>IF('Midterm OVPAA-F-INS-055A RAW SC'!BF108="","",'Midterm OVPAA-F-INS-055A RAW SC'!BF108/'Midterm OVPAA-F-INS-055A RAW SC'!BF$17*100)</f>
        <v/>
      </c>
      <c r="BG108" s="126" t="str">
        <f>IF('Midterm OVPAA-F-INS-055A RAW SC'!BG108="","",'Midterm OVPAA-F-INS-055A RAW SC'!BG108/'Midterm OVPAA-F-INS-055A RAW SC'!BG$17*100)</f>
        <v/>
      </c>
      <c r="BH108" s="126" t="str">
        <f>IF('Midterm OVPAA-F-INS-055A RAW SC'!BH108="","",'Midterm OVPAA-F-INS-055A RAW SC'!BH108/'Midterm OVPAA-F-INS-055A RAW SC'!BH$17*100)</f>
        <v/>
      </c>
      <c r="BI108" s="126" t="str">
        <f>IF('Midterm OVPAA-F-INS-055A RAW SC'!BI108="","",'Midterm OVPAA-F-INS-055A RAW SC'!BI108/'Midterm OVPAA-F-INS-055A RAW SC'!BI$17*100)</f>
        <v/>
      </c>
      <c r="BJ108" s="126" t="str">
        <f>IF('Midterm OVPAA-F-INS-055A RAW SC'!BJ108="","",'Midterm OVPAA-F-INS-055A RAW SC'!BJ108/'Midterm OVPAA-F-INS-055A RAW SC'!BJ$17*100)</f>
        <v/>
      </c>
      <c r="BK108" s="126" t="str">
        <f>IF('Midterm OVPAA-F-INS-055A RAW SC'!BK108="","",'Midterm OVPAA-F-INS-055A RAW SC'!BK108/'Midterm OVPAA-F-INS-055A RAW SC'!BK$17*100)</f>
        <v/>
      </c>
      <c r="BL108" s="126" t="str">
        <f>IF('Midterm OVPAA-F-INS-055A RAW SC'!BL108="","",'Midterm OVPAA-F-INS-055A RAW SC'!BL108/'Midterm OVPAA-F-INS-055A RAW SC'!BL$17*100)</f>
        <v/>
      </c>
      <c r="BM108" s="126" t="str">
        <f>IF('Midterm OVPAA-F-INS-055A RAW SC'!BM108="","",'Midterm OVPAA-F-INS-055A RAW SC'!BM108/'Midterm OVPAA-F-INS-055A RAW SC'!BM$17*100)</f>
        <v/>
      </c>
      <c r="BN108" s="126" t="str">
        <f>IF('Midterm OVPAA-F-INS-055A RAW SC'!BN108="","",'Midterm OVPAA-F-INS-055A RAW SC'!BN108/'Midterm OVPAA-F-INS-055A RAW SC'!BN$17*100)</f>
        <v/>
      </c>
      <c r="BO108" s="126" t="str">
        <f>IF('Midterm OVPAA-F-INS-055A RAW SC'!BO108="","",'Midterm OVPAA-F-INS-055A RAW SC'!BO108/'Midterm OVPAA-F-INS-055A RAW SC'!BO$17*100)</f>
        <v/>
      </c>
      <c r="BP108" s="126" t="str">
        <f>IF('Midterm OVPAA-F-INS-055A RAW SC'!BP108="","",'Midterm OVPAA-F-INS-055A RAW SC'!BP108/'Midterm OVPAA-F-INS-055A RAW SC'!BP$17*100)</f>
        <v/>
      </c>
      <c r="BQ108" s="126" t="str">
        <f>IF('Midterm OVPAA-F-INS-055A RAW SC'!BQ108="","",'Midterm OVPAA-F-INS-055A RAW SC'!BQ108/'Midterm OVPAA-F-INS-055A RAW SC'!BQ$17*100)</f>
        <v/>
      </c>
      <c r="BR108" s="126" t="str">
        <f>IF('Midterm OVPAA-F-INS-055A RAW SC'!BR108="","",'Midterm OVPAA-F-INS-055A RAW SC'!BR108/'Midterm OVPAA-F-INS-055A RAW SC'!BR$17*100)</f>
        <v/>
      </c>
      <c r="BS108" s="126" t="str">
        <f>IF('Midterm OVPAA-F-INS-055A RAW SC'!BS108="","",'Midterm OVPAA-F-INS-055A RAW SC'!BS108/'Midterm OVPAA-F-INS-055A RAW SC'!BS$17*100)</f>
        <v/>
      </c>
      <c r="BT108" s="126" t="str">
        <f>IF('Midterm OVPAA-F-INS-055A RAW SC'!BT108="","",'Midterm OVPAA-F-INS-055A RAW SC'!BT108/'Midterm OVPAA-F-INS-055A RAW SC'!BT$17*100)</f>
        <v/>
      </c>
      <c r="BU108" s="127" t="str">
        <f t="array" ref="BU108">IF('Midterm OVPAA-F-INS-055A RAW SC'!$G108="","",IF((SUMPRODUCT(--ISBLANK('Midterm OVPAA-F-INS-055A RAW SC'!H108:BT108))=COLUMNS('Midterm OVPAA-F-INS-055A RAW SC'!H108:BT108))=TRUE,"",(((COUNTA('Midterm OVPAA-F-INS-055A RAW SC'!$H$17:$BT$17)+COUNTBLANK('Midterm OVPAA-F-INS-055A RAW SC'!H108:BT108))-COLUMNS('Midterm OVPAA-F-INS-055A RAW SC'!H108:BT108))*5+SUM(H108:BT108))/COUNTA('Midterm OVPAA-F-INS-055A RAW SC'!$H$17:$BT$17)))</f>
        <v/>
      </c>
      <c r="BV108" s="128" t="str">
        <f>IF(BU108="","",VLOOKUP(BU108,IF('Midterm OVPAA-F-INS-055A RAW SC'!$V$12=0.5,TRANSMUTATION!$C$4:$D$17,TRANSMUTATION!$G$4:$H$17),2,TRUE))</f>
        <v/>
      </c>
      <c r="BW108" s="129" t="str">
        <f>IF('Midterm OVPAA-F-INS-055A RAW SC'!BU108="","",'Midterm OVPAA-F-INS-055A RAW SC'!BU108/'Midterm OVPAA-F-INS-055A RAW SC'!BU$17*100)</f>
        <v/>
      </c>
      <c r="BX108" s="130" t="str">
        <f>IF('Midterm OVPAA-F-INS-055A RAW SC'!BV108="","",'Midterm OVPAA-F-INS-055A RAW SC'!BV108/'Midterm OVPAA-F-INS-055A RAW SC'!BV$17*100)</f>
        <v/>
      </c>
      <c r="BY108" s="130" t="str">
        <f>IF('Midterm OVPAA-F-INS-055A RAW SC'!BW108="","",'Midterm OVPAA-F-INS-055A RAW SC'!BW108/'Midterm OVPAA-F-INS-055A RAW SC'!BW$17*100)</f>
        <v/>
      </c>
      <c r="BZ108" s="130" t="str">
        <f>IF('Midterm OVPAA-F-INS-055A RAW SC'!BX108="","",'Midterm OVPAA-F-INS-055A RAW SC'!BX108/'Midterm OVPAA-F-INS-055A RAW SC'!BX$17*100)</f>
        <v/>
      </c>
      <c r="CA108" s="130" t="str">
        <f>IF('Midterm OVPAA-F-INS-055A RAW SC'!BY108="","",'Midterm OVPAA-F-INS-055A RAW SC'!BY108/'Midterm OVPAA-F-INS-055A RAW SC'!BY$17*100)</f>
        <v/>
      </c>
      <c r="CB108" s="130" t="str">
        <f>IF('Midterm OVPAA-F-INS-055A RAW SC'!BZ108="","",'Midterm OVPAA-F-INS-055A RAW SC'!BZ108/'Midterm OVPAA-F-INS-055A RAW SC'!BZ$17*100)</f>
        <v/>
      </c>
      <c r="CC108" s="130" t="str">
        <f>IF('Midterm OVPAA-F-INS-055A RAW SC'!CA108="","",'Midterm OVPAA-F-INS-055A RAW SC'!CA108/'Midterm OVPAA-F-INS-055A RAW SC'!CA$17*100)</f>
        <v/>
      </c>
      <c r="CD108" s="130" t="str">
        <f>IF('Midterm OVPAA-F-INS-055A RAW SC'!CB108="","",'Midterm OVPAA-F-INS-055A RAW SC'!CB108/'Midterm OVPAA-F-INS-055A RAW SC'!CB$17*100)</f>
        <v/>
      </c>
      <c r="CE108" s="130" t="str">
        <f>IF('Midterm OVPAA-F-INS-055A RAW SC'!CC108="","",'Midterm OVPAA-F-INS-055A RAW SC'!CC108/'Midterm OVPAA-F-INS-055A RAW SC'!CC$17*100)</f>
        <v/>
      </c>
      <c r="CF108" s="130" t="str">
        <f>IF('Midterm OVPAA-F-INS-055A RAW SC'!CD108="","",'Midterm OVPAA-F-INS-055A RAW SC'!CD108/'Midterm OVPAA-F-INS-055A RAW SC'!CD$17*100)</f>
        <v/>
      </c>
      <c r="CG108" s="130" t="str">
        <f>IF('Midterm OVPAA-F-INS-055A RAW SC'!CE108="","",'Midterm OVPAA-F-INS-055A RAW SC'!CE108/'Midterm OVPAA-F-INS-055A RAW SC'!CE$17*100)</f>
        <v/>
      </c>
      <c r="CH108" s="130" t="str">
        <f>IF('Midterm OVPAA-F-INS-055A RAW SC'!CF108="","",'Midterm OVPAA-F-INS-055A RAW SC'!CF108/'Midterm OVPAA-F-INS-055A RAW SC'!CF$17*100)</f>
        <v/>
      </c>
      <c r="CI108" s="130" t="str">
        <f>IF('Midterm OVPAA-F-INS-055A RAW SC'!CG108="","",'Midterm OVPAA-F-INS-055A RAW SC'!CG108/'Midterm OVPAA-F-INS-055A RAW SC'!CG$17*100)</f>
        <v/>
      </c>
      <c r="CJ108" s="130" t="str">
        <f>IF('Midterm OVPAA-F-INS-055A RAW SC'!CH108="","",'Midterm OVPAA-F-INS-055A RAW SC'!CH108/'Midterm OVPAA-F-INS-055A RAW SC'!CH$17*100)</f>
        <v/>
      </c>
      <c r="CK108" s="130" t="str">
        <f>IF('Midterm OVPAA-F-INS-055A RAW SC'!CI108="","",'Midterm OVPAA-F-INS-055A RAW SC'!CI108/'Midterm OVPAA-F-INS-055A RAW SC'!CI$17*100)</f>
        <v/>
      </c>
      <c r="CL108" s="130" t="str">
        <f>IF('Midterm OVPAA-F-INS-055A RAW SC'!CJ108="","",'Midterm OVPAA-F-INS-055A RAW SC'!CJ108/'Midterm OVPAA-F-INS-055A RAW SC'!CJ$17*100)</f>
        <v/>
      </c>
      <c r="CM108" s="130" t="str">
        <f>IF('Midterm OVPAA-F-INS-055A RAW SC'!CK108="","",'Midterm OVPAA-F-INS-055A RAW SC'!CK108/'Midterm OVPAA-F-INS-055A RAW SC'!CK$17*100)</f>
        <v/>
      </c>
      <c r="CN108" s="130" t="str">
        <f>IF('Midterm OVPAA-F-INS-055A RAW SC'!CL108="","",'Midterm OVPAA-F-INS-055A RAW SC'!CL108/'Midterm OVPAA-F-INS-055A RAW SC'!CL$17*100)</f>
        <v/>
      </c>
      <c r="CO108" s="130" t="str">
        <f>IF('Midterm OVPAA-F-INS-055A RAW SC'!CM108="","",'Midterm OVPAA-F-INS-055A RAW SC'!CM108/'Midterm OVPAA-F-INS-055A RAW SC'!CM$17*100)</f>
        <v/>
      </c>
      <c r="CP108" s="130" t="str">
        <f>IF('Midterm OVPAA-F-INS-055A RAW SC'!CN108="","",'Midterm OVPAA-F-INS-055A RAW SC'!CN108/'Midterm OVPAA-F-INS-055A RAW SC'!CN$17*100)</f>
        <v/>
      </c>
      <c r="CQ108" s="131" t="str">
        <f t="array" ref="CQ108">IF('Midterm OVPAA-F-INS-055A RAW SC'!G108="","",IF((SUMPRODUCT(--ISBLANK('Midterm OVPAA-F-INS-055A RAW SC'!BU108:CN108))=COLUMNS('Midterm OVPAA-F-INS-055A RAW SC'!BU108:CN108))=TRUE,"",(((COUNTA('Midterm OVPAA-F-INS-055A RAW SC'!$BU$17:$CN$17)+COUNTBLANK('Midterm OVPAA-F-INS-055A RAW SC'!BU108:CN108))-COLUMNS('Midterm OVPAA-F-INS-055A RAW SC'!BU108:CN108))*5+SUM(BW108:CP108))/COUNTA('Midterm OVPAA-F-INS-055A RAW SC'!$BU$17:$CN$17)))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IF('Midterm OVPAA-F-INS-055A RAW SC'!CO108="","",'Midterm OVPAA-F-INS-055A RAW SC'!CO108/'Midterm OVPAA-F-INS-055A RAW SC'!CO$17*100)</f>
        <v/>
      </c>
      <c r="CT108" s="133" t="str">
        <f>IF('Midterm OVPAA-F-INS-055A RAW SC'!CP108="","",'Midterm OVPAA-F-INS-055A RAW SC'!CP108/'Midterm OVPAA-F-INS-055A RAW SC'!CP$17*100)</f>
        <v/>
      </c>
      <c r="CU108" s="133" t="str">
        <f>IF('Midterm OVPAA-F-INS-055A RAW SC'!CQ108="","",'Midterm OVPAA-F-INS-055A RAW SC'!CQ108/'Midterm OVPAA-F-INS-055A RAW SC'!CQ$17*100)</f>
        <v/>
      </c>
      <c r="CV108" s="133" t="str">
        <f>IF('Midterm OVPAA-F-INS-055A RAW SC'!CR108="","",'Midterm OVPAA-F-INS-055A RAW SC'!CR108/'Midterm OVPAA-F-INS-055A RAW SC'!CR$17*100)</f>
        <v/>
      </c>
      <c r="CW108" s="133" t="str">
        <f>IF('Midterm OVPAA-F-INS-055A RAW SC'!CS108="","",'Midterm OVPAA-F-INS-055A RAW SC'!CS108/'Midterm OVPAA-F-INS-055A RAW SC'!CS$17*100)</f>
        <v/>
      </c>
      <c r="CX108" s="133" t="str">
        <f>IF('Midterm OVPAA-F-INS-055A RAW SC'!CT108="","",'Midterm OVPAA-F-INS-055A RAW SC'!CT108/'Midterm OVPAA-F-INS-055A RAW SC'!CT$17*100)</f>
        <v/>
      </c>
      <c r="CY108" s="133" t="str">
        <f>IF('Midterm OVPAA-F-INS-055A RAW SC'!CU108="","",'Midterm OVPAA-F-INS-055A RAW SC'!CU108/'Midterm OVPAA-F-INS-055A RAW SC'!CU$17*100)</f>
        <v/>
      </c>
      <c r="CZ108" s="133" t="str">
        <f>IF('Midterm OVPAA-F-INS-055A RAW SC'!CV108="","",'Midterm OVPAA-F-INS-055A RAW SC'!CV108/'Midterm OVPAA-F-INS-055A RAW SC'!CV$17*100)</f>
        <v/>
      </c>
      <c r="DA108" s="133" t="str">
        <f>IF('Midterm OVPAA-F-INS-055A RAW SC'!CW108="","",'Midterm OVPAA-F-INS-055A RAW SC'!CW108/'Midterm OVPAA-F-INS-055A RAW SC'!CW$17*100)</f>
        <v/>
      </c>
      <c r="DB108" s="133" t="str">
        <f>IF('Midterm OVPAA-F-INS-055A RAW SC'!CX108="","",'Midterm OVPAA-F-INS-055A RAW SC'!CX108/'Midterm OVPAA-F-INS-055A RAW SC'!CX$17*100)</f>
        <v/>
      </c>
      <c r="DC108" s="134" t="str">
        <f t="array" ref="DC108">IF('Midterm OVPAA-F-INS-055A RAW SC'!$G108="","",IF((SUMPRODUCT(--ISBLANK('Midterm OVPAA-F-INS-055A RAW SC'!CO108:CX108))=COLUMNS('Midterm OVPAA-F-INS-055A RAW SC'!CO108:CX108))=TRUE,"",(((COUNTA('Midterm OVPAA-F-INS-055A RAW SC'!$CO$17:$CX$17)+COUNTBLANK('Midterm OVPAA-F-INS-055A RAW SC'!CO108:CX108))-COLUMNS('Midterm OVPAA-F-INS-055A RAW SC'!CO108:CX108))*5+SUM(CS108:DB108))/COUNTA('Midterm OVPAA-F-INS-055A RAW SC'!$CO$17:$CX$17)))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37" t="str">
        <f t="shared" si="2"/>
        <v/>
      </c>
      <c r="DG108" s="138" t="str">
        <f t="shared" si="3"/>
        <v/>
      </c>
      <c r="DH108" s="136" t="str">
        <f t="shared" si="4"/>
        <v/>
      </c>
      <c r="DI108" s="123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IF('Midterm OVPAA-F-INS-055A RAW SC'!H109="","",'Midterm OVPAA-F-INS-055A RAW SC'!H109/'Midterm OVPAA-F-INS-055A RAW SC'!H$17*100)</f>
        <v/>
      </c>
      <c r="I109" s="126" t="str">
        <f>IF('Midterm OVPAA-F-INS-055A RAW SC'!I109="","",'Midterm OVPAA-F-INS-055A RAW SC'!I109/'Midterm OVPAA-F-INS-055A RAW SC'!I$17*100)</f>
        <v/>
      </c>
      <c r="J109" s="126" t="str">
        <f>IF('Midterm OVPAA-F-INS-055A RAW SC'!J109="","",'Midterm OVPAA-F-INS-055A RAW SC'!J109/'Midterm OVPAA-F-INS-055A RAW SC'!J$17*100)</f>
        <v/>
      </c>
      <c r="K109" s="126" t="str">
        <f>IF('Midterm OVPAA-F-INS-055A RAW SC'!K109="","",'Midterm OVPAA-F-INS-055A RAW SC'!K109/'Midterm OVPAA-F-INS-055A RAW SC'!K$17*100)</f>
        <v/>
      </c>
      <c r="L109" s="126" t="str">
        <f>IF('Midterm OVPAA-F-INS-055A RAW SC'!L109="","",'Midterm OVPAA-F-INS-055A RAW SC'!L109/'Midterm OVPAA-F-INS-055A RAW SC'!L$17*100)</f>
        <v/>
      </c>
      <c r="M109" s="126" t="str">
        <f>IF('Midterm OVPAA-F-INS-055A RAW SC'!M109="","",'Midterm OVPAA-F-INS-055A RAW SC'!M109/'Midterm OVPAA-F-INS-055A RAW SC'!M$17*100)</f>
        <v/>
      </c>
      <c r="N109" s="126" t="str">
        <f>IF('Midterm OVPAA-F-INS-055A RAW SC'!N109="","",'Midterm OVPAA-F-INS-055A RAW SC'!N109/'Midterm OVPAA-F-INS-055A RAW SC'!N$17*100)</f>
        <v/>
      </c>
      <c r="O109" s="126" t="str">
        <f>IF('Midterm OVPAA-F-INS-055A RAW SC'!O109="","",'Midterm OVPAA-F-INS-055A RAW SC'!O109/'Midterm OVPAA-F-INS-055A RAW SC'!O$17*100)</f>
        <v/>
      </c>
      <c r="P109" s="126" t="str">
        <f>IF('Midterm OVPAA-F-INS-055A RAW SC'!P109="","",'Midterm OVPAA-F-INS-055A RAW SC'!P109/'Midterm OVPAA-F-INS-055A RAW SC'!P$17*100)</f>
        <v/>
      </c>
      <c r="Q109" s="126" t="str">
        <f>IF('Midterm OVPAA-F-INS-055A RAW SC'!Q109="","",'Midterm OVPAA-F-INS-055A RAW SC'!Q109/'Midterm OVPAA-F-INS-055A RAW SC'!Q$17*100)</f>
        <v/>
      </c>
      <c r="R109" s="126" t="str">
        <f>IF('Midterm OVPAA-F-INS-055A RAW SC'!R109="","",'Midterm OVPAA-F-INS-055A RAW SC'!R109/'Midterm OVPAA-F-INS-055A RAW SC'!R$17*100)</f>
        <v/>
      </c>
      <c r="S109" s="126" t="str">
        <f>IF('Midterm OVPAA-F-INS-055A RAW SC'!S109="","",'Midterm OVPAA-F-INS-055A RAW SC'!S109/'Midterm OVPAA-F-INS-055A RAW SC'!S$17*100)</f>
        <v/>
      </c>
      <c r="T109" s="126" t="str">
        <f>IF('Midterm OVPAA-F-INS-055A RAW SC'!T109="","",'Midterm OVPAA-F-INS-055A RAW SC'!T109/'Midterm OVPAA-F-INS-055A RAW SC'!T$17*100)</f>
        <v/>
      </c>
      <c r="U109" s="126" t="str">
        <f>IF('Midterm OVPAA-F-INS-055A RAW SC'!U109="","",'Midterm OVPAA-F-INS-055A RAW SC'!U109/'Midterm OVPAA-F-INS-055A RAW SC'!U$17*100)</f>
        <v/>
      </c>
      <c r="V109" s="126" t="str">
        <f>IF('Midterm OVPAA-F-INS-055A RAW SC'!V109="","",'Midterm OVPAA-F-INS-055A RAW SC'!V109/'Midterm OVPAA-F-INS-055A RAW SC'!V$17*100)</f>
        <v/>
      </c>
      <c r="W109" s="126" t="str">
        <f>IF('Midterm OVPAA-F-INS-055A RAW SC'!W109="","",'Midterm OVPAA-F-INS-055A RAW SC'!W109/'Midterm OVPAA-F-INS-055A RAW SC'!W$17*100)</f>
        <v/>
      </c>
      <c r="X109" s="126" t="str">
        <f>IF('Midterm OVPAA-F-INS-055A RAW SC'!X109="","",'Midterm OVPAA-F-INS-055A RAW SC'!X109/'Midterm OVPAA-F-INS-055A RAW SC'!X$17*100)</f>
        <v/>
      </c>
      <c r="Y109" s="126" t="str">
        <f>IF('Midterm OVPAA-F-INS-055A RAW SC'!Y109="","",'Midterm OVPAA-F-INS-055A RAW SC'!Y109/'Midterm OVPAA-F-INS-055A RAW SC'!Y$17*100)</f>
        <v/>
      </c>
      <c r="Z109" s="126" t="str">
        <f>IF('Midterm OVPAA-F-INS-055A RAW SC'!Z109="","",'Midterm OVPAA-F-INS-055A RAW SC'!Z109/'Midterm OVPAA-F-INS-055A RAW SC'!Z$17*100)</f>
        <v/>
      </c>
      <c r="AA109" s="126" t="str">
        <f>IF('Midterm OVPAA-F-INS-055A RAW SC'!AA109="","",'Midterm OVPAA-F-INS-055A RAW SC'!AA109/'Midterm OVPAA-F-INS-055A RAW SC'!AA$17*100)</f>
        <v/>
      </c>
      <c r="AB109" s="126" t="str">
        <f>IF('Midterm OVPAA-F-INS-055A RAW SC'!AB109="","",'Midterm OVPAA-F-INS-055A RAW SC'!AB109/'Midterm OVPAA-F-INS-055A RAW SC'!AB$17*100)</f>
        <v/>
      </c>
      <c r="AC109" s="126" t="str">
        <f>IF('Midterm OVPAA-F-INS-055A RAW SC'!AC109="","",'Midterm OVPAA-F-INS-055A RAW SC'!AC109/'Midterm OVPAA-F-INS-055A RAW SC'!AC$17*100)</f>
        <v/>
      </c>
      <c r="AD109" s="126" t="str">
        <f>IF('Midterm OVPAA-F-INS-055A RAW SC'!AD109="","",'Midterm OVPAA-F-INS-055A RAW SC'!AD109/'Midterm OVPAA-F-INS-055A RAW SC'!AD$17*100)</f>
        <v/>
      </c>
      <c r="AE109" s="126" t="str">
        <f>IF('Midterm OVPAA-F-INS-055A RAW SC'!AE109="","",'Midterm OVPAA-F-INS-055A RAW SC'!AE109/'Midterm OVPAA-F-INS-055A RAW SC'!AE$17*100)</f>
        <v/>
      </c>
      <c r="AF109" s="126" t="str">
        <f>IF('Midterm OVPAA-F-INS-055A RAW SC'!AF109="","",'Midterm OVPAA-F-INS-055A RAW SC'!AF109/'Midterm OVPAA-F-INS-055A RAW SC'!AF$17*100)</f>
        <v/>
      </c>
      <c r="AG109" s="126" t="str">
        <f>IF('Midterm OVPAA-F-INS-055A RAW SC'!AG109="","",'Midterm OVPAA-F-INS-055A RAW SC'!AG109/'Midterm OVPAA-F-INS-055A RAW SC'!AG$17*100)</f>
        <v/>
      </c>
      <c r="AH109" s="126" t="str">
        <f>IF('Midterm OVPAA-F-INS-055A RAW SC'!AH109="","",'Midterm OVPAA-F-INS-055A RAW SC'!AH109/'Midterm OVPAA-F-INS-055A RAW SC'!AH$17*100)</f>
        <v/>
      </c>
      <c r="AI109" s="126" t="str">
        <f>IF('Midterm OVPAA-F-INS-055A RAW SC'!AI109="","",'Midterm OVPAA-F-INS-055A RAW SC'!AI109/'Midterm OVPAA-F-INS-055A RAW SC'!AI$17*100)</f>
        <v/>
      </c>
      <c r="AJ109" s="126" t="str">
        <f>IF('Midterm OVPAA-F-INS-055A RAW SC'!AJ109="","",'Midterm OVPAA-F-INS-055A RAW SC'!AJ109/'Midterm OVPAA-F-INS-055A RAW SC'!AJ$17*100)</f>
        <v/>
      </c>
      <c r="AK109" s="126" t="str">
        <f>IF('Midterm OVPAA-F-INS-055A RAW SC'!AK109="","",'Midterm OVPAA-F-INS-055A RAW SC'!AK109/'Midterm OVPAA-F-INS-055A RAW SC'!AK$17*100)</f>
        <v/>
      </c>
      <c r="AL109" s="126" t="str">
        <f>IF('Midterm OVPAA-F-INS-055A RAW SC'!AL109="","",'Midterm OVPAA-F-INS-055A RAW SC'!AL109/'Midterm OVPAA-F-INS-055A RAW SC'!AL$17*100)</f>
        <v/>
      </c>
      <c r="AM109" s="126" t="str">
        <f>IF('Midterm OVPAA-F-INS-055A RAW SC'!AM109="","",'Midterm OVPAA-F-INS-055A RAW SC'!AM109/'Midterm OVPAA-F-INS-055A RAW SC'!AM$17*100)</f>
        <v/>
      </c>
      <c r="AN109" s="126" t="str">
        <f>IF('Midterm OVPAA-F-INS-055A RAW SC'!AN109="","",'Midterm OVPAA-F-INS-055A RAW SC'!AN109/'Midterm OVPAA-F-INS-055A RAW SC'!AN$17*100)</f>
        <v/>
      </c>
      <c r="AO109" s="126" t="str">
        <f>IF('Midterm OVPAA-F-INS-055A RAW SC'!AO109="","",'Midterm OVPAA-F-INS-055A RAW SC'!AO109/'Midterm OVPAA-F-INS-055A RAW SC'!AO$17*100)</f>
        <v/>
      </c>
      <c r="AP109" s="126" t="str">
        <f>IF('Midterm OVPAA-F-INS-055A RAW SC'!AP109="","",'Midterm OVPAA-F-INS-055A RAW SC'!AP109/'Midterm OVPAA-F-INS-055A RAW SC'!AP$17*100)</f>
        <v/>
      </c>
      <c r="AQ109" s="126" t="str">
        <f>IF('Midterm OVPAA-F-INS-055A RAW SC'!AQ109="","",'Midterm OVPAA-F-INS-055A RAW SC'!AQ109/'Midterm OVPAA-F-INS-055A RAW SC'!AQ$17*100)</f>
        <v/>
      </c>
      <c r="AR109" s="126" t="str">
        <f>IF('Midterm OVPAA-F-INS-055A RAW SC'!AR109="","",'Midterm OVPAA-F-INS-055A RAW SC'!AR109/'Midterm OVPAA-F-INS-055A RAW SC'!AR$17*100)</f>
        <v/>
      </c>
      <c r="AS109" s="126" t="str">
        <f>IF('Midterm OVPAA-F-INS-055A RAW SC'!AS109="","",'Midterm OVPAA-F-INS-055A RAW SC'!AS109/'Midterm OVPAA-F-INS-055A RAW SC'!AS$17*100)</f>
        <v/>
      </c>
      <c r="AT109" s="126" t="str">
        <f>IF('Midterm OVPAA-F-INS-055A RAW SC'!AT109="","",'Midterm OVPAA-F-INS-055A RAW SC'!AT109/'Midterm OVPAA-F-INS-055A RAW SC'!AT$17*100)</f>
        <v/>
      </c>
      <c r="AU109" s="126" t="str">
        <f>IF('Midterm OVPAA-F-INS-055A RAW SC'!AU109="","",'Midterm OVPAA-F-INS-055A RAW SC'!AU109/'Midterm OVPAA-F-INS-055A RAW SC'!AU$17*100)</f>
        <v/>
      </c>
      <c r="AV109" s="126" t="str">
        <f>IF('Midterm OVPAA-F-INS-055A RAW SC'!AV109="","",'Midterm OVPAA-F-INS-055A RAW SC'!AV109/'Midterm OVPAA-F-INS-055A RAW SC'!AV$17*100)</f>
        <v/>
      </c>
      <c r="AW109" s="126" t="str">
        <f>IF('Midterm OVPAA-F-INS-055A RAW SC'!AW109="","",'Midterm OVPAA-F-INS-055A RAW SC'!AW109/'Midterm OVPAA-F-INS-055A RAW SC'!AW$17*100)</f>
        <v/>
      </c>
      <c r="AX109" s="126" t="str">
        <f>IF('Midterm OVPAA-F-INS-055A RAW SC'!AX109="","",'Midterm OVPAA-F-INS-055A RAW SC'!AX109/'Midterm OVPAA-F-INS-055A RAW SC'!AX$17*100)</f>
        <v/>
      </c>
      <c r="AY109" s="126" t="str">
        <f>IF('Midterm OVPAA-F-INS-055A RAW SC'!AY109="","",'Midterm OVPAA-F-INS-055A RAW SC'!AY109/'Midterm OVPAA-F-INS-055A RAW SC'!AY$17*100)</f>
        <v/>
      </c>
      <c r="AZ109" s="126" t="str">
        <f>IF('Midterm OVPAA-F-INS-055A RAW SC'!AZ109="","",'Midterm OVPAA-F-INS-055A RAW SC'!AZ109/'Midterm OVPAA-F-INS-055A RAW SC'!AZ$17*100)</f>
        <v/>
      </c>
      <c r="BA109" s="126" t="str">
        <f>IF('Midterm OVPAA-F-INS-055A RAW SC'!BA109="","",'Midterm OVPAA-F-INS-055A RAW SC'!BA109/'Midterm OVPAA-F-INS-055A RAW SC'!BA$17*100)</f>
        <v/>
      </c>
      <c r="BB109" s="126" t="str">
        <f>IF('Midterm OVPAA-F-INS-055A RAW SC'!BB109="","",'Midterm OVPAA-F-INS-055A RAW SC'!BB109/'Midterm OVPAA-F-INS-055A RAW SC'!BB$17*100)</f>
        <v/>
      </c>
      <c r="BC109" s="126" t="str">
        <f>IF('Midterm OVPAA-F-INS-055A RAW SC'!BC109="","",'Midterm OVPAA-F-INS-055A RAW SC'!BC109/'Midterm OVPAA-F-INS-055A RAW SC'!BC$17*100)</f>
        <v/>
      </c>
      <c r="BD109" s="126" t="str">
        <f>IF('Midterm OVPAA-F-INS-055A RAW SC'!BD109="","",'Midterm OVPAA-F-INS-055A RAW SC'!BD109/'Midterm OVPAA-F-INS-055A RAW SC'!BD$17*100)</f>
        <v/>
      </c>
      <c r="BE109" s="126" t="str">
        <f>IF('Midterm OVPAA-F-INS-055A RAW SC'!BE109="","",'Midterm OVPAA-F-INS-055A RAW SC'!BE109/'Midterm OVPAA-F-INS-055A RAW SC'!BE$17*100)</f>
        <v/>
      </c>
      <c r="BF109" s="126" t="str">
        <f>IF('Midterm OVPAA-F-INS-055A RAW SC'!BF109="","",'Midterm OVPAA-F-INS-055A RAW SC'!BF109/'Midterm OVPAA-F-INS-055A RAW SC'!BF$17*100)</f>
        <v/>
      </c>
      <c r="BG109" s="126" t="str">
        <f>IF('Midterm OVPAA-F-INS-055A RAW SC'!BG109="","",'Midterm OVPAA-F-INS-055A RAW SC'!BG109/'Midterm OVPAA-F-INS-055A RAW SC'!BG$17*100)</f>
        <v/>
      </c>
      <c r="BH109" s="126" t="str">
        <f>IF('Midterm OVPAA-F-INS-055A RAW SC'!BH109="","",'Midterm OVPAA-F-INS-055A RAW SC'!BH109/'Midterm OVPAA-F-INS-055A RAW SC'!BH$17*100)</f>
        <v/>
      </c>
      <c r="BI109" s="126" t="str">
        <f>IF('Midterm OVPAA-F-INS-055A RAW SC'!BI109="","",'Midterm OVPAA-F-INS-055A RAW SC'!BI109/'Midterm OVPAA-F-INS-055A RAW SC'!BI$17*100)</f>
        <v/>
      </c>
      <c r="BJ109" s="126" t="str">
        <f>IF('Midterm OVPAA-F-INS-055A RAW SC'!BJ109="","",'Midterm OVPAA-F-INS-055A RAW SC'!BJ109/'Midterm OVPAA-F-INS-055A RAW SC'!BJ$17*100)</f>
        <v/>
      </c>
      <c r="BK109" s="126" t="str">
        <f>IF('Midterm OVPAA-F-INS-055A RAW SC'!BK109="","",'Midterm OVPAA-F-INS-055A RAW SC'!BK109/'Midterm OVPAA-F-INS-055A RAW SC'!BK$17*100)</f>
        <v/>
      </c>
      <c r="BL109" s="126" t="str">
        <f>IF('Midterm OVPAA-F-INS-055A RAW SC'!BL109="","",'Midterm OVPAA-F-INS-055A RAW SC'!BL109/'Midterm OVPAA-F-INS-055A RAW SC'!BL$17*100)</f>
        <v/>
      </c>
      <c r="BM109" s="126" t="str">
        <f>IF('Midterm OVPAA-F-INS-055A RAW SC'!BM109="","",'Midterm OVPAA-F-INS-055A RAW SC'!BM109/'Midterm OVPAA-F-INS-055A RAW SC'!BM$17*100)</f>
        <v/>
      </c>
      <c r="BN109" s="126" t="str">
        <f>IF('Midterm OVPAA-F-INS-055A RAW SC'!BN109="","",'Midterm OVPAA-F-INS-055A RAW SC'!BN109/'Midterm OVPAA-F-INS-055A RAW SC'!BN$17*100)</f>
        <v/>
      </c>
      <c r="BO109" s="126" t="str">
        <f>IF('Midterm OVPAA-F-INS-055A RAW SC'!BO109="","",'Midterm OVPAA-F-INS-055A RAW SC'!BO109/'Midterm OVPAA-F-INS-055A RAW SC'!BO$17*100)</f>
        <v/>
      </c>
      <c r="BP109" s="126" t="str">
        <f>IF('Midterm OVPAA-F-INS-055A RAW SC'!BP109="","",'Midterm OVPAA-F-INS-055A RAW SC'!BP109/'Midterm OVPAA-F-INS-055A RAW SC'!BP$17*100)</f>
        <v/>
      </c>
      <c r="BQ109" s="126" t="str">
        <f>IF('Midterm OVPAA-F-INS-055A RAW SC'!BQ109="","",'Midterm OVPAA-F-INS-055A RAW SC'!BQ109/'Midterm OVPAA-F-INS-055A RAW SC'!BQ$17*100)</f>
        <v/>
      </c>
      <c r="BR109" s="126" t="str">
        <f>IF('Midterm OVPAA-F-INS-055A RAW SC'!BR109="","",'Midterm OVPAA-F-INS-055A RAW SC'!BR109/'Midterm OVPAA-F-INS-055A RAW SC'!BR$17*100)</f>
        <v/>
      </c>
      <c r="BS109" s="126" t="str">
        <f>IF('Midterm OVPAA-F-INS-055A RAW SC'!BS109="","",'Midterm OVPAA-F-INS-055A RAW SC'!BS109/'Midterm OVPAA-F-INS-055A RAW SC'!BS$17*100)</f>
        <v/>
      </c>
      <c r="BT109" s="126" t="str">
        <f>IF('Midterm OVPAA-F-INS-055A RAW SC'!BT109="","",'Midterm OVPAA-F-INS-055A RAW SC'!BT109/'Midterm OVPAA-F-INS-055A RAW SC'!BT$17*100)</f>
        <v/>
      </c>
      <c r="BU109" s="127" t="str">
        <f t="array" ref="BU109">IF('Midterm OVPAA-F-INS-055A RAW SC'!$G109="","",IF((SUMPRODUCT(--ISBLANK('Midterm OVPAA-F-INS-055A RAW SC'!H109:BT109))=COLUMNS('Midterm OVPAA-F-INS-055A RAW SC'!H109:BT109))=TRUE,"",(((COUNTA('Midterm OVPAA-F-INS-055A RAW SC'!$H$17:$BT$17)+COUNTBLANK('Midterm OVPAA-F-INS-055A RAW SC'!H109:BT109))-COLUMNS('Midterm OVPAA-F-INS-055A RAW SC'!H109:BT109))*5+SUM(H109:BT109))/COUNTA('Midterm OVPAA-F-INS-055A RAW SC'!$H$17:$BT$17)))</f>
        <v/>
      </c>
      <c r="BV109" s="128" t="str">
        <f>IF(BU109="","",VLOOKUP(BU109,IF('Midterm OVPAA-F-INS-055A RAW SC'!$V$12=0.5,TRANSMUTATION!$C$4:$D$17,TRANSMUTATION!$G$4:$H$17),2,TRUE))</f>
        <v/>
      </c>
      <c r="BW109" s="129" t="str">
        <f>IF('Midterm OVPAA-F-INS-055A RAW SC'!BU109="","",'Midterm OVPAA-F-INS-055A RAW SC'!BU109/'Midterm OVPAA-F-INS-055A RAW SC'!BU$17*100)</f>
        <v/>
      </c>
      <c r="BX109" s="130" t="str">
        <f>IF('Midterm OVPAA-F-INS-055A RAW SC'!BV109="","",'Midterm OVPAA-F-INS-055A RAW SC'!BV109/'Midterm OVPAA-F-INS-055A RAW SC'!BV$17*100)</f>
        <v/>
      </c>
      <c r="BY109" s="130" t="str">
        <f>IF('Midterm OVPAA-F-INS-055A RAW SC'!BW109="","",'Midterm OVPAA-F-INS-055A RAW SC'!BW109/'Midterm OVPAA-F-INS-055A RAW SC'!BW$17*100)</f>
        <v/>
      </c>
      <c r="BZ109" s="130" t="str">
        <f>IF('Midterm OVPAA-F-INS-055A RAW SC'!BX109="","",'Midterm OVPAA-F-INS-055A RAW SC'!BX109/'Midterm OVPAA-F-INS-055A RAW SC'!BX$17*100)</f>
        <v/>
      </c>
      <c r="CA109" s="130" t="str">
        <f>IF('Midterm OVPAA-F-INS-055A RAW SC'!BY109="","",'Midterm OVPAA-F-INS-055A RAW SC'!BY109/'Midterm OVPAA-F-INS-055A RAW SC'!BY$17*100)</f>
        <v/>
      </c>
      <c r="CB109" s="130" t="str">
        <f>IF('Midterm OVPAA-F-INS-055A RAW SC'!BZ109="","",'Midterm OVPAA-F-INS-055A RAW SC'!BZ109/'Midterm OVPAA-F-INS-055A RAW SC'!BZ$17*100)</f>
        <v/>
      </c>
      <c r="CC109" s="130" t="str">
        <f>IF('Midterm OVPAA-F-INS-055A RAW SC'!CA109="","",'Midterm OVPAA-F-INS-055A RAW SC'!CA109/'Midterm OVPAA-F-INS-055A RAW SC'!CA$17*100)</f>
        <v/>
      </c>
      <c r="CD109" s="130" t="str">
        <f>IF('Midterm OVPAA-F-INS-055A RAW SC'!CB109="","",'Midterm OVPAA-F-INS-055A RAW SC'!CB109/'Midterm OVPAA-F-INS-055A RAW SC'!CB$17*100)</f>
        <v/>
      </c>
      <c r="CE109" s="130" t="str">
        <f>IF('Midterm OVPAA-F-INS-055A RAW SC'!CC109="","",'Midterm OVPAA-F-INS-055A RAW SC'!CC109/'Midterm OVPAA-F-INS-055A RAW SC'!CC$17*100)</f>
        <v/>
      </c>
      <c r="CF109" s="130" t="str">
        <f>IF('Midterm OVPAA-F-INS-055A RAW SC'!CD109="","",'Midterm OVPAA-F-INS-055A RAW SC'!CD109/'Midterm OVPAA-F-INS-055A RAW SC'!CD$17*100)</f>
        <v/>
      </c>
      <c r="CG109" s="130" t="str">
        <f>IF('Midterm OVPAA-F-INS-055A RAW SC'!CE109="","",'Midterm OVPAA-F-INS-055A RAW SC'!CE109/'Midterm OVPAA-F-INS-055A RAW SC'!CE$17*100)</f>
        <v/>
      </c>
      <c r="CH109" s="130" t="str">
        <f>IF('Midterm OVPAA-F-INS-055A RAW SC'!CF109="","",'Midterm OVPAA-F-INS-055A RAW SC'!CF109/'Midterm OVPAA-F-INS-055A RAW SC'!CF$17*100)</f>
        <v/>
      </c>
      <c r="CI109" s="130" t="str">
        <f>IF('Midterm OVPAA-F-INS-055A RAW SC'!CG109="","",'Midterm OVPAA-F-INS-055A RAW SC'!CG109/'Midterm OVPAA-F-INS-055A RAW SC'!CG$17*100)</f>
        <v/>
      </c>
      <c r="CJ109" s="130" t="str">
        <f>IF('Midterm OVPAA-F-INS-055A RAW SC'!CH109="","",'Midterm OVPAA-F-INS-055A RAW SC'!CH109/'Midterm OVPAA-F-INS-055A RAW SC'!CH$17*100)</f>
        <v/>
      </c>
      <c r="CK109" s="130" t="str">
        <f>IF('Midterm OVPAA-F-INS-055A RAW SC'!CI109="","",'Midterm OVPAA-F-INS-055A RAW SC'!CI109/'Midterm OVPAA-F-INS-055A RAW SC'!CI$17*100)</f>
        <v/>
      </c>
      <c r="CL109" s="130" t="str">
        <f>IF('Midterm OVPAA-F-INS-055A RAW SC'!CJ109="","",'Midterm OVPAA-F-INS-055A RAW SC'!CJ109/'Midterm OVPAA-F-INS-055A RAW SC'!CJ$17*100)</f>
        <v/>
      </c>
      <c r="CM109" s="130" t="str">
        <f>IF('Midterm OVPAA-F-INS-055A RAW SC'!CK109="","",'Midterm OVPAA-F-INS-055A RAW SC'!CK109/'Midterm OVPAA-F-INS-055A RAW SC'!CK$17*100)</f>
        <v/>
      </c>
      <c r="CN109" s="130" t="str">
        <f>IF('Midterm OVPAA-F-INS-055A RAW SC'!CL109="","",'Midterm OVPAA-F-INS-055A RAW SC'!CL109/'Midterm OVPAA-F-INS-055A RAW SC'!CL$17*100)</f>
        <v/>
      </c>
      <c r="CO109" s="130" t="str">
        <f>IF('Midterm OVPAA-F-INS-055A RAW SC'!CM109="","",'Midterm OVPAA-F-INS-055A RAW SC'!CM109/'Midterm OVPAA-F-INS-055A RAW SC'!CM$17*100)</f>
        <v/>
      </c>
      <c r="CP109" s="130" t="str">
        <f>IF('Midterm OVPAA-F-INS-055A RAW SC'!CN109="","",'Midterm OVPAA-F-INS-055A RAW SC'!CN109/'Midterm OVPAA-F-INS-055A RAW SC'!CN$17*100)</f>
        <v/>
      </c>
      <c r="CQ109" s="131" t="str">
        <f t="array" ref="CQ109">IF('Midterm OVPAA-F-INS-055A RAW SC'!G109="","",IF((SUMPRODUCT(--ISBLANK('Midterm OVPAA-F-INS-055A RAW SC'!BU109:CN109))=COLUMNS('Midterm OVPAA-F-INS-055A RAW SC'!BU109:CN109))=TRUE,"",(((COUNTA('Midterm OVPAA-F-INS-055A RAW SC'!$BU$17:$CN$17)+COUNTBLANK('Midterm OVPAA-F-INS-055A RAW SC'!BU109:CN109))-COLUMNS('Midterm OVPAA-F-INS-055A RAW SC'!BU109:CN109))*5+SUM(BW109:CP109))/COUNTA('Midterm OVPAA-F-INS-055A RAW SC'!$BU$17:$CN$17)))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IF('Midterm OVPAA-F-INS-055A RAW SC'!CO109="","",'Midterm OVPAA-F-INS-055A RAW SC'!CO109/'Midterm OVPAA-F-INS-055A RAW SC'!CO$17*100)</f>
        <v/>
      </c>
      <c r="CT109" s="133" t="str">
        <f>IF('Midterm OVPAA-F-INS-055A RAW SC'!CP109="","",'Midterm OVPAA-F-INS-055A RAW SC'!CP109/'Midterm OVPAA-F-INS-055A RAW SC'!CP$17*100)</f>
        <v/>
      </c>
      <c r="CU109" s="133" t="str">
        <f>IF('Midterm OVPAA-F-INS-055A RAW SC'!CQ109="","",'Midterm OVPAA-F-INS-055A RAW SC'!CQ109/'Midterm OVPAA-F-INS-055A RAW SC'!CQ$17*100)</f>
        <v/>
      </c>
      <c r="CV109" s="133" t="str">
        <f>IF('Midterm OVPAA-F-INS-055A RAW SC'!CR109="","",'Midterm OVPAA-F-INS-055A RAW SC'!CR109/'Midterm OVPAA-F-INS-055A RAW SC'!CR$17*100)</f>
        <v/>
      </c>
      <c r="CW109" s="133" t="str">
        <f>IF('Midterm OVPAA-F-INS-055A RAW SC'!CS109="","",'Midterm OVPAA-F-INS-055A RAW SC'!CS109/'Midterm OVPAA-F-INS-055A RAW SC'!CS$17*100)</f>
        <v/>
      </c>
      <c r="CX109" s="133" t="str">
        <f>IF('Midterm OVPAA-F-INS-055A RAW SC'!CT109="","",'Midterm OVPAA-F-INS-055A RAW SC'!CT109/'Midterm OVPAA-F-INS-055A RAW SC'!CT$17*100)</f>
        <v/>
      </c>
      <c r="CY109" s="133" t="str">
        <f>IF('Midterm OVPAA-F-INS-055A RAW SC'!CU109="","",'Midterm OVPAA-F-INS-055A RAW SC'!CU109/'Midterm OVPAA-F-INS-055A RAW SC'!CU$17*100)</f>
        <v/>
      </c>
      <c r="CZ109" s="133" t="str">
        <f>IF('Midterm OVPAA-F-INS-055A RAW SC'!CV109="","",'Midterm OVPAA-F-INS-055A RAW SC'!CV109/'Midterm OVPAA-F-INS-055A RAW SC'!CV$17*100)</f>
        <v/>
      </c>
      <c r="DA109" s="133" t="str">
        <f>IF('Midterm OVPAA-F-INS-055A RAW SC'!CW109="","",'Midterm OVPAA-F-INS-055A RAW SC'!CW109/'Midterm OVPAA-F-INS-055A RAW SC'!CW$17*100)</f>
        <v/>
      </c>
      <c r="DB109" s="133" t="str">
        <f>IF('Midterm OVPAA-F-INS-055A RAW SC'!CX109="","",'Midterm OVPAA-F-INS-055A RAW SC'!CX109/'Midterm OVPAA-F-INS-055A RAW SC'!CX$17*100)</f>
        <v/>
      </c>
      <c r="DC109" s="134" t="str">
        <f t="array" ref="DC109">IF('Midterm OVPAA-F-INS-055A RAW SC'!$G109="","",IF((SUMPRODUCT(--ISBLANK('Midterm OVPAA-F-INS-055A RAW SC'!CO109:CX109))=COLUMNS('Midterm OVPAA-F-INS-055A RAW SC'!CO109:CX109))=TRUE,"",(((COUNTA('Midterm OVPAA-F-INS-055A RAW SC'!$CO$17:$CX$17)+COUNTBLANK('Midterm OVPAA-F-INS-055A RAW SC'!CO109:CX109))-COLUMNS('Midterm OVPAA-F-INS-055A RAW SC'!CO109:CX109))*5+SUM(CS109:DB109))/COUNTA('Midterm OVPAA-F-INS-055A RAW SC'!$CO$17:$CX$17)))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37" t="str">
        <f t="shared" si="2"/>
        <v/>
      </c>
      <c r="DG109" s="138" t="str">
        <f t="shared" si="3"/>
        <v/>
      </c>
      <c r="DH109" s="136" t="str">
        <f t="shared" si="4"/>
        <v/>
      </c>
      <c r="DI109" s="123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IF('Midterm OVPAA-F-INS-055A RAW SC'!H110="","",'Midterm OVPAA-F-INS-055A RAW SC'!H110/'Midterm OVPAA-F-INS-055A RAW SC'!H$17*100)</f>
        <v/>
      </c>
      <c r="I110" s="126" t="str">
        <f>IF('Midterm OVPAA-F-INS-055A RAW SC'!I110="","",'Midterm OVPAA-F-INS-055A RAW SC'!I110/'Midterm OVPAA-F-INS-055A RAW SC'!I$17*100)</f>
        <v/>
      </c>
      <c r="J110" s="126" t="str">
        <f>IF('Midterm OVPAA-F-INS-055A RAW SC'!J110="","",'Midterm OVPAA-F-INS-055A RAW SC'!J110/'Midterm OVPAA-F-INS-055A RAW SC'!J$17*100)</f>
        <v/>
      </c>
      <c r="K110" s="126" t="str">
        <f>IF('Midterm OVPAA-F-INS-055A RAW SC'!K110="","",'Midterm OVPAA-F-INS-055A RAW SC'!K110/'Midterm OVPAA-F-INS-055A RAW SC'!K$17*100)</f>
        <v/>
      </c>
      <c r="L110" s="126" t="str">
        <f>IF('Midterm OVPAA-F-INS-055A RAW SC'!L110="","",'Midterm OVPAA-F-INS-055A RAW SC'!L110/'Midterm OVPAA-F-INS-055A RAW SC'!L$17*100)</f>
        <v/>
      </c>
      <c r="M110" s="126" t="str">
        <f>IF('Midterm OVPAA-F-INS-055A RAW SC'!M110="","",'Midterm OVPAA-F-INS-055A RAW SC'!M110/'Midterm OVPAA-F-INS-055A RAW SC'!M$17*100)</f>
        <v/>
      </c>
      <c r="N110" s="126" t="str">
        <f>IF('Midterm OVPAA-F-INS-055A RAW SC'!N110="","",'Midterm OVPAA-F-INS-055A RAW SC'!N110/'Midterm OVPAA-F-INS-055A RAW SC'!N$17*100)</f>
        <v/>
      </c>
      <c r="O110" s="126" t="str">
        <f>IF('Midterm OVPAA-F-INS-055A RAW SC'!O110="","",'Midterm OVPAA-F-INS-055A RAW SC'!O110/'Midterm OVPAA-F-INS-055A RAW SC'!O$17*100)</f>
        <v/>
      </c>
      <c r="P110" s="126" t="str">
        <f>IF('Midterm OVPAA-F-INS-055A RAW SC'!P110="","",'Midterm OVPAA-F-INS-055A RAW SC'!P110/'Midterm OVPAA-F-INS-055A RAW SC'!P$17*100)</f>
        <v/>
      </c>
      <c r="Q110" s="126" t="str">
        <f>IF('Midterm OVPAA-F-INS-055A RAW SC'!Q110="","",'Midterm OVPAA-F-INS-055A RAW SC'!Q110/'Midterm OVPAA-F-INS-055A RAW SC'!Q$17*100)</f>
        <v/>
      </c>
      <c r="R110" s="126" t="str">
        <f>IF('Midterm OVPAA-F-INS-055A RAW SC'!R110="","",'Midterm OVPAA-F-INS-055A RAW SC'!R110/'Midterm OVPAA-F-INS-055A RAW SC'!R$17*100)</f>
        <v/>
      </c>
      <c r="S110" s="126" t="str">
        <f>IF('Midterm OVPAA-F-INS-055A RAW SC'!S110="","",'Midterm OVPAA-F-INS-055A RAW SC'!S110/'Midterm OVPAA-F-INS-055A RAW SC'!S$17*100)</f>
        <v/>
      </c>
      <c r="T110" s="126" t="str">
        <f>IF('Midterm OVPAA-F-INS-055A RAW SC'!T110="","",'Midterm OVPAA-F-INS-055A RAW SC'!T110/'Midterm OVPAA-F-INS-055A RAW SC'!T$17*100)</f>
        <v/>
      </c>
      <c r="U110" s="126" t="str">
        <f>IF('Midterm OVPAA-F-INS-055A RAW SC'!U110="","",'Midterm OVPAA-F-INS-055A RAW SC'!U110/'Midterm OVPAA-F-INS-055A RAW SC'!U$17*100)</f>
        <v/>
      </c>
      <c r="V110" s="126" t="str">
        <f>IF('Midterm OVPAA-F-INS-055A RAW SC'!V110="","",'Midterm OVPAA-F-INS-055A RAW SC'!V110/'Midterm OVPAA-F-INS-055A RAW SC'!V$17*100)</f>
        <v/>
      </c>
      <c r="W110" s="126" t="str">
        <f>IF('Midterm OVPAA-F-INS-055A RAW SC'!W110="","",'Midterm OVPAA-F-INS-055A RAW SC'!W110/'Midterm OVPAA-F-INS-055A RAW SC'!W$17*100)</f>
        <v/>
      </c>
      <c r="X110" s="126" t="str">
        <f>IF('Midterm OVPAA-F-INS-055A RAW SC'!X110="","",'Midterm OVPAA-F-INS-055A RAW SC'!X110/'Midterm OVPAA-F-INS-055A RAW SC'!X$17*100)</f>
        <v/>
      </c>
      <c r="Y110" s="126" t="str">
        <f>IF('Midterm OVPAA-F-INS-055A RAW SC'!Y110="","",'Midterm OVPAA-F-INS-055A RAW SC'!Y110/'Midterm OVPAA-F-INS-055A RAW SC'!Y$17*100)</f>
        <v/>
      </c>
      <c r="Z110" s="126" t="str">
        <f>IF('Midterm OVPAA-F-INS-055A RAW SC'!Z110="","",'Midterm OVPAA-F-INS-055A RAW SC'!Z110/'Midterm OVPAA-F-INS-055A RAW SC'!Z$17*100)</f>
        <v/>
      </c>
      <c r="AA110" s="126" t="str">
        <f>IF('Midterm OVPAA-F-INS-055A RAW SC'!AA110="","",'Midterm OVPAA-F-INS-055A RAW SC'!AA110/'Midterm OVPAA-F-INS-055A RAW SC'!AA$17*100)</f>
        <v/>
      </c>
      <c r="AB110" s="126" t="str">
        <f>IF('Midterm OVPAA-F-INS-055A RAW SC'!AB110="","",'Midterm OVPAA-F-INS-055A RAW SC'!AB110/'Midterm OVPAA-F-INS-055A RAW SC'!AB$17*100)</f>
        <v/>
      </c>
      <c r="AC110" s="126" t="str">
        <f>IF('Midterm OVPAA-F-INS-055A RAW SC'!AC110="","",'Midterm OVPAA-F-INS-055A RAW SC'!AC110/'Midterm OVPAA-F-INS-055A RAW SC'!AC$17*100)</f>
        <v/>
      </c>
      <c r="AD110" s="126" t="str">
        <f>IF('Midterm OVPAA-F-INS-055A RAW SC'!AD110="","",'Midterm OVPAA-F-INS-055A RAW SC'!AD110/'Midterm OVPAA-F-INS-055A RAW SC'!AD$17*100)</f>
        <v/>
      </c>
      <c r="AE110" s="126" t="str">
        <f>IF('Midterm OVPAA-F-INS-055A RAW SC'!AE110="","",'Midterm OVPAA-F-INS-055A RAW SC'!AE110/'Midterm OVPAA-F-INS-055A RAW SC'!AE$17*100)</f>
        <v/>
      </c>
      <c r="AF110" s="126" t="str">
        <f>IF('Midterm OVPAA-F-INS-055A RAW SC'!AF110="","",'Midterm OVPAA-F-INS-055A RAW SC'!AF110/'Midterm OVPAA-F-INS-055A RAW SC'!AF$17*100)</f>
        <v/>
      </c>
      <c r="AG110" s="126" t="str">
        <f>IF('Midterm OVPAA-F-INS-055A RAW SC'!AG110="","",'Midterm OVPAA-F-INS-055A RAW SC'!AG110/'Midterm OVPAA-F-INS-055A RAW SC'!AG$17*100)</f>
        <v/>
      </c>
      <c r="AH110" s="126" t="str">
        <f>IF('Midterm OVPAA-F-INS-055A RAW SC'!AH110="","",'Midterm OVPAA-F-INS-055A RAW SC'!AH110/'Midterm OVPAA-F-INS-055A RAW SC'!AH$17*100)</f>
        <v/>
      </c>
      <c r="AI110" s="126" t="str">
        <f>IF('Midterm OVPAA-F-INS-055A RAW SC'!AI110="","",'Midterm OVPAA-F-INS-055A RAW SC'!AI110/'Midterm OVPAA-F-INS-055A RAW SC'!AI$17*100)</f>
        <v/>
      </c>
      <c r="AJ110" s="126" t="str">
        <f>IF('Midterm OVPAA-F-INS-055A RAW SC'!AJ110="","",'Midterm OVPAA-F-INS-055A RAW SC'!AJ110/'Midterm OVPAA-F-INS-055A RAW SC'!AJ$17*100)</f>
        <v/>
      </c>
      <c r="AK110" s="126" t="str">
        <f>IF('Midterm OVPAA-F-INS-055A RAW SC'!AK110="","",'Midterm OVPAA-F-INS-055A RAW SC'!AK110/'Midterm OVPAA-F-INS-055A RAW SC'!AK$17*100)</f>
        <v/>
      </c>
      <c r="AL110" s="126" t="str">
        <f>IF('Midterm OVPAA-F-INS-055A RAW SC'!AL110="","",'Midterm OVPAA-F-INS-055A RAW SC'!AL110/'Midterm OVPAA-F-INS-055A RAW SC'!AL$17*100)</f>
        <v/>
      </c>
      <c r="AM110" s="126" t="str">
        <f>IF('Midterm OVPAA-F-INS-055A RAW SC'!AM110="","",'Midterm OVPAA-F-INS-055A RAW SC'!AM110/'Midterm OVPAA-F-INS-055A RAW SC'!AM$17*100)</f>
        <v/>
      </c>
      <c r="AN110" s="126" t="str">
        <f>IF('Midterm OVPAA-F-INS-055A RAW SC'!AN110="","",'Midterm OVPAA-F-INS-055A RAW SC'!AN110/'Midterm OVPAA-F-INS-055A RAW SC'!AN$17*100)</f>
        <v/>
      </c>
      <c r="AO110" s="126" t="str">
        <f>IF('Midterm OVPAA-F-INS-055A RAW SC'!AO110="","",'Midterm OVPAA-F-INS-055A RAW SC'!AO110/'Midterm OVPAA-F-INS-055A RAW SC'!AO$17*100)</f>
        <v/>
      </c>
      <c r="AP110" s="126" t="str">
        <f>IF('Midterm OVPAA-F-INS-055A RAW SC'!AP110="","",'Midterm OVPAA-F-INS-055A RAW SC'!AP110/'Midterm OVPAA-F-INS-055A RAW SC'!AP$17*100)</f>
        <v/>
      </c>
      <c r="AQ110" s="126" t="str">
        <f>IF('Midterm OVPAA-F-INS-055A RAW SC'!AQ110="","",'Midterm OVPAA-F-INS-055A RAW SC'!AQ110/'Midterm OVPAA-F-INS-055A RAW SC'!AQ$17*100)</f>
        <v/>
      </c>
      <c r="AR110" s="126" t="str">
        <f>IF('Midterm OVPAA-F-INS-055A RAW SC'!AR110="","",'Midterm OVPAA-F-INS-055A RAW SC'!AR110/'Midterm OVPAA-F-INS-055A RAW SC'!AR$17*100)</f>
        <v/>
      </c>
      <c r="AS110" s="126" t="str">
        <f>IF('Midterm OVPAA-F-INS-055A RAW SC'!AS110="","",'Midterm OVPAA-F-INS-055A RAW SC'!AS110/'Midterm OVPAA-F-INS-055A RAW SC'!AS$17*100)</f>
        <v/>
      </c>
      <c r="AT110" s="126" t="str">
        <f>IF('Midterm OVPAA-F-INS-055A RAW SC'!AT110="","",'Midterm OVPAA-F-INS-055A RAW SC'!AT110/'Midterm OVPAA-F-INS-055A RAW SC'!AT$17*100)</f>
        <v/>
      </c>
      <c r="AU110" s="126" t="str">
        <f>IF('Midterm OVPAA-F-INS-055A RAW SC'!AU110="","",'Midterm OVPAA-F-INS-055A RAW SC'!AU110/'Midterm OVPAA-F-INS-055A RAW SC'!AU$17*100)</f>
        <v/>
      </c>
      <c r="AV110" s="126" t="str">
        <f>IF('Midterm OVPAA-F-INS-055A RAW SC'!AV110="","",'Midterm OVPAA-F-INS-055A RAW SC'!AV110/'Midterm OVPAA-F-INS-055A RAW SC'!AV$17*100)</f>
        <v/>
      </c>
      <c r="AW110" s="126" t="str">
        <f>IF('Midterm OVPAA-F-INS-055A RAW SC'!AW110="","",'Midterm OVPAA-F-INS-055A RAW SC'!AW110/'Midterm OVPAA-F-INS-055A RAW SC'!AW$17*100)</f>
        <v/>
      </c>
      <c r="AX110" s="126" t="str">
        <f>IF('Midterm OVPAA-F-INS-055A RAW SC'!AX110="","",'Midterm OVPAA-F-INS-055A RAW SC'!AX110/'Midterm OVPAA-F-INS-055A RAW SC'!AX$17*100)</f>
        <v/>
      </c>
      <c r="AY110" s="126" t="str">
        <f>IF('Midterm OVPAA-F-INS-055A RAW SC'!AY110="","",'Midterm OVPAA-F-INS-055A RAW SC'!AY110/'Midterm OVPAA-F-INS-055A RAW SC'!AY$17*100)</f>
        <v/>
      </c>
      <c r="AZ110" s="126" t="str">
        <f>IF('Midterm OVPAA-F-INS-055A RAW SC'!AZ110="","",'Midterm OVPAA-F-INS-055A RAW SC'!AZ110/'Midterm OVPAA-F-INS-055A RAW SC'!AZ$17*100)</f>
        <v/>
      </c>
      <c r="BA110" s="126" t="str">
        <f>IF('Midterm OVPAA-F-INS-055A RAW SC'!BA110="","",'Midterm OVPAA-F-INS-055A RAW SC'!BA110/'Midterm OVPAA-F-INS-055A RAW SC'!BA$17*100)</f>
        <v/>
      </c>
      <c r="BB110" s="126" t="str">
        <f>IF('Midterm OVPAA-F-INS-055A RAW SC'!BB110="","",'Midterm OVPAA-F-INS-055A RAW SC'!BB110/'Midterm OVPAA-F-INS-055A RAW SC'!BB$17*100)</f>
        <v/>
      </c>
      <c r="BC110" s="126" t="str">
        <f>IF('Midterm OVPAA-F-INS-055A RAW SC'!BC110="","",'Midterm OVPAA-F-INS-055A RAW SC'!BC110/'Midterm OVPAA-F-INS-055A RAW SC'!BC$17*100)</f>
        <v/>
      </c>
      <c r="BD110" s="126" t="str">
        <f>IF('Midterm OVPAA-F-INS-055A RAW SC'!BD110="","",'Midterm OVPAA-F-INS-055A RAW SC'!BD110/'Midterm OVPAA-F-INS-055A RAW SC'!BD$17*100)</f>
        <v/>
      </c>
      <c r="BE110" s="126" t="str">
        <f>IF('Midterm OVPAA-F-INS-055A RAW SC'!BE110="","",'Midterm OVPAA-F-INS-055A RAW SC'!BE110/'Midterm OVPAA-F-INS-055A RAW SC'!BE$17*100)</f>
        <v/>
      </c>
      <c r="BF110" s="126" t="str">
        <f>IF('Midterm OVPAA-F-INS-055A RAW SC'!BF110="","",'Midterm OVPAA-F-INS-055A RAW SC'!BF110/'Midterm OVPAA-F-INS-055A RAW SC'!BF$17*100)</f>
        <v/>
      </c>
      <c r="BG110" s="126" t="str">
        <f>IF('Midterm OVPAA-F-INS-055A RAW SC'!BG110="","",'Midterm OVPAA-F-INS-055A RAW SC'!BG110/'Midterm OVPAA-F-INS-055A RAW SC'!BG$17*100)</f>
        <v/>
      </c>
      <c r="BH110" s="126" t="str">
        <f>IF('Midterm OVPAA-F-INS-055A RAW SC'!BH110="","",'Midterm OVPAA-F-INS-055A RAW SC'!BH110/'Midterm OVPAA-F-INS-055A RAW SC'!BH$17*100)</f>
        <v/>
      </c>
      <c r="BI110" s="126" t="str">
        <f>IF('Midterm OVPAA-F-INS-055A RAW SC'!BI110="","",'Midterm OVPAA-F-INS-055A RAW SC'!BI110/'Midterm OVPAA-F-INS-055A RAW SC'!BI$17*100)</f>
        <v/>
      </c>
      <c r="BJ110" s="126" t="str">
        <f>IF('Midterm OVPAA-F-INS-055A RAW SC'!BJ110="","",'Midterm OVPAA-F-INS-055A RAW SC'!BJ110/'Midterm OVPAA-F-INS-055A RAW SC'!BJ$17*100)</f>
        <v/>
      </c>
      <c r="BK110" s="126" t="str">
        <f>IF('Midterm OVPAA-F-INS-055A RAW SC'!BK110="","",'Midterm OVPAA-F-INS-055A RAW SC'!BK110/'Midterm OVPAA-F-INS-055A RAW SC'!BK$17*100)</f>
        <v/>
      </c>
      <c r="BL110" s="126" t="str">
        <f>IF('Midterm OVPAA-F-INS-055A RAW SC'!BL110="","",'Midterm OVPAA-F-INS-055A RAW SC'!BL110/'Midterm OVPAA-F-INS-055A RAW SC'!BL$17*100)</f>
        <v/>
      </c>
      <c r="BM110" s="126" t="str">
        <f>IF('Midterm OVPAA-F-INS-055A RAW SC'!BM110="","",'Midterm OVPAA-F-INS-055A RAW SC'!BM110/'Midterm OVPAA-F-INS-055A RAW SC'!BM$17*100)</f>
        <v/>
      </c>
      <c r="BN110" s="126" t="str">
        <f>IF('Midterm OVPAA-F-INS-055A RAW SC'!BN110="","",'Midterm OVPAA-F-INS-055A RAW SC'!BN110/'Midterm OVPAA-F-INS-055A RAW SC'!BN$17*100)</f>
        <v/>
      </c>
      <c r="BO110" s="126" t="str">
        <f>IF('Midterm OVPAA-F-INS-055A RAW SC'!BO110="","",'Midterm OVPAA-F-INS-055A RAW SC'!BO110/'Midterm OVPAA-F-INS-055A RAW SC'!BO$17*100)</f>
        <v/>
      </c>
      <c r="BP110" s="126" t="str">
        <f>IF('Midterm OVPAA-F-INS-055A RAW SC'!BP110="","",'Midterm OVPAA-F-INS-055A RAW SC'!BP110/'Midterm OVPAA-F-INS-055A RAW SC'!BP$17*100)</f>
        <v/>
      </c>
      <c r="BQ110" s="126" t="str">
        <f>IF('Midterm OVPAA-F-INS-055A RAW SC'!BQ110="","",'Midterm OVPAA-F-INS-055A RAW SC'!BQ110/'Midterm OVPAA-F-INS-055A RAW SC'!BQ$17*100)</f>
        <v/>
      </c>
      <c r="BR110" s="126" t="str">
        <f>IF('Midterm OVPAA-F-INS-055A RAW SC'!BR110="","",'Midterm OVPAA-F-INS-055A RAW SC'!BR110/'Midterm OVPAA-F-INS-055A RAW SC'!BR$17*100)</f>
        <v/>
      </c>
      <c r="BS110" s="126" t="str">
        <f>IF('Midterm OVPAA-F-INS-055A RAW SC'!BS110="","",'Midterm OVPAA-F-INS-055A RAW SC'!BS110/'Midterm OVPAA-F-INS-055A RAW SC'!BS$17*100)</f>
        <v/>
      </c>
      <c r="BT110" s="126" t="str">
        <f>IF('Midterm OVPAA-F-INS-055A RAW SC'!BT110="","",'Midterm OVPAA-F-INS-055A RAW SC'!BT110/'Midterm OVPAA-F-INS-055A RAW SC'!BT$17*100)</f>
        <v/>
      </c>
      <c r="BU110" s="127" t="str">
        <f t="array" ref="BU110">IF('Midterm OVPAA-F-INS-055A RAW SC'!$G110="","",IF((SUMPRODUCT(--ISBLANK('Midterm OVPAA-F-INS-055A RAW SC'!H110:BT110))=COLUMNS('Midterm OVPAA-F-INS-055A RAW SC'!H110:BT110))=TRUE,"",(((COUNTA('Midterm OVPAA-F-INS-055A RAW SC'!$H$17:$BT$17)+COUNTBLANK('Midterm OVPAA-F-INS-055A RAW SC'!H110:BT110))-COLUMNS('Midterm OVPAA-F-INS-055A RAW SC'!H110:BT110))*5+SUM(H110:BT110))/COUNTA('Midterm OVPAA-F-INS-055A RAW SC'!$H$17:$BT$17)))</f>
        <v/>
      </c>
      <c r="BV110" s="128" t="str">
        <f>IF(BU110="","",VLOOKUP(BU110,IF('Midterm OVPAA-F-INS-055A RAW SC'!$V$12=0.5,TRANSMUTATION!$C$4:$D$17,TRANSMUTATION!$G$4:$H$17),2,TRUE))</f>
        <v/>
      </c>
      <c r="BW110" s="129" t="str">
        <f>IF('Midterm OVPAA-F-INS-055A RAW SC'!BU110="","",'Midterm OVPAA-F-INS-055A RAW SC'!BU110/'Midterm OVPAA-F-INS-055A RAW SC'!BU$17*100)</f>
        <v/>
      </c>
      <c r="BX110" s="130" t="str">
        <f>IF('Midterm OVPAA-F-INS-055A RAW SC'!BV110="","",'Midterm OVPAA-F-INS-055A RAW SC'!BV110/'Midterm OVPAA-F-INS-055A RAW SC'!BV$17*100)</f>
        <v/>
      </c>
      <c r="BY110" s="130" t="str">
        <f>IF('Midterm OVPAA-F-INS-055A RAW SC'!BW110="","",'Midterm OVPAA-F-INS-055A RAW SC'!BW110/'Midterm OVPAA-F-INS-055A RAW SC'!BW$17*100)</f>
        <v/>
      </c>
      <c r="BZ110" s="130" t="str">
        <f>IF('Midterm OVPAA-F-INS-055A RAW SC'!BX110="","",'Midterm OVPAA-F-INS-055A RAW SC'!BX110/'Midterm OVPAA-F-INS-055A RAW SC'!BX$17*100)</f>
        <v/>
      </c>
      <c r="CA110" s="130" t="str">
        <f>IF('Midterm OVPAA-F-INS-055A RAW SC'!BY110="","",'Midterm OVPAA-F-INS-055A RAW SC'!BY110/'Midterm OVPAA-F-INS-055A RAW SC'!BY$17*100)</f>
        <v/>
      </c>
      <c r="CB110" s="130" t="str">
        <f>IF('Midterm OVPAA-F-INS-055A RAW SC'!BZ110="","",'Midterm OVPAA-F-INS-055A RAW SC'!BZ110/'Midterm OVPAA-F-INS-055A RAW SC'!BZ$17*100)</f>
        <v/>
      </c>
      <c r="CC110" s="130" t="str">
        <f>IF('Midterm OVPAA-F-INS-055A RAW SC'!CA110="","",'Midterm OVPAA-F-INS-055A RAW SC'!CA110/'Midterm OVPAA-F-INS-055A RAW SC'!CA$17*100)</f>
        <v/>
      </c>
      <c r="CD110" s="130" t="str">
        <f>IF('Midterm OVPAA-F-INS-055A RAW SC'!CB110="","",'Midterm OVPAA-F-INS-055A RAW SC'!CB110/'Midterm OVPAA-F-INS-055A RAW SC'!CB$17*100)</f>
        <v/>
      </c>
      <c r="CE110" s="130" t="str">
        <f>IF('Midterm OVPAA-F-INS-055A RAW SC'!CC110="","",'Midterm OVPAA-F-INS-055A RAW SC'!CC110/'Midterm OVPAA-F-INS-055A RAW SC'!CC$17*100)</f>
        <v/>
      </c>
      <c r="CF110" s="130" t="str">
        <f>IF('Midterm OVPAA-F-INS-055A RAW SC'!CD110="","",'Midterm OVPAA-F-INS-055A RAW SC'!CD110/'Midterm OVPAA-F-INS-055A RAW SC'!CD$17*100)</f>
        <v/>
      </c>
      <c r="CG110" s="130" t="str">
        <f>IF('Midterm OVPAA-F-INS-055A RAW SC'!CE110="","",'Midterm OVPAA-F-INS-055A RAW SC'!CE110/'Midterm OVPAA-F-INS-055A RAW SC'!CE$17*100)</f>
        <v/>
      </c>
      <c r="CH110" s="130" t="str">
        <f>IF('Midterm OVPAA-F-INS-055A RAW SC'!CF110="","",'Midterm OVPAA-F-INS-055A RAW SC'!CF110/'Midterm OVPAA-F-INS-055A RAW SC'!CF$17*100)</f>
        <v/>
      </c>
      <c r="CI110" s="130" t="str">
        <f>IF('Midterm OVPAA-F-INS-055A RAW SC'!CG110="","",'Midterm OVPAA-F-INS-055A RAW SC'!CG110/'Midterm OVPAA-F-INS-055A RAW SC'!CG$17*100)</f>
        <v/>
      </c>
      <c r="CJ110" s="130" t="str">
        <f>IF('Midterm OVPAA-F-INS-055A RAW SC'!CH110="","",'Midterm OVPAA-F-INS-055A RAW SC'!CH110/'Midterm OVPAA-F-INS-055A RAW SC'!CH$17*100)</f>
        <v/>
      </c>
      <c r="CK110" s="130" t="str">
        <f>IF('Midterm OVPAA-F-INS-055A RAW SC'!CI110="","",'Midterm OVPAA-F-INS-055A RAW SC'!CI110/'Midterm OVPAA-F-INS-055A RAW SC'!CI$17*100)</f>
        <v/>
      </c>
      <c r="CL110" s="130" t="str">
        <f>IF('Midterm OVPAA-F-INS-055A RAW SC'!CJ110="","",'Midterm OVPAA-F-INS-055A RAW SC'!CJ110/'Midterm OVPAA-F-INS-055A RAW SC'!CJ$17*100)</f>
        <v/>
      </c>
      <c r="CM110" s="130" t="str">
        <f>IF('Midterm OVPAA-F-INS-055A RAW SC'!CK110="","",'Midterm OVPAA-F-INS-055A RAW SC'!CK110/'Midterm OVPAA-F-INS-055A RAW SC'!CK$17*100)</f>
        <v/>
      </c>
      <c r="CN110" s="130" t="str">
        <f>IF('Midterm OVPAA-F-INS-055A RAW SC'!CL110="","",'Midterm OVPAA-F-INS-055A RAW SC'!CL110/'Midterm OVPAA-F-INS-055A RAW SC'!CL$17*100)</f>
        <v/>
      </c>
      <c r="CO110" s="130" t="str">
        <f>IF('Midterm OVPAA-F-INS-055A RAW SC'!CM110="","",'Midterm OVPAA-F-INS-055A RAW SC'!CM110/'Midterm OVPAA-F-INS-055A RAW SC'!CM$17*100)</f>
        <v/>
      </c>
      <c r="CP110" s="130" t="str">
        <f>IF('Midterm OVPAA-F-INS-055A RAW SC'!CN110="","",'Midterm OVPAA-F-INS-055A RAW SC'!CN110/'Midterm OVPAA-F-INS-055A RAW SC'!CN$17*100)</f>
        <v/>
      </c>
      <c r="CQ110" s="131" t="str">
        <f t="array" ref="CQ110">IF('Midterm OVPAA-F-INS-055A RAW SC'!G110="","",IF((SUMPRODUCT(--ISBLANK('Midterm OVPAA-F-INS-055A RAW SC'!BU110:CN110))=COLUMNS('Midterm OVPAA-F-INS-055A RAW SC'!BU110:CN110))=TRUE,"",(((COUNTA('Midterm OVPAA-F-INS-055A RAW SC'!$BU$17:$CN$17)+COUNTBLANK('Midterm OVPAA-F-INS-055A RAW SC'!BU110:CN110))-COLUMNS('Midterm OVPAA-F-INS-055A RAW SC'!BU110:CN110))*5+SUM(BW110:CP110))/COUNTA('Midterm OVPAA-F-INS-055A RAW SC'!$BU$17:$CN$17)))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IF('Midterm OVPAA-F-INS-055A RAW SC'!CO110="","",'Midterm OVPAA-F-INS-055A RAW SC'!CO110/'Midterm OVPAA-F-INS-055A RAW SC'!CO$17*100)</f>
        <v/>
      </c>
      <c r="CT110" s="133" t="str">
        <f>IF('Midterm OVPAA-F-INS-055A RAW SC'!CP110="","",'Midterm OVPAA-F-INS-055A RAW SC'!CP110/'Midterm OVPAA-F-INS-055A RAW SC'!CP$17*100)</f>
        <v/>
      </c>
      <c r="CU110" s="133" t="str">
        <f>IF('Midterm OVPAA-F-INS-055A RAW SC'!CQ110="","",'Midterm OVPAA-F-INS-055A RAW SC'!CQ110/'Midterm OVPAA-F-INS-055A RAW SC'!CQ$17*100)</f>
        <v/>
      </c>
      <c r="CV110" s="133" t="str">
        <f>IF('Midterm OVPAA-F-INS-055A RAW SC'!CR110="","",'Midterm OVPAA-F-INS-055A RAW SC'!CR110/'Midterm OVPAA-F-INS-055A RAW SC'!CR$17*100)</f>
        <v/>
      </c>
      <c r="CW110" s="133" t="str">
        <f>IF('Midterm OVPAA-F-INS-055A RAW SC'!CS110="","",'Midterm OVPAA-F-INS-055A RAW SC'!CS110/'Midterm OVPAA-F-INS-055A RAW SC'!CS$17*100)</f>
        <v/>
      </c>
      <c r="CX110" s="133" t="str">
        <f>IF('Midterm OVPAA-F-INS-055A RAW SC'!CT110="","",'Midterm OVPAA-F-INS-055A RAW SC'!CT110/'Midterm OVPAA-F-INS-055A RAW SC'!CT$17*100)</f>
        <v/>
      </c>
      <c r="CY110" s="133" t="str">
        <f>IF('Midterm OVPAA-F-INS-055A RAW SC'!CU110="","",'Midterm OVPAA-F-INS-055A RAW SC'!CU110/'Midterm OVPAA-F-INS-055A RAW SC'!CU$17*100)</f>
        <v/>
      </c>
      <c r="CZ110" s="133" t="str">
        <f>IF('Midterm OVPAA-F-INS-055A RAW SC'!CV110="","",'Midterm OVPAA-F-INS-055A RAW SC'!CV110/'Midterm OVPAA-F-INS-055A RAW SC'!CV$17*100)</f>
        <v/>
      </c>
      <c r="DA110" s="133" t="str">
        <f>IF('Midterm OVPAA-F-INS-055A RAW SC'!CW110="","",'Midterm OVPAA-F-INS-055A RAW SC'!CW110/'Midterm OVPAA-F-INS-055A RAW SC'!CW$17*100)</f>
        <v/>
      </c>
      <c r="DB110" s="133" t="str">
        <f>IF('Midterm OVPAA-F-INS-055A RAW SC'!CX110="","",'Midterm OVPAA-F-INS-055A RAW SC'!CX110/'Midterm OVPAA-F-INS-055A RAW SC'!CX$17*100)</f>
        <v/>
      </c>
      <c r="DC110" s="134" t="str">
        <f t="array" ref="DC110">IF('Midterm OVPAA-F-INS-055A RAW SC'!$G110="","",IF((SUMPRODUCT(--ISBLANK('Midterm OVPAA-F-INS-055A RAW SC'!CO110:CX110))=COLUMNS('Midterm OVPAA-F-INS-055A RAW SC'!CO110:CX110))=TRUE,"",(((COUNTA('Midterm OVPAA-F-INS-055A RAW SC'!$CO$17:$CX$17)+COUNTBLANK('Midterm OVPAA-F-INS-055A RAW SC'!CO110:CX110))-COLUMNS('Midterm OVPAA-F-INS-055A RAW SC'!CO110:CX110))*5+SUM(CS110:DB110))/COUNTA('Midterm OVPAA-F-INS-055A RAW SC'!$CO$17:$CX$17)))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37" t="str">
        <f t="shared" si="2"/>
        <v/>
      </c>
      <c r="DG110" s="138" t="str">
        <f t="shared" si="3"/>
        <v/>
      </c>
      <c r="DH110" s="136" t="str">
        <f t="shared" si="4"/>
        <v/>
      </c>
      <c r="DI110" s="123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IF('Midterm OVPAA-F-INS-055A RAW SC'!H111="","",'Midterm OVPAA-F-INS-055A RAW SC'!H111/'Midterm OVPAA-F-INS-055A RAW SC'!H$17*100)</f>
        <v/>
      </c>
      <c r="I111" s="126" t="str">
        <f>IF('Midterm OVPAA-F-INS-055A RAW SC'!I111="","",'Midterm OVPAA-F-INS-055A RAW SC'!I111/'Midterm OVPAA-F-INS-055A RAW SC'!I$17*100)</f>
        <v/>
      </c>
      <c r="J111" s="126" t="str">
        <f>IF('Midterm OVPAA-F-INS-055A RAW SC'!J111="","",'Midterm OVPAA-F-INS-055A RAW SC'!J111/'Midterm OVPAA-F-INS-055A RAW SC'!J$17*100)</f>
        <v/>
      </c>
      <c r="K111" s="126" t="str">
        <f>IF('Midterm OVPAA-F-INS-055A RAW SC'!K111="","",'Midterm OVPAA-F-INS-055A RAW SC'!K111/'Midterm OVPAA-F-INS-055A RAW SC'!K$17*100)</f>
        <v/>
      </c>
      <c r="L111" s="126" t="str">
        <f>IF('Midterm OVPAA-F-INS-055A RAW SC'!L111="","",'Midterm OVPAA-F-INS-055A RAW SC'!L111/'Midterm OVPAA-F-INS-055A RAW SC'!L$17*100)</f>
        <v/>
      </c>
      <c r="M111" s="126" t="str">
        <f>IF('Midterm OVPAA-F-INS-055A RAW SC'!M111="","",'Midterm OVPAA-F-INS-055A RAW SC'!M111/'Midterm OVPAA-F-INS-055A RAW SC'!M$17*100)</f>
        <v/>
      </c>
      <c r="N111" s="126" t="str">
        <f>IF('Midterm OVPAA-F-INS-055A RAW SC'!N111="","",'Midterm OVPAA-F-INS-055A RAW SC'!N111/'Midterm OVPAA-F-INS-055A RAW SC'!N$17*100)</f>
        <v/>
      </c>
      <c r="O111" s="126" t="str">
        <f>IF('Midterm OVPAA-F-INS-055A RAW SC'!O111="","",'Midterm OVPAA-F-INS-055A RAW SC'!O111/'Midterm OVPAA-F-INS-055A RAW SC'!O$17*100)</f>
        <v/>
      </c>
      <c r="P111" s="126" t="str">
        <f>IF('Midterm OVPAA-F-INS-055A RAW SC'!P111="","",'Midterm OVPAA-F-INS-055A RAW SC'!P111/'Midterm OVPAA-F-INS-055A RAW SC'!P$17*100)</f>
        <v/>
      </c>
      <c r="Q111" s="126" t="str">
        <f>IF('Midterm OVPAA-F-INS-055A RAW SC'!Q111="","",'Midterm OVPAA-F-INS-055A RAW SC'!Q111/'Midterm OVPAA-F-INS-055A RAW SC'!Q$17*100)</f>
        <v/>
      </c>
      <c r="R111" s="126" t="str">
        <f>IF('Midterm OVPAA-F-INS-055A RAW SC'!R111="","",'Midterm OVPAA-F-INS-055A RAW SC'!R111/'Midterm OVPAA-F-INS-055A RAW SC'!R$17*100)</f>
        <v/>
      </c>
      <c r="S111" s="126" t="str">
        <f>IF('Midterm OVPAA-F-INS-055A RAW SC'!S111="","",'Midterm OVPAA-F-INS-055A RAW SC'!S111/'Midterm OVPAA-F-INS-055A RAW SC'!S$17*100)</f>
        <v/>
      </c>
      <c r="T111" s="126" t="str">
        <f>IF('Midterm OVPAA-F-INS-055A RAW SC'!T111="","",'Midterm OVPAA-F-INS-055A RAW SC'!T111/'Midterm OVPAA-F-INS-055A RAW SC'!T$17*100)</f>
        <v/>
      </c>
      <c r="U111" s="126" t="str">
        <f>IF('Midterm OVPAA-F-INS-055A RAW SC'!U111="","",'Midterm OVPAA-F-INS-055A RAW SC'!U111/'Midterm OVPAA-F-INS-055A RAW SC'!U$17*100)</f>
        <v/>
      </c>
      <c r="V111" s="126" t="str">
        <f>IF('Midterm OVPAA-F-INS-055A RAW SC'!V111="","",'Midterm OVPAA-F-INS-055A RAW SC'!V111/'Midterm OVPAA-F-INS-055A RAW SC'!V$17*100)</f>
        <v/>
      </c>
      <c r="W111" s="126" t="str">
        <f>IF('Midterm OVPAA-F-INS-055A RAW SC'!W111="","",'Midterm OVPAA-F-INS-055A RAW SC'!W111/'Midterm OVPAA-F-INS-055A RAW SC'!W$17*100)</f>
        <v/>
      </c>
      <c r="X111" s="126" t="str">
        <f>IF('Midterm OVPAA-F-INS-055A RAW SC'!X111="","",'Midterm OVPAA-F-INS-055A RAW SC'!X111/'Midterm OVPAA-F-INS-055A RAW SC'!X$17*100)</f>
        <v/>
      </c>
      <c r="Y111" s="126" t="str">
        <f>IF('Midterm OVPAA-F-INS-055A RAW SC'!Y111="","",'Midterm OVPAA-F-INS-055A RAW SC'!Y111/'Midterm OVPAA-F-INS-055A RAW SC'!Y$17*100)</f>
        <v/>
      </c>
      <c r="Z111" s="126" t="str">
        <f>IF('Midterm OVPAA-F-INS-055A RAW SC'!Z111="","",'Midterm OVPAA-F-INS-055A RAW SC'!Z111/'Midterm OVPAA-F-INS-055A RAW SC'!Z$17*100)</f>
        <v/>
      </c>
      <c r="AA111" s="126" t="str">
        <f>IF('Midterm OVPAA-F-INS-055A RAW SC'!AA111="","",'Midterm OVPAA-F-INS-055A RAW SC'!AA111/'Midterm OVPAA-F-INS-055A RAW SC'!AA$17*100)</f>
        <v/>
      </c>
      <c r="AB111" s="126" t="str">
        <f>IF('Midterm OVPAA-F-INS-055A RAW SC'!AB111="","",'Midterm OVPAA-F-INS-055A RAW SC'!AB111/'Midterm OVPAA-F-INS-055A RAW SC'!AB$17*100)</f>
        <v/>
      </c>
      <c r="AC111" s="126" t="str">
        <f>IF('Midterm OVPAA-F-INS-055A RAW SC'!AC111="","",'Midterm OVPAA-F-INS-055A RAW SC'!AC111/'Midterm OVPAA-F-INS-055A RAW SC'!AC$17*100)</f>
        <v/>
      </c>
      <c r="AD111" s="126" t="str">
        <f>IF('Midterm OVPAA-F-INS-055A RAW SC'!AD111="","",'Midterm OVPAA-F-INS-055A RAW SC'!AD111/'Midterm OVPAA-F-INS-055A RAW SC'!AD$17*100)</f>
        <v/>
      </c>
      <c r="AE111" s="126" t="str">
        <f>IF('Midterm OVPAA-F-INS-055A RAW SC'!AE111="","",'Midterm OVPAA-F-INS-055A RAW SC'!AE111/'Midterm OVPAA-F-INS-055A RAW SC'!AE$17*100)</f>
        <v/>
      </c>
      <c r="AF111" s="126" t="str">
        <f>IF('Midterm OVPAA-F-INS-055A RAW SC'!AF111="","",'Midterm OVPAA-F-INS-055A RAW SC'!AF111/'Midterm OVPAA-F-INS-055A RAW SC'!AF$17*100)</f>
        <v/>
      </c>
      <c r="AG111" s="126" t="str">
        <f>IF('Midterm OVPAA-F-INS-055A RAW SC'!AG111="","",'Midterm OVPAA-F-INS-055A RAW SC'!AG111/'Midterm OVPAA-F-INS-055A RAW SC'!AG$17*100)</f>
        <v/>
      </c>
      <c r="AH111" s="126" t="str">
        <f>IF('Midterm OVPAA-F-INS-055A RAW SC'!AH111="","",'Midterm OVPAA-F-INS-055A RAW SC'!AH111/'Midterm OVPAA-F-INS-055A RAW SC'!AH$17*100)</f>
        <v/>
      </c>
      <c r="AI111" s="126" t="str">
        <f>IF('Midterm OVPAA-F-INS-055A RAW SC'!AI111="","",'Midterm OVPAA-F-INS-055A RAW SC'!AI111/'Midterm OVPAA-F-INS-055A RAW SC'!AI$17*100)</f>
        <v/>
      </c>
      <c r="AJ111" s="126" t="str">
        <f>IF('Midterm OVPAA-F-INS-055A RAW SC'!AJ111="","",'Midterm OVPAA-F-INS-055A RAW SC'!AJ111/'Midterm OVPAA-F-INS-055A RAW SC'!AJ$17*100)</f>
        <v/>
      </c>
      <c r="AK111" s="126" t="str">
        <f>IF('Midterm OVPAA-F-INS-055A RAW SC'!AK111="","",'Midterm OVPAA-F-INS-055A RAW SC'!AK111/'Midterm OVPAA-F-INS-055A RAW SC'!AK$17*100)</f>
        <v/>
      </c>
      <c r="AL111" s="126" t="str">
        <f>IF('Midterm OVPAA-F-INS-055A RAW SC'!AL111="","",'Midterm OVPAA-F-INS-055A RAW SC'!AL111/'Midterm OVPAA-F-INS-055A RAW SC'!AL$17*100)</f>
        <v/>
      </c>
      <c r="AM111" s="126" t="str">
        <f>IF('Midterm OVPAA-F-INS-055A RAW SC'!AM111="","",'Midterm OVPAA-F-INS-055A RAW SC'!AM111/'Midterm OVPAA-F-INS-055A RAW SC'!AM$17*100)</f>
        <v/>
      </c>
      <c r="AN111" s="126" t="str">
        <f>IF('Midterm OVPAA-F-INS-055A RAW SC'!AN111="","",'Midterm OVPAA-F-INS-055A RAW SC'!AN111/'Midterm OVPAA-F-INS-055A RAW SC'!AN$17*100)</f>
        <v/>
      </c>
      <c r="AO111" s="126" t="str">
        <f>IF('Midterm OVPAA-F-INS-055A RAW SC'!AO111="","",'Midterm OVPAA-F-INS-055A RAW SC'!AO111/'Midterm OVPAA-F-INS-055A RAW SC'!AO$17*100)</f>
        <v/>
      </c>
      <c r="AP111" s="126" t="str">
        <f>IF('Midterm OVPAA-F-INS-055A RAW SC'!AP111="","",'Midterm OVPAA-F-INS-055A RAW SC'!AP111/'Midterm OVPAA-F-INS-055A RAW SC'!AP$17*100)</f>
        <v/>
      </c>
      <c r="AQ111" s="126" t="str">
        <f>IF('Midterm OVPAA-F-INS-055A RAW SC'!AQ111="","",'Midterm OVPAA-F-INS-055A RAW SC'!AQ111/'Midterm OVPAA-F-INS-055A RAW SC'!AQ$17*100)</f>
        <v/>
      </c>
      <c r="AR111" s="126" t="str">
        <f>IF('Midterm OVPAA-F-INS-055A RAW SC'!AR111="","",'Midterm OVPAA-F-INS-055A RAW SC'!AR111/'Midterm OVPAA-F-INS-055A RAW SC'!AR$17*100)</f>
        <v/>
      </c>
      <c r="AS111" s="126" t="str">
        <f>IF('Midterm OVPAA-F-INS-055A RAW SC'!AS111="","",'Midterm OVPAA-F-INS-055A RAW SC'!AS111/'Midterm OVPAA-F-INS-055A RAW SC'!AS$17*100)</f>
        <v/>
      </c>
      <c r="AT111" s="126" t="str">
        <f>IF('Midterm OVPAA-F-INS-055A RAW SC'!AT111="","",'Midterm OVPAA-F-INS-055A RAW SC'!AT111/'Midterm OVPAA-F-INS-055A RAW SC'!AT$17*100)</f>
        <v/>
      </c>
      <c r="AU111" s="126" t="str">
        <f>IF('Midterm OVPAA-F-INS-055A RAW SC'!AU111="","",'Midterm OVPAA-F-INS-055A RAW SC'!AU111/'Midterm OVPAA-F-INS-055A RAW SC'!AU$17*100)</f>
        <v/>
      </c>
      <c r="AV111" s="126" t="str">
        <f>IF('Midterm OVPAA-F-INS-055A RAW SC'!AV111="","",'Midterm OVPAA-F-INS-055A RAW SC'!AV111/'Midterm OVPAA-F-INS-055A RAW SC'!AV$17*100)</f>
        <v/>
      </c>
      <c r="AW111" s="126" t="str">
        <f>IF('Midterm OVPAA-F-INS-055A RAW SC'!AW111="","",'Midterm OVPAA-F-INS-055A RAW SC'!AW111/'Midterm OVPAA-F-INS-055A RAW SC'!AW$17*100)</f>
        <v/>
      </c>
      <c r="AX111" s="126" t="str">
        <f>IF('Midterm OVPAA-F-INS-055A RAW SC'!AX111="","",'Midterm OVPAA-F-INS-055A RAW SC'!AX111/'Midterm OVPAA-F-INS-055A RAW SC'!AX$17*100)</f>
        <v/>
      </c>
      <c r="AY111" s="126" t="str">
        <f>IF('Midterm OVPAA-F-INS-055A RAW SC'!AY111="","",'Midterm OVPAA-F-INS-055A RAW SC'!AY111/'Midterm OVPAA-F-INS-055A RAW SC'!AY$17*100)</f>
        <v/>
      </c>
      <c r="AZ111" s="126" t="str">
        <f>IF('Midterm OVPAA-F-INS-055A RAW SC'!AZ111="","",'Midterm OVPAA-F-INS-055A RAW SC'!AZ111/'Midterm OVPAA-F-INS-055A RAW SC'!AZ$17*100)</f>
        <v/>
      </c>
      <c r="BA111" s="126" t="str">
        <f>IF('Midterm OVPAA-F-INS-055A RAW SC'!BA111="","",'Midterm OVPAA-F-INS-055A RAW SC'!BA111/'Midterm OVPAA-F-INS-055A RAW SC'!BA$17*100)</f>
        <v/>
      </c>
      <c r="BB111" s="126" t="str">
        <f>IF('Midterm OVPAA-F-INS-055A RAW SC'!BB111="","",'Midterm OVPAA-F-INS-055A RAW SC'!BB111/'Midterm OVPAA-F-INS-055A RAW SC'!BB$17*100)</f>
        <v/>
      </c>
      <c r="BC111" s="126" t="str">
        <f>IF('Midterm OVPAA-F-INS-055A RAW SC'!BC111="","",'Midterm OVPAA-F-INS-055A RAW SC'!BC111/'Midterm OVPAA-F-INS-055A RAW SC'!BC$17*100)</f>
        <v/>
      </c>
      <c r="BD111" s="126" t="str">
        <f>IF('Midterm OVPAA-F-INS-055A RAW SC'!BD111="","",'Midterm OVPAA-F-INS-055A RAW SC'!BD111/'Midterm OVPAA-F-INS-055A RAW SC'!BD$17*100)</f>
        <v/>
      </c>
      <c r="BE111" s="126" t="str">
        <f>IF('Midterm OVPAA-F-INS-055A RAW SC'!BE111="","",'Midterm OVPAA-F-INS-055A RAW SC'!BE111/'Midterm OVPAA-F-INS-055A RAW SC'!BE$17*100)</f>
        <v/>
      </c>
      <c r="BF111" s="126" t="str">
        <f>IF('Midterm OVPAA-F-INS-055A RAW SC'!BF111="","",'Midterm OVPAA-F-INS-055A RAW SC'!BF111/'Midterm OVPAA-F-INS-055A RAW SC'!BF$17*100)</f>
        <v/>
      </c>
      <c r="BG111" s="126" t="str">
        <f>IF('Midterm OVPAA-F-INS-055A RAW SC'!BG111="","",'Midterm OVPAA-F-INS-055A RAW SC'!BG111/'Midterm OVPAA-F-INS-055A RAW SC'!BG$17*100)</f>
        <v/>
      </c>
      <c r="BH111" s="126" t="str">
        <f>IF('Midterm OVPAA-F-INS-055A RAW SC'!BH111="","",'Midterm OVPAA-F-INS-055A RAW SC'!BH111/'Midterm OVPAA-F-INS-055A RAW SC'!BH$17*100)</f>
        <v/>
      </c>
      <c r="BI111" s="126" t="str">
        <f>IF('Midterm OVPAA-F-INS-055A RAW SC'!BI111="","",'Midterm OVPAA-F-INS-055A RAW SC'!BI111/'Midterm OVPAA-F-INS-055A RAW SC'!BI$17*100)</f>
        <v/>
      </c>
      <c r="BJ111" s="126" t="str">
        <f>IF('Midterm OVPAA-F-INS-055A RAW SC'!BJ111="","",'Midterm OVPAA-F-INS-055A RAW SC'!BJ111/'Midterm OVPAA-F-INS-055A RAW SC'!BJ$17*100)</f>
        <v/>
      </c>
      <c r="BK111" s="126" t="str">
        <f>IF('Midterm OVPAA-F-INS-055A RAW SC'!BK111="","",'Midterm OVPAA-F-INS-055A RAW SC'!BK111/'Midterm OVPAA-F-INS-055A RAW SC'!BK$17*100)</f>
        <v/>
      </c>
      <c r="BL111" s="126" t="str">
        <f>IF('Midterm OVPAA-F-INS-055A RAW SC'!BL111="","",'Midterm OVPAA-F-INS-055A RAW SC'!BL111/'Midterm OVPAA-F-INS-055A RAW SC'!BL$17*100)</f>
        <v/>
      </c>
      <c r="BM111" s="126" t="str">
        <f>IF('Midterm OVPAA-F-INS-055A RAW SC'!BM111="","",'Midterm OVPAA-F-INS-055A RAW SC'!BM111/'Midterm OVPAA-F-INS-055A RAW SC'!BM$17*100)</f>
        <v/>
      </c>
      <c r="BN111" s="126" t="str">
        <f>IF('Midterm OVPAA-F-INS-055A RAW SC'!BN111="","",'Midterm OVPAA-F-INS-055A RAW SC'!BN111/'Midterm OVPAA-F-INS-055A RAW SC'!BN$17*100)</f>
        <v/>
      </c>
      <c r="BO111" s="126" t="str">
        <f>IF('Midterm OVPAA-F-INS-055A RAW SC'!BO111="","",'Midterm OVPAA-F-INS-055A RAW SC'!BO111/'Midterm OVPAA-F-INS-055A RAW SC'!BO$17*100)</f>
        <v/>
      </c>
      <c r="BP111" s="126" t="str">
        <f>IF('Midterm OVPAA-F-INS-055A RAW SC'!BP111="","",'Midterm OVPAA-F-INS-055A RAW SC'!BP111/'Midterm OVPAA-F-INS-055A RAW SC'!BP$17*100)</f>
        <v/>
      </c>
      <c r="BQ111" s="126" t="str">
        <f>IF('Midterm OVPAA-F-INS-055A RAW SC'!BQ111="","",'Midterm OVPAA-F-INS-055A RAW SC'!BQ111/'Midterm OVPAA-F-INS-055A RAW SC'!BQ$17*100)</f>
        <v/>
      </c>
      <c r="BR111" s="126" t="str">
        <f>IF('Midterm OVPAA-F-INS-055A RAW SC'!BR111="","",'Midterm OVPAA-F-INS-055A RAW SC'!BR111/'Midterm OVPAA-F-INS-055A RAW SC'!BR$17*100)</f>
        <v/>
      </c>
      <c r="BS111" s="126" t="str">
        <f>IF('Midterm OVPAA-F-INS-055A RAW SC'!BS111="","",'Midterm OVPAA-F-INS-055A RAW SC'!BS111/'Midterm OVPAA-F-INS-055A RAW SC'!BS$17*100)</f>
        <v/>
      </c>
      <c r="BT111" s="126" t="str">
        <f>IF('Midterm OVPAA-F-INS-055A RAW SC'!BT111="","",'Midterm OVPAA-F-INS-055A RAW SC'!BT111/'Midterm OVPAA-F-INS-055A RAW SC'!BT$17*100)</f>
        <v/>
      </c>
      <c r="BU111" s="127" t="str">
        <f t="array" ref="BU111">IF('Midterm OVPAA-F-INS-055A RAW SC'!$G111="","",IF((SUMPRODUCT(--ISBLANK('Midterm OVPAA-F-INS-055A RAW SC'!H111:BT111))=COLUMNS('Midterm OVPAA-F-INS-055A RAW SC'!H111:BT111))=TRUE,"",(((COUNTA('Midterm OVPAA-F-INS-055A RAW SC'!$H$17:$BT$17)+COUNTBLANK('Midterm OVPAA-F-INS-055A RAW SC'!H111:BT111))-COLUMNS('Midterm OVPAA-F-INS-055A RAW SC'!H111:BT111))*5+SUM(H111:BT111))/COUNTA('Midterm OVPAA-F-INS-055A RAW SC'!$H$17:$BT$17)))</f>
        <v/>
      </c>
      <c r="BV111" s="128" t="str">
        <f>IF(BU111="","",VLOOKUP(BU111,IF('Midterm OVPAA-F-INS-055A RAW SC'!$V$12=0.5,TRANSMUTATION!$C$4:$D$17,TRANSMUTATION!$G$4:$H$17),2,TRUE))</f>
        <v/>
      </c>
      <c r="BW111" s="129" t="str">
        <f>IF('Midterm OVPAA-F-INS-055A RAW SC'!BU111="","",'Midterm OVPAA-F-INS-055A RAW SC'!BU111/'Midterm OVPAA-F-INS-055A RAW SC'!BU$17*100)</f>
        <v/>
      </c>
      <c r="BX111" s="130" t="str">
        <f>IF('Midterm OVPAA-F-INS-055A RAW SC'!BV111="","",'Midterm OVPAA-F-INS-055A RAW SC'!BV111/'Midterm OVPAA-F-INS-055A RAW SC'!BV$17*100)</f>
        <v/>
      </c>
      <c r="BY111" s="130" t="str">
        <f>IF('Midterm OVPAA-F-INS-055A RAW SC'!BW111="","",'Midterm OVPAA-F-INS-055A RAW SC'!BW111/'Midterm OVPAA-F-INS-055A RAW SC'!BW$17*100)</f>
        <v/>
      </c>
      <c r="BZ111" s="130" t="str">
        <f>IF('Midterm OVPAA-F-INS-055A RAW SC'!BX111="","",'Midterm OVPAA-F-INS-055A RAW SC'!BX111/'Midterm OVPAA-F-INS-055A RAW SC'!BX$17*100)</f>
        <v/>
      </c>
      <c r="CA111" s="130" t="str">
        <f>IF('Midterm OVPAA-F-INS-055A RAW SC'!BY111="","",'Midterm OVPAA-F-INS-055A RAW SC'!BY111/'Midterm OVPAA-F-INS-055A RAW SC'!BY$17*100)</f>
        <v/>
      </c>
      <c r="CB111" s="130" t="str">
        <f>IF('Midterm OVPAA-F-INS-055A RAW SC'!BZ111="","",'Midterm OVPAA-F-INS-055A RAW SC'!BZ111/'Midterm OVPAA-F-INS-055A RAW SC'!BZ$17*100)</f>
        <v/>
      </c>
      <c r="CC111" s="130" t="str">
        <f>IF('Midterm OVPAA-F-INS-055A RAW SC'!CA111="","",'Midterm OVPAA-F-INS-055A RAW SC'!CA111/'Midterm OVPAA-F-INS-055A RAW SC'!CA$17*100)</f>
        <v/>
      </c>
      <c r="CD111" s="130" t="str">
        <f>IF('Midterm OVPAA-F-INS-055A RAW SC'!CB111="","",'Midterm OVPAA-F-INS-055A RAW SC'!CB111/'Midterm OVPAA-F-INS-055A RAW SC'!CB$17*100)</f>
        <v/>
      </c>
      <c r="CE111" s="130" t="str">
        <f>IF('Midterm OVPAA-F-INS-055A RAW SC'!CC111="","",'Midterm OVPAA-F-INS-055A RAW SC'!CC111/'Midterm OVPAA-F-INS-055A RAW SC'!CC$17*100)</f>
        <v/>
      </c>
      <c r="CF111" s="130" t="str">
        <f>IF('Midterm OVPAA-F-INS-055A RAW SC'!CD111="","",'Midterm OVPAA-F-INS-055A RAW SC'!CD111/'Midterm OVPAA-F-INS-055A RAW SC'!CD$17*100)</f>
        <v/>
      </c>
      <c r="CG111" s="130" t="str">
        <f>IF('Midterm OVPAA-F-INS-055A RAW SC'!CE111="","",'Midterm OVPAA-F-INS-055A RAW SC'!CE111/'Midterm OVPAA-F-INS-055A RAW SC'!CE$17*100)</f>
        <v/>
      </c>
      <c r="CH111" s="130" t="str">
        <f>IF('Midterm OVPAA-F-INS-055A RAW SC'!CF111="","",'Midterm OVPAA-F-INS-055A RAW SC'!CF111/'Midterm OVPAA-F-INS-055A RAW SC'!CF$17*100)</f>
        <v/>
      </c>
      <c r="CI111" s="130" t="str">
        <f>IF('Midterm OVPAA-F-INS-055A RAW SC'!CG111="","",'Midterm OVPAA-F-INS-055A RAW SC'!CG111/'Midterm OVPAA-F-INS-055A RAW SC'!CG$17*100)</f>
        <v/>
      </c>
      <c r="CJ111" s="130" t="str">
        <f>IF('Midterm OVPAA-F-INS-055A RAW SC'!CH111="","",'Midterm OVPAA-F-INS-055A RAW SC'!CH111/'Midterm OVPAA-F-INS-055A RAW SC'!CH$17*100)</f>
        <v/>
      </c>
      <c r="CK111" s="130" t="str">
        <f>IF('Midterm OVPAA-F-INS-055A RAW SC'!CI111="","",'Midterm OVPAA-F-INS-055A RAW SC'!CI111/'Midterm OVPAA-F-INS-055A RAW SC'!CI$17*100)</f>
        <v/>
      </c>
      <c r="CL111" s="130" t="str">
        <f>IF('Midterm OVPAA-F-INS-055A RAW SC'!CJ111="","",'Midterm OVPAA-F-INS-055A RAW SC'!CJ111/'Midterm OVPAA-F-INS-055A RAW SC'!CJ$17*100)</f>
        <v/>
      </c>
      <c r="CM111" s="130" t="str">
        <f>IF('Midterm OVPAA-F-INS-055A RAW SC'!CK111="","",'Midterm OVPAA-F-INS-055A RAW SC'!CK111/'Midterm OVPAA-F-INS-055A RAW SC'!CK$17*100)</f>
        <v/>
      </c>
      <c r="CN111" s="130" t="str">
        <f>IF('Midterm OVPAA-F-INS-055A RAW SC'!CL111="","",'Midterm OVPAA-F-INS-055A RAW SC'!CL111/'Midterm OVPAA-F-INS-055A RAW SC'!CL$17*100)</f>
        <v/>
      </c>
      <c r="CO111" s="130" t="str">
        <f>IF('Midterm OVPAA-F-INS-055A RAW SC'!CM111="","",'Midterm OVPAA-F-INS-055A RAW SC'!CM111/'Midterm OVPAA-F-INS-055A RAW SC'!CM$17*100)</f>
        <v/>
      </c>
      <c r="CP111" s="130" t="str">
        <f>IF('Midterm OVPAA-F-INS-055A RAW SC'!CN111="","",'Midterm OVPAA-F-INS-055A RAW SC'!CN111/'Midterm OVPAA-F-INS-055A RAW SC'!CN$17*100)</f>
        <v/>
      </c>
      <c r="CQ111" s="131" t="str">
        <f t="array" ref="CQ111">IF('Midterm OVPAA-F-INS-055A RAW SC'!G111="","",IF((SUMPRODUCT(--ISBLANK('Midterm OVPAA-F-INS-055A RAW SC'!BU111:CN111))=COLUMNS('Midterm OVPAA-F-INS-055A RAW SC'!BU111:CN111))=TRUE,"",(((COUNTA('Midterm OVPAA-F-INS-055A RAW SC'!$BU$17:$CN$17)+COUNTBLANK('Midterm OVPAA-F-INS-055A RAW SC'!BU111:CN111))-COLUMNS('Midterm OVPAA-F-INS-055A RAW SC'!BU111:CN111))*5+SUM(BW111:CP111))/COUNTA('Midterm OVPAA-F-INS-055A RAW SC'!$BU$17:$CN$17)))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IF('Midterm OVPAA-F-INS-055A RAW SC'!CO111="","",'Midterm OVPAA-F-INS-055A RAW SC'!CO111/'Midterm OVPAA-F-INS-055A RAW SC'!CO$17*100)</f>
        <v/>
      </c>
      <c r="CT111" s="133" t="str">
        <f>IF('Midterm OVPAA-F-INS-055A RAW SC'!CP111="","",'Midterm OVPAA-F-INS-055A RAW SC'!CP111/'Midterm OVPAA-F-INS-055A RAW SC'!CP$17*100)</f>
        <v/>
      </c>
      <c r="CU111" s="133" t="str">
        <f>IF('Midterm OVPAA-F-INS-055A RAW SC'!CQ111="","",'Midterm OVPAA-F-INS-055A RAW SC'!CQ111/'Midterm OVPAA-F-INS-055A RAW SC'!CQ$17*100)</f>
        <v/>
      </c>
      <c r="CV111" s="133" t="str">
        <f>IF('Midterm OVPAA-F-INS-055A RAW SC'!CR111="","",'Midterm OVPAA-F-INS-055A RAW SC'!CR111/'Midterm OVPAA-F-INS-055A RAW SC'!CR$17*100)</f>
        <v/>
      </c>
      <c r="CW111" s="133" t="str">
        <f>IF('Midterm OVPAA-F-INS-055A RAW SC'!CS111="","",'Midterm OVPAA-F-INS-055A RAW SC'!CS111/'Midterm OVPAA-F-INS-055A RAW SC'!CS$17*100)</f>
        <v/>
      </c>
      <c r="CX111" s="133" t="str">
        <f>IF('Midterm OVPAA-F-INS-055A RAW SC'!CT111="","",'Midterm OVPAA-F-INS-055A RAW SC'!CT111/'Midterm OVPAA-F-INS-055A RAW SC'!CT$17*100)</f>
        <v/>
      </c>
      <c r="CY111" s="133" t="str">
        <f>IF('Midterm OVPAA-F-INS-055A RAW SC'!CU111="","",'Midterm OVPAA-F-INS-055A RAW SC'!CU111/'Midterm OVPAA-F-INS-055A RAW SC'!CU$17*100)</f>
        <v/>
      </c>
      <c r="CZ111" s="133" t="str">
        <f>IF('Midterm OVPAA-F-INS-055A RAW SC'!CV111="","",'Midterm OVPAA-F-INS-055A RAW SC'!CV111/'Midterm OVPAA-F-INS-055A RAW SC'!CV$17*100)</f>
        <v/>
      </c>
      <c r="DA111" s="133" t="str">
        <f>IF('Midterm OVPAA-F-INS-055A RAW SC'!CW111="","",'Midterm OVPAA-F-INS-055A RAW SC'!CW111/'Midterm OVPAA-F-INS-055A RAW SC'!CW$17*100)</f>
        <v/>
      </c>
      <c r="DB111" s="133" t="str">
        <f>IF('Midterm OVPAA-F-INS-055A RAW SC'!CX111="","",'Midterm OVPAA-F-INS-055A RAW SC'!CX111/'Midterm OVPAA-F-INS-055A RAW SC'!CX$17*100)</f>
        <v/>
      </c>
      <c r="DC111" s="134" t="str">
        <f t="array" ref="DC111">IF('Midterm OVPAA-F-INS-055A RAW SC'!$G111="","",IF((SUMPRODUCT(--ISBLANK('Midterm OVPAA-F-INS-055A RAW SC'!CO111:CX111))=COLUMNS('Midterm OVPAA-F-INS-055A RAW SC'!CO111:CX111))=TRUE,"",(((COUNTA('Midterm OVPAA-F-INS-055A RAW SC'!$CO$17:$CX$17)+COUNTBLANK('Midterm OVPAA-F-INS-055A RAW SC'!CO111:CX111))-COLUMNS('Midterm OVPAA-F-INS-055A RAW SC'!CO111:CX111))*5+SUM(CS111:DB111))/COUNTA('Midterm OVPAA-F-INS-055A RAW SC'!$CO$17:$CX$17)))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37" t="str">
        <f t="shared" si="2"/>
        <v/>
      </c>
      <c r="DG111" s="138" t="str">
        <f t="shared" si="3"/>
        <v/>
      </c>
      <c r="DH111" s="136" t="str">
        <f t="shared" si="4"/>
        <v/>
      </c>
      <c r="DI111" s="123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IF('Midterm OVPAA-F-INS-055A RAW SC'!H112="","",'Midterm OVPAA-F-INS-055A RAW SC'!H112/'Midterm OVPAA-F-INS-055A RAW SC'!H$17*100)</f>
        <v/>
      </c>
      <c r="I112" s="126" t="str">
        <f>IF('Midterm OVPAA-F-INS-055A RAW SC'!I112="","",'Midterm OVPAA-F-INS-055A RAW SC'!I112/'Midterm OVPAA-F-INS-055A RAW SC'!I$17*100)</f>
        <v/>
      </c>
      <c r="J112" s="126" t="str">
        <f>IF('Midterm OVPAA-F-INS-055A RAW SC'!J112="","",'Midterm OVPAA-F-INS-055A RAW SC'!J112/'Midterm OVPAA-F-INS-055A RAW SC'!J$17*100)</f>
        <v/>
      </c>
      <c r="K112" s="126" t="str">
        <f>IF('Midterm OVPAA-F-INS-055A RAW SC'!K112="","",'Midterm OVPAA-F-INS-055A RAW SC'!K112/'Midterm OVPAA-F-INS-055A RAW SC'!K$17*100)</f>
        <v/>
      </c>
      <c r="L112" s="126" t="str">
        <f>IF('Midterm OVPAA-F-INS-055A RAW SC'!L112="","",'Midterm OVPAA-F-INS-055A RAW SC'!L112/'Midterm OVPAA-F-INS-055A RAW SC'!L$17*100)</f>
        <v/>
      </c>
      <c r="M112" s="126" t="str">
        <f>IF('Midterm OVPAA-F-INS-055A RAW SC'!M112="","",'Midterm OVPAA-F-INS-055A RAW SC'!M112/'Midterm OVPAA-F-INS-055A RAW SC'!M$17*100)</f>
        <v/>
      </c>
      <c r="N112" s="126" t="str">
        <f>IF('Midterm OVPAA-F-INS-055A RAW SC'!N112="","",'Midterm OVPAA-F-INS-055A RAW SC'!N112/'Midterm OVPAA-F-INS-055A RAW SC'!N$17*100)</f>
        <v/>
      </c>
      <c r="O112" s="126" t="str">
        <f>IF('Midterm OVPAA-F-INS-055A RAW SC'!O112="","",'Midterm OVPAA-F-INS-055A RAW SC'!O112/'Midterm OVPAA-F-INS-055A RAW SC'!O$17*100)</f>
        <v/>
      </c>
      <c r="P112" s="126" t="str">
        <f>IF('Midterm OVPAA-F-INS-055A RAW SC'!P112="","",'Midterm OVPAA-F-INS-055A RAW SC'!P112/'Midterm OVPAA-F-INS-055A RAW SC'!P$17*100)</f>
        <v/>
      </c>
      <c r="Q112" s="126" t="str">
        <f>IF('Midterm OVPAA-F-INS-055A RAW SC'!Q112="","",'Midterm OVPAA-F-INS-055A RAW SC'!Q112/'Midterm OVPAA-F-INS-055A RAW SC'!Q$17*100)</f>
        <v/>
      </c>
      <c r="R112" s="126" t="str">
        <f>IF('Midterm OVPAA-F-INS-055A RAW SC'!R112="","",'Midterm OVPAA-F-INS-055A RAW SC'!R112/'Midterm OVPAA-F-INS-055A RAW SC'!R$17*100)</f>
        <v/>
      </c>
      <c r="S112" s="126" t="str">
        <f>IF('Midterm OVPAA-F-INS-055A RAW SC'!S112="","",'Midterm OVPAA-F-INS-055A RAW SC'!S112/'Midterm OVPAA-F-INS-055A RAW SC'!S$17*100)</f>
        <v/>
      </c>
      <c r="T112" s="126" t="str">
        <f>IF('Midterm OVPAA-F-INS-055A RAW SC'!T112="","",'Midterm OVPAA-F-INS-055A RAW SC'!T112/'Midterm OVPAA-F-INS-055A RAW SC'!T$17*100)</f>
        <v/>
      </c>
      <c r="U112" s="126" t="str">
        <f>IF('Midterm OVPAA-F-INS-055A RAW SC'!U112="","",'Midterm OVPAA-F-INS-055A RAW SC'!U112/'Midterm OVPAA-F-INS-055A RAW SC'!U$17*100)</f>
        <v/>
      </c>
      <c r="V112" s="126" t="str">
        <f>IF('Midterm OVPAA-F-INS-055A RAW SC'!V112="","",'Midterm OVPAA-F-INS-055A RAW SC'!V112/'Midterm OVPAA-F-INS-055A RAW SC'!V$17*100)</f>
        <v/>
      </c>
      <c r="W112" s="126" t="str">
        <f>IF('Midterm OVPAA-F-INS-055A RAW SC'!W112="","",'Midterm OVPAA-F-INS-055A RAW SC'!W112/'Midterm OVPAA-F-INS-055A RAW SC'!W$17*100)</f>
        <v/>
      </c>
      <c r="X112" s="126" t="str">
        <f>IF('Midterm OVPAA-F-INS-055A RAW SC'!X112="","",'Midterm OVPAA-F-INS-055A RAW SC'!X112/'Midterm OVPAA-F-INS-055A RAW SC'!X$17*100)</f>
        <v/>
      </c>
      <c r="Y112" s="126" t="str">
        <f>IF('Midterm OVPAA-F-INS-055A RAW SC'!Y112="","",'Midterm OVPAA-F-INS-055A RAW SC'!Y112/'Midterm OVPAA-F-INS-055A RAW SC'!Y$17*100)</f>
        <v/>
      </c>
      <c r="Z112" s="126" t="str">
        <f>IF('Midterm OVPAA-F-INS-055A RAW SC'!Z112="","",'Midterm OVPAA-F-INS-055A RAW SC'!Z112/'Midterm OVPAA-F-INS-055A RAW SC'!Z$17*100)</f>
        <v/>
      </c>
      <c r="AA112" s="126" t="str">
        <f>IF('Midterm OVPAA-F-INS-055A RAW SC'!AA112="","",'Midterm OVPAA-F-INS-055A RAW SC'!AA112/'Midterm OVPAA-F-INS-055A RAW SC'!AA$17*100)</f>
        <v/>
      </c>
      <c r="AB112" s="126" t="str">
        <f>IF('Midterm OVPAA-F-INS-055A RAW SC'!AB112="","",'Midterm OVPAA-F-INS-055A RAW SC'!AB112/'Midterm OVPAA-F-INS-055A RAW SC'!AB$17*100)</f>
        <v/>
      </c>
      <c r="AC112" s="126" t="str">
        <f>IF('Midterm OVPAA-F-INS-055A RAW SC'!AC112="","",'Midterm OVPAA-F-INS-055A RAW SC'!AC112/'Midterm OVPAA-F-INS-055A RAW SC'!AC$17*100)</f>
        <v/>
      </c>
      <c r="AD112" s="126" t="str">
        <f>IF('Midterm OVPAA-F-INS-055A RAW SC'!AD112="","",'Midterm OVPAA-F-INS-055A RAW SC'!AD112/'Midterm OVPAA-F-INS-055A RAW SC'!AD$17*100)</f>
        <v/>
      </c>
      <c r="AE112" s="126" t="str">
        <f>IF('Midterm OVPAA-F-INS-055A RAW SC'!AE112="","",'Midterm OVPAA-F-INS-055A RAW SC'!AE112/'Midterm OVPAA-F-INS-055A RAW SC'!AE$17*100)</f>
        <v/>
      </c>
      <c r="AF112" s="126" t="str">
        <f>IF('Midterm OVPAA-F-INS-055A RAW SC'!AF112="","",'Midterm OVPAA-F-INS-055A RAW SC'!AF112/'Midterm OVPAA-F-INS-055A RAW SC'!AF$17*100)</f>
        <v/>
      </c>
      <c r="AG112" s="126" t="str">
        <f>IF('Midterm OVPAA-F-INS-055A RAW SC'!AG112="","",'Midterm OVPAA-F-INS-055A RAW SC'!AG112/'Midterm OVPAA-F-INS-055A RAW SC'!AG$17*100)</f>
        <v/>
      </c>
      <c r="AH112" s="126" t="str">
        <f>IF('Midterm OVPAA-F-INS-055A RAW SC'!AH112="","",'Midterm OVPAA-F-INS-055A RAW SC'!AH112/'Midterm OVPAA-F-INS-055A RAW SC'!AH$17*100)</f>
        <v/>
      </c>
      <c r="AI112" s="126" t="str">
        <f>IF('Midterm OVPAA-F-INS-055A RAW SC'!AI112="","",'Midterm OVPAA-F-INS-055A RAW SC'!AI112/'Midterm OVPAA-F-INS-055A RAW SC'!AI$17*100)</f>
        <v/>
      </c>
      <c r="AJ112" s="126" t="str">
        <f>IF('Midterm OVPAA-F-INS-055A RAW SC'!AJ112="","",'Midterm OVPAA-F-INS-055A RAW SC'!AJ112/'Midterm OVPAA-F-INS-055A RAW SC'!AJ$17*100)</f>
        <v/>
      </c>
      <c r="AK112" s="126" t="str">
        <f>IF('Midterm OVPAA-F-INS-055A RAW SC'!AK112="","",'Midterm OVPAA-F-INS-055A RAW SC'!AK112/'Midterm OVPAA-F-INS-055A RAW SC'!AK$17*100)</f>
        <v/>
      </c>
      <c r="AL112" s="126" t="str">
        <f>IF('Midterm OVPAA-F-INS-055A RAW SC'!AL112="","",'Midterm OVPAA-F-INS-055A RAW SC'!AL112/'Midterm OVPAA-F-INS-055A RAW SC'!AL$17*100)</f>
        <v/>
      </c>
      <c r="AM112" s="126" t="str">
        <f>IF('Midterm OVPAA-F-INS-055A RAW SC'!AM112="","",'Midterm OVPAA-F-INS-055A RAW SC'!AM112/'Midterm OVPAA-F-INS-055A RAW SC'!AM$17*100)</f>
        <v/>
      </c>
      <c r="AN112" s="126" t="str">
        <f>IF('Midterm OVPAA-F-INS-055A RAW SC'!AN112="","",'Midterm OVPAA-F-INS-055A RAW SC'!AN112/'Midterm OVPAA-F-INS-055A RAW SC'!AN$17*100)</f>
        <v/>
      </c>
      <c r="AO112" s="126" t="str">
        <f>IF('Midterm OVPAA-F-INS-055A RAW SC'!AO112="","",'Midterm OVPAA-F-INS-055A RAW SC'!AO112/'Midterm OVPAA-F-INS-055A RAW SC'!AO$17*100)</f>
        <v/>
      </c>
      <c r="AP112" s="126" t="str">
        <f>IF('Midterm OVPAA-F-INS-055A RAW SC'!AP112="","",'Midterm OVPAA-F-INS-055A RAW SC'!AP112/'Midterm OVPAA-F-INS-055A RAW SC'!AP$17*100)</f>
        <v/>
      </c>
      <c r="AQ112" s="126" t="str">
        <f>IF('Midterm OVPAA-F-INS-055A RAW SC'!AQ112="","",'Midterm OVPAA-F-INS-055A RAW SC'!AQ112/'Midterm OVPAA-F-INS-055A RAW SC'!AQ$17*100)</f>
        <v/>
      </c>
      <c r="AR112" s="126" t="str">
        <f>IF('Midterm OVPAA-F-INS-055A RAW SC'!AR112="","",'Midterm OVPAA-F-INS-055A RAW SC'!AR112/'Midterm OVPAA-F-INS-055A RAW SC'!AR$17*100)</f>
        <v/>
      </c>
      <c r="AS112" s="126" t="str">
        <f>IF('Midterm OVPAA-F-INS-055A RAW SC'!AS112="","",'Midterm OVPAA-F-INS-055A RAW SC'!AS112/'Midterm OVPAA-F-INS-055A RAW SC'!AS$17*100)</f>
        <v/>
      </c>
      <c r="AT112" s="126" t="str">
        <f>IF('Midterm OVPAA-F-INS-055A RAW SC'!AT112="","",'Midterm OVPAA-F-INS-055A RAW SC'!AT112/'Midterm OVPAA-F-INS-055A RAW SC'!AT$17*100)</f>
        <v/>
      </c>
      <c r="AU112" s="126" t="str">
        <f>IF('Midterm OVPAA-F-INS-055A RAW SC'!AU112="","",'Midterm OVPAA-F-INS-055A RAW SC'!AU112/'Midterm OVPAA-F-INS-055A RAW SC'!AU$17*100)</f>
        <v/>
      </c>
      <c r="AV112" s="126" t="str">
        <f>IF('Midterm OVPAA-F-INS-055A RAW SC'!AV112="","",'Midterm OVPAA-F-INS-055A RAW SC'!AV112/'Midterm OVPAA-F-INS-055A RAW SC'!AV$17*100)</f>
        <v/>
      </c>
      <c r="AW112" s="126" t="str">
        <f>IF('Midterm OVPAA-F-INS-055A RAW SC'!AW112="","",'Midterm OVPAA-F-INS-055A RAW SC'!AW112/'Midterm OVPAA-F-INS-055A RAW SC'!AW$17*100)</f>
        <v/>
      </c>
      <c r="AX112" s="126" t="str">
        <f>IF('Midterm OVPAA-F-INS-055A RAW SC'!AX112="","",'Midterm OVPAA-F-INS-055A RAW SC'!AX112/'Midterm OVPAA-F-INS-055A RAW SC'!AX$17*100)</f>
        <v/>
      </c>
      <c r="AY112" s="126" t="str">
        <f>IF('Midterm OVPAA-F-INS-055A RAW SC'!AY112="","",'Midterm OVPAA-F-INS-055A RAW SC'!AY112/'Midterm OVPAA-F-INS-055A RAW SC'!AY$17*100)</f>
        <v/>
      </c>
      <c r="AZ112" s="126" t="str">
        <f>IF('Midterm OVPAA-F-INS-055A RAW SC'!AZ112="","",'Midterm OVPAA-F-INS-055A RAW SC'!AZ112/'Midterm OVPAA-F-INS-055A RAW SC'!AZ$17*100)</f>
        <v/>
      </c>
      <c r="BA112" s="126" t="str">
        <f>IF('Midterm OVPAA-F-INS-055A RAW SC'!BA112="","",'Midterm OVPAA-F-INS-055A RAW SC'!BA112/'Midterm OVPAA-F-INS-055A RAW SC'!BA$17*100)</f>
        <v/>
      </c>
      <c r="BB112" s="126" t="str">
        <f>IF('Midterm OVPAA-F-INS-055A RAW SC'!BB112="","",'Midterm OVPAA-F-INS-055A RAW SC'!BB112/'Midterm OVPAA-F-INS-055A RAW SC'!BB$17*100)</f>
        <v/>
      </c>
      <c r="BC112" s="126" t="str">
        <f>IF('Midterm OVPAA-F-INS-055A RAW SC'!BC112="","",'Midterm OVPAA-F-INS-055A RAW SC'!BC112/'Midterm OVPAA-F-INS-055A RAW SC'!BC$17*100)</f>
        <v/>
      </c>
      <c r="BD112" s="126" t="str">
        <f>IF('Midterm OVPAA-F-INS-055A RAW SC'!BD112="","",'Midterm OVPAA-F-INS-055A RAW SC'!BD112/'Midterm OVPAA-F-INS-055A RAW SC'!BD$17*100)</f>
        <v/>
      </c>
      <c r="BE112" s="126" t="str">
        <f>IF('Midterm OVPAA-F-INS-055A RAW SC'!BE112="","",'Midterm OVPAA-F-INS-055A RAW SC'!BE112/'Midterm OVPAA-F-INS-055A RAW SC'!BE$17*100)</f>
        <v/>
      </c>
      <c r="BF112" s="126" t="str">
        <f>IF('Midterm OVPAA-F-INS-055A RAW SC'!BF112="","",'Midterm OVPAA-F-INS-055A RAW SC'!BF112/'Midterm OVPAA-F-INS-055A RAW SC'!BF$17*100)</f>
        <v/>
      </c>
      <c r="BG112" s="126" t="str">
        <f>IF('Midterm OVPAA-F-INS-055A RAW SC'!BG112="","",'Midterm OVPAA-F-INS-055A RAW SC'!BG112/'Midterm OVPAA-F-INS-055A RAW SC'!BG$17*100)</f>
        <v/>
      </c>
      <c r="BH112" s="126" t="str">
        <f>IF('Midterm OVPAA-F-INS-055A RAW SC'!BH112="","",'Midterm OVPAA-F-INS-055A RAW SC'!BH112/'Midterm OVPAA-F-INS-055A RAW SC'!BH$17*100)</f>
        <v/>
      </c>
      <c r="BI112" s="126" t="str">
        <f>IF('Midterm OVPAA-F-INS-055A RAW SC'!BI112="","",'Midterm OVPAA-F-INS-055A RAW SC'!BI112/'Midterm OVPAA-F-INS-055A RAW SC'!BI$17*100)</f>
        <v/>
      </c>
      <c r="BJ112" s="126" t="str">
        <f>IF('Midterm OVPAA-F-INS-055A RAW SC'!BJ112="","",'Midterm OVPAA-F-INS-055A RAW SC'!BJ112/'Midterm OVPAA-F-INS-055A RAW SC'!BJ$17*100)</f>
        <v/>
      </c>
      <c r="BK112" s="126" t="str">
        <f>IF('Midterm OVPAA-F-INS-055A RAW SC'!BK112="","",'Midterm OVPAA-F-INS-055A RAW SC'!BK112/'Midterm OVPAA-F-INS-055A RAW SC'!BK$17*100)</f>
        <v/>
      </c>
      <c r="BL112" s="126" t="str">
        <f>IF('Midterm OVPAA-F-INS-055A RAW SC'!BL112="","",'Midterm OVPAA-F-INS-055A RAW SC'!BL112/'Midterm OVPAA-F-INS-055A RAW SC'!BL$17*100)</f>
        <v/>
      </c>
      <c r="BM112" s="126" t="str">
        <f>IF('Midterm OVPAA-F-INS-055A RAW SC'!BM112="","",'Midterm OVPAA-F-INS-055A RAW SC'!BM112/'Midterm OVPAA-F-INS-055A RAW SC'!BM$17*100)</f>
        <v/>
      </c>
      <c r="BN112" s="126" t="str">
        <f>IF('Midterm OVPAA-F-INS-055A RAW SC'!BN112="","",'Midterm OVPAA-F-INS-055A RAW SC'!BN112/'Midterm OVPAA-F-INS-055A RAW SC'!BN$17*100)</f>
        <v/>
      </c>
      <c r="BO112" s="126" t="str">
        <f>IF('Midterm OVPAA-F-INS-055A RAW SC'!BO112="","",'Midterm OVPAA-F-INS-055A RAW SC'!BO112/'Midterm OVPAA-F-INS-055A RAW SC'!BO$17*100)</f>
        <v/>
      </c>
      <c r="BP112" s="126" t="str">
        <f>IF('Midterm OVPAA-F-INS-055A RAW SC'!BP112="","",'Midterm OVPAA-F-INS-055A RAW SC'!BP112/'Midterm OVPAA-F-INS-055A RAW SC'!BP$17*100)</f>
        <v/>
      </c>
      <c r="BQ112" s="126" t="str">
        <f>IF('Midterm OVPAA-F-INS-055A RAW SC'!BQ112="","",'Midterm OVPAA-F-INS-055A RAW SC'!BQ112/'Midterm OVPAA-F-INS-055A RAW SC'!BQ$17*100)</f>
        <v/>
      </c>
      <c r="BR112" s="126" t="str">
        <f>IF('Midterm OVPAA-F-INS-055A RAW SC'!BR112="","",'Midterm OVPAA-F-INS-055A RAW SC'!BR112/'Midterm OVPAA-F-INS-055A RAW SC'!BR$17*100)</f>
        <v/>
      </c>
      <c r="BS112" s="126" t="str">
        <f>IF('Midterm OVPAA-F-INS-055A RAW SC'!BS112="","",'Midterm OVPAA-F-INS-055A RAW SC'!BS112/'Midterm OVPAA-F-INS-055A RAW SC'!BS$17*100)</f>
        <v/>
      </c>
      <c r="BT112" s="126" t="str">
        <f>IF('Midterm OVPAA-F-INS-055A RAW SC'!BT112="","",'Midterm OVPAA-F-INS-055A RAW SC'!BT112/'Midterm OVPAA-F-INS-055A RAW SC'!BT$17*100)</f>
        <v/>
      </c>
      <c r="BU112" s="127" t="str">
        <f t="array" ref="BU112">IF('Midterm OVPAA-F-INS-055A RAW SC'!$G112="","",IF((SUMPRODUCT(--ISBLANK('Midterm OVPAA-F-INS-055A RAW SC'!H112:BT112))=COLUMNS('Midterm OVPAA-F-INS-055A RAW SC'!H112:BT112))=TRUE,"",(((COUNTA('Midterm OVPAA-F-INS-055A RAW SC'!$H$17:$BT$17)+COUNTBLANK('Midterm OVPAA-F-INS-055A RAW SC'!H112:BT112))-COLUMNS('Midterm OVPAA-F-INS-055A RAW SC'!H112:BT112))*5+SUM(H112:BT112))/COUNTA('Midterm OVPAA-F-INS-055A RAW SC'!$H$17:$BT$17)))</f>
        <v/>
      </c>
      <c r="BV112" s="128" t="str">
        <f>IF(BU112="","",VLOOKUP(BU112,IF('Midterm OVPAA-F-INS-055A RAW SC'!$V$12=0.5,TRANSMUTATION!$C$4:$D$17,TRANSMUTATION!$G$4:$H$17),2,TRUE))</f>
        <v/>
      </c>
      <c r="BW112" s="129" t="str">
        <f>IF('Midterm OVPAA-F-INS-055A RAW SC'!BU112="","",'Midterm OVPAA-F-INS-055A RAW SC'!BU112/'Midterm OVPAA-F-INS-055A RAW SC'!BU$17*100)</f>
        <v/>
      </c>
      <c r="BX112" s="130" t="str">
        <f>IF('Midterm OVPAA-F-INS-055A RAW SC'!BV112="","",'Midterm OVPAA-F-INS-055A RAW SC'!BV112/'Midterm OVPAA-F-INS-055A RAW SC'!BV$17*100)</f>
        <v/>
      </c>
      <c r="BY112" s="130" t="str">
        <f>IF('Midterm OVPAA-F-INS-055A RAW SC'!BW112="","",'Midterm OVPAA-F-INS-055A RAW SC'!BW112/'Midterm OVPAA-F-INS-055A RAW SC'!BW$17*100)</f>
        <v/>
      </c>
      <c r="BZ112" s="130" t="str">
        <f>IF('Midterm OVPAA-F-INS-055A RAW SC'!BX112="","",'Midterm OVPAA-F-INS-055A RAW SC'!BX112/'Midterm OVPAA-F-INS-055A RAW SC'!BX$17*100)</f>
        <v/>
      </c>
      <c r="CA112" s="130" t="str">
        <f>IF('Midterm OVPAA-F-INS-055A RAW SC'!BY112="","",'Midterm OVPAA-F-INS-055A RAW SC'!BY112/'Midterm OVPAA-F-INS-055A RAW SC'!BY$17*100)</f>
        <v/>
      </c>
      <c r="CB112" s="130" t="str">
        <f>IF('Midterm OVPAA-F-INS-055A RAW SC'!BZ112="","",'Midterm OVPAA-F-INS-055A RAW SC'!BZ112/'Midterm OVPAA-F-INS-055A RAW SC'!BZ$17*100)</f>
        <v/>
      </c>
      <c r="CC112" s="130" t="str">
        <f>IF('Midterm OVPAA-F-INS-055A RAW SC'!CA112="","",'Midterm OVPAA-F-INS-055A RAW SC'!CA112/'Midterm OVPAA-F-INS-055A RAW SC'!CA$17*100)</f>
        <v/>
      </c>
      <c r="CD112" s="130" t="str">
        <f>IF('Midterm OVPAA-F-INS-055A RAW SC'!CB112="","",'Midterm OVPAA-F-INS-055A RAW SC'!CB112/'Midterm OVPAA-F-INS-055A RAW SC'!CB$17*100)</f>
        <v/>
      </c>
      <c r="CE112" s="130" t="str">
        <f>IF('Midterm OVPAA-F-INS-055A RAW SC'!CC112="","",'Midterm OVPAA-F-INS-055A RAW SC'!CC112/'Midterm OVPAA-F-INS-055A RAW SC'!CC$17*100)</f>
        <v/>
      </c>
      <c r="CF112" s="130" t="str">
        <f>IF('Midterm OVPAA-F-INS-055A RAW SC'!CD112="","",'Midterm OVPAA-F-INS-055A RAW SC'!CD112/'Midterm OVPAA-F-INS-055A RAW SC'!CD$17*100)</f>
        <v/>
      </c>
      <c r="CG112" s="130" t="str">
        <f>IF('Midterm OVPAA-F-INS-055A RAW SC'!CE112="","",'Midterm OVPAA-F-INS-055A RAW SC'!CE112/'Midterm OVPAA-F-INS-055A RAW SC'!CE$17*100)</f>
        <v/>
      </c>
      <c r="CH112" s="130" t="str">
        <f>IF('Midterm OVPAA-F-INS-055A RAW SC'!CF112="","",'Midterm OVPAA-F-INS-055A RAW SC'!CF112/'Midterm OVPAA-F-INS-055A RAW SC'!CF$17*100)</f>
        <v/>
      </c>
      <c r="CI112" s="130" t="str">
        <f>IF('Midterm OVPAA-F-INS-055A RAW SC'!CG112="","",'Midterm OVPAA-F-INS-055A RAW SC'!CG112/'Midterm OVPAA-F-INS-055A RAW SC'!CG$17*100)</f>
        <v/>
      </c>
      <c r="CJ112" s="130" t="str">
        <f>IF('Midterm OVPAA-F-INS-055A RAW SC'!CH112="","",'Midterm OVPAA-F-INS-055A RAW SC'!CH112/'Midterm OVPAA-F-INS-055A RAW SC'!CH$17*100)</f>
        <v/>
      </c>
      <c r="CK112" s="130" t="str">
        <f>IF('Midterm OVPAA-F-INS-055A RAW SC'!CI112="","",'Midterm OVPAA-F-INS-055A RAW SC'!CI112/'Midterm OVPAA-F-INS-055A RAW SC'!CI$17*100)</f>
        <v/>
      </c>
      <c r="CL112" s="130" t="str">
        <f>IF('Midterm OVPAA-F-INS-055A RAW SC'!CJ112="","",'Midterm OVPAA-F-INS-055A RAW SC'!CJ112/'Midterm OVPAA-F-INS-055A RAW SC'!CJ$17*100)</f>
        <v/>
      </c>
      <c r="CM112" s="130" t="str">
        <f>IF('Midterm OVPAA-F-INS-055A RAW SC'!CK112="","",'Midterm OVPAA-F-INS-055A RAW SC'!CK112/'Midterm OVPAA-F-INS-055A RAW SC'!CK$17*100)</f>
        <v/>
      </c>
      <c r="CN112" s="130" t="str">
        <f>IF('Midterm OVPAA-F-INS-055A RAW SC'!CL112="","",'Midterm OVPAA-F-INS-055A RAW SC'!CL112/'Midterm OVPAA-F-INS-055A RAW SC'!CL$17*100)</f>
        <v/>
      </c>
      <c r="CO112" s="130" t="str">
        <f>IF('Midterm OVPAA-F-INS-055A RAW SC'!CM112="","",'Midterm OVPAA-F-INS-055A RAW SC'!CM112/'Midterm OVPAA-F-INS-055A RAW SC'!CM$17*100)</f>
        <v/>
      </c>
      <c r="CP112" s="130" t="str">
        <f>IF('Midterm OVPAA-F-INS-055A RAW SC'!CN112="","",'Midterm OVPAA-F-INS-055A RAW SC'!CN112/'Midterm OVPAA-F-INS-055A RAW SC'!CN$17*100)</f>
        <v/>
      </c>
      <c r="CQ112" s="131" t="str">
        <f t="array" ref="CQ112">IF('Midterm OVPAA-F-INS-055A RAW SC'!G112="","",IF((SUMPRODUCT(--ISBLANK('Midterm OVPAA-F-INS-055A RAW SC'!BU112:CN112))=COLUMNS('Midterm OVPAA-F-INS-055A RAW SC'!BU112:CN112))=TRUE,"",(((COUNTA('Midterm OVPAA-F-INS-055A RAW SC'!$BU$17:$CN$17)+COUNTBLANK('Midterm OVPAA-F-INS-055A RAW SC'!BU112:CN112))-COLUMNS('Midterm OVPAA-F-INS-055A RAW SC'!BU112:CN112))*5+SUM(BW112:CP112))/COUNTA('Midterm OVPAA-F-INS-055A RAW SC'!$BU$17:$CN$17)))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IF('Midterm OVPAA-F-INS-055A RAW SC'!CO112="","",'Midterm OVPAA-F-INS-055A RAW SC'!CO112/'Midterm OVPAA-F-INS-055A RAW SC'!CO$17*100)</f>
        <v/>
      </c>
      <c r="CT112" s="133" t="str">
        <f>IF('Midterm OVPAA-F-INS-055A RAW SC'!CP112="","",'Midterm OVPAA-F-INS-055A RAW SC'!CP112/'Midterm OVPAA-F-INS-055A RAW SC'!CP$17*100)</f>
        <v/>
      </c>
      <c r="CU112" s="133" t="str">
        <f>IF('Midterm OVPAA-F-INS-055A RAW SC'!CQ112="","",'Midterm OVPAA-F-INS-055A RAW SC'!CQ112/'Midterm OVPAA-F-INS-055A RAW SC'!CQ$17*100)</f>
        <v/>
      </c>
      <c r="CV112" s="133" t="str">
        <f>IF('Midterm OVPAA-F-INS-055A RAW SC'!CR112="","",'Midterm OVPAA-F-INS-055A RAW SC'!CR112/'Midterm OVPAA-F-INS-055A RAW SC'!CR$17*100)</f>
        <v/>
      </c>
      <c r="CW112" s="133" t="str">
        <f>IF('Midterm OVPAA-F-INS-055A RAW SC'!CS112="","",'Midterm OVPAA-F-INS-055A RAW SC'!CS112/'Midterm OVPAA-F-INS-055A RAW SC'!CS$17*100)</f>
        <v/>
      </c>
      <c r="CX112" s="133" t="str">
        <f>IF('Midterm OVPAA-F-INS-055A RAW SC'!CT112="","",'Midterm OVPAA-F-INS-055A RAW SC'!CT112/'Midterm OVPAA-F-INS-055A RAW SC'!CT$17*100)</f>
        <v/>
      </c>
      <c r="CY112" s="133" t="str">
        <f>IF('Midterm OVPAA-F-INS-055A RAW SC'!CU112="","",'Midterm OVPAA-F-INS-055A RAW SC'!CU112/'Midterm OVPAA-F-INS-055A RAW SC'!CU$17*100)</f>
        <v/>
      </c>
      <c r="CZ112" s="133" t="str">
        <f>IF('Midterm OVPAA-F-INS-055A RAW SC'!CV112="","",'Midterm OVPAA-F-INS-055A RAW SC'!CV112/'Midterm OVPAA-F-INS-055A RAW SC'!CV$17*100)</f>
        <v/>
      </c>
      <c r="DA112" s="133" t="str">
        <f>IF('Midterm OVPAA-F-INS-055A RAW SC'!CW112="","",'Midterm OVPAA-F-INS-055A RAW SC'!CW112/'Midterm OVPAA-F-INS-055A RAW SC'!CW$17*100)</f>
        <v/>
      </c>
      <c r="DB112" s="133" t="str">
        <f>IF('Midterm OVPAA-F-INS-055A RAW SC'!CX112="","",'Midterm OVPAA-F-INS-055A RAW SC'!CX112/'Midterm OVPAA-F-INS-055A RAW SC'!CX$17*100)</f>
        <v/>
      </c>
      <c r="DC112" s="134" t="str">
        <f t="array" ref="DC112">IF('Midterm OVPAA-F-INS-055A RAW SC'!$G112="","",IF((SUMPRODUCT(--ISBLANK('Midterm OVPAA-F-INS-055A RAW SC'!CO112:CX112))=COLUMNS('Midterm OVPAA-F-INS-055A RAW SC'!CO112:CX112))=TRUE,"",(((COUNTA('Midterm OVPAA-F-INS-055A RAW SC'!$CO$17:$CX$17)+COUNTBLANK('Midterm OVPAA-F-INS-055A RAW SC'!CO112:CX112))-COLUMNS('Midterm OVPAA-F-INS-055A RAW SC'!CO112:CX112))*5+SUM(CS112:DB112))/COUNTA('Midterm OVPAA-F-INS-055A RAW SC'!$CO$17:$CX$17)))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37" t="str">
        <f t="shared" si="2"/>
        <v/>
      </c>
      <c r="DG112" s="138" t="str">
        <f t="shared" si="3"/>
        <v/>
      </c>
      <c r="DH112" s="136" t="str">
        <f t="shared" si="4"/>
        <v/>
      </c>
      <c r="DI112" s="123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IF('Midterm OVPAA-F-INS-055A RAW SC'!H113="","",'Midterm OVPAA-F-INS-055A RAW SC'!H113/'Midterm OVPAA-F-INS-055A RAW SC'!H$17*100)</f>
        <v/>
      </c>
      <c r="I113" s="126" t="str">
        <f>IF('Midterm OVPAA-F-INS-055A RAW SC'!I113="","",'Midterm OVPAA-F-INS-055A RAW SC'!I113/'Midterm OVPAA-F-INS-055A RAW SC'!I$17*100)</f>
        <v/>
      </c>
      <c r="J113" s="126" t="str">
        <f>IF('Midterm OVPAA-F-INS-055A RAW SC'!J113="","",'Midterm OVPAA-F-INS-055A RAW SC'!J113/'Midterm OVPAA-F-INS-055A RAW SC'!J$17*100)</f>
        <v/>
      </c>
      <c r="K113" s="126" t="str">
        <f>IF('Midterm OVPAA-F-INS-055A RAW SC'!K113="","",'Midterm OVPAA-F-INS-055A RAW SC'!K113/'Midterm OVPAA-F-INS-055A RAW SC'!K$17*100)</f>
        <v/>
      </c>
      <c r="L113" s="126" t="str">
        <f>IF('Midterm OVPAA-F-INS-055A RAW SC'!L113="","",'Midterm OVPAA-F-INS-055A RAW SC'!L113/'Midterm OVPAA-F-INS-055A RAW SC'!L$17*100)</f>
        <v/>
      </c>
      <c r="M113" s="126" t="str">
        <f>IF('Midterm OVPAA-F-INS-055A RAW SC'!M113="","",'Midterm OVPAA-F-INS-055A RAW SC'!M113/'Midterm OVPAA-F-INS-055A RAW SC'!M$17*100)</f>
        <v/>
      </c>
      <c r="N113" s="126" t="str">
        <f>IF('Midterm OVPAA-F-INS-055A RAW SC'!N113="","",'Midterm OVPAA-F-INS-055A RAW SC'!N113/'Midterm OVPAA-F-INS-055A RAW SC'!N$17*100)</f>
        <v/>
      </c>
      <c r="O113" s="126" t="str">
        <f>IF('Midterm OVPAA-F-INS-055A RAW SC'!O113="","",'Midterm OVPAA-F-INS-055A RAW SC'!O113/'Midterm OVPAA-F-INS-055A RAW SC'!O$17*100)</f>
        <v/>
      </c>
      <c r="P113" s="126" t="str">
        <f>IF('Midterm OVPAA-F-INS-055A RAW SC'!P113="","",'Midterm OVPAA-F-INS-055A RAW SC'!P113/'Midterm OVPAA-F-INS-055A RAW SC'!P$17*100)</f>
        <v/>
      </c>
      <c r="Q113" s="126" t="str">
        <f>IF('Midterm OVPAA-F-INS-055A RAW SC'!Q113="","",'Midterm OVPAA-F-INS-055A RAW SC'!Q113/'Midterm OVPAA-F-INS-055A RAW SC'!Q$17*100)</f>
        <v/>
      </c>
      <c r="R113" s="126" t="str">
        <f>IF('Midterm OVPAA-F-INS-055A RAW SC'!R113="","",'Midterm OVPAA-F-INS-055A RAW SC'!R113/'Midterm OVPAA-F-INS-055A RAW SC'!R$17*100)</f>
        <v/>
      </c>
      <c r="S113" s="126" t="str">
        <f>IF('Midterm OVPAA-F-INS-055A RAW SC'!S113="","",'Midterm OVPAA-F-INS-055A RAW SC'!S113/'Midterm OVPAA-F-INS-055A RAW SC'!S$17*100)</f>
        <v/>
      </c>
      <c r="T113" s="126" t="str">
        <f>IF('Midterm OVPAA-F-INS-055A RAW SC'!T113="","",'Midterm OVPAA-F-INS-055A RAW SC'!T113/'Midterm OVPAA-F-INS-055A RAW SC'!T$17*100)</f>
        <v/>
      </c>
      <c r="U113" s="126" t="str">
        <f>IF('Midterm OVPAA-F-INS-055A RAW SC'!U113="","",'Midterm OVPAA-F-INS-055A RAW SC'!U113/'Midterm OVPAA-F-INS-055A RAW SC'!U$17*100)</f>
        <v/>
      </c>
      <c r="V113" s="126" t="str">
        <f>IF('Midterm OVPAA-F-INS-055A RAW SC'!V113="","",'Midterm OVPAA-F-INS-055A RAW SC'!V113/'Midterm OVPAA-F-INS-055A RAW SC'!V$17*100)</f>
        <v/>
      </c>
      <c r="W113" s="126" t="str">
        <f>IF('Midterm OVPAA-F-INS-055A RAW SC'!W113="","",'Midterm OVPAA-F-INS-055A RAW SC'!W113/'Midterm OVPAA-F-INS-055A RAW SC'!W$17*100)</f>
        <v/>
      </c>
      <c r="X113" s="126" t="str">
        <f>IF('Midterm OVPAA-F-INS-055A RAW SC'!X113="","",'Midterm OVPAA-F-INS-055A RAW SC'!X113/'Midterm OVPAA-F-INS-055A RAW SC'!X$17*100)</f>
        <v/>
      </c>
      <c r="Y113" s="126" t="str">
        <f>IF('Midterm OVPAA-F-INS-055A RAW SC'!Y113="","",'Midterm OVPAA-F-INS-055A RAW SC'!Y113/'Midterm OVPAA-F-INS-055A RAW SC'!Y$17*100)</f>
        <v/>
      </c>
      <c r="Z113" s="126" t="str">
        <f>IF('Midterm OVPAA-F-INS-055A RAW SC'!Z113="","",'Midterm OVPAA-F-INS-055A RAW SC'!Z113/'Midterm OVPAA-F-INS-055A RAW SC'!Z$17*100)</f>
        <v/>
      </c>
      <c r="AA113" s="126" t="str">
        <f>IF('Midterm OVPAA-F-INS-055A RAW SC'!AA113="","",'Midterm OVPAA-F-INS-055A RAW SC'!AA113/'Midterm OVPAA-F-INS-055A RAW SC'!AA$17*100)</f>
        <v/>
      </c>
      <c r="AB113" s="126" t="str">
        <f>IF('Midterm OVPAA-F-INS-055A RAW SC'!AB113="","",'Midterm OVPAA-F-INS-055A RAW SC'!AB113/'Midterm OVPAA-F-INS-055A RAW SC'!AB$17*100)</f>
        <v/>
      </c>
      <c r="AC113" s="126" t="str">
        <f>IF('Midterm OVPAA-F-INS-055A RAW SC'!AC113="","",'Midterm OVPAA-F-INS-055A RAW SC'!AC113/'Midterm OVPAA-F-INS-055A RAW SC'!AC$17*100)</f>
        <v/>
      </c>
      <c r="AD113" s="126" t="str">
        <f>IF('Midterm OVPAA-F-INS-055A RAW SC'!AD113="","",'Midterm OVPAA-F-INS-055A RAW SC'!AD113/'Midterm OVPAA-F-INS-055A RAW SC'!AD$17*100)</f>
        <v/>
      </c>
      <c r="AE113" s="126" t="str">
        <f>IF('Midterm OVPAA-F-INS-055A RAW SC'!AE113="","",'Midterm OVPAA-F-INS-055A RAW SC'!AE113/'Midterm OVPAA-F-INS-055A RAW SC'!AE$17*100)</f>
        <v/>
      </c>
      <c r="AF113" s="126" t="str">
        <f>IF('Midterm OVPAA-F-INS-055A RAW SC'!AF113="","",'Midterm OVPAA-F-INS-055A RAW SC'!AF113/'Midterm OVPAA-F-INS-055A RAW SC'!AF$17*100)</f>
        <v/>
      </c>
      <c r="AG113" s="126" t="str">
        <f>IF('Midterm OVPAA-F-INS-055A RAW SC'!AG113="","",'Midterm OVPAA-F-INS-055A RAW SC'!AG113/'Midterm OVPAA-F-INS-055A RAW SC'!AG$17*100)</f>
        <v/>
      </c>
      <c r="AH113" s="126" t="str">
        <f>IF('Midterm OVPAA-F-INS-055A RAW SC'!AH113="","",'Midterm OVPAA-F-INS-055A RAW SC'!AH113/'Midterm OVPAA-F-INS-055A RAW SC'!AH$17*100)</f>
        <v/>
      </c>
      <c r="AI113" s="126" t="str">
        <f>IF('Midterm OVPAA-F-INS-055A RAW SC'!AI113="","",'Midterm OVPAA-F-INS-055A RAW SC'!AI113/'Midterm OVPAA-F-INS-055A RAW SC'!AI$17*100)</f>
        <v/>
      </c>
      <c r="AJ113" s="126" t="str">
        <f>IF('Midterm OVPAA-F-INS-055A RAW SC'!AJ113="","",'Midterm OVPAA-F-INS-055A RAW SC'!AJ113/'Midterm OVPAA-F-INS-055A RAW SC'!AJ$17*100)</f>
        <v/>
      </c>
      <c r="AK113" s="126" t="str">
        <f>IF('Midterm OVPAA-F-INS-055A RAW SC'!AK113="","",'Midterm OVPAA-F-INS-055A RAW SC'!AK113/'Midterm OVPAA-F-INS-055A RAW SC'!AK$17*100)</f>
        <v/>
      </c>
      <c r="AL113" s="126" t="str">
        <f>IF('Midterm OVPAA-F-INS-055A RAW SC'!AL113="","",'Midterm OVPAA-F-INS-055A RAW SC'!AL113/'Midterm OVPAA-F-INS-055A RAW SC'!AL$17*100)</f>
        <v/>
      </c>
      <c r="AM113" s="126" t="str">
        <f>IF('Midterm OVPAA-F-INS-055A RAW SC'!AM113="","",'Midterm OVPAA-F-INS-055A RAW SC'!AM113/'Midterm OVPAA-F-INS-055A RAW SC'!AM$17*100)</f>
        <v/>
      </c>
      <c r="AN113" s="126" t="str">
        <f>IF('Midterm OVPAA-F-INS-055A RAW SC'!AN113="","",'Midterm OVPAA-F-INS-055A RAW SC'!AN113/'Midterm OVPAA-F-INS-055A RAW SC'!AN$17*100)</f>
        <v/>
      </c>
      <c r="AO113" s="126" t="str">
        <f>IF('Midterm OVPAA-F-INS-055A RAW SC'!AO113="","",'Midterm OVPAA-F-INS-055A RAW SC'!AO113/'Midterm OVPAA-F-INS-055A RAW SC'!AO$17*100)</f>
        <v/>
      </c>
      <c r="AP113" s="126" t="str">
        <f>IF('Midterm OVPAA-F-INS-055A RAW SC'!AP113="","",'Midterm OVPAA-F-INS-055A RAW SC'!AP113/'Midterm OVPAA-F-INS-055A RAW SC'!AP$17*100)</f>
        <v/>
      </c>
      <c r="AQ113" s="126" t="str">
        <f>IF('Midterm OVPAA-F-INS-055A RAW SC'!AQ113="","",'Midterm OVPAA-F-INS-055A RAW SC'!AQ113/'Midterm OVPAA-F-INS-055A RAW SC'!AQ$17*100)</f>
        <v/>
      </c>
      <c r="AR113" s="126" t="str">
        <f>IF('Midterm OVPAA-F-INS-055A RAW SC'!AR113="","",'Midterm OVPAA-F-INS-055A RAW SC'!AR113/'Midterm OVPAA-F-INS-055A RAW SC'!AR$17*100)</f>
        <v/>
      </c>
      <c r="AS113" s="126" t="str">
        <f>IF('Midterm OVPAA-F-INS-055A RAW SC'!AS113="","",'Midterm OVPAA-F-INS-055A RAW SC'!AS113/'Midterm OVPAA-F-INS-055A RAW SC'!AS$17*100)</f>
        <v/>
      </c>
      <c r="AT113" s="126" t="str">
        <f>IF('Midterm OVPAA-F-INS-055A RAW SC'!AT113="","",'Midterm OVPAA-F-INS-055A RAW SC'!AT113/'Midterm OVPAA-F-INS-055A RAW SC'!AT$17*100)</f>
        <v/>
      </c>
      <c r="AU113" s="126" t="str">
        <f>IF('Midterm OVPAA-F-INS-055A RAW SC'!AU113="","",'Midterm OVPAA-F-INS-055A RAW SC'!AU113/'Midterm OVPAA-F-INS-055A RAW SC'!AU$17*100)</f>
        <v/>
      </c>
      <c r="AV113" s="126" t="str">
        <f>IF('Midterm OVPAA-F-INS-055A RAW SC'!AV113="","",'Midterm OVPAA-F-INS-055A RAW SC'!AV113/'Midterm OVPAA-F-INS-055A RAW SC'!AV$17*100)</f>
        <v/>
      </c>
      <c r="AW113" s="126" t="str">
        <f>IF('Midterm OVPAA-F-INS-055A RAW SC'!AW113="","",'Midterm OVPAA-F-INS-055A RAW SC'!AW113/'Midterm OVPAA-F-INS-055A RAW SC'!AW$17*100)</f>
        <v/>
      </c>
      <c r="AX113" s="126" t="str">
        <f>IF('Midterm OVPAA-F-INS-055A RAW SC'!AX113="","",'Midterm OVPAA-F-INS-055A RAW SC'!AX113/'Midterm OVPAA-F-INS-055A RAW SC'!AX$17*100)</f>
        <v/>
      </c>
      <c r="AY113" s="126" t="str">
        <f>IF('Midterm OVPAA-F-INS-055A RAW SC'!AY113="","",'Midterm OVPAA-F-INS-055A RAW SC'!AY113/'Midterm OVPAA-F-INS-055A RAW SC'!AY$17*100)</f>
        <v/>
      </c>
      <c r="AZ113" s="126" t="str">
        <f>IF('Midterm OVPAA-F-INS-055A RAW SC'!AZ113="","",'Midterm OVPAA-F-INS-055A RAW SC'!AZ113/'Midterm OVPAA-F-INS-055A RAW SC'!AZ$17*100)</f>
        <v/>
      </c>
      <c r="BA113" s="126" t="str">
        <f>IF('Midterm OVPAA-F-INS-055A RAW SC'!BA113="","",'Midterm OVPAA-F-INS-055A RAW SC'!BA113/'Midterm OVPAA-F-INS-055A RAW SC'!BA$17*100)</f>
        <v/>
      </c>
      <c r="BB113" s="126" t="str">
        <f>IF('Midterm OVPAA-F-INS-055A RAW SC'!BB113="","",'Midterm OVPAA-F-INS-055A RAW SC'!BB113/'Midterm OVPAA-F-INS-055A RAW SC'!BB$17*100)</f>
        <v/>
      </c>
      <c r="BC113" s="126" t="str">
        <f>IF('Midterm OVPAA-F-INS-055A RAW SC'!BC113="","",'Midterm OVPAA-F-INS-055A RAW SC'!BC113/'Midterm OVPAA-F-INS-055A RAW SC'!BC$17*100)</f>
        <v/>
      </c>
      <c r="BD113" s="126" t="str">
        <f>IF('Midterm OVPAA-F-INS-055A RAW SC'!BD113="","",'Midterm OVPAA-F-INS-055A RAW SC'!BD113/'Midterm OVPAA-F-INS-055A RAW SC'!BD$17*100)</f>
        <v/>
      </c>
      <c r="BE113" s="126" t="str">
        <f>IF('Midterm OVPAA-F-INS-055A RAW SC'!BE113="","",'Midterm OVPAA-F-INS-055A RAW SC'!BE113/'Midterm OVPAA-F-INS-055A RAW SC'!BE$17*100)</f>
        <v/>
      </c>
      <c r="BF113" s="126" t="str">
        <f>IF('Midterm OVPAA-F-INS-055A RAW SC'!BF113="","",'Midterm OVPAA-F-INS-055A RAW SC'!BF113/'Midterm OVPAA-F-INS-055A RAW SC'!BF$17*100)</f>
        <v/>
      </c>
      <c r="BG113" s="126" t="str">
        <f>IF('Midterm OVPAA-F-INS-055A RAW SC'!BG113="","",'Midterm OVPAA-F-INS-055A RAW SC'!BG113/'Midterm OVPAA-F-INS-055A RAW SC'!BG$17*100)</f>
        <v/>
      </c>
      <c r="BH113" s="126" t="str">
        <f>IF('Midterm OVPAA-F-INS-055A RAW SC'!BH113="","",'Midterm OVPAA-F-INS-055A RAW SC'!BH113/'Midterm OVPAA-F-INS-055A RAW SC'!BH$17*100)</f>
        <v/>
      </c>
      <c r="BI113" s="126" t="str">
        <f>IF('Midterm OVPAA-F-INS-055A RAW SC'!BI113="","",'Midterm OVPAA-F-INS-055A RAW SC'!BI113/'Midterm OVPAA-F-INS-055A RAW SC'!BI$17*100)</f>
        <v/>
      </c>
      <c r="BJ113" s="126" t="str">
        <f>IF('Midterm OVPAA-F-INS-055A RAW SC'!BJ113="","",'Midterm OVPAA-F-INS-055A RAW SC'!BJ113/'Midterm OVPAA-F-INS-055A RAW SC'!BJ$17*100)</f>
        <v/>
      </c>
      <c r="BK113" s="126" t="str">
        <f>IF('Midterm OVPAA-F-INS-055A RAW SC'!BK113="","",'Midterm OVPAA-F-INS-055A RAW SC'!BK113/'Midterm OVPAA-F-INS-055A RAW SC'!BK$17*100)</f>
        <v/>
      </c>
      <c r="BL113" s="126" t="str">
        <f>IF('Midterm OVPAA-F-INS-055A RAW SC'!BL113="","",'Midterm OVPAA-F-INS-055A RAW SC'!BL113/'Midterm OVPAA-F-INS-055A RAW SC'!BL$17*100)</f>
        <v/>
      </c>
      <c r="BM113" s="126" t="str">
        <f>IF('Midterm OVPAA-F-INS-055A RAW SC'!BM113="","",'Midterm OVPAA-F-INS-055A RAW SC'!BM113/'Midterm OVPAA-F-INS-055A RAW SC'!BM$17*100)</f>
        <v/>
      </c>
      <c r="BN113" s="126" t="str">
        <f>IF('Midterm OVPAA-F-INS-055A RAW SC'!BN113="","",'Midterm OVPAA-F-INS-055A RAW SC'!BN113/'Midterm OVPAA-F-INS-055A RAW SC'!BN$17*100)</f>
        <v/>
      </c>
      <c r="BO113" s="126" t="str">
        <f>IF('Midterm OVPAA-F-INS-055A RAW SC'!BO113="","",'Midterm OVPAA-F-INS-055A RAW SC'!BO113/'Midterm OVPAA-F-INS-055A RAW SC'!BO$17*100)</f>
        <v/>
      </c>
      <c r="BP113" s="126" t="str">
        <f>IF('Midterm OVPAA-F-INS-055A RAW SC'!BP113="","",'Midterm OVPAA-F-INS-055A RAW SC'!BP113/'Midterm OVPAA-F-INS-055A RAW SC'!BP$17*100)</f>
        <v/>
      </c>
      <c r="BQ113" s="126" t="str">
        <f>IF('Midterm OVPAA-F-INS-055A RAW SC'!BQ113="","",'Midterm OVPAA-F-INS-055A RAW SC'!BQ113/'Midterm OVPAA-F-INS-055A RAW SC'!BQ$17*100)</f>
        <v/>
      </c>
      <c r="BR113" s="126" t="str">
        <f>IF('Midterm OVPAA-F-INS-055A RAW SC'!BR113="","",'Midterm OVPAA-F-INS-055A RAW SC'!BR113/'Midterm OVPAA-F-INS-055A RAW SC'!BR$17*100)</f>
        <v/>
      </c>
      <c r="BS113" s="126" t="str">
        <f>IF('Midterm OVPAA-F-INS-055A RAW SC'!BS113="","",'Midterm OVPAA-F-INS-055A RAW SC'!BS113/'Midterm OVPAA-F-INS-055A RAW SC'!BS$17*100)</f>
        <v/>
      </c>
      <c r="BT113" s="126" t="str">
        <f>IF('Midterm OVPAA-F-INS-055A RAW SC'!BT113="","",'Midterm OVPAA-F-INS-055A RAW SC'!BT113/'Midterm OVPAA-F-INS-055A RAW SC'!BT$17*100)</f>
        <v/>
      </c>
      <c r="BU113" s="127" t="str">
        <f t="array" ref="BU113">IF('Midterm OVPAA-F-INS-055A RAW SC'!$G113="","",IF((SUMPRODUCT(--ISBLANK('Midterm OVPAA-F-INS-055A RAW SC'!H113:BT113))=COLUMNS('Midterm OVPAA-F-INS-055A RAW SC'!H113:BT113))=TRUE,"",(((COUNTA('Midterm OVPAA-F-INS-055A RAW SC'!$H$17:$BT$17)+COUNTBLANK('Midterm OVPAA-F-INS-055A RAW SC'!H113:BT113))-COLUMNS('Midterm OVPAA-F-INS-055A RAW SC'!H113:BT113))*5+SUM(H113:BT113))/COUNTA('Midterm OVPAA-F-INS-055A RAW SC'!$H$17:$BT$17)))</f>
        <v/>
      </c>
      <c r="BV113" s="128" t="str">
        <f>IF(BU113="","",VLOOKUP(BU113,IF('Midterm OVPAA-F-INS-055A RAW SC'!$V$12=0.5,TRANSMUTATION!$C$4:$D$17,TRANSMUTATION!$G$4:$H$17),2,TRUE))</f>
        <v/>
      </c>
      <c r="BW113" s="129" t="str">
        <f>IF('Midterm OVPAA-F-INS-055A RAW SC'!BU113="","",'Midterm OVPAA-F-INS-055A RAW SC'!BU113/'Midterm OVPAA-F-INS-055A RAW SC'!BU$17*100)</f>
        <v/>
      </c>
      <c r="BX113" s="130" t="str">
        <f>IF('Midterm OVPAA-F-INS-055A RAW SC'!BV113="","",'Midterm OVPAA-F-INS-055A RAW SC'!BV113/'Midterm OVPAA-F-INS-055A RAW SC'!BV$17*100)</f>
        <v/>
      </c>
      <c r="BY113" s="130" t="str">
        <f>IF('Midterm OVPAA-F-INS-055A RAW SC'!BW113="","",'Midterm OVPAA-F-INS-055A RAW SC'!BW113/'Midterm OVPAA-F-INS-055A RAW SC'!BW$17*100)</f>
        <v/>
      </c>
      <c r="BZ113" s="130" t="str">
        <f>IF('Midterm OVPAA-F-INS-055A RAW SC'!BX113="","",'Midterm OVPAA-F-INS-055A RAW SC'!BX113/'Midterm OVPAA-F-INS-055A RAW SC'!BX$17*100)</f>
        <v/>
      </c>
      <c r="CA113" s="130" t="str">
        <f>IF('Midterm OVPAA-F-INS-055A RAW SC'!BY113="","",'Midterm OVPAA-F-INS-055A RAW SC'!BY113/'Midterm OVPAA-F-INS-055A RAW SC'!BY$17*100)</f>
        <v/>
      </c>
      <c r="CB113" s="130" t="str">
        <f>IF('Midterm OVPAA-F-INS-055A RAW SC'!BZ113="","",'Midterm OVPAA-F-INS-055A RAW SC'!BZ113/'Midterm OVPAA-F-INS-055A RAW SC'!BZ$17*100)</f>
        <v/>
      </c>
      <c r="CC113" s="130" t="str">
        <f>IF('Midterm OVPAA-F-INS-055A RAW SC'!CA113="","",'Midterm OVPAA-F-INS-055A RAW SC'!CA113/'Midterm OVPAA-F-INS-055A RAW SC'!CA$17*100)</f>
        <v/>
      </c>
      <c r="CD113" s="130" t="str">
        <f>IF('Midterm OVPAA-F-INS-055A RAW SC'!CB113="","",'Midterm OVPAA-F-INS-055A RAW SC'!CB113/'Midterm OVPAA-F-INS-055A RAW SC'!CB$17*100)</f>
        <v/>
      </c>
      <c r="CE113" s="130" t="str">
        <f>IF('Midterm OVPAA-F-INS-055A RAW SC'!CC113="","",'Midterm OVPAA-F-INS-055A RAW SC'!CC113/'Midterm OVPAA-F-INS-055A RAW SC'!CC$17*100)</f>
        <v/>
      </c>
      <c r="CF113" s="130" t="str">
        <f>IF('Midterm OVPAA-F-INS-055A RAW SC'!CD113="","",'Midterm OVPAA-F-INS-055A RAW SC'!CD113/'Midterm OVPAA-F-INS-055A RAW SC'!CD$17*100)</f>
        <v/>
      </c>
      <c r="CG113" s="130" t="str">
        <f>IF('Midterm OVPAA-F-INS-055A RAW SC'!CE113="","",'Midterm OVPAA-F-INS-055A RAW SC'!CE113/'Midterm OVPAA-F-INS-055A RAW SC'!CE$17*100)</f>
        <v/>
      </c>
      <c r="CH113" s="130" t="str">
        <f>IF('Midterm OVPAA-F-INS-055A RAW SC'!CF113="","",'Midterm OVPAA-F-INS-055A RAW SC'!CF113/'Midterm OVPAA-F-INS-055A RAW SC'!CF$17*100)</f>
        <v/>
      </c>
      <c r="CI113" s="130" t="str">
        <f>IF('Midterm OVPAA-F-INS-055A RAW SC'!CG113="","",'Midterm OVPAA-F-INS-055A RAW SC'!CG113/'Midterm OVPAA-F-INS-055A RAW SC'!CG$17*100)</f>
        <v/>
      </c>
      <c r="CJ113" s="130" t="str">
        <f>IF('Midterm OVPAA-F-INS-055A RAW SC'!CH113="","",'Midterm OVPAA-F-INS-055A RAW SC'!CH113/'Midterm OVPAA-F-INS-055A RAW SC'!CH$17*100)</f>
        <v/>
      </c>
      <c r="CK113" s="130" t="str">
        <f>IF('Midterm OVPAA-F-INS-055A RAW SC'!CI113="","",'Midterm OVPAA-F-INS-055A RAW SC'!CI113/'Midterm OVPAA-F-INS-055A RAW SC'!CI$17*100)</f>
        <v/>
      </c>
      <c r="CL113" s="130" t="str">
        <f>IF('Midterm OVPAA-F-INS-055A RAW SC'!CJ113="","",'Midterm OVPAA-F-INS-055A RAW SC'!CJ113/'Midterm OVPAA-F-INS-055A RAW SC'!CJ$17*100)</f>
        <v/>
      </c>
      <c r="CM113" s="130" t="str">
        <f>IF('Midterm OVPAA-F-INS-055A RAW SC'!CK113="","",'Midterm OVPAA-F-INS-055A RAW SC'!CK113/'Midterm OVPAA-F-INS-055A RAW SC'!CK$17*100)</f>
        <v/>
      </c>
      <c r="CN113" s="130" t="str">
        <f>IF('Midterm OVPAA-F-INS-055A RAW SC'!CL113="","",'Midterm OVPAA-F-INS-055A RAW SC'!CL113/'Midterm OVPAA-F-INS-055A RAW SC'!CL$17*100)</f>
        <v/>
      </c>
      <c r="CO113" s="130" t="str">
        <f>IF('Midterm OVPAA-F-INS-055A RAW SC'!CM113="","",'Midterm OVPAA-F-INS-055A RAW SC'!CM113/'Midterm OVPAA-F-INS-055A RAW SC'!CM$17*100)</f>
        <v/>
      </c>
      <c r="CP113" s="130" t="str">
        <f>IF('Midterm OVPAA-F-INS-055A RAW SC'!CN113="","",'Midterm OVPAA-F-INS-055A RAW SC'!CN113/'Midterm OVPAA-F-INS-055A RAW SC'!CN$17*100)</f>
        <v/>
      </c>
      <c r="CQ113" s="131" t="str">
        <f t="array" ref="CQ113">IF('Midterm OVPAA-F-INS-055A RAW SC'!G113="","",IF((SUMPRODUCT(--ISBLANK('Midterm OVPAA-F-INS-055A RAW SC'!BU113:CN113))=COLUMNS('Midterm OVPAA-F-INS-055A RAW SC'!BU113:CN113))=TRUE,"",(((COUNTA('Midterm OVPAA-F-INS-055A RAW SC'!$BU$17:$CN$17)+COUNTBLANK('Midterm OVPAA-F-INS-055A RAW SC'!BU113:CN113))-COLUMNS('Midterm OVPAA-F-INS-055A RAW SC'!BU113:CN113))*5+SUM(BW113:CP113))/COUNTA('Midterm OVPAA-F-INS-055A RAW SC'!$BU$17:$CN$17)))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IF('Midterm OVPAA-F-INS-055A RAW SC'!CO113="","",'Midterm OVPAA-F-INS-055A RAW SC'!CO113/'Midterm OVPAA-F-INS-055A RAW SC'!CO$17*100)</f>
        <v/>
      </c>
      <c r="CT113" s="133" t="str">
        <f>IF('Midterm OVPAA-F-INS-055A RAW SC'!CP113="","",'Midterm OVPAA-F-INS-055A RAW SC'!CP113/'Midterm OVPAA-F-INS-055A RAW SC'!CP$17*100)</f>
        <v/>
      </c>
      <c r="CU113" s="133" t="str">
        <f>IF('Midterm OVPAA-F-INS-055A RAW SC'!CQ113="","",'Midterm OVPAA-F-INS-055A RAW SC'!CQ113/'Midterm OVPAA-F-INS-055A RAW SC'!CQ$17*100)</f>
        <v/>
      </c>
      <c r="CV113" s="133" t="str">
        <f>IF('Midterm OVPAA-F-INS-055A RAW SC'!CR113="","",'Midterm OVPAA-F-INS-055A RAW SC'!CR113/'Midterm OVPAA-F-INS-055A RAW SC'!CR$17*100)</f>
        <v/>
      </c>
      <c r="CW113" s="133" t="str">
        <f>IF('Midterm OVPAA-F-INS-055A RAW SC'!CS113="","",'Midterm OVPAA-F-INS-055A RAW SC'!CS113/'Midterm OVPAA-F-INS-055A RAW SC'!CS$17*100)</f>
        <v/>
      </c>
      <c r="CX113" s="133" t="str">
        <f>IF('Midterm OVPAA-F-INS-055A RAW SC'!CT113="","",'Midterm OVPAA-F-INS-055A RAW SC'!CT113/'Midterm OVPAA-F-INS-055A RAW SC'!CT$17*100)</f>
        <v/>
      </c>
      <c r="CY113" s="133" t="str">
        <f>IF('Midterm OVPAA-F-INS-055A RAW SC'!CU113="","",'Midterm OVPAA-F-INS-055A RAW SC'!CU113/'Midterm OVPAA-F-INS-055A RAW SC'!CU$17*100)</f>
        <v/>
      </c>
      <c r="CZ113" s="133" t="str">
        <f>IF('Midterm OVPAA-F-INS-055A RAW SC'!CV113="","",'Midterm OVPAA-F-INS-055A RAW SC'!CV113/'Midterm OVPAA-F-INS-055A RAW SC'!CV$17*100)</f>
        <v/>
      </c>
      <c r="DA113" s="133" t="str">
        <f>IF('Midterm OVPAA-F-INS-055A RAW SC'!CW113="","",'Midterm OVPAA-F-INS-055A RAW SC'!CW113/'Midterm OVPAA-F-INS-055A RAW SC'!CW$17*100)</f>
        <v/>
      </c>
      <c r="DB113" s="133" t="str">
        <f>IF('Midterm OVPAA-F-INS-055A RAW SC'!CX113="","",'Midterm OVPAA-F-INS-055A RAW SC'!CX113/'Midterm OVPAA-F-INS-055A RAW SC'!CX$17*100)</f>
        <v/>
      </c>
      <c r="DC113" s="134" t="str">
        <f t="array" ref="DC113">IF('Midterm OVPAA-F-INS-055A RAW SC'!$G113="","",IF((SUMPRODUCT(--ISBLANK('Midterm OVPAA-F-INS-055A RAW SC'!CO113:CX113))=COLUMNS('Midterm OVPAA-F-INS-055A RAW SC'!CO113:CX113))=TRUE,"",(((COUNTA('Midterm OVPAA-F-INS-055A RAW SC'!$CO$17:$CX$17)+COUNTBLANK('Midterm OVPAA-F-INS-055A RAW SC'!CO113:CX113))-COLUMNS('Midterm OVPAA-F-INS-055A RAW SC'!CO113:CX113))*5+SUM(CS113:DB113))/COUNTA('Midterm OVPAA-F-INS-055A RAW SC'!$CO$17:$CX$17)))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37" t="str">
        <f t="shared" si="2"/>
        <v/>
      </c>
      <c r="DG113" s="138" t="str">
        <f t="shared" si="3"/>
        <v/>
      </c>
      <c r="DH113" s="136" t="str">
        <f t="shared" si="4"/>
        <v/>
      </c>
      <c r="DI113" s="123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IF('Midterm OVPAA-F-INS-055A RAW SC'!H114="","",'Midterm OVPAA-F-INS-055A RAW SC'!H114/'Midterm OVPAA-F-INS-055A RAW SC'!H$17*100)</f>
        <v/>
      </c>
      <c r="I114" s="126" t="str">
        <f>IF('Midterm OVPAA-F-INS-055A RAW SC'!I114="","",'Midterm OVPAA-F-INS-055A RAW SC'!I114/'Midterm OVPAA-F-INS-055A RAW SC'!I$17*100)</f>
        <v/>
      </c>
      <c r="J114" s="126" t="str">
        <f>IF('Midterm OVPAA-F-INS-055A RAW SC'!J114="","",'Midterm OVPAA-F-INS-055A RAW SC'!J114/'Midterm OVPAA-F-INS-055A RAW SC'!J$17*100)</f>
        <v/>
      </c>
      <c r="K114" s="126" t="str">
        <f>IF('Midterm OVPAA-F-INS-055A RAW SC'!K114="","",'Midterm OVPAA-F-INS-055A RAW SC'!K114/'Midterm OVPAA-F-INS-055A RAW SC'!K$17*100)</f>
        <v/>
      </c>
      <c r="L114" s="126" t="str">
        <f>IF('Midterm OVPAA-F-INS-055A RAW SC'!L114="","",'Midterm OVPAA-F-INS-055A RAW SC'!L114/'Midterm OVPAA-F-INS-055A RAW SC'!L$17*100)</f>
        <v/>
      </c>
      <c r="M114" s="126" t="str">
        <f>IF('Midterm OVPAA-F-INS-055A RAW SC'!M114="","",'Midterm OVPAA-F-INS-055A RAW SC'!M114/'Midterm OVPAA-F-INS-055A RAW SC'!M$17*100)</f>
        <v/>
      </c>
      <c r="N114" s="126" t="str">
        <f>IF('Midterm OVPAA-F-INS-055A RAW SC'!N114="","",'Midterm OVPAA-F-INS-055A RAW SC'!N114/'Midterm OVPAA-F-INS-055A RAW SC'!N$17*100)</f>
        <v/>
      </c>
      <c r="O114" s="126" t="str">
        <f>IF('Midterm OVPAA-F-INS-055A RAW SC'!O114="","",'Midterm OVPAA-F-INS-055A RAW SC'!O114/'Midterm OVPAA-F-INS-055A RAW SC'!O$17*100)</f>
        <v/>
      </c>
      <c r="P114" s="126" t="str">
        <f>IF('Midterm OVPAA-F-INS-055A RAW SC'!P114="","",'Midterm OVPAA-F-INS-055A RAW SC'!P114/'Midterm OVPAA-F-INS-055A RAW SC'!P$17*100)</f>
        <v/>
      </c>
      <c r="Q114" s="126" t="str">
        <f>IF('Midterm OVPAA-F-INS-055A RAW SC'!Q114="","",'Midterm OVPAA-F-INS-055A RAW SC'!Q114/'Midterm OVPAA-F-INS-055A RAW SC'!Q$17*100)</f>
        <v/>
      </c>
      <c r="R114" s="126" t="str">
        <f>IF('Midterm OVPAA-F-INS-055A RAW SC'!R114="","",'Midterm OVPAA-F-INS-055A RAW SC'!R114/'Midterm OVPAA-F-INS-055A RAW SC'!R$17*100)</f>
        <v/>
      </c>
      <c r="S114" s="126" t="str">
        <f>IF('Midterm OVPAA-F-INS-055A RAW SC'!S114="","",'Midterm OVPAA-F-INS-055A RAW SC'!S114/'Midterm OVPAA-F-INS-055A RAW SC'!S$17*100)</f>
        <v/>
      </c>
      <c r="T114" s="126" t="str">
        <f>IF('Midterm OVPAA-F-INS-055A RAW SC'!T114="","",'Midterm OVPAA-F-INS-055A RAW SC'!T114/'Midterm OVPAA-F-INS-055A RAW SC'!T$17*100)</f>
        <v/>
      </c>
      <c r="U114" s="126" t="str">
        <f>IF('Midterm OVPAA-F-INS-055A RAW SC'!U114="","",'Midterm OVPAA-F-INS-055A RAW SC'!U114/'Midterm OVPAA-F-INS-055A RAW SC'!U$17*100)</f>
        <v/>
      </c>
      <c r="V114" s="126" t="str">
        <f>IF('Midterm OVPAA-F-INS-055A RAW SC'!V114="","",'Midterm OVPAA-F-INS-055A RAW SC'!V114/'Midterm OVPAA-F-INS-055A RAW SC'!V$17*100)</f>
        <v/>
      </c>
      <c r="W114" s="126" t="str">
        <f>IF('Midterm OVPAA-F-INS-055A RAW SC'!W114="","",'Midterm OVPAA-F-INS-055A RAW SC'!W114/'Midterm OVPAA-F-INS-055A RAW SC'!W$17*100)</f>
        <v/>
      </c>
      <c r="X114" s="126" t="str">
        <f>IF('Midterm OVPAA-F-INS-055A RAW SC'!X114="","",'Midterm OVPAA-F-INS-055A RAW SC'!X114/'Midterm OVPAA-F-INS-055A RAW SC'!X$17*100)</f>
        <v/>
      </c>
      <c r="Y114" s="126" t="str">
        <f>IF('Midterm OVPAA-F-INS-055A RAW SC'!Y114="","",'Midterm OVPAA-F-INS-055A RAW SC'!Y114/'Midterm OVPAA-F-INS-055A RAW SC'!Y$17*100)</f>
        <v/>
      </c>
      <c r="Z114" s="126" t="str">
        <f>IF('Midterm OVPAA-F-INS-055A RAW SC'!Z114="","",'Midterm OVPAA-F-INS-055A RAW SC'!Z114/'Midterm OVPAA-F-INS-055A RAW SC'!Z$17*100)</f>
        <v/>
      </c>
      <c r="AA114" s="126" t="str">
        <f>IF('Midterm OVPAA-F-INS-055A RAW SC'!AA114="","",'Midterm OVPAA-F-INS-055A RAW SC'!AA114/'Midterm OVPAA-F-INS-055A RAW SC'!AA$17*100)</f>
        <v/>
      </c>
      <c r="AB114" s="126" t="str">
        <f>IF('Midterm OVPAA-F-INS-055A RAW SC'!AB114="","",'Midterm OVPAA-F-INS-055A RAW SC'!AB114/'Midterm OVPAA-F-INS-055A RAW SC'!AB$17*100)</f>
        <v/>
      </c>
      <c r="AC114" s="126" t="str">
        <f>IF('Midterm OVPAA-F-INS-055A RAW SC'!AC114="","",'Midterm OVPAA-F-INS-055A RAW SC'!AC114/'Midterm OVPAA-F-INS-055A RAW SC'!AC$17*100)</f>
        <v/>
      </c>
      <c r="AD114" s="126" t="str">
        <f>IF('Midterm OVPAA-F-INS-055A RAW SC'!AD114="","",'Midterm OVPAA-F-INS-055A RAW SC'!AD114/'Midterm OVPAA-F-INS-055A RAW SC'!AD$17*100)</f>
        <v/>
      </c>
      <c r="AE114" s="126" t="str">
        <f>IF('Midterm OVPAA-F-INS-055A RAW SC'!AE114="","",'Midterm OVPAA-F-INS-055A RAW SC'!AE114/'Midterm OVPAA-F-INS-055A RAW SC'!AE$17*100)</f>
        <v/>
      </c>
      <c r="AF114" s="126" t="str">
        <f>IF('Midterm OVPAA-F-INS-055A RAW SC'!AF114="","",'Midterm OVPAA-F-INS-055A RAW SC'!AF114/'Midterm OVPAA-F-INS-055A RAW SC'!AF$17*100)</f>
        <v/>
      </c>
      <c r="AG114" s="126" t="str">
        <f>IF('Midterm OVPAA-F-INS-055A RAW SC'!AG114="","",'Midterm OVPAA-F-INS-055A RAW SC'!AG114/'Midterm OVPAA-F-INS-055A RAW SC'!AG$17*100)</f>
        <v/>
      </c>
      <c r="AH114" s="126" t="str">
        <f>IF('Midterm OVPAA-F-INS-055A RAW SC'!AH114="","",'Midterm OVPAA-F-INS-055A RAW SC'!AH114/'Midterm OVPAA-F-INS-055A RAW SC'!AH$17*100)</f>
        <v/>
      </c>
      <c r="AI114" s="126" t="str">
        <f>IF('Midterm OVPAA-F-INS-055A RAW SC'!AI114="","",'Midterm OVPAA-F-INS-055A RAW SC'!AI114/'Midterm OVPAA-F-INS-055A RAW SC'!AI$17*100)</f>
        <v/>
      </c>
      <c r="AJ114" s="126" t="str">
        <f>IF('Midterm OVPAA-F-INS-055A RAW SC'!AJ114="","",'Midterm OVPAA-F-INS-055A RAW SC'!AJ114/'Midterm OVPAA-F-INS-055A RAW SC'!AJ$17*100)</f>
        <v/>
      </c>
      <c r="AK114" s="126" t="str">
        <f>IF('Midterm OVPAA-F-INS-055A RAW SC'!AK114="","",'Midterm OVPAA-F-INS-055A RAW SC'!AK114/'Midterm OVPAA-F-INS-055A RAW SC'!AK$17*100)</f>
        <v/>
      </c>
      <c r="AL114" s="126" t="str">
        <f>IF('Midterm OVPAA-F-INS-055A RAW SC'!AL114="","",'Midterm OVPAA-F-INS-055A RAW SC'!AL114/'Midterm OVPAA-F-INS-055A RAW SC'!AL$17*100)</f>
        <v/>
      </c>
      <c r="AM114" s="126" t="str">
        <f>IF('Midterm OVPAA-F-INS-055A RAW SC'!AM114="","",'Midterm OVPAA-F-INS-055A RAW SC'!AM114/'Midterm OVPAA-F-INS-055A RAW SC'!AM$17*100)</f>
        <v/>
      </c>
      <c r="AN114" s="126" t="str">
        <f>IF('Midterm OVPAA-F-INS-055A RAW SC'!AN114="","",'Midterm OVPAA-F-INS-055A RAW SC'!AN114/'Midterm OVPAA-F-INS-055A RAW SC'!AN$17*100)</f>
        <v/>
      </c>
      <c r="AO114" s="126" t="str">
        <f>IF('Midterm OVPAA-F-INS-055A RAW SC'!AO114="","",'Midterm OVPAA-F-INS-055A RAW SC'!AO114/'Midterm OVPAA-F-INS-055A RAW SC'!AO$17*100)</f>
        <v/>
      </c>
      <c r="AP114" s="126" t="str">
        <f>IF('Midterm OVPAA-F-INS-055A RAW SC'!AP114="","",'Midterm OVPAA-F-INS-055A RAW SC'!AP114/'Midterm OVPAA-F-INS-055A RAW SC'!AP$17*100)</f>
        <v/>
      </c>
      <c r="AQ114" s="126" t="str">
        <f>IF('Midterm OVPAA-F-INS-055A RAW SC'!AQ114="","",'Midterm OVPAA-F-INS-055A RAW SC'!AQ114/'Midterm OVPAA-F-INS-055A RAW SC'!AQ$17*100)</f>
        <v/>
      </c>
      <c r="AR114" s="126" t="str">
        <f>IF('Midterm OVPAA-F-INS-055A RAW SC'!AR114="","",'Midterm OVPAA-F-INS-055A RAW SC'!AR114/'Midterm OVPAA-F-INS-055A RAW SC'!AR$17*100)</f>
        <v/>
      </c>
      <c r="AS114" s="126" t="str">
        <f>IF('Midterm OVPAA-F-INS-055A RAW SC'!AS114="","",'Midterm OVPAA-F-INS-055A RAW SC'!AS114/'Midterm OVPAA-F-INS-055A RAW SC'!AS$17*100)</f>
        <v/>
      </c>
      <c r="AT114" s="126" t="str">
        <f>IF('Midterm OVPAA-F-INS-055A RAW SC'!AT114="","",'Midterm OVPAA-F-INS-055A RAW SC'!AT114/'Midterm OVPAA-F-INS-055A RAW SC'!AT$17*100)</f>
        <v/>
      </c>
      <c r="AU114" s="126" t="str">
        <f>IF('Midterm OVPAA-F-INS-055A RAW SC'!AU114="","",'Midterm OVPAA-F-INS-055A RAW SC'!AU114/'Midterm OVPAA-F-INS-055A RAW SC'!AU$17*100)</f>
        <v/>
      </c>
      <c r="AV114" s="126" t="str">
        <f>IF('Midterm OVPAA-F-INS-055A RAW SC'!AV114="","",'Midterm OVPAA-F-INS-055A RAW SC'!AV114/'Midterm OVPAA-F-INS-055A RAW SC'!AV$17*100)</f>
        <v/>
      </c>
      <c r="AW114" s="126" t="str">
        <f>IF('Midterm OVPAA-F-INS-055A RAW SC'!AW114="","",'Midterm OVPAA-F-INS-055A RAW SC'!AW114/'Midterm OVPAA-F-INS-055A RAW SC'!AW$17*100)</f>
        <v/>
      </c>
      <c r="AX114" s="126" t="str">
        <f>IF('Midterm OVPAA-F-INS-055A RAW SC'!AX114="","",'Midterm OVPAA-F-INS-055A RAW SC'!AX114/'Midterm OVPAA-F-INS-055A RAW SC'!AX$17*100)</f>
        <v/>
      </c>
      <c r="AY114" s="126" t="str">
        <f>IF('Midterm OVPAA-F-INS-055A RAW SC'!AY114="","",'Midterm OVPAA-F-INS-055A RAW SC'!AY114/'Midterm OVPAA-F-INS-055A RAW SC'!AY$17*100)</f>
        <v/>
      </c>
      <c r="AZ114" s="126" t="str">
        <f>IF('Midterm OVPAA-F-INS-055A RAW SC'!AZ114="","",'Midterm OVPAA-F-INS-055A RAW SC'!AZ114/'Midterm OVPAA-F-INS-055A RAW SC'!AZ$17*100)</f>
        <v/>
      </c>
      <c r="BA114" s="126" t="str">
        <f>IF('Midterm OVPAA-F-INS-055A RAW SC'!BA114="","",'Midterm OVPAA-F-INS-055A RAW SC'!BA114/'Midterm OVPAA-F-INS-055A RAW SC'!BA$17*100)</f>
        <v/>
      </c>
      <c r="BB114" s="126" t="str">
        <f>IF('Midterm OVPAA-F-INS-055A RAW SC'!BB114="","",'Midterm OVPAA-F-INS-055A RAW SC'!BB114/'Midterm OVPAA-F-INS-055A RAW SC'!BB$17*100)</f>
        <v/>
      </c>
      <c r="BC114" s="126" t="str">
        <f>IF('Midterm OVPAA-F-INS-055A RAW SC'!BC114="","",'Midterm OVPAA-F-INS-055A RAW SC'!BC114/'Midterm OVPAA-F-INS-055A RAW SC'!BC$17*100)</f>
        <v/>
      </c>
      <c r="BD114" s="126" t="str">
        <f>IF('Midterm OVPAA-F-INS-055A RAW SC'!BD114="","",'Midterm OVPAA-F-INS-055A RAW SC'!BD114/'Midterm OVPAA-F-INS-055A RAW SC'!BD$17*100)</f>
        <v/>
      </c>
      <c r="BE114" s="126" t="str">
        <f>IF('Midterm OVPAA-F-INS-055A RAW SC'!BE114="","",'Midterm OVPAA-F-INS-055A RAW SC'!BE114/'Midterm OVPAA-F-INS-055A RAW SC'!BE$17*100)</f>
        <v/>
      </c>
      <c r="BF114" s="126" t="str">
        <f>IF('Midterm OVPAA-F-INS-055A RAW SC'!BF114="","",'Midterm OVPAA-F-INS-055A RAW SC'!BF114/'Midterm OVPAA-F-INS-055A RAW SC'!BF$17*100)</f>
        <v/>
      </c>
      <c r="BG114" s="126" t="str">
        <f>IF('Midterm OVPAA-F-INS-055A RAW SC'!BG114="","",'Midterm OVPAA-F-INS-055A RAW SC'!BG114/'Midterm OVPAA-F-INS-055A RAW SC'!BG$17*100)</f>
        <v/>
      </c>
      <c r="BH114" s="126" t="str">
        <f>IF('Midterm OVPAA-F-INS-055A RAW SC'!BH114="","",'Midterm OVPAA-F-INS-055A RAW SC'!BH114/'Midterm OVPAA-F-INS-055A RAW SC'!BH$17*100)</f>
        <v/>
      </c>
      <c r="BI114" s="126" t="str">
        <f>IF('Midterm OVPAA-F-INS-055A RAW SC'!BI114="","",'Midterm OVPAA-F-INS-055A RAW SC'!BI114/'Midterm OVPAA-F-INS-055A RAW SC'!BI$17*100)</f>
        <v/>
      </c>
      <c r="BJ114" s="126" t="str">
        <f>IF('Midterm OVPAA-F-INS-055A RAW SC'!BJ114="","",'Midterm OVPAA-F-INS-055A RAW SC'!BJ114/'Midterm OVPAA-F-INS-055A RAW SC'!BJ$17*100)</f>
        <v/>
      </c>
      <c r="BK114" s="126" t="str">
        <f>IF('Midterm OVPAA-F-INS-055A RAW SC'!BK114="","",'Midterm OVPAA-F-INS-055A RAW SC'!BK114/'Midterm OVPAA-F-INS-055A RAW SC'!BK$17*100)</f>
        <v/>
      </c>
      <c r="BL114" s="126" t="str">
        <f>IF('Midterm OVPAA-F-INS-055A RAW SC'!BL114="","",'Midterm OVPAA-F-INS-055A RAW SC'!BL114/'Midterm OVPAA-F-INS-055A RAW SC'!BL$17*100)</f>
        <v/>
      </c>
      <c r="BM114" s="126" t="str">
        <f>IF('Midterm OVPAA-F-INS-055A RAW SC'!BM114="","",'Midterm OVPAA-F-INS-055A RAW SC'!BM114/'Midterm OVPAA-F-INS-055A RAW SC'!BM$17*100)</f>
        <v/>
      </c>
      <c r="BN114" s="126" t="str">
        <f>IF('Midterm OVPAA-F-INS-055A RAW SC'!BN114="","",'Midterm OVPAA-F-INS-055A RAW SC'!BN114/'Midterm OVPAA-F-INS-055A RAW SC'!BN$17*100)</f>
        <v/>
      </c>
      <c r="BO114" s="126" t="str">
        <f>IF('Midterm OVPAA-F-INS-055A RAW SC'!BO114="","",'Midterm OVPAA-F-INS-055A RAW SC'!BO114/'Midterm OVPAA-F-INS-055A RAW SC'!BO$17*100)</f>
        <v/>
      </c>
      <c r="BP114" s="126" t="str">
        <f>IF('Midterm OVPAA-F-INS-055A RAW SC'!BP114="","",'Midterm OVPAA-F-INS-055A RAW SC'!BP114/'Midterm OVPAA-F-INS-055A RAW SC'!BP$17*100)</f>
        <v/>
      </c>
      <c r="BQ114" s="126" t="str">
        <f>IF('Midterm OVPAA-F-INS-055A RAW SC'!BQ114="","",'Midterm OVPAA-F-INS-055A RAW SC'!BQ114/'Midterm OVPAA-F-INS-055A RAW SC'!BQ$17*100)</f>
        <v/>
      </c>
      <c r="BR114" s="126" t="str">
        <f>IF('Midterm OVPAA-F-INS-055A RAW SC'!BR114="","",'Midterm OVPAA-F-INS-055A RAW SC'!BR114/'Midterm OVPAA-F-INS-055A RAW SC'!BR$17*100)</f>
        <v/>
      </c>
      <c r="BS114" s="126" t="str">
        <f>IF('Midterm OVPAA-F-INS-055A RAW SC'!BS114="","",'Midterm OVPAA-F-INS-055A RAW SC'!BS114/'Midterm OVPAA-F-INS-055A RAW SC'!BS$17*100)</f>
        <v/>
      </c>
      <c r="BT114" s="126" t="str">
        <f>IF('Midterm OVPAA-F-INS-055A RAW SC'!BT114="","",'Midterm OVPAA-F-INS-055A RAW SC'!BT114/'Midterm OVPAA-F-INS-055A RAW SC'!BT$17*100)</f>
        <v/>
      </c>
      <c r="BU114" s="127" t="str">
        <f t="array" ref="BU114">IF('Midterm OVPAA-F-INS-055A RAW SC'!$G114="","",IF((SUMPRODUCT(--ISBLANK('Midterm OVPAA-F-INS-055A RAW SC'!H114:BT114))=COLUMNS('Midterm OVPAA-F-INS-055A RAW SC'!H114:BT114))=TRUE,"",(((COUNTA('Midterm OVPAA-F-INS-055A RAW SC'!$H$17:$BT$17)+COUNTBLANK('Midterm OVPAA-F-INS-055A RAW SC'!H114:BT114))-COLUMNS('Midterm OVPAA-F-INS-055A RAW SC'!H114:BT114))*5+SUM(H114:BT114))/COUNTA('Midterm OVPAA-F-INS-055A RAW SC'!$H$17:$BT$17)))</f>
        <v/>
      </c>
      <c r="BV114" s="128" t="str">
        <f>IF(BU114="","",VLOOKUP(BU114,IF('Midterm OVPAA-F-INS-055A RAW SC'!$V$12=0.5,TRANSMUTATION!$C$4:$D$17,TRANSMUTATION!$G$4:$H$17),2,TRUE))</f>
        <v/>
      </c>
      <c r="BW114" s="129" t="str">
        <f>IF('Midterm OVPAA-F-INS-055A RAW SC'!BU114="","",'Midterm OVPAA-F-INS-055A RAW SC'!BU114/'Midterm OVPAA-F-INS-055A RAW SC'!BU$17*100)</f>
        <v/>
      </c>
      <c r="BX114" s="130" t="str">
        <f>IF('Midterm OVPAA-F-INS-055A RAW SC'!BV114="","",'Midterm OVPAA-F-INS-055A RAW SC'!BV114/'Midterm OVPAA-F-INS-055A RAW SC'!BV$17*100)</f>
        <v/>
      </c>
      <c r="BY114" s="130" t="str">
        <f>IF('Midterm OVPAA-F-INS-055A RAW SC'!BW114="","",'Midterm OVPAA-F-INS-055A RAW SC'!BW114/'Midterm OVPAA-F-INS-055A RAW SC'!BW$17*100)</f>
        <v/>
      </c>
      <c r="BZ114" s="130" t="str">
        <f>IF('Midterm OVPAA-F-INS-055A RAW SC'!BX114="","",'Midterm OVPAA-F-INS-055A RAW SC'!BX114/'Midterm OVPAA-F-INS-055A RAW SC'!BX$17*100)</f>
        <v/>
      </c>
      <c r="CA114" s="130" t="str">
        <f>IF('Midterm OVPAA-F-INS-055A RAW SC'!BY114="","",'Midterm OVPAA-F-INS-055A RAW SC'!BY114/'Midterm OVPAA-F-INS-055A RAW SC'!BY$17*100)</f>
        <v/>
      </c>
      <c r="CB114" s="130" t="str">
        <f>IF('Midterm OVPAA-F-INS-055A RAW SC'!BZ114="","",'Midterm OVPAA-F-INS-055A RAW SC'!BZ114/'Midterm OVPAA-F-INS-055A RAW SC'!BZ$17*100)</f>
        <v/>
      </c>
      <c r="CC114" s="130" t="str">
        <f>IF('Midterm OVPAA-F-INS-055A RAW SC'!CA114="","",'Midterm OVPAA-F-INS-055A RAW SC'!CA114/'Midterm OVPAA-F-INS-055A RAW SC'!CA$17*100)</f>
        <v/>
      </c>
      <c r="CD114" s="130" t="str">
        <f>IF('Midterm OVPAA-F-INS-055A RAW SC'!CB114="","",'Midterm OVPAA-F-INS-055A RAW SC'!CB114/'Midterm OVPAA-F-INS-055A RAW SC'!CB$17*100)</f>
        <v/>
      </c>
      <c r="CE114" s="130" t="str">
        <f>IF('Midterm OVPAA-F-INS-055A RAW SC'!CC114="","",'Midterm OVPAA-F-INS-055A RAW SC'!CC114/'Midterm OVPAA-F-INS-055A RAW SC'!CC$17*100)</f>
        <v/>
      </c>
      <c r="CF114" s="130" t="str">
        <f>IF('Midterm OVPAA-F-INS-055A RAW SC'!CD114="","",'Midterm OVPAA-F-INS-055A RAW SC'!CD114/'Midterm OVPAA-F-INS-055A RAW SC'!CD$17*100)</f>
        <v/>
      </c>
      <c r="CG114" s="130" t="str">
        <f>IF('Midterm OVPAA-F-INS-055A RAW SC'!CE114="","",'Midterm OVPAA-F-INS-055A RAW SC'!CE114/'Midterm OVPAA-F-INS-055A RAW SC'!CE$17*100)</f>
        <v/>
      </c>
      <c r="CH114" s="130" t="str">
        <f>IF('Midterm OVPAA-F-INS-055A RAW SC'!CF114="","",'Midterm OVPAA-F-INS-055A RAW SC'!CF114/'Midterm OVPAA-F-INS-055A RAW SC'!CF$17*100)</f>
        <v/>
      </c>
      <c r="CI114" s="130" t="str">
        <f>IF('Midterm OVPAA-F-INS-055A RAW SC'!CG114="","",'Midterm OVPAA-F-INS-055A RAW SC'!CG114/'Midterm OVPAA-F-INS-055A RAW SC'!CG$17*100)</f>
        <v/>
      </c>
      <c r="CJ114" s="130" t="str">
        <f>IF('Midterm OVPAA-F-INS-055A RAW SC'!CH114="","",'Midterm OVPAA-F-INS-055A RAW SC'!CH114/'Midterm OVPAA-F-INS-055A RAW SC'!CH$17*100)</f>
        <v/>
      </c>
      <c r="CK114" s="130" t="str">
        <f>IF('Midterm OVPAA-F-INS-055A RAW SC'!CI114="","",'Midterm OVPAA-F-INS-055A RAW SC'!CI114/'Midterm OVPAA-F-INS-055A RAW SC'!CI$17*100)</f>
        <v/>
      </c>
      <c r="CL114" s="130" t="str">
        <f>IF('Midterm OVPAA-F-INS-055A RAW SC'!CJ114="","",'Midterm OVPAA-F-INS-055A RAW SC'!CJ114/'Midterm OVPAA-F-INS-055A RAW SC'!CJ$17*100)</f>
        <v/>
      </c>
      <c r="CM114" s="130" t="str">
        <f>IF('Midterm OVPAA-F-INS-055A RAW SC'!CK114="","",'Midterm OVPAA-F-INS-055A RAW SC'!CK114/'Midterm OVPAA-F-INS-055A RAW SC'!CK$17*100)</f>
        <v/>
      </c>
      <c r="CN114" s="130" t="str">
        <f>IF('Midterm OVPAA-F-INS-055A RAW SC'!CL114="","",'Midterm OVPAA-F-INS-055A RAW SC'!CL114/'Midterm OVPAA-F-INS-055A RAW SC'!CL$17*100)</f>
        <v/>
      </c>
      <c r="CO114" s="130" t="str">
        <f>IF('Midterm OVPAA-F-INS-055A RAW SC'!CM114="","",'Midterm OVPAA-F-INS-055A RAW SC'!CM114/'Midterm OVPAA-F-INS-055A RAW SC'!CM$17*100)</f>
        <v/>
      </c>
      <c r="CP114" s="130" t="str">
        <f>IF('Midterm OVPAA-F-INS-055A RAW SC'!CN114="","",'Midterm OVPAA-F-INS-055A RAW SC'!CN114/'Midterm OVPAA-F-INS-055A RAW SC'!CN$17*100)</f>
        <v/>
      </c>
      <c r="CQ114" s="131" t="str">
        <f t="array" ref="CQ114">IF('Midterm OVPAA-F-INS-055A RAW SC'!G114="","",IF((SUMPRODUCT(--ISBLANK('Midterm OVPAA-F-INS-055A RAW SC'!BU114:CN114))=COLUMNS('Midterm OVPAA-F-INS-055A RAW SC'!BU114:CN114))=TRUE,"",(((COUNTA('Midterm OVPAA-F-INS-055A RAW SC'!$BU$17:$CN$17)+COUNTBLANK('Midterm OVPAA-F-INS-055A RAW SC'!BU114:CN114))-COLUMNS('Midterm OVPAA-F-INS-055A RAW SC'!BU114:CN114))*5+SUM(BW114:CP114))/COUNTA('Midterm OVPAA-F-INS-055A RAW SC'!$BU$17:$CN$17)))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IF('Midterm OVPAA-F-INS-055A RAW SC'!CO114="","",'Midterm OVPAA-F-INS-055A RAW SC'!CO114/'Midterm OVPAA-F-INS-055A RAW SC'!CO$17*100)</f>
        <v/>
      </c>
      <c r="CT114" s="133" t="str">
        <f>IF('Midterm OVPAA-F-INS-055A RAW SC'!CP114="","",'Midterm OVPAA-F-INS-055A RAW SC'!CP114/'Midterm OVPAA-F-INS-055A RAW SC'!CP$17*100)</f>
        <v/>
      </c>
      <c r="CU114" s="133" t="str">
        <f>IF('Midterm OVPAA-F-INS-055A RAW SC'!CQ114="","",'Midterm OVPAA-F-INS-055A RAW SC'!CQ114/'Midterm OVPAA-F-INS-055A RAW SC'!CQ$17*100)</f>
        <v/>
      </c>
      <c r="CV114" s="133" t="str">
        <f>IF('Midterm OVPAA-F-INS-055A RAW SC'!CR114="","",'Midterm OVPAA-F-INS-055A RAW SC'!CR114/'Midterm OVPAA-F-INS-055A RAW SC'!CR$17*100)</f>
        <v/>
      </c>
      <c r="CW114" s="133" t="str">
        <f>IF('Midterm OVPAA-F-INS-055A RAW SC'!CS114="","",'Midterm OVPAA-F-INS-055A RAW SC'!CS114/'Midterm OVPAA-F-INS-055A RAW SC'!CS$17*100)</f>
        <v/>
      </c>
      <c r="CX114" s="133" t="str">
        <f>IF('Midterm OVPAA-F-INS-055A RAW SC'!CT114="","",'Midterm OVPAA-F-INS-055A RAW SC'!CT114/'Midterm OVPAA-F-INS-055A RAW SC'!CT$17*100)</f>
        <v/>
      </c>
      <c r="CY114" s="133" t="str">
        <f>IF('Midterm OVPAA-F-INS-055A RAW SC'!CU114="","",'Midterm OVPAA-F-INS-055A RAW SC'!CU114/'Midterm OVPAA-F-INS-055A RAW SC'!CU$17*100)</f>
        <v/>
      </c>
      <c r="CZ114" s="133" t="str">
        <f>IF('Midterm OVPAA-F-INS-055A RAW SC'!CV114="","",'Midterm OVPAA-F-INS-055A RAW SC'!CV114/'Midterm OVPAA-F-INS-055A RAW SC'!CV$17*100)</f>
        <v/>
      </c>
      <c r="DA114" s="133" t="str">
        <f>IF('Midterm OVPAA-F-INS-055A RAW SC'!CW114="","",'Midterm OVPAA-F-INS-055A RAW SC'!CW114/'Midterm OVPAA-F-INS-055A RAW SC'!CW$17*100)</f>
        <v/>
      </c>
      <c r="DB114" s="133" t="str">
        <f>IF('Midterm OVPAA-F-INS-055A RAW SC'!CX114="","",'Midterm OVPAA-F-INS-055A RAW SC'!CX114/'Midterm OVPAA-F-INS-055A RAW SC'!CX$17*100)</f>
        <v/>
      </c>
      <c r="DC114" s="134" t="str">
        <f t="array" ref="DC114">IF('Midterm OVPAA-F-INS-055A RAW SC'!$G114="","",IF((SUMPRODUCT(--ISBLANK('Midterm OVPAA-F-INS-055A RAW SC'!CO114:CX114))=COLUMNS('Midterm OVPAA-F-INS-055A RAW SC'!CO114:CX114))=TRUE,"",(((COUNTA('Midterm OVPAA-F-INS-055A RAW SC'!$CO$17:$CX$17)+COUNTBLANK('Midterm OVPAA-F-INS-055A RAW SC'!CO114:CX114))-COLUMNS('Midterm OVPAA-F-INS-055A RAW SC'!CO114:CX114))*5+SUM(CS114:DB114))/COUNTA('Midterm OVPAA-F-INS-055A RAW SC'!$CO$17:$CX$17)))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37" t="str">
        <f t="shared" si="2"/>
        <v/>
      </c>
      <c r="DG114" s="138" t="str">
        <f t="shared" si="3"/>
        <v/>
      </c>
      <c r="DH114" s="136" t="str">
        <f t="shared" si="4"/>
        <v/>
      </c>
      <c r="DI114" s="123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IF('Midterm OVPAA-F-INS-055A RAW SC'!H115="","",'Midterm OVPAA-F-INS-055A RAW SC'!H115/'Midterm OVPAA-F-INS-055A RAW SC'!H$17*100)</f>
        <v/>
      </c>
      <c r="I115" s="126" t="str">
        <f>IF('Midterm OVPAA-F-INS-055A RAW SC'!I115="","",'Midterm OVPAA-F-INS-055A RAW SC'!I115/'Midterm OVPAA-F-INS-055A RAW SC'!I$17*100)</f>
        <v/>
      </c>
      <c r="J115" s="126" t="str">
        <f>IF('Midterm OVPAA-F-INS-055A RAW SC'!J115="","",'Midterm OVPAA-F-INS-055A RAW SC'!J115/'Midterm OVPAA-F-INS-055A RAW SC'!J$17*100)</f>
        <v/>
      </c>
      <c r="K115" s="126" t="str">
        <f>IF('Midterm OVPAA-F-INS-055A RAW SC'!K115="","",'Midterm OVPAA-F-INS-055A RAW SC'!K115/'Midterm OVPAA-F-INS-055A RAW SC'!K$17*100)</f>
        <v/>
      </c>
      <c r="L115" s="126" t="str">
        <f>IF('Midterm OVPAA-F-INS-055A RAW SC'!L115="","",'Midterm OVPAA-F-INS-055A RAW SC'!L115/'Midterm OVPAA-F-INS-055A RAW SC'!L$17*100)</f>
        <v/>
      </c>
      <c r="M115" s="126" t="str">
        <f>IF('Midterm OVPAA-F-INS-055A RAW SC'!M115="","",'Midterm OVPAA-F-INS-055A RAW SC'!M115/'Midterm OVPAA-F-INS-055A RAW SC'!M$17*100)</f>
        <v/>
      </c>
      <c r="N115" s="126" t="str">
        <f>IF('Midterm OVPAA-F-INS-055A RAW SC'!N115="","",'Midterm OVPAA-F-INS-055A RAW SC'!N115/'Midterm OVPAA-F-INS-055A RAW SC'!N$17*100)</f>
        <v/>
      </c>
      <c r="O115" s="126" t="str">
        <f>IF('Midterm OVPAA-F-INS-055A RAW SC'!O115="","",'Midterm OVPAA-F-INS-055A RAW SC'!O115/'Midterm OVPAA-F-INS-055A RAW SC'!O$17*100)</f>
        <v/>
      </c>
      <c r="P115" s="126" t="str">
        <f>IF('Midterm OVPAA-F-INS-055A RAW SC'!P115="","",'Midterm OVPAA-F-INS-055A RAW SC'!P115/'Midterm OVPAA-F-INS-055A RAW SC'!P$17*100)</f>
        <v/>
      </c>
      <c r="Q115" s="126" t="str">
        <f>IF('Midterm OVPAA-F-INS-055A RAW SC'!Q115="","",'Midterm OVPAA-F-INS-055A RAW SC'!Q115/'Midterm OVPAA-F-INS-055A RAW SC'!Q$17*100)</f>
        <v/>
      </c>
      <c r="R115" s="126" t="str">
        <f>IF('Midterm OVPAA-F-INS-055A RAW SC'!R115="","",'Midterm OVPAA-F-INS-055A RAW SC'!R115/'Midterm OVPAA-F-INS-055A RAW SC'!R$17*100)</f>
        <v/>
      </c>
      <c r="S115" s="126" t="str">
        <f>IF('Midterm OVPAA-F-INS-055A RAW SC'!S115="","",'Midterm OVPAA-F-INS-055A RAW SC'!S115/'Midterm OVPAA-F-INS-055A RAW SC'!S$17*100)</f>
        <v/>
      </c>
      <c r="T115" s="126" t="str">
        <f>IF('Midterm OVPAA-F-INS-055A RAW SC'!T115="","",'Midterm OVPAA-F-INS-055A RAW SC'!T115/'Midterm OVPAA-F-INS-055A RAW SC'!T$17*100)</f>
        <v/>
      </c>
      <c r="U115" s="126" t="str">
        <f>IF('Midterm OVPAA-F-INS-055A RAW SC'!U115="","",'Midterm OVPAA-F-INS-055A RAW SC'!U115/'Midterm OVPAA-F-INS-055A RAW SC'!U$17*100)</f>
        <v/>
      </c>
      <c r="V115" s="126" t="str">
        <f>IF('Midterm OVPAA-F-INS-055A RAW SC'!V115="","",'Midterm OVPAA-F-INS-055A RAW SC'!V115/'Midterm OVPAA-F-INS-055A RAW SC'!V$17*100)</f>
        <v/>
      </c>
      <c r="W115" s="126" t="str">
        <f>IF('Midterm OVPAA-F-INS-055A RAW SC'!W115="","",'Midterm OVPAA-F-INS-055A RAW SC'!W115/'Midterm OVPAA-F-INS-055A RAW SC'!W$17*100)</f>
        <v/>
      </c>
      <c r="X115" s="126" t="str">
        <f>IF('Midterm OVPAA-F-INS-055A RAW SC'!X115="","",'Midterm OVPAA-F-INS-055A RAW SC'!X115/'Midterm OVPAA-F-INS-055A RAW SC'!X$17*100)</f>
        <v/>
      </c>
      <c r="Y115" s="126" t="str">
        <f>IF('Midterm OVPAA-F-INS-055A RAW SC'!Y115="","",'Midterm OVPAA-F-INS-055A RAW SC'!Y115/'Midterm OVPAA-F-INS-055A RAW SC'!Y$17*100)</f>
        <v/>
      </c>
      <c r="Z115" s="126" t="str">
        <f>IF('Midterm OVPAA-F-INS-055A RAW SC'!Z115="","",'Midterm OVPAA-F-INS-055A RAW SC'!Z115/'Midterm OVPAA-F-INS-055A RAW SC'!Z$17*100)</f>
        <v/>
      </c>
      <c r="AA115" s="126" t="str">
        <f>IF('Midterm OVPAA-F-INS-055A RAW SC'!AA115="","",'Midterm OVPAA-F-INS-055A RAW SC'!AA115/'Midterm OVPAA-F-INS-055A RAW SC'!AA$17*100)</f>
        <v/>
      </c>
      <c r="AB115" s="126" t="str">
        <f>IF('Midterm OVPAA-F-INS-055A RAW SC'!AB115="","",'Midterm OVPAA-F-INS-055A RAW SC'!AB115/'Midterm OVPAA-F-INS-055A RAW SC'!AB$17*100)</f>
        <v/>
      </c>
      <c r="AC115" s="126" t="str">
        <f>IF('Midterm OVPAA-F-INS-055A RAW SC'!AC115="","",'Midterm OVPAA-F-INS-055A RAW SC'!AC115/'Midterm OVPAA-F-INS-055A RAW SC'!AC$17*100)</f>
        <v/>
      </c>
      <c r="AD115" s="126" t="str">
        <f>IF('Midterm OVPAA-F-INS-055A RAW SC'!AD115="","",'Midterm OVPAA-F-INS-055A RAW SC'!AD115/'Midterm OVPAA-F-INS-055A RAW SC'!AD$17*100)</f>
        <v/>
      </c>
      <c r="AE115" s="126" t="str">
        <f>IF('Midterm OVPAA-F-INS-055A RAW SC'!AE115="","",'Midterm OVPAA-F-INS-055A RAW SC'!AE115/'Midterm OVPAA-F-INS-055A RAW SC'!AE$17*100)</f>
        <v/>
      </c>
      <c r="AF115" s="126" t="str">
        <f>IF('Midterm OVPAA-F-INS-055A RAW SC'!AF115="","",'Midterm OVPAA-F-INS-055A RAW SC'!AF115/'Midterm OVPAA-F-INS-055A RAW SC'!AF$17*100)</f>
        <v/>
      </c>
      <c r="AG115" s="126" t="str">
        <f>IF('Midterm OVPAA-F-INS-055A RAW SC'!AG115="","",'Midterm OVPAA-F-INS-055A RAW SC'!AG115/'Midterm OVPAA-F-INS-055A RAW SC'!AG$17*100)</f>
        <v/>
      </c>
      <c r="AH115" s="126" t="str">
        <f>IF('Midterm OVPAA-F-INS-055A RAW SC'!AH115="","",'Midterm OVPAA-F-INS-055A RAW SC'!AH115/'Midterm OVPAA-F-INS-055A RAW SC'!AH$17*100)</f>
        <v/>
      </c>
      <c r="AI115" s="126" t="str">
        <f>IF('Midterm OVPAA-F-INS-055A RAW SC'!AI115="","",'Midterm OVPAA-F-INS-055A RAW SC'!AI115/'Midterm OVPAA-F-INS-055A RAW SC'!AI$17*100)</f>
        <v/>
      </c>
      <c r="AJ115" s="126" t="str">
        <f>IF('Midterm OVPAA-F-INS-055A RAW SC'!AJ115="","",'Midterm OVPAA-F-INS-055A RAW SC'!AJ115/'Midterm OVPAA-F-INS-055A RAW SC'!AJ$17*100)</f>
        <v/>
      </c>
      <c r="AK115" s="126" t="str">
        <f>IF('Midterm OVPAA-F-INS-055A RAW SC'!AK115="","",'Midterm OVPAA-F-INS-055A RAW SC'!AK115/'Midterm OVPAA-F-INS-055A RAW SC'!AK$17*100)</f>
        <v/>
      </c>
      <c r="AL115" s="126" t="str">
        <f>IF('Midterm OVPAA-F-INS-055A RAW SC'!AL115="","",'Midterm OVPAA-F-INS-055A RAW SC'!AL115/'Midterm OVPAA-F-INS-055A RAW SC'!AL$17*100)</f>
        <v/>
      </c>
      <c r="AM115" s="126" t="str">
        <f>IF('Midterm OVPAA-F-INS-055A RAW SC'!AM115="","",'Midterm OVPAA-F-INS-055A RAW SC'!AM115/'Midterm OVPAA-F-INS-055A RAW SC'!AM$17*100)</f>
        <v/>
      </c>
      <c r="AN115" s="126" t="str">
        <f>IF('Midterm OVPAA-F-INS-055A RAW SC'!AN115="","",'Midterm OVPAA-F-INS-055A RAW SC'!AN115/'Midterm OVPAA-F-INS-055A RAW SC'!AN$17*100)</f>
        <v/>
      </c>
      <c r="AO115" s="126" t="str">
        <f>IF('Midterm OVPAA-F-INS-055A RAW SC'!AO115="","",'Midterm OVPAA-F-INS-055A RAW SC'!AO115/'Midterm OVPAA-F-INS-055A RAW SC'!AO$17*100)</f>
        <v/>
      </c>
      <c r="AP115" s="126" t="str">
        <f>IF('Midterm OVPAA-F-INS-055A RAW SC'!AP115="","",'Midterm OVPAA-F-INS-055A RAW SC'!AP115/'Midterm OVPAA-F-INS-055A RAW SC'!AP$17*100)</f>
        <v/>
      </c>
      <c r="AQ115" s="126" t="str">
        <f>IF('Midterm OVPAA-F-INS-055A RAW SC'!AQ115="","",'Midterm OVPAA-F-INS-055A RAW SC'!AQ115/'Midterm OVPAA-F-INS-055A RAW SC'!AQ$17*100)</f>
        <v/>
      </c>
      <c r="AR115" s="126" t="str">
        <f>IF('Midterm OVPAA-F-INS-055A RAW SC'!AR115="","",'Midterm OVPAA-F-INS-055A RAW SC'!AR115/'Midterm OVPAA-F-INS-055A RAW SC'!AR$17*100)</f>
        <v/>
      </c>
      <c r="AS115" s="126" t="str">
        <f>IF('Midterm OVPAA-F-INS-055A RAW SC'!AS115="","",'Midterm OVPAA-F-INS-055A RAW SC'!AS115/'Midterm OVPAA-F-INS-055A RAW SC'!AS$17*100)</f>
        <v/>
      </c>
      <c r="AT115" s="126" t="str">
        <f>IF('Midterm OVPAA-F-INS-055A RAW SC'!AT115="","",'Midterm OVPAA-F-INS-055A RAW SC'!AT115/'Midterm OVPAA-F-INS-055A RAW SC'!AT$17*100)</f>
        <v/>
      </c>
      <c r="AU115" s="126" t="str">
        <f>IF('Midterm OVPAA-F-INS-055A RAW SC'!AU115="","",'Midterm OVPAA-F-INS-055A RAW SC'!AU115/'Midterm OVPAA-F-INS-055A RAW SC'!AU$17*100)</f>
        <v/>
      </c>
      <c r="AV115" s="126" t="str">
        <f>IF('Midterm OVPAA-F-INS-055A RAW SC'!AV115="","",'Midterm OVPAA-F-INS-055A RAW SC'!AV115/'Midterm OVPAA-F-INS-055A RAW SC'!AV$17*100)</f>
        <v/>
      </c>
      <c r="AW115" s="126" t="str">
        <f>IF('Midterm OVPAA-F-INS-055A RAW SC'!AW115="","",'Midterm OVPAA-F-INS-055A RAW SC'!AW115/'Midterm OVPAA-F-INS-055A RAW SC'!AW$17*100)</f>
        <v/>
      </c>
      <c r="AX115" s="126" t="str">
        <f>IF('Midterm OVPAA-F-INS-055A RAW SC'!AX115="","",'Midterm OVPAA-F-INS-055A RAW SC'!AX115/'Midterm OVPAA-F-INS-055A RAW SC'!AX$17*100)</f>
        <v/>
      </c>
      <c r="AY115" s="126" t="str">
        <f>IF('Midterm OVPAA-F-INS-055A RAW SC'!AY115="","",'Midterm OVPAA-F-INS-055A RAW SC'!AY115/'Midterm OVPAA-F-INS-055A RAW SC'!AY$17*100)</f>
        <v/>
      </c>
      <c r="AZ115" s="126" t="str">
        <f>IF('Midterm OVPAA-F-INS-055A RAW SC'!AZ115="","",'Midterm OVPAA-F-INS-055A RAW SC'!AZ115/'Midterm OVPAA-F-INS-055A RAW SC'!AZ$17*100)</f>
        <v/>
      </c>
      <c r="BA115" s="126" t="str">
        <f>IF('Midterm OVPAA-F-INS-055A RAW SC'!BA115="","",'Midterm OVPAA-F-INS-055A RAW SC'!BA115/'Midterm OVPAA-F-INS-055A RAW SC'!BA$17*100)</f>
        <v/>
      </c>
      <c r="BB115" s="126" t="str">
        <f>IF('Midterm OVPAA-F-INS-055A RAW SC'!BB115="","",'Midterm OVPAA-F-INS-055A RAW SC'!BB115/'Midterm OVPAA-F-INS-055A RAW SC'!BB$17*100)</f>
        <v/>
      </c>
      <c r="BC115" s="126" t="str">
        <f>IF('Midterm OVPAA-F-INS-055A RAW SC'!BC115="","",'Midterm OVPAA-F-INS-055A RAW SC'!BC115/'Midterm OVPAA-F-INS-055A RAW SC'!BC$17*100)</f>
        <v/>
      </c>
      <c r="BD115" s="126" t="str">
        <f>IF('Midterm OVPAA-F-INS-055A RAW SC'!BD115="","",'Midterm OVPAA-F-INS-055A RAW SC'!BD115/'Midterm OVPAA-F-INS-055A RAW SC'!BD$17*100)</f>
        <v/>
      </c>
      <c r="BE115" s="126" t="str">
        <f>IF('Midterm OVPAA-F-INS-055A RAW SC'!BE115="","",'Midterm OVPAA-F-INS-055A RAW SC'!BE115/'Midterm OVPAA-F-INS-055A RAW SC'!BE$17*100)</f>
        <v/>
      </c>
      <c r="BF115" s="126" t="str">
        <f>IF('Midterm OVPAA-F-INS-055A RAW SC'!BF115="","",'Midterm OVPAA-F-INS-055A RAW SC'!BF115/'Midterm OVPAA-F-INS-055A RAW SC'!BF$17*100)</f>
        <v/>
      </c>
      <c r="BG115" s="126" t="str">
        <f>IF('Midterm OVPAA-F-INS-055A RAW SC'!BG115="","",'Midterm OVPAA-F-INS-055A RAW SC'!BG115/'Midterm OVPAA-F-INS-055A RAW SC'!BG$17*100)</f>
        <v/>
      </c>
      <c r="BH115" s="126" t="str">
        <f>IF('Midterm OVPAA-F-INS-055A RAW SC'!BH115="","",'Midterm OVPAA-F-INS-055A RAW SC'!BH115/'Midterm OVPAA-F-INS-055A RAW SC'!BH$17*100)</f>
        <v/>
      </c>
      <c r="BI115" s="126" t="str">
        <f>IF('Midterm OVPAA-F-INS-055A RAW SC'!BI115="","",'Midterm OVPAA-F-INS-055A RAW SC'!BI115/'Midterm OVPAA-F-INS-055A RAW SC'!BI$17*100)</f>
        <v/>
      </c>
      <c r="BJ115" s="126" t="str">
        <f>IF('Midterm OVPAA-F-INS-055A RAW SC'!BJ115="","",'Midterm OVPAA-F-INS-055A RAW SC'!BJ115/'Midterm OVPAA-F-INS-055A RAW SC'!BJ$17*100)</f>
        <v/>
      </c>
      <c r="BK115" s="126" t="str">
        <f>IF('Midterm OVPAA-F-INS-055A RAW SC'!BK115="","",'Midterm OVPAA-F-INS-055A RAW SC'!BK115/'Midterm OVPAA-F-INS-055A RAW SC'!BK$17*100)</f>
        <v/>
      </c>
      <c r="BL115" s="126" t="str">
        <f>IF('Midterm OVPAA-F-INS-055A RAW SC'!BL115="","",'Midterm OVPAA-F-INS-055A RAW SC'!BL115/'Midterm OVPAA-F-INS-055A RAW SC'!BL$17*100)</f>
        <v/>
      </c>
      <c r="BM115" s="126" t="str">
        <f>IF('Midterm OVPAA-F-INS-055A RAW SC'!BM115="","",'Midterm OVPAA-F-INS-055A RAW SC'!BM115/'Midterm OVPAA-F-INS-055A RAW SC'!BM$17*100)</f>
        <v/>
      </c>
      <c r="BN115" s="126" t="str">
        <f>IF('Midterm OVPAA-F-INS-055A RAW SC'!BN115="","",'Midterm OVPAA-F-INS-055A RAW SC'!BN115/'Midterm OVPAA-F-INS-055A RAW SC'!BN$17*100)</f>
        <v/>
      </c>
      <c r="BO115" s="126" t="str">
        <f>IF('Midterm OVPAA-F-INS-055A RAW SC'!BO115="","",'Midterm OVPAA-F-INS-055A RAW SC'!BO115/'Midterm OVPAA-F-INS-055A RAW SC'!BO$17*100)</f>
        <v/>
      </c>
      <c r="BP115" s="126" t="str">
        <f>IF('Midterm OVPAA-F-INS-055A RAW SC'!BP115="","",'Midterm OVPAA-F-INS-055A RAW SC'!BP115/'Midterm OVPAA-F-INS-055A RAW SC'!BP$17*100)</f>
        <v/>
      </c>
      <c r="BQ115" s="126" t="str">
        <f>IF('Midterm OVPAA-F-INS-055A RAW SC'!BQ115="","",'Midterm OVPAA-F-INS-055A RAW SC'!BQ115/'Midterm OVPAA-F-INS-055A RAW SC'!BQ$17*100)</f>
        <v/>
      </c>
      <c r="BR115" s="126" t="str">
        <f>IF('Midterm OVPAA-F-INS-055A RAW SC'!BR115="","",'Midterm OVPAA-F-INS-055A RAW SC'!BR115/'Midterm OVPAA-F-INS-055A RAW SC'!BR$17*100)</f>
        <v/>
      </c>
      <c r="BS115" s="126" t="str">
        <f>IF('Midterm OVPAA-F-INS-055A RAW SC'!BS115="","",'Midterm OVPAA-F-INS-055A RAW SC'!BS115/'Midterm OVPAA-F-INS-055A RAW SC'!BS$17*100)</f>
        <v/>
      </c>
      <c r="BT115" s="126" t="str">
        <f>IF('Midterm OVPAA-F-INS-055A RAW SC'!BT115="","",'Midterm OVPAA-F-INS-055A RAW SC'!BT115/'Midterm OVPAA-F-INS-055A RAW SC'!BT$17*100)</f>
        <v/>
      </c>
      <c r="BU115" s="127" t="str">
        <f t="array" ref="BU115">IF('Midterm OVPAA-F-INS-055A RAW SC'!$G115="","",IF((SUMPRODUCT(--ISBLANK('Midterm OVPAA-F-INS-055A RAW SC'!H115:BT115))=COLUMNS('Midterm OVPAA-F-INS-055A RAW SC'!H115:BT115))=TRUE,"",(((COUNTA('Midterm OVPAA-F-INS-055A RAW SC'!$H$17:$BT$17)+COUNTBLANK('Midterm OVPAA-F-INS-055A RAW SC'!H115:BT115))-COLUMNS('Midterm OVPAA-F-INS-055A RAW SC'!H115:BT115))*5+SUM(H115:BT115))/COUNTA('Midterm OVPAA-F-INS-055A RAW SC'!$H$17:$BT$17)))</f>
        <v/>
      </c>
      <c r="BV115" s="128" t="str">
        <f>IF(BU115="","",VLOOKUP(BU115,IF('Midterm OVPAA-F-INS-055A RAW SC'!$V$12=0.5,TRANSMUTATION!$C$4:$D$17,TRANSMUTATION!$G$4:$H$17),2,TRUE))</f>
        <v/>
      </c>
      <c r="BW115" s="129" t="str">
        <f>IF('Midterm OVPAA-F-INS-055A RAW SC'!BU115="","",'Midterm OVPAA-F-INS-055A RAW SC'!BU115/'Midterm OVPAA-F-INS-055A RAW SC'!BU$17*100)</f>
        <v/>
      </c>
      <c r="BX115" s="130" t="str">
        <f>IF('Midterm OVPAA-F-INS-055A RAW SC'!BV115="","",'Midterm OVPAA-F-INS-055A RAW SC'!BV115/'Midterm OVPAA-F-INS-055A RAW SC'!BV$17*100)</f>
        <v/>
      </c>
      <c r="BY115" s="130" t="str">
        <f>IF('Midterm OVPAA-F-INS-055A RAW SC'!BW115="","",'Midterm OVPAA-F-INS-055A RAW SC'!BW115/'Midterm OVPAA-F-INS-055A RAW SC'!BW$17*100)</f>
        <v/>
      </c>
      <c r="BZ115" s="130" t="str">
        <f>IF('Midterm OVPAA-F-INS-055A RAW SC'!BX115="","",'Midterm OVPAA-F-INS-055A RAW SC'!BX115/'Midterm OVPAA-F-INS-055A RAW SC'!BX$17*100)</f>
        <v/>
      </c>
      <c r="CA115" s="130" t="str">
        <f>IF('Midterm OVPAA-F-INS-055A RAW SC'!BY115="","",'Midterm OVPAA-F-INS-055A RAW SC'!BY115/'Midterm OVPAA-F-INS-055A RAW SC'!BY$17*100)</f>
        <v/>
      </c>
      <c r="CB115" s="130" t="str">
        <f>IF('Midterm OVPAA-F-INS-055A RAW SC'!BZ115="","",'Midterm OVPAA-F-INS-055A RAW SC'!BZ115/'Midterm OVPAA-F-INS-055A RAW SC'!BZ$17*100)</f>
        <v/>
      </c>
      <c r="CC115" s="130" t="str">
        <f>IF('Midterm OVPAA-F-INS-055A RAW SC'!CA115="","",'Midterm OVPAA-F-INS-055A RAW SC'!CA115/'Midterm OVPAA-F-INS-055A RAW SC'!CA$17*100)</f>
        <v/>
      </c>
      <c r="CD115" s="130" t="str">
        <f>IF('Midterm OVPAA-F-INS-055A RAW SC'!CB115="","",'Midterm OVPAA-F-INS-055A RAW SC'!CB115/'Midterm OVPAA-F-INS-055A RAW SC'!CB$17*100)</f>
        <v/>
      </c>
      <c r="CE115" s="130" t="str">
        <f>IF('Midterm OVPAA-F-INS-055A RAW SC'!CC115="","",'Midterm OVPAA-F-INS-055A RAW SC'!CC115/'Midterm OVPAA-F-INS-055A RAW SC'!CC$17*100)</f>
        <v/>
      </c>
      <c r="CF115" s="130" t="str">
        <f>IF('Midterm OVPAA-F-INS-055A RAW SC'!CD115="","",'Midterm OVPAA-F-INS-055A RAW SC'!CD115/'Midterm OVPAA-F-INS-055A RAW SC'!CD$17*100)</f>
        <v/>
      </c>
      <c r="CG115" s="130" t="str">
        <f>IF('Midterm OVPAA-F-INS-055A RAW SC'!CE115="","",'Midterm OVPAA-F-INS-055A RAW SC'!CE115/'Midterm OVPAA-F-INS-055A RAW SC'!CE$17*100)</f>
        <v/>
      </c>
      <c r="CH115" s="130" t="str">
        <f>IF('Midterm OVPAA-F-INS-055A RAW SC'!CF115="","",'Midterm OVPAA-F-INS-055A RAW SC'!CF115/'Midterm OVPAA-F-INS-055A RAW SC'!CF$17*100)</f>
        <v/>
      </c>
      <c r="CI115" s="130" t="str">
        <f>IF('Midterm OVPAA-F-INS-055A RAW SC'!CG115="","",'Midterm OVPAA-F-INS-055A RAW SC'!CG115/'Midterm OVPAA-F-INS-055A RAW SC'!CG$17*100)</f>
        <v/>
      </c>
      <c r="CJ115" s="130" t="str">
        <f>IF('Midterm OVPAA-F-INS-055A RAW SC'!CH115="","",'Midterm OVPAA-F-INS-055A RAW SC'!CH115/'Midterm OVPAA-F-INS-055A RAW SC'!CH$17*100)</f>
        <v/>
      </c>
      <c r="CK115" s="130" t="str">
        <f>IF('Midterm OVPAA-F-INS-055A RAW SC'!CI115="","",'Midterm OVPAA-F-INS-055A RAW SC'!CI115/'Midterm OVPAA-F-INS-055A RAW SC'!CI$17*100)</f>
        <v/>
      </c>
      <c r="CL115" s="130" t="str">
        <f>IF('Midterm OVPAA-F-INS-055A RAW SC'!CJ115="","",'Midterm OVPAA-F-INS-055A RAW SC'!CJ115/'Midterm OVPAA-F-INS-055A RAW SC'!CJ$17*100)</f>
        <v/>
      </c>
      <c r="CM115" s="130" t="str">
        <f>IF('Midterm OVPAA-F-INS-055A RAW SC'!CK115="","",'Midterm OVPAA-F-INS-055A RAW SC'!CK115/'Midterm OVPAA-F-INS-055A RAW SC'!CK$17*100)</f>
        <v/>
      </c>
      <c r="CN115" s="130" t="str">
        <f>IF('Midterm OVPAA-F-INS-055A RAW SC'!CL115="","",'Midterm OVPAA-F-INS-055A RAW SC'!CL115/'Midterm OVPAA-F-INS-055A RAW SC'!CL$17*100)</f>
        <v/>
      </c>
      <c r="CO115" s="130" t="str">
        <f>IF('Midterm OVPAA-F-INS-055A RAW SC'!CM115="","",'Midterm OVPAA-F-INS-055A RAW SC'!CM115/'Midterm OVPAA-F-INS-055A RAW SC'!CM$17*100)</f>
        <v/>
      </c>
      <c r="CP115" s="130" t="str">
        <f>IF('Midterm OVPAA-F-INS-055A RAW SC'!CN115="","",'Midterm OVPAA-F-INS-055A RAW SC'!CN115/'Midterm OVPAA-F-INS-055A RAW SC'!CN$17*100)</f>
        <v/>
      </c>
      <c r="CQ115" s="131" t="str">
        <f t="array" ref="CQ115">IF('Midterm OVPAA-F-INS-055A RAW SC'!G115="","",IF((SUMPRODUCT(--ISBLANK('Midterm OVPAA-F-INS-055A RAW SC'!BU115:CN115))=COLUMNS('Midterm OVPAA-F-INS-055A RAW SC'!BU115:CN115))=TRUE,"",(((COUNTA('Midterm OVPAA-F-INS-055A RAW SC'!$BU$17:$CN$17)+COUNTBLANK('Midterm OVPAA-F-INS-055A RAW SC'!BU115:CN115))-COLUMNS('Midterm OVPAA-F-INS-055A RAW SC'!BU115:CN115))*5+SUM(BW115:CP115))/COUNTA('Midterm OVPAA-F-INS-055A RAW SC'!$BU$17:$CN$17)))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IF('Midterm OVPAA-F-INS-055A RAW SC'!CO115="","",'Midterm OVPAA-F-INS-055A RAW SC'!CO115/'Midterm OVPAA-F-INS-055A RAW SC'!CO$17*100)</f>
        <v/>
      </c>
      <c r="CT115" s="133" t="str">
        <f>IF('Midterm OVPAA-F-INS-055A RAW SC'!CP115="","",'Midterm OVPAA-F-INS-055A RAW SC'!CP115/'Midterm OVPAA-F-INS-055A RAW SC'!CP$17*100)</f>
        <v/>
      </c>
      <c r="CU115" s="133" t="str">
        <f>IF('Midterm OVPAA-F-INS-055A RAW SC'!CQ115="","",'Midterm OVPAA-F-INS-055A RAW SC'!CQ115/'Midterm OVPAA-F-INS-055A RAW SC'!CQ$17*100)</f>
        <v/>
      </c>
      <c r="CV115" s="133" t="str">
        <f>IF('Midterm OVPAA-F-INS-055A RAW SC'!CR115="","",'Midterm OVPAA-F-INS-055A RAW SC'!CR115/'Midterm OVPAA-F-INS-055A RAW SC'!CR$17*100)</f>
        <v/>
      </c>
      <c r="CW115" s="133" t="str">
        <f>IF('Midterm OVPAA-F-INS-055A RAW SC'!CS115="","",'Midterm OVPAA-F-INS-055A RAW SC'!CS115/'Midterm OVPAA-F-INS-055A RAW SC'!CS$17*100)</f>
        <v/>
      </c>
      <c r="CX115" s="133" t="str">
        <f>IF('Midterm OVPAA-F-INS-055A RAW SC'!CT115="","",'Midterm OVPAA-F-INS-055A RAW SC'!CT115/'Midterm OVPAA-F-INS-055A RAW SC'!CT$17*100)</f>
        <v/>
      </c>
      <c r="CY115" s="133" t="str">
        <f>IF('Midterm OVPAA-F-INS-055A RAW SC'!CU115="","",'Midterm OVPAA-F-INS-055A RAW SC'!CU115/'Midterm OVPAA-F-INS-055A RAW SC'!CU$17*100)</f>
        <v/>
      </c>
      <c r="CZ115" s="133" t="str">
        <f>IF('Midterm OVPAA-F-INS-055A RAW SC'!CV115="","",'Midterm OVPAA-F-INS-055A RAW SC'!CV115/'Midterm OVPAA-F-INS-055A RAW SC'!CV$17*100)</f>
        <v/>
      </c>
      <c r="DA115" s="133" t="str">
        <f>IF('Midterm OVPAA-F-INS-055A RAW SC'!CW115="","",'Midterm OVPAA-F-INS-055A RAW SC'!CW115/'Midterm OVPAA-F-INS-055A RAW SC'!CW$17*100)</f>
        <v/>
      </c>
      <c r="DB115" s="133" t="str">
        <f>IF('Midterm OVPAA-F-INS-055A RAW SC'!CX115="","",'Midterm OVPAA-F-INS-055A RAW SC'!CX115/'Midterm OVPAA-F-INS-055A RAW SC'!CX$17*100)</f>
        <v/>
      </c>
      <c r="DC115" s="134" t="str">
        <f t="array" ref="DC115">IF('Midterm OVPAA-F-INS-055A RAW SC'!$G115="","",IF((SUMPRODUCT(--ISBLANK('Midterm OVPAA-F-INS-055A RAW SC'!CO115:CX115))=COLUMNS('Midterm OVPAA-F-INS-055A RAW SC'!CO115:CX115))=TRUE,"",(((COUNTA('Midterm OVPAA-F-INS-055A RAW SC'!$CO$17:$CX$17)+COUNTBLANK('Midterm OVPAA-F-INS-055A RAW SC'!CO115:CX115))-COLUMNS('Midterm OVPAA-F-INS-055A RAW SC'!CO115:CX115))*5+SUM(CS115:DB115))/COUNTA('Midterm OVPAA-F-INS-055A RAW SC'!$CO$17:$CX$17)))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37" t="str">
        <f t="shared" si="2"/>
        <v/>
      </c>
      <c r="DG115" s="138" t="str">
        <f t="shared" si="3"/>
        <v/>
      </c>
      <c r="DH115" s="136" t="str">
        <f t="shared" si="4"/>
        <v/>
      </c>
      <c r="DI115" s="123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IF('Midterm OVPAA-F-INS-055A RAW SC'!H116="","",'Midterm OVPAA-F-INS-055A RAW SC'!H116/'Midterm OVPAA-F-INS-055A RAW SC'!H$17*100)</f>
        <v/>
      </c>
      <c r="I116" s="126" t="str">
        <f>IF('Midterm OVPAA-F-INS-055A RAW SC'!I116="","",'Midterm OVPAA-F-INS-055A RAW SC'!I116/'Midterm OVPAA-F-INS-055A RAW SC'!I$17*100)</f>
        <v/>
      </c>
      <c r="J116" s="126" t="str">
        <f>IF('Midterm OVPAA-F-INS-055A RAW SC'!J116="","",'Midterm OVPAA-F-INS-055A RAW SC'!J116/'Midterm OVPAA-F-INS-055A RAW SC'!J$17*100)</f>
        <v/>
      </c>
      <c r="K116" s="126" t="str">
        <f>IF('Midterm OVPAA-F-INS-055A RAW SC'!K116="","",'Midterm OVPAA-F-INS-055A RAW SC'!K116/'Midterm OVPAA-F-INS-055A RAW SC'!K$17*100)</f>
        <v/>
      </c>
      <c r="L116" s="126" t="str">
        <f>IF('Midterm OVPAA-F-INS-055A RAW SC'!L116="","",'Midterm OVPAA-F-INS-055A RAW SC'!L116/'Midterm OVPAA-F-INS-055A RAW SC'!L$17*100)</f>
        <v/>
      </c>
      <c r="M116" s="126" t="str">
        <f>IF('Midterm OVPAA-F-INS-055A RAW SC'!M116="","",'Midterm OVPAA-F-INS-055A RAW SC'!M116/'Midterm OVPAA-F-INS-055A RAW SC'!M$17*100)</f>
        <v/>
      </c>
      <c r="N116" s="126" t="str">
        <f>IF('Midterm OVPAA-F-INS-055A RAW SC'!N116="","",'Midterm OVPAA-F-INS-055A RAW SC'!N116/'Midterm OVPAA-F-INS-055A RAW SC'!N$17*100)</f>
        <v/>
      </c>
      <c r="O116" s="126" t="str">
        <f>IF('Midterm OVPAA-F-INS-055A RAW SC'!O116="","",'Midterm OVPAA-F-INS-055A RAW SC'!O116/'Midterm OVPAA-F-INS-055A RAW SC'!O$17*100)</f>
        <v/>
      </c>
      <c r="P116" s="126" t="str">
        <f>IF('Midterm OVPAA-F-INS-055A RAW SC'!P116="","",'Midterm OVPAA-F-INS-055A RAW SC'!P116/'Midterm OVPAA-F-INS-055A RAW SC'!P$17*100)</f>
        <v/>
      </c>
      <c r="Q116" s="126" t="str">
        <f>IF('Midterm OVPAA-F-INS-055A RAW SC'!Q116="","",'Midterm OVPAA-F-INS-055A RAW SC'!Q116/'Midterm OVPAA-F-INS-055A RAW SC'!Q$17*100)</f>
        <v/>
      </c>
      <c r="R116" s="126" t="str">
        <f>IF('Midterm OVPAA-F-INS-055A RAW SC'!R116="","",'Midterm OVPAA-F-INS-055A RAW SC'!R116/'Midterm OVPAA-F-INS-055A RAW SC'!R$17*100)</f>
        <v/>
      </c>
      <c r="S116" s="126" t="str">
        <f>IF('Midterm OVPAA-F-INS-055A RAW SC'!S116="","",'Midterm OVPAA-F-INS-055A RAW SC'!S116/'Midterm OVPAA-F-INS-055A RAW SC'!S$17*100)</f>
        <v/>
      </c>
      <c r="T116" s="126" t="str">
        <f>IF('Midterm OVPAA-F-INS-055A RAW SC'!T116="","",'Midterm OVPAA-F-INS-055A RAW SC'!T116/'Midterm OVPAA-F-INS-055A RAW SC'!T$17*100)</f>
        <v/>
      </c>
      <c r="U116" s="126" t="str">
        <f>IF('Midterm OVPAA-F-INS-055A RAW SC'!U116="","",'Midterm OVPAA-F-INS-055A RAW SC'!U116/'Midterm OVPAA-F-INS-055A RAW SC'!U$17*100)</f>
        <v/>
      </c>
      <c r="V116" s="126" t="str">
        <f>IF('Midterm OVPAA-F-INS-055A RAW SC'!V116="","",'Midterm OVPAA-F-INS-055A RAW SC'!V116/'Midterm OVPAA-F-INS-055A RAW SC'!V$17*100)</f>
        <v/>
      </c>
      <c r="W116" s="126" t="str">
        <f>IF('Midterm OVPAA-F-INS-055A RAW SC'!W116="","",'Midterm OVPAA-F-INS-055A RAW SC'!W116/'Midterm OVPAA-F-INS-055A RAW SC'!W$17*100)</f>
        <v/>
      </c>
      <c r="X116" s="126" t="str">
        <f>IF('Midterm OVPAA-F-INS-055A RAW SC'!X116="","",'Midterm OVPAA-F-INS-055A RAW SC'!X116/'Midterm OVPAA-F-INS-055A RAW SC'!X$17*100)</f>
        <v/>
      </c>
      <c r="Y116" s="126" t="str">
        <f>IF('Midterm OVPAA-F-INS-055A RAW SC'!Y116="","",'Midterm OVPAA-F-INS-055A RAW SC'!Y116/'Midterm OVPAA-F-INS-055A RAW SC'!Y$17*100)</f>
        <v/>
      </c>
      <c r="Z116" s="126" t="str">
        <f>IF('Midterm OVPAA-F-INS-055A RAW SC'!Z116="","",'Midterm OVPAA-F-INS-055A RAW SC'!Z116/'Midterm OVPAA-F-INS-055A RAW SC'!Z$17*100)</f>
        <v/>
      </c>
      <c r="AA116" s="126" t="str">
        <f>IF('Midterm OVPAA-F-INS-055A RAW SC'!AA116="","",'Midterm OVPAA-F-INS-055A RAW SC'!AA116/'Midterm OVPAA-F-INS-055A RAW SC'!AA$17*100)</f>
        <v/>
      </c>
      <c r="AB116" s="126" t="str">
        <f>IF('Midterm OVPAA-F-INS-055A RAW SC'!AB116="","",'Midterm OVPAA-F-INS-055A RAW SC'!AB116/'Midterm OVPAA-F-INS-055A RAW SC'!AB$17*100)</f>
        <v/>
      </c>
      <c r="AC116" s="126" t="str">
        <f>IF('Midterm OVPAA-F-INS-055A RAW SC'!AC116="","",'Midterm OVPAA-F-INS-055A RAW SC'!AC116/'Midterm OVPAA-F-INS-055A RAW SC'!AC$17*100)</f>
        <v/>
      </c>
      <c r="AD116" s="126" t="str">
        <f>IF('Midterm OVPAA-F-INS-055A RAW SC'!AD116="","",'Midterm OVPAA-F-INS-055A RAW SC'!AD116/'Midterm OVPAA-F-INS-055A RAW SC'!AD$17*100)</f>
        <v/>
      </c>
      <c r="AE116" s="126" t="str">
        <f>IF('Midterm OVPAA-F-INS-055A RAW SC'!AE116="","",'Midterm OVPAA-F-INS-055A RAW SC'!AE116/'Midterm OVPAA-F-INS-055A RAW SC'!AE$17*100)</f>
        <v/>
      </c>
      <c r="AF116" s="126" t="str">
        <f>IF('Midterm OVPAA-F-INS-055A RAW SC'!AF116="","",'Midterm OVPAA-F-INS-055A RAW SC'!AF116/'Midterm OVPAA-F-INS-055A RAW SC'!AF$17*100)</f>
        <v/>
      </c>
      <c r="AG116" s="126" t="str">
        <f>IF('Midterm OVPAA-F-INS-055A RAW SC'!AG116="","",'Midterm OVPAA-F-INS-055A RAW SC'!AG116/'Midterm OVPAA-F-INS-055A RAW SC'!AG$17*100)</f>
        <v/>
      </c>
      <c r="AH116" s="126" t="str">
        <f>IF('Midterm OVPAA-F-INS-055A RAW SC'!AH116="","",'Midterm OVPAA-F-INS-055A RAW SC'!AH116/'Midterm OVPAA-F-INS-055A RAW SC'!AH$17*100)</f>
        <v/>
      </c>
      <c r="AI116" s="126" t="str">
        <f>IF('Midterm OVPAA-F-INS-055A RAW SC'!AI116="","",'Midterm OVPAA-F-INS-055A RAW SC'!AI116/'Midterm OVPAA-F-INS-055A RAW SC'!AI$17*100)</f>
        <v/>
      </c>
      <c r="AJ116" s="126" t="str">
        <f>IF('Midterm OVPAA-F-INS-055A RAW SC'!AJ116="","",'Midterm OVPAA-F-INS-055A RAW SC'!AJ116/'Midterm OVPAA-F-INS-055A RAW SC'!AJ$17*100)</f>
        <v/>
      </c>
      <c r="AK116" s="126" t="str">
        <f>IF('Midterm OVPAA-F-INS-055A RAW SC'!AK116="","",'Midterm OVPAA-F-INS-055A RAW SC'!AK116/'Midterm OVPAA-F-INS-055A RAW SC'!AK$17*100)</f>
        <v/>
      </c>
      <c r="AL116" s="126" t="str">
        <f>IF('Midterm OVPAA-F-INS-055A RAW SC'!AL116="","",'Midterm OVPAA-F-INS-055A RAW SC'!AL116/'Midterm OVPAA-F-INS-055A RAW SC'!AL$17*100)</f>
        <v/>
      </c>
      <c r="AM116" s="126" t="str">
        <f>IF('Midterm OVPAA-F-INS-055A RAW SC'!AM116="","",'Midterm OVPAA-F-INS-055A RAW SC'!AM116/'Midterm OVPAA-F-INS-055A RAW SC'!AM$17*100)</f>
        <v/>
      </c>
      <c r="AN116" s="126" t="str">
        <f>IF('Midterm OVPAA-F-INS-055A RAW SC'!AN116="","",'Midterm OVPAA-F-INS-055A RAW SC'!AN116/'Midterm OVPAA-F-INS-055A RAW SC'!AN$17*100)</f>
        <v/>
      </c>
      <c r="AO116" s="126" t="str">
        <f>IF('Midterm OVPAA-F-INS-055A RAW SC'!AO116="","",'Midterm OVPAA-F-INS-055A RAW SC'!AO116/'Midterm OVPAA-F-INS-055A RAW SC'!AO$17*100)</f>
        <v/>
      </c>
      <c r="AP116" s="126" t="str">
        <f>IF('Midterm OVPAA-F-INS-055A RAW SC'!AP116="","",'Midterm OVPAA-F-INS-055A RAW SC'!AP116/'Midterm OVPAA-F-INS-055A RAW SC'!AP$17*100)</f>
        <v/>
      </c>
      <c r="AQ116" s="126" t="str">
        <f>IF('Midterm OVPAA-F-INS-055A RAW SC'!AQ116="","",'Midterm OVPAA-F-INS-055A RAW SC'!AQ116/'Midterm OVPAA-F-INS-055A RAW SC'!AQ$17*100)</f>
        <v/>
      </c>
      <c r="AR116" s="126" t="str">
        <f>IF('Midterm OVPAA-F-INS-055A RAW SC'!AR116="","",'Midterm OVPAA-F-INS-055A RAW SC'!AR116/'Midterm OVPAA-F-INS-055A RAW SC'!AR$17*100)</f>
        <v/>
      </c>
      <c r="AS116" s="126" t="str">
        <f>IF('Midterm OVPAA-F-INS-055A RAW SC'!AS116="","",'Midterm OVPAA-F-INS-055A RAW SC'!AS116/'Midterm OVPAA-F-INS-055A RAW SC'!AS$17*100)</f>
        <v/>
      </c>
      <c r="AT116" s="126" t="str">
        <f>IF('Midterm OVPAA-F-INS-055A RAW SC'!AT116="","",'Midterm OVPAA-F-INS-055A RAW SC'!AT116/'Midterm OVPAA-F-INS-055A RAW SC'!AT$17*100)</f>
        <v/>
      </c>
      <c r="AU116" s="126" t="str">
        <f>IF('Midterm OVPAA-F-INS-055A RAW SC'!AU116="","",'Midterm OVPAA-F-INS-055A RAW SC'!AU116/'Midterm OVPAA-F-INS-055A RAW SC'!AU$17*100)</f>
        <v/>
      </c>
      <c r="AV116" s="126" t="str">
        <f>IF('Midterm OVPAA-F-INS-055A RAW SC'!AV116="","",'Midterm OVPAA-F-INS-055A RAW SC'!AV116/'Midterm OVPAA-F-INS-055A RAW SC'!AV$17*100)</f>
        <v/>
      </c>
      <c r="AW116" s="126" t="str">
        <f>IF('Midterm OVPAA-F-INS-055A RAW SC'!AW116="","",'Midterm OVPAA-F-INS-055A RAW SC'!AW116/'Midterm OVPAA-F-INS-055A RAW SC'!AW$17*100)</f>
        <v/>
      </c>
      <c r="AX116" s="126" t="str">
        <f>IF('Midterm OVPAA-F-INS-055A RAW SC'!AX116="","",'Midterm OVPAA-F-INS-055A RAW SC'!AX116/'Midterm OVPAA-F-INS-055A RAW SC'!AX$17*100)</f>
        <v/>
      </c>
      <c r="AY116" s="126" t="str">
        <f>IF('Midterm OVPAA-F-INS-055A RAW SC'!AY116="","",'Midterm OVPAA-F-INS-055A RAW SC'!AY116/'Midterm OVPAA-F-INS-055A RAW SC'!AY$17*100)</f>
        <v/>
      </c>
      <c r="AZ116" s="126" t="str">
        <f>IF('Midterm OVPAA-F-INS-055A RAW SC'!AZ116="","",'Midterm OVPAA-F-INS-055A RAW SC'!AZ116/'Midterm OVPAA-F-INS-055A RAW SC'!AZ$17*100)</f>
        <v/>
      </c>
      <c r="BA116" s="126" t="str">
        <f>IF('Midterm OVPAA-F-INS-055A RAW SC'!BA116="","",'Midterm OVPAA-F-INS-055A RAW SC'!BA116/'Midterm OVPAA-F-INS-055A RAW SC'!BA$17*100)</f>
        <v/>
      </c>
      <c r="BB116" s="126" t="str">
        <f>IF('Midterm OVPAA-F-INS-055A RAW SC'!BB116="","",'Midterm OVPAA-F-INS-055A RAW SC'!BB116/'Midterm OVPAA-F-INS-055A RAW SC'!BB$17*100)</f>
        <v/>
      </c>
      <c r="BC116" s="126" t="str">
        <f>IF('Midterm OVPAA-F-INS-055A RAW SC'!BC116="","",'Midterm OVPAA-F-INS-055A RAW SC'!BC116/'Midterm OVPAA-F-INS-055A RAW SC'!BC$17*100)</f>
        <v/>
      </c>
      <c r="BD116" s="126" t="str">
        <f>IF('Midterm OVPAA-F-INS-055A RAW SC'!BD116="","",'Midterm OVPAA-F-INS-055A RAW SC'!BD116/'Midterm OVPAA-F-INS-055A RAW SC'!BD$17*100)</f>
        <v/>
      </c>
      <c r="BE116" s="126" t="str">
        <f>IF('Midterm OVPAA-F-INS-055A RAW SC'!BE116="","",'Midterm OVPAA-F-INS-055A RAW SC'!BE116/'Midterm OVPAA-F-INS-055A RAW SC'!BE$17*100)</f>
        <v/>
      </c>
      <c r="BF116" s="126" t="str">
        <f>IF('Midterm OVPAA-F-INS-055A RAW SC'!BF116="","",'Midterm OVPAA-F-INS-055A RAW SC'!BF116/'Midterm OVPAA-F-INS-055A RAW SC'!BF$17*100)</f>
        <v/>
      </c>
      <c r="BG116" s="126" t="str">
        <f>IF('Midterm OVPAA-F-INS-055A RAW SC'!BG116="","",'Midterm OVPAA-F-INS-055A RAW SC'!BG116/'Midterm OVPAA-F-INS-055A RAW SC'!BG$17*100)</f>
        <v/>
      </c>
      <c r="BH116" s="126" t="str">
        <f>IF('Midterm OVPAA-F-INS-055A RAW SC'!BH116="","",'Midterm OVPAA-F-INS-055A RAW SC'!BH116/'Midterm OVPAA-F-INS-055A RAW SC'!BH$17*100)</f>
        <v/>
      </c>
      <c r="BI116" s="126" t="str">
        <f>IF('Midterm OVPAA-F-INS-055A RAW SC'!BI116="","",'Midterm OVPAA-F-INS-055A RAW SC'!BI116/'Midterm OVPAA-F-INS-055A RAW SC'!BI$17*100)</f>
        <v/>
      </c>
      <c r="BJ116" s="126" t="str">
        <f>IF('Midterm OVPAA-F-INS-055A RAW SC'!BJ116="","",'Midterm OVPAA-F-INS-055A RAW SC'!BJ116/'Midterm OVPAA-F-INS-055A RAW SC'!BJ$17*100)</f>
        <v/>
      </c>
      <c r="BK116" s="126" t="str">
        <f>IF('Midterm OVPAA-F-INS-055A RAW SC'!BK116="","",'Midterm OVPAA-F-INS-055A RAW SC'!BK116/'Midterm OVPAA-F-INS-055A RAW SC'!BK$17*100)</f>
        <v/>
      </c>
      <c r="BL116" s="126" t="str">
        <f>IF('Midterm OVPAA-F-INS-055A RAW SC'!BL116="","",'Midterm OVPAA-F-INS-055A RAW SC'!BL116/'Midterm OVPAA-F-INS-055A RAW SC'!BL$17*100)</f>
        <v/>
      </c>
      <c r="BM116" s="126" t="str">
        <f>IF('Midterm OVPAA-F-INS-055A RAW SC'!BM116="","",'Midterm OVPAA-F-INS-055A RAW SC'!BM116/'Midterm OVPAA-F-INS-055A RAW SC'!BM$17*100)</f>
        <v/>
      </c>
      <c r="BN116" s="126" t="str">
        <f>IF('Midterm OVPAA-F-INS-055A RAW SC'!BN116="","",'Midterm OVPAA-F-INS-055A RAW SC'!BN116/'Midterm OVPAA-F-INS-055A RAW SC'!BN$17*100)</f>
        <v/>
      </c>
      <c r="BO116" s="126" t="str">
        <f>IF('Midterm OVPAA-F-INS-055A RAW SC'!BO116="","",'Midterm OVPAA-F-INS-055A RAW SC'!BO116/'Midterm OVPAA-F-INS-055A RAW SC'!BO$17*100)</f>
        <v/>
      </c>
      <c r="BP116" s="126" t="str">
        <f>IF('Midterm OVPAA-F-INS-055A RAW SC'!BP116="","",'Midterm OVPAA-F-INS-055A RAW SC'!BP116/'Midterm OVPAA-F-INS-055A RAW SC'!BP$17*100)</f>
        <v/>
      </c>
      <c r="BQ116" s="126" t="str">
        <f>IF('Midterm OVPAA-F-INS-055A RAW SC'!BQ116="","",'Midterm OVPAA-F-INS-055A RAW SC'!BQ116/'Midterm OVPAA-F-INS-055A RAW SC'!BQ$17*100)</f>
        <v/>
      </c>
      <c r="BR116" s="126" t="str">
        <f>IF('Midterm OVPAA-F-INS-055A RAW SC'!BR116="","",'Midterm OVPAA-F-INS-055A RAW SC'!BR116/'Midterm OVPAA-F-INS-055A RAW SC'!BR$17*100)</f>
        <v/>
      </c>
      <c r="BS116" s="126" t="str">
        <f>IF('Midterm OVPAA-F-INS-055A RAW SC'!BS116="","",'Midterm OVPAA-F-INS-055A RAW SC'!BS116/'Midterm OVPAA-F-INS-055A RAW SC'!BS$17*100)</f>
        <v/>
      </c>
      <c r="BT116" s="126" t="str">
        <f>IF('Midterm OVPAA-F-INS-055A RAW SC'!BT116="","",'Midterm OVPAA-F-INS-055A RAW SC'!BT116/'Midterm OVPAA-F-INS-055A RAW SC'!BT$17*100)</f>
        <v/>
      </c>
      <c r="BU116" s="127" t="str">
        <f t="array" ref="BU116">IF('Midterm OVPAA-F-INS-055A RAW SC'!$G116="","",IF((SUMPRODUCT(--ISBLANK('Midterm OVPAA-F-INS-055A RAW SC'!H116:BT116))=COLUMNS('Midterm OVPAA-F-INS-055A RAW SC'!H116:BT116))=TRUE,"",(((COUNTA('Midterm OVPAA-F-INS-055A RAW SC'!$H$17:$BT$17)+COUNTBLANK('Midterm OVPAA-F-INS-055A RAW SC'!H116:BT116))-COLUMNS('Midterm OVPAA-F-INS-055A RAW SC'!H116:BT116))*5+SUM(H116:BT116))/COUNTA('Midterm OVPAA-F-INS-055A RAW SC'!$H$17:$BT$17)))</f>
        <v/>
      </c>
      <c r="BV116" s="128" t="str">
        <f>IF(BU116="","",VLOOKUP(BU116,IF('Midterm OVPAA-F-INS-055A RAW SC'!$V$12=0.5,TRANSMUTATION!$C$4:$D$17,TRANSMUTATION!$G$4:$H$17),2,TRUE))</f>
        <v/>
      </c>
      <c r="BW116" s="129" t="str">
        <f>IF('Midterm OVPAA-F-INS-055A RAW SC'!BU116="","",'Midterm OVPAA-F-INS-055A RAW SC'!BU116/'Midterm OVPAA-F-INS-055A RAW SC'!BU$17*100)</f>
        <v/>
      </c>
      <c r="BX116" s="130" t="str">
        <f>IF('Midterm OVPAA-F-INS-055A RAW SC'!BV116="","",'Midterm OVPAA-F-INS-055A RAW SC'!BV116/'Midterm OVPAA-F-INS-055A RAW SC'!BV$17*100)</f>
        <v/>
      </c>
      <c r="BY116" s="130" t="str">
        <f>IF('Midterm OVPAA-F-INS-055A RAW SC'!BW116="","",'Midterm OVPAA-F-INS-055A RAW SC'!BW116/'Midterm OVPAA-F-INS-055A RAW SC'!BW$17*100)</f>
        <v/>
      </c>
      <c r="BZ116" s="130" t="str">
        <f>IF('Midterm OVPAA-F-INS-055A RAW SC'!BX116="","",'Midterm OVPAA-F-INS-055A RAW SC'!BX116/'Midterm OVPAA-F-INS-055A RAW SC'!BX$17*100)</f>
        <v/>
      </c>
      <c r="CA116" s="130" t="str">
        <f>IF('Midterm OVPAA-F-INS-055A RAW SC'!BY116="","",'Midterm OVPAA-F-INS-055A RAW SC'!BY116/'Midterm OVPAA-F-INS-055A RAW SC'!BY$17*100)</f>
        <v/>
      </c>
      <c r="CB116" s="130" t="str">
        <f>IF('Midterm OVPAA-F-INS-055A RAW SC'!BZ116="","",'Midterm OVPAA-F-INS-055A RAW SC'!BZ116/'Midterm OVPAA-F-INS-055A RAW SC'!BZ$17*100)</f>
        <v/>
      </c>
      <c r="CC116" s="130" t="str">
        <f>IF('Midterm OVPAA-F-INS-055A RAW SC'!CA116="","",'Midterm OVPAA-F-INS-055A RAW SC'!CA116/'Midterm OVPAA-F-INS-055A RAW SC'!CA$17*100)</f>
        <v/>
      </c>
      <c r="CD116" s="130" t="str">
        <f>IF('Midterm OVPAA-F-INS-055A RAW SC'!CB116="","",'Midterm OVPAA-F-INS-055A RAW SC'!CB116/'Midterm OVPAA-F-INS-055A RAW SC'!CB$17*100)</f>
        <v/>
      </c>
      <c r="CE116" s="130" t="str">
        <f>IF('Midterm OVPAA-F-INS-055A RAW SC'!CC116="","",'Midterm OVPAA-F-INS-055A RAW SC'!CC116/'Midterm OVPAA-F-INS-055A RAW SC'!CC$17*100)</f>
        <v/>
      </c>
      <c r="CF116" s="130" t="str">
        <f>IF('Midterm OVPAA-F-INS-055A RAW SC'!CD116="","",'Midterm OVPAA-F-INS-055A RAW SC'!CD116/'Midterm OVPAA-F-INS-055A RAW SC'!CD$17*100)</f>
        <v/>
      </c>
      <c r="CG116" s="130" t="str">
        <f>IF('Midterm OVPAA-F-INS-055A RAW SC'!CE116="","",'Midterm OVPAA-F-INS-055A RAW SC'!CE116/'Midterm OVPAA-F-INS-055A RAW SC'!CE$17*100)</f>
        <v/>
      </c>
      <c r="CH116" s="130" t="str">
        <f>IF('Midterm OVPAA-F-INS-055A RAW SC'!CF116="","",'Midterm OVPAA-F-INS-055A RAW SC'!CF116/'Midterm OVPAA-F-INS-055A RAW SC'!CF$17*100)</f>
        <v/>
      </c>
      <c r="CI116" s="130" t="str">
        <f>IF('Midterm OVPAA-F-INS-055A RAW SC'!CG116="","",'Midterm OVPAA-F-INS-055A RAW SC'!CG116/'Midterm OVPAA-F-INS-055A RAW SC'!CG$17*100)</f>
        <v/>
      </c>
      <c r="CJ116" s="130" t="str">
        <f>IF('Midterm OVPAA-F-INS-055A RAW SC'!CH116="","",'Midterm OVPAA-F-INS-055A RAW SC'!CH116/'Midterm OVPAA-F-INS-055A RAW SC'!CH$17*100)</f>
        <v/>
      </c>
      <c r="CK116" s="130" t="str">
        <f>IF('Midterm OVPAA-F-INS-055A RAW SC'!CI116="","",'Midterm OVPAA-F-INS-055A RAW SC'!CI116/'Midterm OVPAA-F-INS-055A RAW SC'!CI$17*100)</f>
        <v/>
      </c>
      <c r="CL116" s="130" t="str">
        <f>IF('Midterm OVPAA-F-INS-055A RAW SC'!CJ116="","",'Midterm OVPAA-F-INS-055A RAW SC'!CJ116/'Midterm OVPAA-F-INS-055A RAW SC'!CJ$17*100)</f>
        <v/>
      </c>
      <c r="CM116" s="130" t="str">
        <f>IF('Midterm OVPAA-F-INS-055A RAW SC'!CK116="","",'Midterm OVPAA-F-INS-055A RAW SC'!CK116/'Midterm OVPAA-F-INS-055A RAW SC'!CK$17*100)</f>
        <v/>
      </c>
      <c r="CN116" s="130" t="str">
        <f>IF('Midterm OVPAA-F-INS-055A RAW SC'!CL116="","",'Midterm OVPAA-F-INS-055A RAW SC'!CL116/'Midterm OVPAA-F-INS-055A RAW SC'!CL$17*100)</f>
        <v/>
      </c>
      <c r="CO116" s="130" t="str">
        <f>IF('Midterm OVPAA-F-INS-055A RAW SC'!CM116="","",'Midterm OVPAA-F-INS-055A RAW SC'!CM116/'Midterm OVPAA-F-INS-055A RAW SC'!CM$17*100)</f>
        <v/>
      </c>
      <c r="CP116" s="130" t="str">
        <f>IF('Midterm OVPAA-F-INS-055A RAW SC'!CN116="","",'Midterm OVPAA-F-INS-055A RAW SC'!CN116/'Midterm OVPAA-F-INS-055A RAW SC'!CN$17*100)</f>
        <v/>
      </c>
      <c r="CQ116" s="131" t="str">
        <f t="array" ref="CQ116">IF('Midterm OVPAA-F-INS-055A RAW SC'!G116="","",IF((SUMPRODUCT(--ISBLANK('Midterm OVPAA-F-INS-055A RAW SC'!BU116:CN116))=COLUMNS('Midterm OVPAA-F-INS-055A RAW SC'!BU116:CN116))=TRUE,"",(((COUNTA('Midterm OVPAA-F-INS-055A RAW SC'!$BU$17:$CN$17)+COUNTBLANK('Midterm OVPAA-F-INS-055A RAW SC'!BU116:CN116))-COLUMNS('Midterm OVPAA-F-INS-055A RAW SC'!BU116:CN116))*5+SUM(BW116:CP116))/COUNTA('Midterm OVPAA-F-INS-055A RAW SC'!$BU$17:$CN$17)))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IF('Midterm OVPAA-F-INS-055A RAW SC'!CO116="","",'Midterm OVPAA-F-INS-055A RAW SC'!CO116/'Midterm OVPAA-F-INS-055A RAW SC'!CO$17*100)</f>
        <v/>
      </c>
      <c r="CT116" s="133" t="str">
        <f>IF('Midterm OVPAA-F-INS-055A RAW SC'!CP116="","",'Midterm OVPAA-F-INS-055A RAW SC'!CP116/'Midterm OVPAA-F-INS-055A RAW SC'!CP$17*100)</f>
        <v/>
      </c>
      <c r="CU116" s="133" t="str">
        <f>IF('Midterm OVPAA-F-INS-055A RAW SC'!CQ116="","",'Midterm OVPAA-F-INS-055A RAW SC'!CQ116/'Midterm OVPAA-F-INS-055A RAW SC'!CQ$17*100)</f>
        <v/>
      </c>
      <c r="CV116" s="133" t="str">
        <f>IF('Midterm OVPAA-F-INS-055A RAW SC'!CR116="","",'Midterm OVPAA-F-INS-055A RAW SC'!CR116/'Midterm OVPAA-F-INS-055A RAW SC'!CR$17*100)</f>
        <v/>
      </c>
      <c r="CW116" s="133" t="str">
        <f>IF('Midterm OVPAA-F-INS-055A RAW SC'!CS116="","",'Midterm OVPAA-F-INS-055A RAW SC'!CS116/'Midterm OVPAA-F-INS-055A RAW SC'!CS$17*100)</f>
        <v/>
      </c>
      <c r="CX116" s="133" t="str">
        <f>IF('Midterm OVPAA-F-INS-055A RAW SC'!CT116="","",'Midterm OVPAA-F-INS-055A RAW SC'!CT116/'Midterm OVPAA-F-INS-055A RAW SC'!CT$17*100)</f>
        <v/>
      </c>
      <c r="CY116" s="133" t="str">
        <f>IF('Midterm OVPAA-F-INS-055A RAW SC'!CU116="","",'Midterm OVPAA-F-INS-055A RAW SC'!CU116/'Midterm OVPAA-F-INS-055A RAW SC'!CU$17*100)</f>
        <v/>
      </c>
      <c r="CZ116" s="133" t="str">
        <f>IF('Midterm OVPAA-F-INS-055A RAW SC'!CV116="","",'Midterm OVPAA-F-INS-055A RAW SC'!CV116/'Midterm OVPAA-F-INS-055A RAW SC'!CV$17*100)</f>
        <v/>
      </c>
      <c r="DA116" s="133" t="str">
        <f>IF('Midterm OVPAA-F-INS-055A RAW SC'!CW116="","",'Midterm OVPAA-F-INS-055A RAW SC'!CW116/'Midterm OVPAA-F-INS-055A RAW SC'!CW$17*100)</f>
        <v/>
      </c>
      <c r="DB116" s="133" t="str">
        <f>IF('Midterm OVPAA-F-INS-055A RAW SC'!CX116="","",'Midterm OVPAA-F-INS-055A RAW SC'!CX116/'Midterm OVPAA-F-INS-055A RAW SC'!CX$17*100)</f>
        <v/>
      </c>
      <c r="DC116" s="134" t="str">
        <f t="array" ref="DC116">IF('Midterm OVPAA-F-INS-055A RAW SC'!$G116="","",IF((SUMPRODUCT(--ISBLANK('Midterm OVPAA-F-INS-055A RAW SC'!CO116:CX116))=COLUMNS('Midterm OVPAA-F-INS-055A RAW SC'!CO116:CX116))=TRUE,"",(((COUNTA('Midterm OVPAA-F-INS-055A RAW SC'!$CO$17:$CX$17)+COUNTBLANK('Midterm OVPAA-F-INS-055A RAW SC'!CO116:CX116))-COLUMNS('Midterm OVPAA-F-INS-055A RAW SC'!CO116:CX116))*5+SUM(CS116:DB116))/COUNTA('Midterm OVPAA-F-INS-055A RAW SC'!$CO$17:$CX$17)))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37" t="str">
        <f t="shared" si="2"/>
        <v/>
      </c>
      <c r="DG116" s="138" t="str">
        <f t="shared" si="3"/>
        <v/>
      </c>
      <c r="DH116" s="136" t="str">
        <f t="shared" si="4"/>
        <v/>
      </c>
      <c r="DI116" s="123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24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IF('Midterm OVPAA-F-INS-055A RAW SC'!H117="","",'Midterm OVPAA-F-INS-055A RAW SC'!H117/'Midterm OVPAA-F-INS-055A RAW SC'!H$17*100)</f>
        <v/>
      </c>
      <c r="I117" s="126" t="str">
        <f>IF('Midterm OVPAA-F-INS-055A RAW SC'!I117="","",'Midterm OVPAA-F-INS-055A RAW SC'!I117/'Midterm OVPAA-F-INS-055A RAW SC'!I$17*100)</f>
        <v/>
      </c>
      <c r="J117" s="126" t="str">
        <f>IF('Midterm OVPAA-F-INS-055A RAW SC'!J117="","",'Midterm OVPAA-F-INS-055A RAW SC'!J117/'Midterm OVPAA-F-INS-055A RAW SC'!J$17*100)</f>
        <v/>
      </c>
      <c r="K117" s="126" t="str">
        <f>IF('Midterm OVPAA-F-INS-055A RAW SC'!K117="","",'Midterm OVPAA-F-INS-055A RAW SC'!K117/'Midterm OVPAA-F-INS-055A RAW SC'!K$17*100)</f>
        <v/>
      </c>
      <c r="L117" s="126" t="str">
        <f>IF('Midterm OVPAA-F-INS-055A RAW SC'!L117="","",'Midterm OVPAA-F-INS-055A RAW SC'!L117/'Midterm OVPAA-F-INS-055A RAW SC'!L$17*100)</f>
        <v/>
      </c>
      <c r="M117" s="126" t="str">
        <f>IF('Midterm OVPAA-F-INS-055A RAW SC'!M117="","",'Midterm OVPAA-F-INS-055A RAW SC'!M117/'Midterm OVPAA-F-INS-055A RAW SC'!M$17*100)</f>
        <v/>
      </c>
      <c r="N117" s="126" t="str">
        <f>IF('Midterm OVPAA-F-INS-055A RAW SC'!N117="","",'Midterm OVPAA-F-INS-055A RAW SC'!N117/'Midterm OVPAA-F-INS-055A RAW SC'!N$17*100)</f>
        <v/>
      </c>
      <c r="O117" s="126" t="str">
        <f>IF('Midterm OVPAA-F-INS-055A RAW SC'!O117="","",'Midterm OVPAA-F-INS-055A RAW SC'!O117/'Midterm OVPAA-F-INS-055A RAW SC'!O$17*100)</f>
        <v/>
      </c>
      <c r="P117" s="126" t="str">
        <f>IF('Midterm OVPAA-F-INS-055A RAW SC'!P117="","",'Midterm OVPAA-F-INS-055A RAW SC'!P117/'Midterm OVPAA-F-INS-055A RAW SC'!P$17*100)</f>
        <v/>
      </c>
      <c r="Q117" s="126" t="str">
        <f>IF('Midterm OVPAA-F-INS-055A RAW SC'!Q117="","",'Midterm OVPAA-F-INS-055A RAW SC'!Q117/'Midterm OVPAA-F-INS-055A RAW SC'!Q$17*100)</f>
        <v/>
      </c>
      <c r="R117" s="126" t="str">
        <f>IF('Midterm OVPAA-F-INS-055A RAW SC'!R117="","",'Midterm OVPAA-F-INS-055A RAW SC'!R117/'Midterm OVPAA-F-INS-055A RAW SC'!R$17*100)</f>
        <v/>
      </c>
      <c r="S117" s="126" t="str">
        <f>IF('Midterm OVPAA-F-INS-055A RAW SC'!S117="","",'Midterm OVPAA-F-INS-055A RAW SC'!S117/'Midterm OVPAA-F-INS-055A RAW SC'!S$17*100)</f>
        <v/>
      </c>
      <c r="T117" s="126" t="str">
        <f>IF('Midterm OVPAA-F-INS-055A RAW SC'!T117="","",'Midterm OVPAA-F-INS-055A RAW SC'!T117/'Midterm OVPAA-F-INS-055A RAW SC'!T$17*100)</f>
        <v/>
      </c>
      <c r="U117" s="126" t="str">
        <f>IF('Midterm OVPAA-F-INS-055A RAW SC'!U117="","",'Midterm OVPAA-F-INS-055A RAW SC'!U117/'Midterm OVPAA-F-INS-055A RAW SC'!U$17*100)</f>
        <v/>
      </c>
      <c r="V117" s="126" t="str">
        <f>IF('Midterm OVPAA-F-INS-055A RAW SC'!V117="","",'Midterm OVPAA-F-INS-055A RAW SC'!V117/'Midterm OVPAA-F-INS-055A RAW SC'!V$17*100)</f>
        <v/>
      </c>
      <c r="W117" s="126" t="str">
        <f>IF('Midterm OVPAA-F-INS-055A RAW SC'!W117="","",'Midterm OVPAA-F-INS-055A RAW SC'!W117/'Midterm OVPAA-F-INS-055A RAW SC'!W$17*100)</f>
        <v/>
      </c>
      <c r="X117" s="126" t="str">
        <f>IF('Midterm OVPAA-F-INS-055A RAW SC'!X117="","",'Midterm OVPAA-F-INS-055A RAW SC'!X117/'Midterm OVPAA-F-INS-055A RAW SC'!X$17*100)</f>
        <v/>
      </c>
      <c r="Y117" s="126" t="str">
        <f>IF('Midterm OVPAA-F-INS-055A RAW SC'!Y117="","",'Midterm OVPAA-F-INS-055A RAW SC'!Y117/'Midterm OVPAA-F-INS-055A RAW SC'!Y$17*100)</f>
        <v/>
      </c>
      <c r="Z117" s="126" t="str">
        <f>IF('Midterm OVPAA-F-INS-055A RAW SC'!Z117="","",'Midterm OVPAA-F-INS-055A RAW SC'!Z117/'Midterm OVPAA-F-INS-055A RAW SC'!Z$17*100)</f>
        <v/>
      </c>
      <c r="AA117" s="126" t="str">
        <f>IF('Midterm OVPAA-F-INS-055A RAW SC'!AA117="","",'Midterm OVPAA-F-INS-055A RAW SC'!AA117/'Midterm OVPAA-F-INS-055A RAW SC'!AA$17*100)</f>
        <v/>
      </c>
      <c r="AB117" s="126" t="str">
        <f>IF('Midterm OVPAA-F-INS-055A RAW SC'!AB117="","",'Midterm OVPAA-F-INS-055A RAW SC'!AB117/'Midterm OVPAA-F-INS-055A RAW SC'!AB$17*100)</f>
        <v/>
      </c>
      <c r="AC117" s="126" t="str">
        <f>IF('Midterm OVPAA-F-INS-055A RAW SC'!AC117="","",'Midterm OVPAA-F-INS-055A RAW SC'!AC117/'Midterm OVPAA-F-INS-055A RAW SC'!AC$17*100)</f>
        <v/>
      </c>
      <c r="AD117" s="126" t="str">
        <f>IF('Midterm OVPAA-F-INS-055A RAW SC'!AD117="","",'Midterm OVPAA-F-INS-055A RAW SC'!AD117/'Midterm OVPAA-F-INS-055A RAW SC'!AD$17*100)</f>
        <v/>
      </c>
      <c r="AE117" s="126" t="str">
        <f>IF('Midterm OVPAA-F-INS-055A RAW SC'!AE117="","",'Midterm OVPAA-F-INS-055A RAW SC'!AE117/'Midterm OVPAA-F-INS-055A RAW SC'!AE$17*100)</f>
        <v/>
      </c>
      <c r="AF117" s="126" t="str">
        <f>IF('Midterm OVPAA-F-INS-055A RAW SC'!AF117="","",'Midterm OVPAA-F-INS-055A RAW SC'!AF117/'Midterm OVPAA-F-INS-055A RAW SC'!AF$17*100)</f>
        <v/>
      </c>
      <c r="AG117" s="126" t="str">
        <f>IF('Midterm OVPAA-F-INS-055A RAW SC'!AG117="","",'Midterm OVPAA-F-INS-055A RAW SC'!AG117/'Midterm OVPAA-F-INS-055A RAW SC'!AG$17*100)</f>
        <v/>
      </c>
      <c r="AH117" s="126" t="str">
        <f>IF('Midterm OVPAA-F-INS-055A RAW SC'!AH117="","",'Midterm OVPAA-F-INS-055A RAW SC'!AH117/'Midterm OVPAA-F-INS-055A RAW SC'!AH$17*100)</f>
        <v/>
      </c>
      <c r="AI117" s="126" t="str">
        <f>IF('Midterm OVPAA-F-INS-055A RAW SC'!AI117="","",'Midterm OVPAA-F-INS-055A RAW SC'!AI117/'Midterm OVPAA-F-INS-055A RAW SC'!AI$17*100)</f>
        <v/>
      </c>
      <c r="AJ117" s="126" t="str">
        <f>IF('Midterm OVPAA-F-INS-055A RAW SC'!AJ117="","",'Midterm OVPAA-F-INS-055A RAW SC'!AJ117/'Midterm OVPAA-F-INS-055A RAW SC'!AJ$17*100)</f>
        <v/>
      </c>
      <c r="AK117" s="126" t="str">
        <f>IF('Midterm OVPAA-F-INS-055A RAW SC'!AK117="","",'Midterm OVPAA-F-INS-055A RAW SC'!AK117/'Midterm OVPAA-F-INS-055A RAW SC'!AK$17*100)</f>
        <v/>
      </c>
      <c r="AL117" s="126" t="str">
        <f>IF('Midterm OVPAA-F-INS-055A RAW SC'!AL117="","",'Midterm OVPAA-F-INS-055A RAW SC'!AL117/'Midterm OVPAA-F-INS-055A RAW SC'!AL$17*100)</f>
        <v/>
      </c>
      <c r="AM117" s="126" t="str">
        <f>IF('Midterm OVPAA-F-INS-055A RAW SC'!AM117="","",'Midterm OVPAA-F-INS-055A RAW SC'!AM117/'Midterm OVPAA-F-INS-055A RAW SC'!AM$17*100)</f>
        <v/>
      </c>
      <c r="AN117" s="126" t="str">
        <f>IF('Midterm OVPAA-F-INS-055A RAW SC'!AN117="","",'Midterm OVPAA-F-INS-055A RAW SC'!AN117/'Midterm OVPAA-F-INS-055A RAW SC'!AN$17*100)</f>
        <v/>
      </c>
      <c r="AO117" s="126" t="str">
        <f>IF('Midterm OVPAA-F-INS-055A RAW SC'!AO117="","",'Midterm OVPAA-F-INS-055A RAW SC'!AO117/'Midterm OVPAA-F-INS-055A RAW SC'!AO$17*100)</f>
        <v/>
      </c>
      <c r="AP117" s="126" t="str">
        <f>IF('Midterm OVPAA-F-INS-055A RAW SC'!AP117="","",'Midterm OVPAA-F-INS-055A RAW SC'!AP117/'Midterm OVPAA-F-INS-055A RAW SC'!AP$17*100)</f>
        <v/>
      </c>
      <c r="AQ117" s="126" t="str">
        <f>IF('Midterm OVPAA-F-INS-055A RAW SC'!AQ117="","",'Midterm OVPAA-F-INS-055A RAW SC'!AQ117/'Midterm OVPAA-F-INS-055A RAW SC'!AQ$17*100)</f>
        <v/>
      </c>
      <c r="AR117" s="126" t="str">
        <f>IF('Midterm OVPAA-F-INS-055A RAW SC'!AR117="","",'Midterm OVPAA-F-INS-055A RAW SC'!AR117/'Midterm OVPAA-F-INS-055A RAW SC'!AR$17*100)</f>
        <v/>
      </c>
      <c r="AS117" s="126" t="str">
        <f>IF('Midterm OVPAA-F-INS-055A RAW SC'!AS117="","",'Midterm OVPAA-F-INS-055A RAW SC'!AS117/'Midterm OVPAA-F-INS-055A RAW SC'!AS$17*100)</f>
        <v/>
      </c>
      <c r="AT117" s="126" t="str">
        <f>IF('Midterm OVPAA-F-INS-055A RAW SC'!AT117="","",'Midterm OVPAA-F-INS-055A RAW SC'!AT117/'Midterm OVPAA-F-INS-055A RAW SC'!AT$17*100)</f>
        <v/>
      </c>
      <c r="AU117" s="126" t="str">
        <f>IF('Midterm OVPAA-F-INS-055A RAW SC'!AU117="","",'Midterm OVPAA-F-INS-055A RAW SC'!AU117/'Midterm OVPAA-F-INS-055A RAW SC'!AU$17*100)</f>
        <v/>
      </c>
      <c r="AV117" s="126" t="str">
        <f>IF('Midterm OVPAA-F-INS-055A RAW SC'!AV117="","",'Midterm OVPAA-F-INS-055A RAW SC'!AV117/'Midterm OVPAA-F-INS-055A RAW SC'!AV$17*100)</f>
        <v/>
      </c>
      <c r="AW117" s="126" t="str">
        <f>IF('Midterm OVPAA-F-INS-055A RAW SC'!AW117="","",'Midterm OVPAA-F-INS-055A RAW SC'!AW117/'Midterm OVPAA-F-INS-055A RAW SC'!AW$17*100)</f>
        <v/>
      </c>
      <c r="AX117" s="126" t="str">
        <f>IF('Midterm OVPAA-F-INS-055A RAW SC'!AX117="","",'Midterm OVPAA-F-INS-055A RAW SC'!AX117/'Midterm OVPAA-F-INS-055A RAW SC'!AX$17*100)</f>
        <v/>
      </c>
      <c r="AY117" s="126" t="str">
        <f>IF('Midterm OVPAA-F-INS-055A RAW SC'!AY117="","",'Midterm OVPAA-F-INS-055A RAW SC'!AY117/'Midterm OVPAA-F-INS-055A RAW SC'!AY$17*100)</f>
        <v/>
      </c>
      <c r="AZ117" s="126" t="str">
        <f>IF('Midterm OVPAA-F-INS-055A RAW SC'!AZ117="","",'Midterm OVPAA-F-INS-055A RAW SC'!AZ117/'Midterm OVPAA-F-INS-055A RAW SC'!AZ$17*100)</f>
        <v/>
      </c>
      <c r="BA117" s="126" t="str">
        <f>IF('Midterm OVPAA-F-INS-055A RAW SC'!BA117="","",'Midterm OVPAA-F-INS-055A RAW SC'!BA117/'Midterm OVPAA-F-INS-055A RAW SC'!BA$17*100)</f>
        <v/>
      </c>
      <c r="BB117" s="126" t="str">
        <f>IF('Midterm OVPAA-F-INS-055A RAW SC'!BB117="","",'Midterm OVPAA-F-INS-055A RAW SC'!BB117/'Midterm OVPAA-F-INS-055A RAW SC'!BB$17*100)</f>
        <v/>
      </c>
      <c r="BC117" s="126" t="str">
        <f>IF('Midterm OVPAA-F-INS-055A RAW SC'!BC117="","",'Midterm OVPAA-F-INS-055A RAW SC'!BC117/'Midterm OVPAA-F-INS-055A RAW SC'!BC$17*100)</f>
        <v/>
      </c>
      <c r="BD117" s="126" t="str">
        <f>IF('Midterm OVPAA-F-INS-055A RAW SC'!BD117="","",'Midterm OVPAA-F-INS-055A RAW SC'!BD117/'Midterm OVPAA-F-INS-055A RAW SC'!BD$17*100)</f>
        <v/>
      </c>
      <c r="BE117" s="126" t="str">
        <f>IF('Midterm OVPAA-F-INS-055A RAW SC'!BE117="","",'Midterm OVPAA-F-INS-055A RAW SC'!BE117/'Midterm OVPAA-F-INS-055A RAW SC'!BE$17*100)</f>
        <v/>
      </c>
      <c r="BF117" s="126" t="str">
        <f>IF('Midterm OVPAA-F-INS-055A RAW SC'!BF117="","",'Midterm OVPAA-F-INS-055A RAW SC'!BF117/'Midterm OVPAA-F-INS-055A RAW SC'!BF$17*100)</f>
        <v/>
      </c>
      <c r="BG117" s="126" t="str">
        <f>IF('Midterm OVPAA-F-INS-055A RAW SC'!BG117="","",'Midterm OVPAA-F-INS-055A RAW SC'!BG117/'Midterm OVPAA-F-INS-055A RAW SC'!BG$17*100)</f>
        <v/>
      </c>
      <c r="BH117" s="126" t="str">
        <f>IF('Midterm OVPAA-F-INS-055A RAW SC'!BH117="","",'Midterm OVPAA-F-INS-055A RAW SC'!BH117/'Midterm OVPAA-F-INS-055A RAW SC'!BH$17*100)</f>
        <v/>
      </c>
      <c r="BI117" s="126" t="str">
        <f>IF('Midterm OVPAA-F-INS-055A RAW SC'!BI117="","",'Midterm OVPAA-F-INS-055A RAW SC'!BI117/'Midterm OVPAA-F-INS-055A RAW SC'!BI$17*100)</f>
        <v/>
      </c>
      <c r="BJ117" s="126" t="str">
        <f>IF('Midterm OVPAA-F-INS-055A RAW SC'!BJ117="","",'Midterm OVPAA-F-INS-055A RAW SC'!BJ117/'Midterm OVPAA-F-INS-055A RAW SC'!BJ$17*100)</f>
        <v/>
      </c>
      <c r="BK117" s="126" t="str">
        <f>IF('Midterm OVPAA-F-INS-055A RAW SC'!BK117="","",'Midterm OVPAA-F-INS-055A RAW SC'!BK117/'Midterm OVPAA-F-INS-055A RAW SC'!BK$17*100)</f>
        <v/>
      </c>
      <c r="BL117" s="126" t="str">
        <f>IF('Midterm OVPAA-F-INS-055A RAW SC'!BL117="","",'Midterm OVPAA-F-INS-055A RAW SC'!BL117/'Midterm OVPAA-F-INS-055A RAW SC'!BL$17*100)</f>
        <v/>
      </c>
      <c r="BM117" s="126" t="str">
        <f>IF('Midterm OVPAA-F-INS-055A RAW SC'!BM117="","",'Midterm OVPAA-F-INS-055A RAW SC'!BM117/'Midterm OVPAA-F-INS-055A RAW SC'!BM$17*100)</f>
        <v/>
      </c>
      <c r="BN117" s="126" t="str">
        <f>IF('Midterm OVPAA-F-INS-055A RAW SC'!BN117="","",'Midterm OVPAA-F-INS-055A RAW SC'!BN117/'Midterm OVPAA-F-INS-055A RAW SC'!BN$17*100)</f>
        <v/>
      </c>
      <c r="BO117" s="126" t="str">
        <f>IF('Midterm OVPAA-F-INS-055A RAW SC'!BO117="","",'Midterm OVPAA-F-INS-055A RAW SC'!BO117/'Midterm OVPAA-F-INS-055A RAW SC'!BO$17*100)</f>
        <v/>
      </c>
      <c r="BP117" s="126" t="str">
        <f>IF('Midterm OVPAA-F-INS-055A RAW SC'!BP117="","",'Midterm OVPAA-F-INS-055A RAW SC'!BP117/'Midterm OVPAA-F-INS-055A RAW SC'!BP$17*100)</f>
        <v/>
      </c>
      <c r="BQ117" s="126" t="str">
        <f>IF('Midterm OVPAA-F-INS-055A RAW SC'!BQ117="","",'Midterm OVPAA-F-INS-055A RAW SC'!BQ117/'Midterm OVPAA-F-INS-055A RAW SC'!BQ$17*100)</f>
        <v/>
      </c>
      <c r="BR117" s="126" t="str">
        <f>IF('Midterm OVPAA-F-INS-055A RAW SC'!BR117="","",'Midterm OVPAA-F-INS-055A RAW SC'!BR117/'Midterm OVPAA-F-INS-055A RAW SC'!BR$17*100)</f>
        <v/>
      </c>
      <c r="BS117" s="126" t="str">
        <f>IF('Midterm OVPAA-F-INS-055A RAW SC'!BS117="","",'Midterm OVPAA-F-INS-055A RAW SC'!BS117/'Midterm OVPAA-F-INS-055A RAW SC'!BS$17*100)</f>
        <v/>
      </c>
      <c r="BT117" s="126" t="str">
        <f>IF('Midterm OVPAA-F-INS-055A RAW SC'!BT117="","",'Midterm OVPAA-F-INS-055A RAW SC'!BT117/'Midterm OVPAA-F-INS-055A RAW SC'!BT$17*100)</f>
        <v/>
      </c>
      <c r="BU117" s="127" t="str">
        <f t="array" ref="BU117">IF('Midterm OVPAA-F-INS-055A RAW SC'!$G117="","",IF((SUMPRODUCT(--ISBLANK('Midterm OVPAA-F-INS-055A RAW SC'!H117:BT117))=COLUMNS('Midterm OVPAA-F-INS-055A RAW SC'!H117:BT117))=TRUE,"",(((COUNTA('Midterm OVPAA-F-INS-055A RAW SC'!$H$17:$BT$17)+COUNTBLANK('Midterm OVPAA-F-INS-055A RAW SC'!H117:BT117))-COLUMNS('Midterm OVPAA-F-INS-055A RAW SC'!H117:BT117))*5+SUM(H117:BT117))/COUNTA('Midterm OVPAA-F-INS-055A RAW SC'!$H$17:$BT$17)))</f>
        <v/>
      </c>
      <c r="BV117" s="128" t="str">
        <f>IF(BU117="","",VLOOKUP(BU117,IF('Midterm OVPAA-F-INS-055A RAW SC'!$V$12=0.5,TRANSMUTATION!$C$4:$D$17,TRANSMUTATION!$G$4:$H$17),2,TRUE))</f>
        <v/>
      </c>
      <c r="BW117" s="141" t="str">
        <f>IF('Midterm OVPAA-F-INS-055A RAW SC'!BU117="","",'Midterm OVPAA-F-INS-055A RAW SC'!BU117/'Midterm OVPAA-F-INS-055A RAW SC'!BU$17*100)</f>
        <v/>
      </c>
      <c r="BX117" s="142" t="str">
        <f>IF('Midterm OVPAA-F-INS-055A RAW SC'!BV117="","",'Midterm OVPAA-F-INS-055A RAW SC'!BV117/'Midterm OVPAA-F-INS-055A RAW SC'!BV$17*100)</f>
        <v/>
      </c>
      <c r="BY117" s="142" t="str">
        <f>IF('Midterm OVPAA-F-INS-055A RAW SC'!BW117="","",'Midterm OVPAA-F-INS-055A RAW SC'!BW117/'Midterm OVPAA-F-INS-055A RAW SC'!BW$17*100)</f>
        <v/>
      </c>
      <c r="BZ117" s="142" t="str">
        <f>IF('Midterm OVPAA-F-INS-055A RAW SC'!BX117="","",'Midterm OVPAA-F-INS-055A RAW SC'!BX117/'Midterm OVPAA-F-INS-055A RAW SC'!BX$17*100)</f>
        <v/>
      </c>
      <c r="CA117" s="142" t="str">
        <f>IF('Midterm OVPAA-F-INS-055A RAW SC'!BY117="","",'Midterm OVPAA-F-INS-055A RAW SC'!BY117/'Midterm OVPAA-F-INS-055A RAW SC'!BY$17*100)</f>
        <v/>
      </c>
      <c r="CB117" s="142" t="str">
        <f>IF('Midterm OVPAA-F-INS-055A RAW SC'!BZ117="","",'Midterm OVPAA-F-INS-055A RAW SC'!BZ117/'Midterm OVPAA-F-INS-055A RAW SC'!BZ$17*100)</f>
        <v/>
      </c>
      <c r="CC117" s="142" t="str">
        <f>IF('Midterm OVPAA-F-INS-055A RAW SC'!CA117="","",'Midterm OVPAA-F-INS-055A RAW SC'!CA117/'Midterm OVPAA-F-INS-055A RAW SC'!CA$17*100)</f>
        <v/>
      </c>
      <c r="CD117" s="142" t="str">
        <f>IF('Midterm OVPAA-F-INS-055A RAW SC'!CB117="","",'Midterm OVPAA-F-INS-055A RAW SC'!CB117/'Midterm OVPAA-F-INS-055A RAW SC'!CB$17*100)</f>
        <v/>
      </c>
      <c r="CE117" s="142" t="str">
        <f>IF('Midterm OVPAA-F-INS-055A RAW SC'!CC117="","",'Midterm OVPAA-F-INS-055A RAW SC'!CC117/'Midterm OVPAA-F-INS-055A RAW SC'!CC$17*100)</f>
        <v/>
      </c>
      <c r="CF117" s="142" t="str">
        <f>IF('Midterm OVPAA-F-INS-055A RAW SC'!CD117="","",'Midterm OVPAA-F-INS-055A RAW SC'!CD117/'Midterm OVPAA-F-INS-055A RAW SC'!CD$17*100)</f>
        <v/>
      </c>
      <c r="CG117" s="142" t="str">
        <f>IF('Midterm OVPAA-F-INS-055A RAW SC'!CE117="","",'Midterm OVPAA-F-INS-055A RAW SC'!CE117/'Midterm OVPAA-F-INS-055A RAW SC'!CE$17*100)</f>
        <v/>
      </c>
      <c r="CH117" s="142" t="str">
        <f>IF('Midterm OVPAA-F-INS-055A RAW SC'!CF117="","",'Midterm OVPAA-F-INS-055A RAW SC'!CF117/'Midterm OVPAA-F-INS-055A RAW SC'!CF$17*100)</f>
        <v/>
      </c>
      <c r="CI117" s="142" t="str">
        <f>IF('Midterm OVPAA-F-INS-055A RAW SC'!CG117="","",'Midterm OVPAA-F-INS-055A RAW SC'!CG117/'Midterm OVPAA-F-INS-055A RAW SC'!CG$17*100)</f>
        <v/>
      </c>
      <c r="CJ117" s="142" t="str">
        <f>IF('Midterm OVPAA-F-INS-055A RAW SC'!CH117="","",'Midterm OVPAA-F-INS-055A RAW SC'!CH117/'Midterm OVPAA-F-INS-055A RAW SC'!CH$17*100)</f>
        <v/>
      </c>
      <c r="CK117" s="142" t="str">
        <f>IF('Midterm OVPAA-F-INS-055A RAW SC'!CI117="","",'Midterm OVPAA-F-INS-055A RAW SC'!CI117/'Midterm OVPAA-F-INS-055A RAW SC'!CI$17*100)</f>
        <v/>
      </c>
      <c r="CL117" s="142" t="str">
        <f>IF('Midterm OVPAA-F-INS-055A RAW SC'!CJ117="","",'Midterm OVPAA-F-INS-055A RAW SC'!CJ117/'Midterm OVPAA-F-INS-055A RAW SC'!CJ$17*100)</f>
        <v/>
      </c>
      <c r="CM117" s="142" t="str">
        <f>IF('Midterm OVPAA-F-INS-055A RAW SC'!CK117="","",'Midterm OVPAA-F-INS-055A RAW SC'!CK117/'Midterm OVPAA-F-INS-055A RAW SC'!CK$17*100)</f>
        <v/>
      </c>
      <c r="CN117" s="142" t="str">
        <f>IF('Midterm OVPAA-F-INS-055A RAW SC'!CL117="","",'Midterm OVPAA-F-INS-055A RAW SC'!CL117/'Midterm OVPAA-F-INS-055A RAW SC'!CL$17*100)</f>
        <v/>
      </c>
      <c r="CO117" s="142" t="str">
        <f>IF('Midterm OVPAA-F-INS-055A RAW SC'!CM117="","",'Midterm OVPAA-F-INS-055A RAW SC'!CM117/'Midterm OVPAA-F-INS-055A RAW SC'!CM$17*100)</f>
        <v/>
      </c>
      <c r="CP117" s="142" t="str">
        <f>IF('Midterm OVPAA-F-INS-055A RAW SC'!CN117="","",'Midterm OVPAA-F-INS-055A RAW SC'!CN117/'Midterm OVPAA-F-INS-055A RAW SC'!CN$17*100)</f>
        <v/>
      </c>
      <c r="CQ117" s="98" t="str">
        <f t="array" ref="CQ117">IF('Midterm OVPAA-F-INS-055A RAW SC'!G117="","",IF((SUMPRODUCT(--ISBLANK('Midterm OVPAA-F-INS-055A RAW SC'!BU117:CN117))=COLUMNS('Midterm OVPAA-F-INS-055A RAW SC'!BU117:CN117))=TRUE,"",(((COUNTA('Midterm OVPAA-F-INS-055A RAW SC'!$BU$17:$CN$17)+COUNTBLANK('Midterm OVPAA-F-INS-055A RAW SC'!BU117:CN117))-COLUMNS('Midterm OVPAA-F-INS-055A RAW SC'!BU117:CN117))*5+SUM(BW117:CP117))/COUNTA('Midterm OVPAA-F-INS-055A RAW SC'!$BU$17:$CN$17)))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IF('Midterm OVPAA-F-INS-055A RAW SC'!CO117="","",'Midterm OVPAA-F-INS-055A RAW SC'!CO117/'Midterm OVPAA-F-INS-055A RAW SC'!CO$17*100)</f>
        <v/>
      </c>
      <c r="CT117" s="133" t="str">
        <f>IF('Midterm OVPAA-F-INS-055A RAW SC'!CP117="","",'Midterm OVPAA-F-INS-055A RAW SC'!CP117/'Midterm OVPAA-F-INS-055A RAW SC'!CP$17*100)</f>
        <v/>
      </c>
      <c r="CU117" s="133" t="str">
        <f>IF('Midterm OVPAA-F-INS-055A RAW SC'!CQ117="","",'Midterm OVPAA-F-INS-055A RAW SC'!CQ117/'Midterm OVPAA-F-INS-055A RAW SC'!CQ$17*100)</f>
        <v/>
      </c>
      <c r="CV117" s="133" t="str">
        <f>IF('Midterm OVPAA-F-INS-055A RAW SC'!CR117="","",'Midterm OVPAA-F-INS-055A RAW SC'!CR117/'Midterm OVPAA-F-INS-055A RAW SC'!CR$17*100)</f>
        <v/>
      </c>
      <c r="CW117" s="133" t="str">
        <f>IF('Midterm OVPAA-F-INS-055A RAW SC'!CS117="","",'Midterm OVPAA-F-INS-055A RAW SC'!CS117/'Midterm OVPAA-F-INS-055A RAW SC'!CS$17*100)</f>
        <v/>
      </c>
      <c r="CX117" s="133" t="str">
        <f>IF('Midterm OVPAA-F-INS-055A RAW SC'!CT117="","",'Midterm OVPAA-F-INS-055A RAW SC'!CT117/'Midterm OVPAA-F-INS-055A RAW SC'!CT$17*100)</f>
        <v/>
      </c>
      <c r="CY117" s="133" t="str">
        <f>IF('Midterm OVPAA-F-INS-055A RAW SC'!CU117="","",'Midterm OVPAA-F-INS-055A RAW SC'!CU117/'Midterm OVPAA-F-INS-055A RAW SC'!CU$17*100)</f>
        <v/>
      </c>
      <c r="CZ117" s="133" t="str">
        <f>IF('Midterm OVPAA-F-INS-055A RAW SC'!CV117="","",'Midterm OVPAA-F-INS-055A RAW SC'!CV117/'Midterm OVPAA-F-INS-055A RAW SC'!CV$17*100)</f>
        <v/>
      </c>
      <c r="DA117" s="133" t="str">
        <f>IF('Midterm OVPAA-F-INS-055A RAW SC'!CW117="","",'Midterm OVPAA-F-INS-055A RAW SC'!CW117/'Midterm OVPAA-F-INS-055A RAW SC'!CW$17*100)</f>
        <v/>
      </c>
      <c r="DB117" s="133" t="str">
        <f>IF('Midterm OVPAA-F-INS-055A RAW SC'!CX117="","",'Midterm OVPAA-F-INS-055A RAW SC'!CX117/'Midterm OVPAA-F-INS-055A RAW SC'!CX$17*100)</f>
        <v/>
      </c>
      <c r="DC117" s="134" t="str">
        <f t="array" ref="DC117">IF('Midterm OVPAA-F-INS-055A RAW SC'!$G117="","",IF((SUMPRODUCT(--ISBLANK('Midterm OVPAA-F-INS-055A RAW SC'!CO117:CX117))=COLUMNS('Midterm OVPAA-F-INS-055A RAW SC'!CO117:CX117))=TRUE,"",(((COUNTA('Midterm OVPAA-F-INS-055A RAW SC'!$CO$17:$CX$17)+COUNTBLANK('Midterm OVPAA-F-INS-055A RAW SC'!CO117:CX117))-COLUMNS('Midterm OVPAA-F-INS-055A RAW SC'!CO117:CX117))*5+SUM(CS117:DB117))/COUNTA('Midterm OVPAA-F-INS-055A RAW SC'!$CO$17:$CX$17)))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44" t="str">
        <f t="shared" si="2"/>
        <v/>
      </c>
      <c r="DG117" s="145" t="str">
        <f t="shared" si="3"/>
        <v/>
      </c>
      <c r="DH117" s="143" t="str">
        <f t="shared" si="4"/>
        <v/>
      </c>
      <c r="DI117" s="146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1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  &amp;C Revision No.: 03                                                                   Issue Date: September 16, 2024&amp;R Page 1 of 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AEEF3"/>
    <pageSetUpPr fitToPage="1"/>
  </sheetPr>
  <dimension ref="A2:CX317"/>
  <sheetViews>
    <sheetView showGridLines="0" topLeftCell="E16" workbookViewId="0">
      <selection activeCell="G9" sqref="G9"/>
    </sheetView>
  </sheetViews>
  <sheetFormatPr defaultColWidth="14.453125" defaultRowHeight="15" customHeight="1"/>
  <cols>
    <col min="1" max="1" width="22.26953125" hidden="1" customWidth="1"/>
    <col min="2" max="2" width="18.7265625" hidden="1" customWidth="1"/>
    <col min="3" max="3" width="19.26953125" hidden="1" customWidth="1"/>
    <col min="4" max="4" width="26.7265625" hidden="1" customWidth="1"/>
    <col min="5" max="5" width="4" customWidth="1"/>
    <col min="6" max="6" width="14" customWidth="1"/>
    <col min="7" max="7" width="31.81640625" customWidth="1"/>
    <col min="8" max="14" width="5.26953125" customWidth="1"/>
    <col min="15" max="21" width="5.26953125" hidden="1" customWidth="1"/>
    <col min="22" max="22" width="5.81640625" hidden="1" customWidth="1"/>
    <col min="23" max="30" width="5.26953125" hidden="1" customWidth="1"/>
    <col min="31" max="31" width="6.26953125" hidden="1" customWidth="1"/>
    <col min="32" max="36" width="5.26953125" hidden="1" customWidth="1"/>
    <col min="37" max="72" width="5.54296875" hidden="1" customWidth="1"/>
    <col min="73" max="77" width="5.54296875" customWidth="1"/>
    <col min="78" max="91" width="5.54296875" hidden="1" customWidth="1"/>
    <col min="92" max="92" width="0.1796875" customWidth="1"/>
    <col min="93" max="93" width="5.54296875" customWidth="1"/>
    <col min="94" max="94" width="5.26953125" customWidth="1"/>
    <col min="95" max="102" width="5.26953125" hidden="1" customWidth="1"/>
  </cols>
  <sheetData>
    <row r="2" spans="5:102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</row>
    <row r="3" spans="5:102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</row>
    <row r="4" spans="5:102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</row>
    <row r="5" spans="5:102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</row>
    <row r="6" spans="5:102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</row>
    <row r="7" spans="5:102" ht="14.5">
      <c r="E7" s="253" t="s">
        <v>3</v>
      </c>
      <c r="F7" s="223"/>
      <c r="G7" s="5" t="s">
        <v>131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</row>
    <row r="8" spans="5:102" ht="14.5">
      <c r="E8" s="253" t="s">
        <v>6</v>
      </c>
      <c r="F8" s="223"/>
      <c r="G8" s="5" t="s">
        <v>132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</row>
    <row r="9" spans="5:102" ht="14.5">
      <c r="E9" s="253" t="s">
        <v>9</v>
      </c>
      <c r="F9" s="223"/>
      <c r="G9" s="5" t="s">
        <v>133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</row>
    <row r="10" spans="5:102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</row>
    <row r="11" spans="5:102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</row>
    <row r="12" spans="5:102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</row>
    <row r="13" spans="5:102" ht="15" customHeight="1">
      <c r="E13" s="261" t="s">
        <v>28</v>
      </c>
      <c r="F13" s="261" t="s">
        <v>29</v>
      </c>
      <c r="G13" s="261" t="s">
        <v>30</v>
      </c>
      <c r="H13" s="264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9"/>
      <c r="BU13" s="244" t="s">
        <v>32</v>
      </c>
      <c r="BV13" s="245"/>
      <c r="BW13" s="245"/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8" t="s">
        <v>33</v>
      </c>
      <c r="CP13" s="245"/>
      <c r="CQ13" s="245"/>
      <c r="CR13" s="245"/>
      <c r="CS13" s="245"/>
      <c r="CT13" s="245"/>
      <c r="CU13" s="245"/>
      <c r="CV13" s="245"/>
      <c r="CW13" s="245"/>
      <c r="CX13" s="249"/>
    </row>
    <row r="14" spans="5:102" ht="15" customHeight="1">
      <c r="E14" s="262"/>
      <c r="F14" s="262"/>
      <c r="G14" s="262"/>
      <c r="H14" s="246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50"/>
      <c r="BU14" s="246"/>
      <c r="BV14" s="247"/>
      <c r="BW14" s="247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6"/>
      <c r="CP14" s="247"/>
      <c r="CQ14" s="247"/>
      <c r="CR14" s="247"/>
      <c r="CS14" s="247"/>
      <c r="CT14" s="247"/>
      <c r="CU14" s="247"/>
      <c r="CV14" s="247"/>
      <c r="CW14" s="247"/>
      <c r="CX14" s="250"/>
    </row>
    <row r="15" spans="5:102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21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3">
        <v>1</v>
      </c>
      <c r="BV15" s="24">
        <v>2</v>
      </c>
      <c r="BW15" s="24">
        <v>3</v>
      </c>
      <c r="BX15" s="24">
        <v>4</v>
      </c>
      <c r="BY15" s="24">
        <v>5</v>
      </c>
      <c r="BZ15" s="24">
        <v>6</v>
      </c>
      <c r="CA15" s="24">
        <v>7</v>
      </c>
      <c r="CB15" s="24">
        <v>8</v>
      </c>
      <c r="CC15" s="24">
        <v>9</v>
      </c>
      <c r="CD15" s="24">
        <v>10</v>
      </c>
      <c r="CE15" s="24">
        <v>11</v>
      </c>
      <c r="CF15" s="24">
        <v>12</v>
      </c>
      <c r="CG15" s="24">
        <v>13</v>
      </c>
      <c r="CH15" s="24">
        <v>14</v>
      </c>
      <c r="CI15" s="24">
        <v>15</v>
      </c>
      <c r="CJ15" s="24">
        <v>16</v>
      </c>
      <c r="CK15" s="24">
        <v>17</v>
      </c>
      <c r="CL15" s="24">
        <v>18</v>
      </c>
      <c r="CM15" s="24">
        <v>19</v>
      </c>
      <c r="CN15" s="24">
        <v>20</v>
      </c>
      <c r="CO15" s="25">
        <v>1</v>
      </c>
      <c r="CP15" s="26">
        <v>2</v>
      </c>
      <c r="CQ15" s="26">
        <v>3</v>
      </c>
      <c r="CR15" s="26">
        <v>4</v>
      </c>
      <c r="CS15" s="26">
        <v>5</v>
      </c>
      <c r="CT15" s="26">
        <v>6</v>
      </c>
      <c r="CU15" s="26">
        <v>7</v>
      </c>
      <c r="CV15" s="26">
        <v>8</v>
      </c>
      <c r="CW15" s="26">
        <v>9</v>
      </c>
      <c r="CX15" s="27">
        <v>10</v>
      </c>
    </row>
    <row r="16" spans="5:102" ht="139.5">
      <c r="E16" s="262"/>
      <c r="F16" s="262"/>
      <c r="G16" s="262"/>
      <c r="H16" s="28" t="s">
        <v>78</v>
      </c>
      <c r="I16" s="28" t="s">
        <v>79</v>
      </c>
      <c r="J16" s="28" t="s">
        <v>80</v>
      </c>
      <c r="K16" s="28" t="s">
        <v>81</v>
      </c>
      <c r="L16" s="28" t="s">
        <v>82</v>
      </c>
      <c r="M16" s="28"/>
      <c r="N16" s="28"/>
      <c r="O16" s="28"/>
      <c r="P16" s="28"/>
      <c r="Q16" s="29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30"/>
      <c r="AC16" s="28"/>
      <c r="AD16" s="28"/>
      <c r="AE16" s="28"/>
      <c r="AF16" s="28"/>
      <c r="AG16" s="28"/>
      <c r="AH16" s="28"/>
      <c r="AI16" s="28"/>
      <c r="AJ16" s="28"/>
      <c r="AK16" s="31"/>
      <c r="AL16" s="30"/>
      <c r="AM16" s="28"/>
      <c r="AN16" s="28"/>
      <c r="AO16" s="28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  <c r="BN16" s="28"/>
      <c r="BO16" s="28"/>
      <c r="BP16" s="28"/>
      <c r="BQ16" s="28"/>
      <c r="BR16" s="28"/>
      <c r="BS16" s="28"/>
      <c r="BT16" s="31"/>
      <c r="BU16" s="33" t="s">
        <v>83</v>
      </c>
      <c r="BV16" s="33" t="s">
        <v>84</v>
      </c>
      <c r="BW16" s="33" t="s">
        <v>85</v>
      </c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4" t="s">
        <v>86</v>
      </c>
      <c r="CP16" s="34" t="s">
        <v>87</v>
      </c>
      <c r="CQ16" s="89"/>
      <c r="CR16" s="89"/>
      <c r="CS16" s="35"/>
      <c r="CT16" s="35"/>
      <c r="CU16" s="35"/>
      <c r="CV16" s="35"/>
      <c r="CW16" s="35"/>
      <c r="CX16" s="36"/>
    </row>
    <row r="17" spans="1:102" ht="14.5">
      <c r="E17" s="263"/>
      <c r="F17" s="263"/>
      <c r="G17" s="263"/>
      <c r="H17" s="37">
        <v>5</v>
      </c>
      <c r="I17" s="38">
        <v>5</v>
      </c>
      <c r="J17" s="38">
        <v>5</v>
      </c>
      <c r="K17" s="38">
        <v>5</v>
      </c>
      <c r="L17" s="38">
        <v>5</v>
      </c>
      <c r="M17" s="38"/>
      <c r="N17" s="38"/>
      <c r="O17" s="38"/>
      <c r="P17" s="38"/>
      <c r="Q17" s="39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40"/>
      <c r="AC17" s="38"/>
      <c r="AD17" s="38"/>
      <c r="AE17" s="38"/>
      <c r="AF17" s="38"/>
      <c r="AG17" s="38"/>
      <c r="AH17" s="38"/>
      <c r="AI17" s="38"/>
      <c r="AJ17" s="38"/>
      <c r="AK17" s="41"/>
      <c r="AL17" s="40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  <c r="BL17" s="38"/>
      <c r="BM17" s="38"/>
      <c r="BN17" s="38"/>
      <c r="BO17" s="38"/>
      <c r="BP17" s="38"/>
      <c r="BQ17" s="38"/>
      <c r="BR17" s="38"/>
      <c r="BS17" s="38"/>
      <c r="BT17" s="41"/>
      <c r="BU17" s="43">
        <v>100</v>
      </c>
      <c r="BV17" s="43">
        <v>100</v>
      </c>
      <c r="BW17" s="43">
        <v>10</v>
      </c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4">
        <v>100</v>
      </c>
      <c r="CP17" s="147">
        <v>100</v>
      </c>
      <c r="CQ17" s="147"/>
      <c r="CR17" s="100"/>
      <c r="CS17" s="45"/>
      <c r="CT17" s="45"/>
      <c r="CU17" s="45"/>
      <c r="CV17" s="45"/>
      <c r="CW17" s="45"/>
      <c r="CX17" s="46"/>
    </row>
    <row r="18" spans="1:102" ht="14.5">
      <c r="A18" s="47"/>
      <c r="B18" s="48"/>
      <c r="C18" s="48"/>
      <c r="D18" s="48"/>
      <c r="E18" s="49">
        <v>1</v>
      </c>
      <c r="F18" s="50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52">
        <v>0</v>
      </c>
      <c r="I18" s="50">
        <v>0</v>
      </c>
      <c r="J18" s="50">
        <v>0</v>
      </c>
      <c r="K18" s="50">
        <v>0</v>
      </c>
      <c r="L18" s="50">
        <v>0</v>
      </c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3"/>
      <c r="AL18" s="52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50"/>
      <c r="BQ18" s="50"/>
      <c r="BR18" s="50"/>
      <c r="BS18" s="50"/>
      <c r="BT18" s="53"/>
      <c r="BU18" s="52">
        <v>0</v>
      </c>
      <c r="BV18" s="50">
        <v>0</v>
      </c>
      <c r="BW18" s="50">
        <v>0</v>
      </c>
      <c r="BX18" s="50"/>
      <c r="BY18" s="50"/>
      <c r="BZ18" s="50"/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3">
        <v>0</v>
      </c>
      <c r="CO18" s="52">
        <v>0</v>
      </c>
      <c r="CP18" s="50">
        <v>0</v>
      </c>
      <c r="CQ18" s="50"/>
      <c r="CR18" s="50"/>
      <c r="CS18" s="55"/>
      <c r="CT18" s="56"/>
      <c r="CU18" s="56"/>
      <c r="CV18" s="56"/>
      <c r="CW18" s="56"/>
      <c r="CX18" s="57"/>
    </row>
    <row r="19" spans="1:102" ht="14.5">
      <c r="A19" s="58"/>
      <c r="E19" s="59">
        <v>2</v>
      </c>
      <c r="F19" s="60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52">
        <v>5</v>
      </c>
      <c r="I19" s="50">
        <v>5</v>
      </c>
      <c r="J19" s="50">
        <v>5</v>
      </c>
      <c r="K19" s="50">
        <v>5</v>
      </c>
      <c r="L19" s="50">
        <v>5</v>
      </c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3"/>
      <c r="AL19" s="52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50"/>
      <c r="BQ19" s="50"/>
      <c r="BR19" s="50"/>
      <c r="BS19" s="50"/>
      <c r="BT19" s="53"/>
      <c r="BU19" s="52">
        <v>92</v>
      </c>
      <c r="BV19" s="50">
        <v>100</v>
      </c>
      <c r="BW19" s="50">
        <v>10</v>
      </c>
      <c r="BX19" s="50"/>
      <c r="BY19" s="50"/>
      <c r="BZ19" s="50"/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3"/>
      <c r="CO19" s="52">
        <v>50</v>
      </c>
      <c r="CP19" s="50">
        <v>72.5</v>
      </c>
      <c r="CQ19" s="60"/>
      <c r="CR19" s="60"/>
      <c r="CS19" s="68"/>
      <c r="CT19" s="69"/>
      <c r="CU19" s="69"/>
      <c r="CV19" s="69"/>
      <c r="CW19" s="69"/>
      <c r="CX19" s="70"/>
    </row>
    <row r="20" spans="1:102" ht="14.5">
      <c r="A20" s="58"/>
      <c r="E20" s="59">
        <v>3</v>
      </c>
      <c r="F20" s="60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52">
        <v>0</v>
      </c>
      <c r="I20" s="50">
        <v>0</v>
      </c>
      <c r="J20" s="50">
        <v>0</v>
      </c>
      <c r="K20" s="50">
        <v>0</v>
      </c>
      <c r="L20" s="50">
        <v>0</v>
      </c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3"/>
      <c r="AL20" s="52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50"/>
      <c r="BQ20" s="50"/>
      <c r="BR20" s="50"/>
      <c r="BS20" s="50"/>
      <c r="BT20" s="53"/>
      <c r="BU20" s="52">
        <v>50</v>
      </c>
      <c r="BV20" s="50">
        <v>50</v>
      </c>
      <c r="BW20" s="50">
        <v>0</v>
      </c>
      <c r="BX20" s="50"/>
      <c r="BY20" s="50"/>
      <c r="BZ20" s="50"/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3"/>
      <c r="CO20" s="52">
        <v>50</v>
      </c>
      <c r="CP20" s="50">
        <v>80.25</v>
      </c>
      <c r="CQ20" s="60"/>
      <c r="CR20" s="60"/>
      <c r="CS20" s="68"/>
      <c r="CT20" s="69"/>
      <c r="CU20" s="69"/>
      <c r="CV20" s="69"/>
      <c r="CW20" s="69"/>
      <c r="CX20" s="70"/>
    </row>
    <row r="21" spans="1:102" ht="15.75" customHeight="1">
      <c r="A21" s="58"/>
      <c r="E21" s="59">
        <v>4</v>
      </c>
      <c r="F21" s="60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52">
        <v>5</v>
      </c>
      <c r="I21" s="50">
        <v>0</v>
      </c>
      <c r="J21" s="50">
        <v>0</v>
      </c>
      <c r="K21" s="50">
        <v>5</v>
      </c>
      <c r="L21" s="50">
        <v>5</v>
      </c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3"/>
      <c r="AL21" s="52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3"/>
      <c r="BU21" s="52">
        <v>10</v>
      </c>
      <c r="BV21" s="50">
        <v>10</v>
      </c>
      <c r="BW21" s="50">
        <v>10</v>
      </c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3"/>
      <c r="CO21" s="52">
        <v>80</v>
      </c>
      <c r="CP21" s="50">
        <v>54.5</v>
      </c>
      <c r="CQ21" s="60"/>
      <c r="CR21" s="60"/>
      <c r="CS21" s="68"/>
      <c r="CT21" s="69"/>
      <c r="CU21" s="69"/>
      <c r="CV21" s="69"/>
      <c r="CW21" s="69"/>
      <c r="CX21" s="70"/>
    </row>
    <row r="22" spans="1:102" ht="15.75" customHeight="1">
      <c r="A22" s="58"/>
      <c r="E22" s="59">
        <v>5</v>
      </c>
      <c r="F22" s="60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52">
        <v>5</v>
      </c>
      <c r="I22" s="50">
        <v>5</v>
      </c>
      <c r="J22" s="50">
        <v>0</v>
      </c>
      <c r="K22" s="50">
        <v>0</v>
      </c>
      <c r="L22" s="50">
        <v>0</v>
      </c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5"/>
      <c r="AL22" s="66"/>
      <c r="AM22" s="60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0"/>
      <c r="BF22" s="60"/>
      <c r="BG22" s="60"/>
      <c r="BH22" s="60"/>
      <c r="BI22" s="60"/>
      <c r="BJ22" s="60"/>
      <c r="BK22" s="60"/>
      <c r="BL22" s="60"/>
      <c r="BM22" s="60"/>
      <c r="BN22" s="60"/>
      <c r="BO22" s="60"/>
      <c r="BP22" s="60"/>
      <c r="BQ22" s="60"/>
      <c r="BR22" s="60"/>
      <c r="BS22" s="60"/>
      <c r="BT22" s="65"/>
      <c r="BU22" s="67">
        <v>50</v>
      </c>
      <c r="BV22" s="60">
        <v>85</v>
      </c>
      <c r="BW22" s="50">
        <v>10</v>
      </c>
      <c r="BX22" s="60"/>
      <c r="BY22" s="60"/>
      <c r="BZ22" s="60"/>
      <c r="CA22" s="60"/>
      <c r="CB22" s="60"/>
      <c r="CC22" s="60"/>
      <c r="CD22" s="60"/>
      <c r="CE22" s="60"/>
      <c r="CF22" s="60"/>
      <c r="CG22" s="60"/>
      <c r="CH22" s="60"/>
      <c r="CI22" s="60"/>
      <c r="CJ22" s="60"/>
      <c r="CK22" s="60"/>
      <c r="CL22" s="60"/>
      <c r="CM22" s="60"/>
      <c r="CN22" s="68"/>
      <c r="CO22" s="67">
        <v>100</v>
      </c>
      <c r="CP22" s="60">
        <v>72.5</v>
      </c>
      <c r="CQ22" s="60"/>
      <c r="CR22" s="60"/>
      <c r="CS22" s="68"/>
      <c r="CT22" s="69"/>
      <c r="CU22" s="69"/>
      <c r="CV22" s="69"/>
      <c r="CW22" s="69"/>
      <c r="CX22" s="70"/>
    </row>
    <row r="23" spans="1:102" ht="15.75" customHeight="1">
      <c r="A23" s="58"/>
      <c r="E23" s="59">
        <v>6</v>
      </c>
      <c r="F23" s="60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52">
        <v>5</v>
      </c>
      <c r="I23" s="50">
        <v>5</v>
      </c>
      <c r="J23" s="50">
        <v>3</v>
      </c>
      <c r="K23" s="50">
        <v>5</v>
      </c>
      <c r="L23" s="50">
        <v>0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3"/>
      <c r="AL23" s="52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50"/>
      <c r="BQ23" s="50"/>
      <c r="BR23" s="50"/>
      <c r="BS23" s="50"/>
      <c r="BT23" s="53"/>
      <c r="BU23" s="52">
        <v>50</v>
      </c>
      <c r="BV23" s="50">
        <v>0</v>
      </c>
      <c r="BW23" s="50">
        <v>0</v>
      </c>
      <c r="BX23" s="50"/>
      <c r="BY23" s="50"/>
      <c r="BZ23" s="50"/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3"/>
      <c r="CO23" s="52">
        <v>100</v>
      </c>
      <c r="CP23" s="50">
        <v>91.25</v>
      </c>
      <c r="CQ23" s="60"/>
      <c r="CR23" s="60"/>
      <c r="CS23" s="68"/>
      <c r="CT23" s="69"/>
      <c r="CU23" s="69"/>
      <c r="CV23" s="69"/>
      <c r="CW23" s="69"/>
      <c r="CX23" s="70"/>
    </row>
    <row r="24" spans="1:102" ht="15.75" customHeight="1">
      <c r="A24" s="58"/>
      <c r="E24" s="59">
        <v>7</v>
      </c>
      <c r="F24" s="60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52">
        <v>5</v>
      </c>
      <c r="I24" s="50">
        <v>5</v>
      </c>
      <c r="J24" s="50">
        <v>3</v>
      </c>
      <c r="K24" s="50">
        <v>5</v>
      </c>
      <c r="L24" s="50">
        <v>0</v>
      </c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5"/>
      <c r="AL24" s="66"/>
      <c r="AM24" s="60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0"/>
      <c r="BF24" s="60"/>
      <c r="BG24" s="60"/>
      <c r="BH24" s="60"/>
      <c r="BI24" s="60"/>
      <c r="BJ24" s="60"/>
      <c r="BK24" s="60"/>
      <c r="BL24" s="60"/>
      <c r="BM24" s="60"/>
      <c r="BN24" s="60"/>
      <c r="BO24" s="60"/>
      <c r="BP24" s="60"/>
      <c r="BQ24" s="60"/>
      <c r="BR24" s="60"/>
      <c r="BS24" s="60"/>
      <c r="BT24" s="65"/>
      <c r="BU24" s="67">
        <v>74</v>
      </c>
      <c r="BV24" s="60">
        <v>0</v>
      </c>
      <c r="BW24" s="50">
        <v>0</v>
      </c>
      <c r="BX24" s="60"/>
      <c r="BY24" s="60"/>
      <c r="BZ24" s="60"/>
      <c r="CA24" s="60"/>
      <c r="CB24" s="60"/>
      <c r="CC24" s="60"/>
      <c r="CD24" s="60"/>
      <c r="CE24" s="60"/>
      <c r="CF24" s="60"/>
      <c r="CG24" s="60"/>
      <c r="CH24" s="60"/>
      <c r="CI24" s="60"/>
      <c r="CJ24" s="60"/>
      <c r="CK24" s="60"/>
      <c r="CL24" s="60"/>
      <c r="CM24" s="60"/>
      <c r="CN24" s="65"/>
      <c r="CO24" s="67">
        <v>80</v>
      </c>
      <c r="CP24" s="60">
        <v>72</v>
      </c>
      <c r="CQ24" s="60"/>
      <c r="CR24" s="60"/>
      <c r="CS24" s="68"/>
      <c r="CT24" s="69"/>
      <c r="CU24" s="69"/>
      <c r="CV24" s="69"/>
      <c r="CW24" s="69"/>
      <c r="CX24" s="70"/>
    </row>
    <row r="25" spans="1:102" ht="15.75" customHeight="1">
      <c r="A25" s="58"/>
      <c r="E25" s="59">
        <v>8</v>
      </c>
      <c r="F25" s="60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52">
        <v>5</v>
      </c>
      <c r="I25" s="50">
        <v>5</v>
      </c>
      <c r="J25" s="50">
        <v>3</v>
      </c>
      <c r="K25" s="50">
        <v>5</v>
      </c>
      <c r="L25" s="50">
        <v>0</v>
      </c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3"/>
      <c r="AL25" s="52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50"/>
      <c r="BQ25" s="50"/>
      <c r="BR25" s="50"/>
      <c r="BS25" s="50"/>
      <c r="BT25" s="53"/>
      <c r="BU25" s="52">
        <v>95</v>
      </c>
      <c r="BV25" s="50">
        <v>0</v>
      </c>
      <c r="BW25" s="50">
        <v>0</v>
      </c>
      <c r="BX25" s="50"/>
      <c r="BY25" s="50"/>
      <c r="BZ25" s="50"/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3"/>
      <c r="CO25" s="52">
        <v>100</v>
      </c>
      <c r="CP25" s="50">
        <v>91.25</v>
      </c>
      <c r="CQ25" s="60"/>
      <c r="CR25" s="60"/>
      <c r="CS25" s="68"/>
      <c r="CT25" s="69"/>
      <c r="CU25" s="69"/>
      <c r="CV25" s="69"/>
      <c r="CW25" s="69"/>
      <c r="CX25" s="70"/>
    </row>
    <row r="26" spans="1:102" ht="15.75" customHeight="1">
      <c r="A26" s="58"/>
      <c r="E26" s="59">
        <v>9</v>
      </c>
      <c r="F26" s="60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52">
        <v>0</v>
      </c>
      <c r="I26" s="50">
        <v>0</v>
      </c>
      <c r="J26" s="50">
        <v>0</v>
      </c>
      <c r="K26" s="50">
        <v>0</v>
      </c>
      <c r="L26" s="50">
        <v>0</v>
      </c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3"/>
      <c r="AL26" s="52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50"/>
      <c r="BQ26" s="50"/>
      <c r="BR26" s="50"/>
      <c r="BS26" s="50"/>
      <c r="BT26" s="53"/>
      <c r="BU26" s="52">
        <v>20</v>
      </c>
      <c r="BV26" s="50">
        <v>50</v>
      </c>
      <c r="BW26" s="50">
        <v>0</v>
      </c>
      <c r="BX26" s="50"/>
      <c r="BY26" s="50"/>
      <c r="BZ26" s="50"/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3"/>
      <c r="CO26" s="52">
        <v>80</v>
      </c>
      <c r="CP26" s="50">
        <v>54.5</v>
      </c>
      <c r="CQ26" s="60"/>
      <c r="CR26" s="60"/>
      <c r="CS26" s="68"/>
      <c r="CT26" s="69"/>
      <c r="CU26" s="69"/>
      <c r="CV26" s="69"/>
      <c r="CW26" s="69"/>
      <c r="CX26" s="70"/>
    </row>
    <row r="27" spans="1:102" ht="15.75" customHeight="1">
      <c r="A27" s="58"/>
      <c r="E27" s="59">
        <v>10</v>
      </c>
      <c r="F27" s="60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52">
        <v>5</v>
      </c>
      <c r="I27" s="50">
        <v>5</v>
      </c>
      <c r="J27" s="50">
        <v>3</v>
      </c>
      <c r="K27" s="50">
        <v>5</v>
      </c>
      <c r="L27" s="50">
        <v>5</v>
      </c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5"/>
      <c r="AL27" s="66"/>
      <c r="AM27" s="60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0"/>
      <c r="BF27" s="60"/>
      <c r="BG27" s="60"/>
      <c r="BH27" s="60"/>
      <c r="BI27" s="60"/>
      <c r="BJ27" s="60"/>
      <c r="BK27" s="60"/>
      <c r="BL27" s="60"/>
      <c r="BM27" s="60"/>
      <c r="BN27" s="60"/>
      <c r="BO27" s="60"/>
      <c r="BP27" s="60"/>
      <c r="BQ27" s="60"/>
      <c r="BR27" s="60"/>
      <c r="BS27" s="60"/>
      <c r="BT27" s="65"/>
      <c r="BU27" s="67">
        <v>74</v>
      </c>
      <c r="BV27" s="60">
        <v>70</v>
      </c>
      <c r="BW27" s="50">
        <v>10</v>
      </c>
      <c r="BX27" s="60"/>
      <c r="BY27" s="60"/>
      <c r="BZ27" s="60"/>
      <c r="CA27" s="60"/>
      <c r="CB27" s="60"/>
      <c r="CC27" s="60"/>
      <c r="CD27" s="60"/>
      <c r="CE27" s="60"/>
      <c r="CF27" s="60"/>
      <c r="CG27" s="60"/>
      <c r="CH27" s="60"/>
      <c r="CI27" s="60"/>
      <c r="CJ27" s="60"/>
      <c r="CK27" s="60"/>
      <c r="CL27" s="60"/>
      <c r="CM27" s="60"/>
      <c r="CN27" s="65"/>
      <c r="CO27" s="67">
        <v>80</v>
      </c>
      <c r="CP27" s="60">
        <v>72</v>
      </c>
      <c r="CQ27" s="60"/>
      <c r="CR27" s="60"/>
      <c r="CS27" s="68"/>
      <c r="CT27" s="69"/>
      <c r="CU27" s="69"/>
      <c r="CV27" s="69"/>
      <c r="CW27" s="69"/>
      <c r="CX27" s="70"/>
    </row>
    <row r="28" spans="1:102" ht="15.75" customHeight="1">
      <c r="A28" s="58"/>
      <c r="E28" s="59">
        <v>11</v>
      </c>
      <c r="F28" s="60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52">
        <v>5</v>
      </c>
      <c r="I28" s="50">
        <v>5</v>
      </c>
      <c r="J28" s="50">
        <v>3</v>
      </c>
      <c r="K28" s="50">
        <v>5</v>
      </c>
      <c r="L28" s="50">
        <v>5</v>
      </c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5"/>
      <c r="AL28" s="66"/>
      <c r="AM28" s="60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0"/>
      <c r="BF28" s="60"/>
      <c r="BG28" s="60"/>
      <c r="BH28" s="60"/>
      <c r="BI28" s="60"/>
      <c r="BJ28" s="60"/>
      <c r="BK28" s="60"/>
      <c r="BL28" s="60"/>
      <c r="BM28" s="60"/>
      <c r="BN28" s="60"/>
      <c r="BO28" s="60"/>
      <c r="BP28" s="60"/>
      <c r="BQ28" s="60"/>
      <c r="BR28" s="60"/>
      <c r="BS28" s="60"/>
      <c r="BT28" s="65"/>
      <c r="BU28" s="67">
        <v>84</v>
      </c>
      <c r="BV28" s="60">
        <v>92</v>
      </c>
      <c r="BW28" s="50">
        <v>10</v>
      </c>
      <c r="BX28" s="60"/>
      <c r="BY28" s="60"/>
      <c r="BZ28" s="60"/>
      <c r="CA28" s="60"/>
      <c r="CB28" s="60"/>
      <c r="CC28" s="60"/>
      <c r="CD28" s="60"/>
      <c r="CE28" s="60"/>
      <c r="CF28" s="60"/>
      <c r="CG28" s="60"/>
      <c r="CH28" s="60"/>
      <c r="CI28" s="60"/>
      <c r="CJ28" s="60"/>
      <c r="CK28" s="60"/>
      <c r="CL28" s="60"/>
      <c r="CM28" s="60"/>
      <c r="CN28" s="68"/>
      <c r="CO28" s="67">
        <v>80</v>
      </c>
      <c r="CP28" s="60">
        <v>54.5</v>
      </c>
      <c r="CQ28" s="60"/>
      <c r="CR28" s="60"/>
      <c r="CS28" s="68"/>
      <c r="CT28" s="69"/>
      <c r="CU28" s="69"/>
      <c r="CV28" s="69"/>
      <c r="CW28" s="69"/>
      <c r="CX28" s="70"/>
    </row>
    <row r="29" spans="1:102" ht="15.75" customHeight="1">
      <c r="A29" s="58"/>
      <c r="E29" s="59">
        <v>12</v>
      </c>
      <c r="F29" s="60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52">
        <v>5</v>
      </c>
      <c r="I29" s="50">
        <v>5</v>
      </c>
      <c r="J29" s="50">
        <v>3</v>
      </c>
      <c r="K29" s="50">
        <v>5</v>
      </c>
      <c r="L29" s="50">
        <v>5</v>
      </c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5"/>
      <c r="AL29" s="66"/>
      <c r="AM29" s="60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5"/>
      <c r="BU29" s="67">
        <v>74</v>
      </c>
      <c r="BV29" s="60">
        <v>70</v>
      </c>
      <c r="BW29" s="50">
        <v>10</v>
      </c>
      <c r="BX29" s="60"/>
      <c r="BY29" s="60"/>
      <c r="BZ29" s="60"/>
      <c r="CA29" s="60"/>
      <c r="CB29" s="60"/>
      <c r="CC29" s="60"/>
      <c r="CD29" s="60"/>
      <c r="CE29" s="60"/>
      <c r="CF29" s="60"/>
      <c r="CG29" s="60"/>
      <c r="CH29" s="60"/>
      <c r="CI29" s="60"/>
      <c r="CJ29" s="60"/>
      <c r="CK29" s="60"/>
      <c r="CL29" s="60"/>
      <c r="CM29" s="60"/>
      <c r="CN29" s="68"/>
      <c r="CO29" s="67">
        <v>80</v>
      </c>
      <c r="CP29" s="60">
        <v>72</v>
      </c>
      <c r="CQ29" s="60"/>
      <c r="CR29" s="60"/>
      <c r="CS29" s="68"/>
      <c r="CT29" s="69"/>
      <c r="CU29" s="69"/>
      <c r="CV29" s="69"/>
      <c r="CW29" s="69"/>
      <c r="CX29" s="70"/>
    </row>
    <row r="30" spans="1:102" ht="15.75" customHeight="1">
      <c r="A30" s="58"/>
      <c r="E30" s="59">
        <v>13</v>
      </c>
      <c r="F30" s="60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52">
        <v>5</v>
      </c>
      <c r="I30" s="50">
        <v>5</v>
      </c>
      <c r="J30" s="50">
        <v>3</v>
      </c>
      <c r="K30" s="50">
        <v>5</v>
      </c>
      <c r="L30" s="50">
        <v>5</v>
      </c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5"/>
      <c r="AL30" s="66"/>
      <c r="AM30" s="60"/>
      <c r="AN30" s="60"/>
      <c r="AO30" s="60"/>
      <c r="AP30" s="60"/>
      <c r="AQ30" s="60"/>
      <c r="AR30" s="60"/>
      <c r="AS30" s="60"/>
      <c r="AT30" s="60"/>
      <c r="AU30" s="60"/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5"/>
      <c r="BU30" s="67">
        <v>92</v>
      </c>
      <c r="BV30" s="60">
        <v>100</v>
      </c>
      <c r="BW30" s="50">
        <v>10</v>
      </c>
      <c r="BX30" s="60"/>
      <c r="BY30" s="60"/>
      <c r="BZ30" s="60"/>
      <c r="CA30" s="60"/>
      <c r="CB30" s="60"/>
      <c r="CC30" s="60"/>
      <c r="CD30" s="60"/>
      <c r="CE30" s="60"/>
      <c r="CF30" s="60"/>
      <c r="CG30" s="60"/>
      <c r="CH30" s="60"/>
      <c r="CI30" s="60"/>
      <c r="CJ30" s="60"/>
      <c r="CK30" s="60"/>
      <c r="CL30" s="60"/>
      <c r="CM30" s="60"/>
      <c r="CN30" s="65"/>
      <c r="CO30" s="67">
        <v>100</v>
      </c>
      <c r="CP30" s="60">
        <v>72.5</v>
      </c>
      <c r="CQ30" s="60"/>
      <c r="CR30" s="60"/>
      <c r="CS30" s="68"/>
      <c r="CT30" s="69"/>
      <c r="CU30" s="69"/>
      <c r="CV30" s="69"/>
      <c r="CW30" s="69"/>
      <c r="CX30" s="70"/>
    </row>
    <row r="31" spans="1:102" ht="15.75" customHeight="1">
      <c r="A31" s="58"/>
      <c r="E31" s="59">
        <v>14</v>
      </c>
      <c r="F31" s="60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52">
        <v>5</v>
      </c>
      <c r="I31" s="50">
        <v>5</v>
      </c>
      <c r="J31" s="50">
        <v>3</v>
      </c>
      <c r="K31" s="50">
        <v>5</v>
      </c>
      <c r="L31" s="50">
        <v>5</v>
      </c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5"/>
      <c r="AL31" s="66"/>
      <c r="AM31" s="60"/>
      <c r="AN31" s="60"/>
      <c r="AO31" s="60"/>
      <c r="AP31" s="60"/>
      <c r="AQ31" s="60"/>
      <c r="AR31" s="60"/>
      <c r="AS31" s="60"/>
      <c r="AT31" s="60"/>
      <c r="AU31" s="60"/>
      <c r="AV31" s="60"/>
      <c r="AW31" s="60"/>
      <c r="AX31" s="60"/>
      <c r="AY31" s="60"/>
      <c r="AZ31" s="60"/>
      <c r="BA31" s="60"/>
      <c r="BB31" s="60"/>
      <c r="BC31" s="60"/>
      <c r="BD31" s="60"/>
      <c r="BE31" s="60"/>
      <c r="BF31" s="60"/>
      <c r="BG31" s="60"/>
      <c r="BH31" s="60"/>
      <c r="BI31" s="60"/>
      <c r="BJ31" s="60"/>
      <c r="BK31" s="60"/>
      <c r="BL31" s="60"/>
      <c r="BM31" s="60"/>
      <c r="BN31" s="60"/>
      <c r="BO31" s="60"/>
      <c r="BP31" s="60"/>
      <c r="BQ31" s="60"/>
      <c r="BR31" s="60"/>
      <c r="BS31" s="60"/>
      <c r="BT31" s="65"/>
      <c r="BU31" s="67">
        <v>87</v>
      </c>
      <c r="BV31" s="60">
        <v>70</v>
      </c>
      <c r="BW31" s="50">
        <v>10</v>
      </c>
      <c r="BX31" s="60"/>
      <c r="BY31" s="60"/>
      <c r="BZ31" s="60"/>
      <c r="CA31" s="60"/>
      <c r="CB31" s="60"/>
      <c r="CC31" s="60"/>
      <c r="CD31" s="60"/>
      <c r="CE31" s="60"/>
      <c r="CF31" s="60"/>
      <c r="CG31" s="60"/>
      <c r="CH31" s="60"/>
      <c r="CI31" s="60"/>
      <c r="CJ31" s="60"/>
      <c r="CK31" s="60"/>
      <c r="CL31" s="60"/>
      <c r="CM31" s="60"/>
      <c r="CN31" s="65"/>
      <c r="CO31" s="67">
        <v>80</v>
      </c>
      <c r="CP31" s="60">
        <v>80.25</v>
      </c>
      <c r="CQ31" s="60"/>
      <c r="CR31" s="60"/>
      <c r="CS31" s="68"/>
      <c r="CT31" s="69"/>
      <c r="CU31" s="69"/>
      <c r="CV31" s="69"/>
      <c r="CW31" s="69"/>
      <c r="CX31" s="70"/>
    </row>
    <row r="32" spans="1:102" ht="15.75" customHeight="1">
      <c r="A32" s="58"/>
      <c r="E32" s="59">
        <v>15</v>
      </c>
      <c r="F32" s="60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52">
        <v>5</v>
      </c>
      <c r="I32" s="50">
        <v>5</v>
      </c>
      <c r="J32" s="50">
        <v>3</v>
      </c>
      <c r="K32" s="50">
        <v>5</v>
      </c>
      <c r="L32" s="50">
        <v>5</v>
      </c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5"/>
      <c r="AL32" s="66"/>
      <c r="AM32" s="60"/>
      <c r="AN32" s="60"/>
      <c r="AO32" s="60"/>
      <c r="AP32" s="60"/>
      <c r="AQ32" s="60"/>
      <c r="AR32" s="60"/>
      <c r="AS32" s="60"/>
      <c r="AT32" s="60"/>
      <c r="AU32" s="60"/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60"/>
      <c r="BS32" s="60"/>
      <c r="BT32" s="65"/>
      <c r="BU32" s="67">
        <v>87</v>
      </c>
      <c r="BV32" s="60">
        <v>70</v>
      </c>
      <c r="BW32" s="50">
        <v>10</v>
      </c>
      <c r="BX32" s="60"/>
      <c r="BY32" s="60"/>
      <c r="BZ32" s="60"/>
      <c r="CA32" s="60"/>
      <c r="CB32" s="60"/>
      <c r="CC32" s="60"/>
      <c r="CD32" s="60"/>
      <c r="CE32" s="60"/>
      <c r="CF32" s="60"/>
      <c r="CG32" s="60"/>
      <c r="CH32" s="60"/>
      <c r="CI32" s="60"/>
      <c r="CJ32" s="60"/>
      <c r="CK32" s="60"/>
      <c r="CL32" s="60"/>
      <c r="CM32" s="60"/>
      <c r="CN32" s="68"/>
      <c r="CO32" s="67">
        <v>80</v>
      </c>
      <c r="CP32" s="60">
        <v>80.25</v>
      </c>
      <c r="CQ32" s="60"/>
      <c r="CR32" s="60"/>
      <c r="CS32" s="68"/>
      <c r="CT32" s="69"/>
      <c r="CU32" s="69"/>
      <c r="CV32" s="69"/>
      <c r="CW32" s="69"/>
      <c r="CX32" s="70"/>
    </row>
    <row r="33" spans="1:102" ht="15.75" customHeight="1">
      <c r="A33" s="58"/>
      <c r="E33" s="59">
        <v>16</v>
      </c>
      <c r="F33" s="60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52">
        <v>5</v>
      </c>
      <c r="I33" s="50">
        <v>5</v>
      </c>
      <c r="J33" s="50">
        <v>3</v>
      </c>
      <c r="K33" s="50">
        <v>5</v>
      </c>
      <c r="L33" s="50">
        <v>5</v>
      </c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5"/>
      <c r="AL33" s="66"/>
      <c r="AM33" s="60"/>
      <c r="AN33" s="60"/>
      <c r="AO33" s="60"/>
      <c r="AP33" s="60"/>
      <c r="AQ33" s="60"/>
      <c r="AR33" s="60"/>
      <c r="AS33" s="60"/>
      <c r="AT33" s="60"/>
      <c r="AU33" s="60"/>
      <c r="AV33" s="60"/>
      <c r="AW33" s="60"/>
      <c r="AX33" s="60"/>
      <c r="AY33" s="60"/>
      <c r="AZ33" s="60"/>
      <c r="BA33" s="60"/>
      <c r="BB33" s="60"/>
      <c r="BC33" s="60"/>
      <c r="BD33" s="60"/>
      <c r="BE33" s="60"/>
      <c r="BF33" s="60"/>
      <c r="BG33" s="60"/>
      <c r="BH33" s="60"/>
      <c r="BI33" s="60"/>
      <c r="BJ33" s="60"/>
      <c r="BK33" s="60"/>
      <c r="BL33" s="60"/>
      <c r="BM33" s="60"/>
      <c r="BN33" s="60"/>
      <c r="BO33" s="60"/>
      <c r="BP33" s="60"/>
      <c r="BQ33" s="60"/>
      <c r="BR33" s="60"/>
      <c r="BS33" s="60"/>
      <c r="BT33" s="65"/>
      <c r="BU33" s="66">
        <v>84</v>
      </c>
      <c r="BV33" s="60">
        <v>92</v>
      </c>
      <c r="BW33" s="50">
        <v>10</v>
      </c>
      <c r="BX33" s="60"/>
      <c r="BY33" s="60"/>
      <c r="BZ33" s="60"/>
      <c r="CA33" s="60"/>
      <c r="CB33" s="60"/>
      <c r="CC33" s="60"/>
      <c r="CD33" s="60"/>
      <c r="CE33" s="60"/>
      <c r="CF33" s="60"/>
      <c r="CG33" s="60"/>
      <c r="CH33" s="60"/>
      <c r="CI33" s="60"/>
      <c r="CJ33" s="60"/>
      <c r="CK33" s="60"/>
      <c r="CL33" s="60"/>
      <c r="CM33" s="60"/>
      <c r="CN33" s="68"/>
      <c r="CO33" s="67">
        <v>80</v>
      </c>
      <c r="CP33" s="60">
        <v>54.5</v>
      </c>
      <c r="CQ33" s="60"/>
      <c r="CR33" s="60"/>
      <c r="CS33" s="68"/>
      <c r="CT33" s="69"/>
      <c r="CU33" s="69"/>
      <c r="CV33" s="69"/>
      <c r="CW33" s="69"/>
      <c r="CX33" s="70"/>
    </row>
    <row r="34" spans="1:102" ht="15.75" customHeight="1">
      <c r="A34" s="58"/>
      <c r="E34" s="59">
        <v>17</v>
      </c>
      <c r="F34" s="60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52">
        <v>5</v>
      </c>
      <c r="I34" s="50">
        <v>5</v>
      </c>
      <c r="J34" s="50">
        <v>3</v>
      </c>
      <c r="K34" s="50">
        <v>5</v>
      </c>
      <c r="L34" s="50">
        <v>5</v>
      </c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5"/>
      <c r="AL34" s="66"/>
      <c r="AM34" s="60"/>
      <c r="AN34" s="60"/>
      <c r="AO34" s="60"/>
      <c r="AP34" s="60"/>
      <c r="AQ34" s="60"/>
      <c r="AR34" s="60"/>
      <c r="AS34" s="60"/>
      <c r="AT34" s="60"/>
      <c r="AU34" s="60"/>
      <c r="AV34" s="60"/>
      <c r="AW34" s="60"/>
      <c r="AX34" s="60"/>
      <c r="AY34" s="60"/>
      <c r="AZ34" s="60"/>
      <c r="BA34" s="60"/>
      <c r="BB34" s="60"/>
      <c r="BC34" s="60"/>
      <c r="BD34" s="60"/>
      <c r="BE34" s="60"/>
      <c r="BF34" s="60"/>
      <c r="BG34" s="60"/>
      <c r="BH34" s="60"/>
      <c r="BI34" s="60"/>
      <c r="BJ34" s="60"/>
      <c r="BK34" s="60"/>
      <c r="BL34" s="60"/>
      <c r="BM34" s="60"/>
      <c r="BN34" s="60"/>
      <c r="BO34" s="60"/>
      <c r="BP34" s="60"/>
      <c r="BQ34" s="60"/>
      <c r="BR34" s="60"/>
      <c r="BS34" s="60"/>
      <c r="BT34" s="65"/>
      <c r="BU34" s="66">
        <v>84</v>
      </c>
      <c r="BV34" s="60">
        <v>92</v>
      </c>
      <c r="BW34" s="50">
        <v>10</v>
      </c>
      <c r="BX34" s="60"/>
      <c r="BY34" s="60"/>
      <c r="BZ34" s="60"/>
      <c r="CA34" s="60"/>
      <c r="CB34" s="60"/>
      <c r="CC34" s="60"/>
      <c r="CD34" s="60"/>
      <c r="CE34" s="60"/>
      <c r="CF34" s="60"/>
      <c r="CG34" s="60"/>
      <c r="CH34" s="60"/>
      <c r="CI34" s="60"/>
      <c r="CJ34" s="60"/>
      <c r="CK34" s="60"/>
      <c r="CL34" s="60"/>
      <c r="CM34" s="60"/>
      <c r="CN34" s="68"/>
      <c r="CO34" s="67">
        <v>80</v>
      </c>
      <c r="CP34" s="60">
        <v>54.5</v>
      </c>
      <c r="CQ34" s="60"/>
      <c r="CR34" s="60"/>
      <c r="CS34" s="68"/>
      <c r="CT34" s="69"/>
      <c r="CU34" s="69"/>
      <c r="CV34" s="69"/>
      <c r="CW34" s="69"/>
      <c r="CX34" s="70"/>
    </row>
    <row r="35" spans="1:102" ht="15.75" customHeight="1">
      <c r="A35" s="58"/>
      <c r="E35" s="59">
        <v>18</v>
      </c>
      <c r="F35" s="60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52">
        <v>5</v>
      </c>
      <c r="I35" s="50">
        <v>5</v>
      </c>
      <c r="J35" s="50">
        <v>3</v>
      </c>
      <c r="K35" s="50">
        <v>5</v>
      </c>
      <c r="L35" s="50">
        <v>5</v>
      </c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5"/>
      <c r="AL35" s="66"/>
      <c r="AM35" s="60"/>
      <c r="AN35" s="60"/>
      <c r="AO35" s="60"/>
      <c r="AP35" s="60"/>
      <c r="AQ35" s="60"/>
      <c r="AR35" s="60"/>
      <c r="AS35" s="60"/>
      <c r="AT35" s="60"/>
      <c r="AU35" s="60"/>
      <c r="AV35" s="60"/>
      <c r="AW35" s="60"/>
      <c r="AX35" s="60"/>
      <c r="AY35" s="60"/>
      <c r="AZ35" s="60"/>
      <c r="BA35" s="60"/>
      <c r="BB35" s="60"/>
      <c r="BC35" s="60"/>
      <c r="BD35" s="60"/>
      <c r="BE35" s="60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60"/>
      <c r="BS35" s="60"/>
      <c r="BT35" s="65"/>
      <c r="BU35" s="66">
        <v>95</v>
      </c>
      <c r="BV35" s="60">
        <v>0</v>
      </c>
      <c r="BW35" s="50">
        <v>10</v>
      </c>
      <c r="BX35" s="60"/>
      <c r="BY35" s="60"/>
      <c r="BZ35" s="60"/>
      <c r="CA35" s="60"/>
      <c r="CB35" s="60"/>
      <c r="CC35" s="60"/>
      <c r="CD35" s="60"/>
      <c r="CE35" s="60"/>
      <c r="CF35" s="60"/>
      <c r="CG35" s="60"/>
      <c r="CH35" s="60"/>
      <c r="CI35" s="60"/>
      <c r="CJ35" s="60"/>
      <c r="CK35" s="60"/>
      <c r="CL35" s="60"/>
      <c r="CM35" s="60"/>
      <c r="CN35" s="68"/>
      <c r="CO35" s="67">
        <v>100</v>
      </c>
      <c r="CP35" s="60">
        <v>91.25</v>
      </c>
      <c r="CQ35" s="60"/>
      <c r="CR35" s="60"/>
      <c r="CS35" s="68"/>
      <c r="CT35" s="69"/>
      <c r="CU35" s="69"/>
      <c r="CV35" s="69"/>
      <c r="CW35" s="69"/>
      <c r="CX35" s="70"/>
    </row>
    <row r="36" spans="1:102" ht="15.75" customHeight="1">
      <c r="A36" s="58"/>
      <c r="E36" s="59">
        <v>19</v>
      </c>
      <c r="F36" s="60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52">
        <v>5</v>
      </c>
      <c r="I36" s="50">
        <v>5</v>
      </c>
      <c r="J36" s="50">
        <v>3</v>
      </c>
      <c r="K36" s="50">
        <v>5</v>
      </c>
      <c r="L36" s="50">
        <v>5</v>
      </c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5"/>
      <c r="AL36" s="66"/>
      <c r="AM36" s="60"/>
      <c r="AN36" s="60"/>
      <c r="AO36" s="60"/>
      <c r="AP36" s="60"/>
      <c r="AQ36" s="60"/>
      <c r="AR36" s="60"/>
      <c r="AS36" s="60"/>
      <c r="AT36" s="60"/>
      <c r="AU36" s="60"/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/>
      <c r="BJ36" s="60"/>
      <c r="BK36" s="60"/>
      <c r="BL36" s="60"/>
      <c r="BM36" s="60"/>
      <c r="BN36" s="60"/>
      <c r="BO36" s="60"/>
      <c r="BP36" s="60"/>
      <c r="BQ36" s="60"/>
      <c r="BR36" s="60"/>
      <c r="BS36" s="60"/>
      <c r="BT36" s="65"/>
      <c r="BU36" s="66">
        <v>74</v>
      </c>
      <c r="BV36" s="60">
        <v>70</v>
      </c>
      <c r="BW36" s="50">
        <v>10</v>
      </c>
      <c r="BX36" s="60"/>
      <c r="BY36" s="60"/>
      <c r="BZ36" s="60"/>
      <c r="CA36" s="60"/>
      <c r="CB36" s="60"/>
      <c r="CC36" s="60"/>
      <c r="CD36" s="60"/>
      <c r="CE36" s="60"/>
      <c r="CF36" s="60"/>
      <c r="CG36" s="60"/>
      <c r="CH36" s="60"/>
      <c r="CI36" s="60"/>
      <c r="CJ36" s="60"/>
      <c r="CK36" s="60"/>
      <c r="CL36" s="60"/>
      <c r="CM36" s="60"/>
      <c r="CN36" s="68"/>
      <c r="CO36" s="67">
        <v>80</v>
      </c>
      <c r="CP36" s="60">
        <v>72</v>
      </c>
      <c r="CQ36" s="60"/>
      <c r="CR36" s="60"/>
      <c r="CS36" s="68"/>
      <c r="CT36" s="69"/>
      <c r="CU36" s="69"/>
      <c r="CV36" s="69"/>
      <c r="CW36" s="69"/>
      <c r="CX36" s="70"/>
    </row>
    <row r="37" spans="1:102" ht="15.75" customHeight="1">
      <c r="A37" s="58"/>
      <c r="E37" s="59">
        <v>20</v>
      </c>
      <c r="F37" s="60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52">
        <v>5</v>
      </c>
      <c r="I37" s="50">
        <v>5</v>
      </c>
      <c r="J37" s="50">
        <v>5</v>
      </c>
      <c r="K37" s="50">
        <v>5</v>
      </c>
      <c r="L37" s="50">
        <v>5</v>
      </c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5"/>
      <c r="AL37" s="66"/>
      <c r="AM37" s="60"/>
      <c r="AN37" s="60"/>
      <c r="AO37" s="60"/>
      <c r="AP37" s="60"/>
      <c r="AQ37" s="60"/>
      <c r="AR37" s="60"/>
      <c r="AS37" s="60"/>
      <c r="AT37" s="60"/>
      <c r="AU37" s="60"/>
      <c r="AV37" s="60"/>
      <c r="AW37" s="60"/>
      <c r="AX37" s="60"/>
      <c r="AY37" s="60"/>
      <c r="AZ37" s="60"/>
      <c r="BA37" s="60"/>
      <c r="BB37" s="60"/>
      <c r="BC37" s="60"/>
      <c r="BD37" s="60"/>
      <c r="BE37" s="60"/>
      <c r="BF37" s="60"/>
      <c r="BG37" s="60"/>
      <c r="BH37" s="60"/>
      <c r="BI37" s="60"/>
      <c r="BJ37" s="60"/>
      <c r="BK37" s="60"/>
      <c r="BL37" s="60"/>
      <c r="BM37" s="60"/>
      <c r="BN37" s="60"/>
      <c r="BO37" s="60"/>
      <c r="BP37" s="60"/>
      <c r="BQ37" s="60"/>
      <c r="BR37" s="60"/>
      <c r="BS37" s="60"/>
      <c r="BT37" s="65"/>
      <c r="BU37" s="66">
        <v>92</v>
      </c>
      <c r="BV37" s="60">
        <v>100</v>
      </c>
      <c r="BW37" s="50">
        <v>10</v>
      </c>
      <c r="BX37" s="60"/>
      <c r="BY37" s="60"/>
      <c r="BZ37" s="60"/>
      <c r="CA37" s="60"/>
      <c r="CB37" s="60"/>
      <c r="CC37" s="60"/>
      <c r="CD37" s="60"/>
      <c r="CE37" s="60"/>
      <c r="CF37" s="60"/>
      <c r="CG37" s="60"/>
      <c r="CH37" s="60"/>
      <c r="CI37" s="60"/>
      <c r="CJ37" s="60"/>
      <c r="CK37" s="60"/>
      <c r="CL37" s="60"/>
      <c r="CM37" s="60"/>
      <c r="CN37" s="68"/>
      <c r="CO37" s="67">
        <v>100</v>
      </c>
      <c r="CP37" s="60">
        <v>72.5</v>
      </c>
      <c r="CQ37" s="60"/>
      <c r="CR37" s="60"/>
      <c r="CS37" s="68"/>
      <c r="CT37" s="69"/>
      <c r="CU37" s="69"/>
      <c r="CV37" s="69"/>
      <c r="CW37" s="69"/>
      <c r="CX37" s="70"/>
    </row>
    <row r="38" spans="1:102" ht="15.75" customHeight="1">
      <c r="A38" s="58"/>
      <c r="E38" s="59">
        <v>21</v>
      </c>
      <c r="F38" s="60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52">
        <v>5</v>
      </c>
      <c r="I38" s="50">
        <v>5</v>
      </c>
      <c r="J38" s="50">
        <v>3</v>
      </c>
      <c r="K38" s="50">
        <v>5</v>
      </c>
      <c r="L38" s="50">
        <v>5</v>
      </c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5"/>
      <c r="AL38" s="66"/>
      <c r="AM38" s="60"/>
      <c r="AN38" s="60"/>
      <c r="AO38" s="60"/>
      <c r="AP38" s="60"/>
      <c r="AQ38" s="60"/>
      <c r="AR38" s="60"/>
      <c r="AS38" s="60"/>
      <c r="AT38" s="60"/>
      <c r="AU38" s="60"/>
      <c r="AV38" s="60"/>
      <c r="AW38" s="60"/>
      <c r="AX38" s="60"/>
      <c r="AY38" s="60"/>
      <c r="AZ38" s="60"/>
      <c r="BA38" s="60"/>
      <c r="BB38" s="60"/>
      <c r="BC38" s="60"/>
      <c r="BD38" s="60"/>
      <c r="BE38" s="60"/>
      <c r="BF38" s="60"/>
      <c r="BG38" s="60"/>
      <c r="BH38" s="60"/>
      <c r="BI38" s="60"/>
      <c r="BJ38" s="60"/>
      <c r="BK38" s="60"/>
      <c r="BL38" s="60"/>
      <c r="BM38" s="60"/>
      <c r="BN38" s="60"/>
      <c r="BO38" s="60"/>
      <c r="BP38" s="60"/>
      <c r="BQ38" s="60"/>
      <c r="BR38" s="60"/>
      <c r="BS38" s="60"/>
      <c r="BT38" s="65"/>
      <c r="BU38" s="67">
        <v>87</v>
      </c>
      <c r="BV38" s="60">
        <v>70</v>
      </c>
      <c r="BW38" s="50">
        <v>10</v>
      </c>
      <c r="BX38" s="60"/>
      <c r="BY38" s="60"/>
      <c r="BZ38" s="60"/>
      <c r="CA38" s="60"/>
      <c r="CB38" s="60"/>
      <c r="CC38" s="60"/>
      <c r="CD38" s="60"/>
      <c r="CE38" s="60"/>
      <c r="CF38" s="60"/>
      <c r="CG38" s="60"/>
      <c r="CH38" s="60"/>
      <c r="CI38" s="60"/>
      <c r="CJ38" s="60"/>
      <c r="CK38" s="60"/>
      <c r="CL38" s="60"/>
      <c r="CM38" s="60"/>
      <c r="CN38" s="68"/>
      <c r="CO38" s="67">
        <v>80</v>
      </c>
      <c r="CP38" s="60">
        <v>80.25</v>
      </c>
      <c r="CQ38" s="60"/>
      <c r="CR38" s="60"/>
      <c r="CS38" s="68"/>
      <c r="CT38" s="69"/>
      <c r="CU38" s="69"/>
      <c r="CV38" s="69"/>
      <c r="CW38" s="69"/>
      <c r="CX38" s="70"/>
    </row>
    <row r="39" spans="1:102" ht="15.75" customHeight="1">
      <c r="A39" s="58"/>
      <c r="E39" s="59">
        <v>22</v>
      </c>
      <c r="F39" s="60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52">
        <v>5</v>
      </c>
      <c r="I39" s="50">
        <v>5</v>
      </c>
      <c r="J39" s="50">
        <v>3</v>
      </c>
      <c r="K39" s="50">
        <v>5</v>
      </c>
      <c r="L39" s="50">
        <v>5</v>
      </c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5"/>
      <c r="AL39" s="66"/>
      <c r="AM39" s="60"/>
      <c r="AN39" s="60"/>
      <c r="AO39" s="60"/>
      <c r="AP39" s="60"/>
      <c r="AQ39" s="60"/>
      <c r="AR39" s="60"/>
      <c r="AS39" s="60"/>
      <c r="AT39" s="60"/>
      <c r="AU39" s="60"/>
      <c r="AV39" s="60"/>
      <c r="AW39" s="60"/>
      <c r="AX39" s="60"/>
      <c r="AY39" s="60"/>
      <c r="AZ39" s="60"/>
      <c r="BA39" s="60"/>
      <c r="BB39" s="60"/>
      <c r="BC39" s="60"/>
      <c r="BD39" s="60"/>
      <c r="BE39" s="60"/>
      <c r="BF39" s="60"/>
      <c r="BG39" s="60"/>
      <c r="BH39" s="60"/>
      <c r="BI39" s="60"/>
      <c r="BJ39" s="60"/>
      <c r="BK39" s="60"/>
      <c r="BL39" s="60"/>
      <c r="BM39" s="60"/>
      <c r="BN39" s="60"/>
      <c r="BO39" s="60"/>
      <c r="BP39" s="60"/>
      <c r="BQ39" s="60"/>
      <c r="BR39" s="60"/>
      <c r="BS39" s="60"/>
      <c r="BT39" s="65"/>
      <c r="BU39" s="67">
        <v>87</v>
      </c>
      <c r="BV39" s="60">
        <v>70</v>
      </c>
      <c r="BW39" s="50">
        <v>10</v>
      </c>
      <c r="BX39" s="60"/>
      <c r="BY39" s="60"/>
      <c r="BZ39" s="60"/>
      <c r="CA39" s="60"/>
      <c r="CB39" s="60"/>
      <c r="CC39" s="60"/>
      <c r="CD39" s="60"/>
      <c r="CE39" s="60"/>
      <c r="CF39" s="60"/>
      <c r="CG39" s="60"/>
      <c r="CH39" s="60"/>
      <c r="CI39" s="60"/>
      <c r="CJ39" s="60"/>
      <c r="CK39" s="60"/>
      <c r="CL39" s="60"/>
      <c r="CM39" s="60"/>
      <c r="CN39" s="68"/>
      <c r="CO39" s="67">
        <v>80</v>
      </c>
      <c r="CP39" s="60">
        <v>80.25</v>
      </c>
      <c r="CQ39" s="60"/>
      <c r="CR39" s="60"/>
      <c r="CS39" s="68"/>
      <c r="CT39" s="69"/>
      <c r="CU39" s="69"/>
      <c r="CV39" s="69"/>
      <c r="CW39" s="69"/>
      <c r="CX39" s="70"/>
    </row>
    <row r="40" spans="1:102" ht="15.75" customHeight="1">
      <c r="A40" s="58"/>
      <c r="E40" s="59">
        <v>23</v>
      </c>
      <c r="F40" s="60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52">
        <v>5</v>
      </c>
      <c r="I40" s="50">
        <v>5</v>
      </c>
      <c r="J40" s="50">
        <v>5</v>
      </c>
      <c r="K40" s="50">
        <v>5</v>
      </c>
      <c r="L40" s="50">
        <v>5</v>
      </c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5"/>
      <c r="AL40" s="66"/>
      <c r="AM40" s="60"/>
      <c r="AN40" s="60"/>
      <c r="AO40" s="60"/>
      <c r="AP40" s="60"/>
      <c r="AQ40" s="60"/>
      <c r="AR40" s="60"/>
      <c r="AS40" s="60"/>
      <c r="AT40" s="60"/>
      <c r="AU40" s="60"/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/>
      <c r="BJ40" s="60"/>
      <c r="BK40" s="60"/>
      <c r="BL40" s="60"/>
      <c r="BM40" s="60"/>
      <c r="BN40" s="60"/>
      <c r="BO40" s="60"/>
      <c r="BP40" s="60"/>
      <c r="BQ40" s="60"/>
      <c r="BR40" s="60"/>
      <c r="BS40" s="60"/>
      <c r="BT40" s="65"/>
      <c r="BU40" s="67">
        <v>92</v>
      </c>
      <c r="BV40" s="60">
        <v>100</v>
      </c>
      <c r="BW40" s="50">
        <v>10</v>
      </c>
      <c r="BX40" s="60"/>
      <c r="BY40" s="60"/>
      <c r="BZ40" s="60"/>
      <c r="CA40" s="60"/>
      <c r="CB40" s="60"/>
      <c r="CC40" s="60"/>
      <c r="CD40" s="60"/>
      <c r="CE40" s="60"/>
      <c r="CF40" s="60"/>
      <c r="CG40" s="60"/>
      <c r="CH40" s="60"/>
      <c r="CI40" s="60"/>
      <c r="CJ40" s="60"/>
      <c r="CK40" s="60"/>
      <c r="CL40" s="60"/>
      <c r="CM40" s="60"/>
      <c r="CN40" s="68"/>
      <c r="CO40" s="67">
        <v>100</v>
      </c>
      <c r="CP40" s="60">
        <v>72.5</v>
      </c>
      <c r="CQ40" s="60"/>
      <c r="CR40" s="60"/>
      <c r="CS40" s="68"/>
      <c r="CT40" s="69"/>
      <c r="CU40" s="69"/>
      <c r="CV40" s="69"/>
      <c r="CW40" s="69"/>
      <c r="CX40" s="70"/>
    </row>
    <row r="41" spans="1:102" ht="15.75" customHeight="1">
      <c r="A41" s="58"/>
      <c r="E41" s="59">
        <v>24</v>
      </c>
      <c r="F41" s="60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66"/>
      <c r="I41" s="60"/>
      <c r="J41" s="5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5"/>
      <c r="AL41" s="66"/>
      <c r="AM41" s="60"/>
      <c r="AN41" s="60"/>
      <c r="AO41" s="60"/>
      <c r="AP41" s="60"/>
      <c r="AQ41" s="60"/>
      <c r="AR41" s="60"/>
      <c r="AS41" s="60"/>
      <c r="AT41" s="60"/>
      <c r="AU41" s="60"/>
      <c r="AV41" s="60"/>
      <c r="AW41" s="60"/>
      <c r="AX41" s="60"/>
      <c r="AY41" s="60"/>
      <c r="AZ41" s="60"/>
      <c r="BA41" s="60"/>
      <c r="BB41" s="60"/>
      <c r="BC41" s="60"/>
      <c r="BD41" s="60"/>
      <c r="BE41" s="60"/>
      <c r="BF41" s="60"/>
      <c r="BG41" s="60"/>
      <c r="BH41" s="60"/>
      <c r="BI41" s="60"/>
      <c r="BJ41" s="60"/>
      <c r="BK41" s="60"/>
      <c r="BL41" s="60"/>
      <c r="BM41" s="60"/>
      <c r="BN41" s="60"/>
      <c r="BO41" s="60"/>
      <c r="BP41" s="60"/>
      <c r="BQ41" s="60"/>
      <c r="BR41" s="60"/>
      <c r="BS41" s="60"/>
      <c r="BT41" s="65"/>
      <c r="BU41" s="67"/>
      <c r="BV41" s="60"/>
      <c r="BW41" s="60"/>
      <c r="BX41" s="60"/>
      <c r="BY41" s="60"/>
      <c r="BZ41" s="60"/>
      <c r="CA41" s="60"/>
      <c r="CB41" s="60"/>
      <c r="CC41" s="60"/>
      <c r="CD41" s="60"/>
      <c r="CE41" s="60"/>
      <c r="CF41" s="60"/>
      <c r="CG41" s="60"/>
      <c r="CH41" s="60"/>
      <c r="CI41" s="60"/>
      <c r="CJ41" s="60"/>
      <c r="CK41" s="60"/>
      <c r="CL41" s="60"/>
      <c r="CM41" s="60"/>
      <c r="CN41" s="68"/>
      <c r="CO41" s="67"/>
      <c r="CP41" s="60"/>
      <c r="CQ41" s="60"/>
      <c r="CR41" s="60"/>
      <c r="CS41" s="68"/>
      <c r="CT41" s="69"/>
      <c r="CU41" s="69"/>
      <c r="CV41" s="69"/>
      <c r="CW41" s="69"/>
      <c r="CX41" s="70"/>
    </row>
    <row r="42" spans="1:102" ht="15.75" customHeight="1">
      <c r="A42" s="58"/>
      <c r="E42" s="59">
        <v>25</v>
      </c>
      <c r="F42" s="60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66"/>
      <c r="I42" s="60"/>
      <c r="J42" s="5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5"/>
      <c r="AL42" s="66"/>
      <c r="AM42" s="60"/>
      <c r="AN42" s="60"/>
      <c r="AO42" s="60"/>
      <c r="AP42" s="60"/>
      <c r="AQ42" s="60"/>
      <c r="AR42" s="60"/>
      <c r="AS42" s="60"/>
      <c r="AT42" s="60"/>
      <c r="AU42" s="60"/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/>
      <c r="BJ42" s="60"/>
      <c r="BK42" s="60"/>
      <c r="BL42" s="60"/>
      <c r="BM42" s="60"/>
      <c r="BN42" s="60"/>
      <c r="BO42" s="60"/>
      <c r="BP42" s="60"/>
      <c r="BQ42" s="60"/>
      <c r="BR42" s="60"/>
      <c r="BS42" s="60"/>
      <c r="BT42" s="65"/>
      <c r="BU42" s="67"/>
      <c r="BV42" s="60"/>
      <c r="BW42" s="60"/>
      <c r="BX42" s="60"/>
      <c r="BY42" s="60"/>
      <c r="BZ42" s="60"/>
      <c r="CA42" s="60"/>
      <c r="CB42" s="60"/>
      <c r="CC42" s="60"/>
      <c r="CD42" s="60"/>
      <c r="CE42" s="60"/>
      <c r="CF42" s="60"/>
      <c r="CG42" s="60"/>
      <c r="CH42" s="60"/>
      <c r="CI42" s="60"/>
      <c r="CJ42" s="60"/>
      <c r="CK42" s="60"/>
      <c r="CL42" s="60"/>
      <c r="CM42" s="60"/>
      <c r="CN42" s="68"/>
      <c r="CO42" s="67"/>
      <c r="CP42" s="60"/>
      <c r="CQ42" s="60"/>
      <c r="CR42" s="60"/>
      <c r="CS42" s="68"/>
      <c r="CT42" s="69"/>
      <c r="CU42" s="69"/>
      <c r="CV42" s="69"/>
      <c r="CW42" s="69"/>
      <c r="CX42" s="70"/>
    </row>
    <row r="43" spans="1:102" ht="15.75" customHeight="1">
      <c r="A43" s="58"/>
      <c r="E43" s="59">
        <v>26</v>
      </c>
      <c r="F43" s="60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62"/>
      <c r="I43" s="60"/>
      <c r="J43" s="5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5"/>
      <c r="AL43" s="66"/>
      <c r="AM43" s="60"/>
      <c r="AN43" s="60"/>
      <c r="AO43" s="60"/>
      <c r="AP43" s="60"/>
      <c r="AQ43" s="60"/>
      <c r="AR43" s="60"/>
      <c r="AS43" s="60"/>
      <c r="AT43" s="60"/>
      <c r="AU43" s="60"/>
      <c r="AV43" s="60"/>
      <c r="AW43" s="60"/>
      <c r="AX43" s="60"/>
      <c r="AY43" s="60"/>
      <c r="AZ43" s="60"/>
      <c r="BA43" s="60"/>
      <c r="BB43" s="60"/>
      <c r="BC43" s="60"/>
      <c r="BD43" s="60"/>
      <c r="BE43" s="60"/>
      <c r="BF43" s="60"/>
      <c r="BG43" s="60"/>
      <c r="BH43" s="60"/>
      <c r="BI43" s="60"/>
      <c r="BJ43" s="60"/>
      <c r="BK43" s="60"/>
      <c r="BL43" s="60"/>
      <c r="BM43" s="60"/>
      <c r="BN43" s="60"/>
      <c r="BO43" s="60"/>
      <c r="BP43" s="60"/>
      <c r="BQ43" s="60"/>
      <c r="BR43" s="60"/>
      <c r="BS43" s="60"/>
      <c r="BT43" s="65"/>
      <c r="BU43" s="67"/>
      <c r="BV43" s="60"/>
      <c r="BW43" s="60"/>
      <c r="BX43" s="60"/>
      <c r="BY43" s="60"/>
      <c r="BZ43" s="60"/>
      <c r="CA43" s="60"/>
      <c r="CB43" s="60"/>
      <c r="CC43" s="60"/>
      <c r="CD43" s="60"/>
      <c r="CE43" s="60"/>
      <c r="CF43" s="60"/>
      <c r="CG43" s="60"/>
      <c r="CH43" s="60"/>
      <c r="CI43" s="60"/>
      <c r="CJ43" s="60"/>
      <c r="CK43" s="60"/>
      <c r="CL43" s="60"/>
      <c r="CM43" s="60"/>
      <c r="CN43" s="68"/>
      <c r="CO43" s="67"/>
      <c r="CP43" s="60"/>
      <c r="CQ43" s="60"/>
      <c r="CR43" s="60"/>
      <c r="CS43" s="68"/>
      <c r="CT43" s="69"/>
      <c r="CU43" s="69"/>
      <c r="CV43" s="69"/>
      <c r="CW43" s="69"/>
      <c r="CX43" s="70"/>
    </row>
    <row r="44" spans="1:102" ht="15.75" customHeight="1">
      <c r="A44" s="58"/>
      <c r="E44" s="59">
        <v>27</v>
      </c>
      <c r="F44" s="60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66"/>
      <c r="I44" s="60"/>
      <c r="J44" s="5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5"/>
      <c r="AL44" s="66"/>
      <c r="AM44" s="60"/>
      <c r="AN44" s="60"/>
      <c r="AO44" s="60"/>
      <c r="AP44" s="60"/>
      <c r="AQ44" s="60"/>
      <c r="AR44" s="60"/>
      <c r="AS44" s="60"/>
      <c r="AT44" s="60"/>
      <c r="AU44" s="60"/>
      <c r="AV44" s="60"/>
      <c r="AW44" s="60"/>
      <c r="AX44" s="60"/>
      <c r="AY44" s="60"/>
      <c r="AZ44" s="60"/>
      <c r="BA44" s="60"/>
      <c r="BB44" s="60"/>
      <c r="BC44" s="60"/>
      <c r="BD44" s="60"/>
      <c r="BE44" s="60"/>
      <c r="BF44" s="60"/>
      <c r="BG44" s="60"/>
      <c r="BH44" s="60"/>
      <c r="BI44" s="60"/>
      <c r="BJ44" s="60"/>
      <c r="BK44" s="60"/>
      <c r="BL44" s="60"/>
      <c r="BM44" s="60"/>
      <c r="BN44" s="60"/>
      <c r="BO44" s="60"/>
      <c r="BP44" s="60"/>
      <c r="BQ44" s="60"/>
      <c r="BR44" s="60"/>
      <c r="BS44" s="60"/>
      <c r="BT44" s="65"/>
      <c r="BU44" s="66"/>
      <c r="BV44" s="60"/>
      <c r="BW44" s="60"/>
      <c r="BX44" s="60"/>
      <c r="BY44" s="60"/>
      <c r="BZ44" s="60"/>
      <c r="CA44" s="60"/>
      <c r="CB44" s="60"/>
      <c r="CC44" s="60"/>
      <c r="CD44" s="60"/>
      <c r="CE44" s="60"/>
      <c r="CF44" s="60"/>
      <c r="CG44" s="60"/>
      <c r="CH44" s="60"/>
      <c r="CI44" s="60"/>
      <c r="CJ44" s="60"/>
      <c r="CK44" s="60"/>
      <c r="CL44" s="60"/>
      <c r="CM44" s="60"/>
      <c r="CN44" s="68"/>
      <c r="CO44" s="67"/>
      <c r="CP44" s="60"/>
      <c r="CQ44" s="60"/>
      <c r="CR44" s="60"/>
      <c r="CS44" s="68"/>
      <c r="CT44" s="69"/>
      <c r="CU44" s="69"/>
      <c r="CV44" s="69"/>
      <c r="CW44" s="69"/>
      <c r="CX44" s="70"/>
    </row>
    <row r="45" spans="1:102" ht="15.75" customHeight="1">
      <c r="A45" s="58"/>
      <c r="E45" s="59">
        <v>28</v>
      </c>
      <c r="F45" s="60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66"/>
      <c r="I45" s="60"/>
      <c r="J45" s="5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5"/>
      <c r="AL45" s="66"/>
      <c r="AM45" s="60"/>
      <c r="AN45" s="60"/>
      <c r="AO45" s="60"/>
      <c r="AP45" s="60"/>
      <c r="AQ45" s="60"/>
      <c r="AR45" s="60"/>
      <c r="AS45" s="60"/>
      <c r="AT45" s="60"/>
      <c r="AU45" s="60"/>
      <c r="AV45" s="60"/>
      <c r="AW45" s="60"/>
      <c r="AX45" s="60"/>
      <c r="AY45" s="60"/>
      <c r="AZ45" s="60"/>
      <c r="BA45" s="60"/>
      <c r="BB45" s="60"/>
      <c r="BC45" s="60"/>
      <c r="BD45" s="60"/>
      <c r="BE45" s="60"/>
      <c r="BF45" s="60"/>
      <c r="BG45" s="60"/>
      <c r="BH45" s="60"/>
      <c r="BI45" s="60"/>
      <c r="BJ45" s="60"/>
      <c r="BK45" s="60"/>
      <c r="BL45" s="60"/>
      <c r="BM45" s="60"/>
      <c r="BN45" s="60"/>
      <c r="BO45" s="60"/>
      <c r="BP45" s="60"/>
      <c r="BQ45" s="60"/>
      <c r="BR45" s="60"/>
      <c r="BS45" s="60"/>
      <c r="BT45" s="65"/>
      <c r="BU45" s="66"/>
      <c r="BV45" s="60"/>
      <c r="BW45" s="60"/>
      <c r="BX45" s="60"/>
      <c r="BY45" s="60"/>
      <c r="BZ45" s="60"/>
      <c r="CA45" s="60"/>
      <c r="CB45" s="60"/>
      <c r="CC45" s="60"/>
      <c r="CD45" s="60"/>
      <c r="CE45" s="60"/>
      <c r="CF45" s="60"/>
      <c r="CG45" s="60"/>
      <c r="CH45" s="60"/>
      <c r="CI45" s="60"/>
      <c r="CJ45" s="60"/>
      <c r="CK45" s="60"/>
      <c r="CL45" s="60"/>
      <c r="CM45" s="60"/>
      <c r="CN45" s="68"/>
      <c r="CO45" s="67"/>
      <c r="CP45" s="60"/>
      <c r="CQ45" s="60"/>
      <c r="CR45" s="60"/>
      <c r="CS45" s="68"/>
      <c r="CT45" s="69"/>
      <c r="CU45" s="69"/>
      <c r="CV45" s="69"/>
      <c r="CW45" s="69"/>
      <c r="CX45" s="70"/>
    </row>
    <row r="46" spans="1:102" ht="15.75" customHeight="1">
      <c r="A46" s="58"/>
      <c r="E46" s="59">
        <v>29</v>
      </c>
      <c r="F46" s="60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62"/>
      <c r="I46" s="60"/>
      <c r="J46" s="5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5"/>
      <c r="AL46" s="66"/>
      <c r="AM46" s="60"/>
      <c r="AN46" s="60"/>
      <c r="AO46" s="60"/>
      <c r="AP46" s="60"/>
      <c r="AQ46" s="60"/>
      <c r="AR46" s="60"/>
      <c r="AS46" s="60"/>
      <c r="AT46" s="60"/>
      <c r="AU46" s="60"/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/>
      <c r="BJ46" s="60"/>
      <c r="BK46" s="60"/>
      <c r="BL46" s="60"/>
      <c r="BM46" s="60"/>
      <c r="BN46" s="60"/>
      <c r="BO46" s="60"/>
      <c r="BP46" s="60"/>
      <c r="BQ46" s="60"/>
      <c r="BR46" s="60"/>
      <c r="BS46" s="60"/>
      <c r="BT46" s="65"/>
      <c r="BU46" s="67"/>
      <c r="BV46" s="60"/>
      <c r="BW46" s="60"/>
      <c r="BX46" s="60"/>
      <c r="BY46" s="60"/>
      <c r="BZ46" s="60"/>
      <c r="CA46" s="60"/>
      <c r="CB46" s="60"/>
      <c r="CC46" s="60"/>
      <c r="CD46" s="60"/>
      <c r="CE46" s="60"/>
      <c r="CF46" s="60"/>
      <c r="CG46" s="60"/>
      <c r="CH46" s="60"/>
      <c r="CI46" s="60"/>
      <c r="CJ46" s="60"/>
      <c r="CK46" s="60"/>
      <c r="CL46" s="60"/>
      <c r="CM46" s="60"/>
      <c r="CN46" s="68"/>
      <c r="CO46" s="67"/>
      <c r="CP46" s="60"/>
      <c r="CQ46" s="60"/>
      <c r="CR46" s="60"/>
      <c r="CS46" s="68"/>
      <c r="CT46" s="69"/>
      <c r="CU46" s="69"/>
      <c r="CV46" s="69"/>
      <c r="CW46" s="69"/>
      <c r="CX46" s="70"/>
    </row>
    <row r="47" spans="1:102" ht="15.75" customHeight="1">
      <c r="A47" s="58"/>
      <c r="E47" s="59">
        <v>30</v>
      </c>
      <c r="F47" s="60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66"/>
      <c r="I47" s="60"/>
      <c r="J47" s="50"/>
      <c r="K47" s="60"/>
      <c r="L47" s="60"/>
      <c r="M47" s="60"/>
      <c r="N47" s="60"/>
      <c r="O47" s="2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5"/>
      <c r="AL47" s="66"/>
      <c r="AM47" s="60"/>
      <c r="AN47" s="60"/>
      <c r="AO47" s="60"/>
      <c r="AP47" s="60"/>
      <c r="AQ47" s="60"/>
      <c r="AR47" s="60"/>
      <c r="AS47" s="60"/>
      <c r="AT47" s="60"/>
      <c r="AU47" s="60"/>
      <c r="AV47" s="60"/>
      <c r="AW47" s="60"/>
      <c r="AX47" s="60"/>
      <c r="AY47" s="60"/>
      <c r="AZ47" s="60"/>
      <c r="BA47" s="60"/>
      <c r="BB47" s="60"/>
      <c r="BC47" s="60"/>
      <c r="BD47" s="60"/>
      <c r="BE47" s="60"/>
      <c r="BF47" s="60"/>
      <c r="BG47" s="60"/>
      <c r="BH47" s="60"/>
      <c r="BI47" s="60"/>
      <c r="BJ47" s="60"/>
      <c r="BK47" s="60"/>
      <c r="BL47" s="60"/>
      <c r="BM47" s="60"/>
      <c r="BN47" s="60"/>
      <c r="BO47" s="60"/>
      <c r="BP47" s="60"/>
      <c r="BQ47" s="60"/>
      <c r="BR47" s="60"/>
      <c r="BS47" s="60"/>
      <c r="BT47" s="65"/>
      <c r="BU47" s="67"/>
      <c r="BV47" s="60"/>
      <c r="BW47" s="60"/>
      <c r="BX47" s="60"/>
      <c r="BY47" s="60"/>
      <c r="BZ47" s="60"/>
      <c r="CA47" s="60"/>
      <c r="CB47" s="60"/>
      <c r="CC47" s="60"/>
      <c r="CD47" s="60"/>
      <c r="CE47" s="60"/>
      <c r="CF47" s="60"/>
      <c r="CG47" s="60"/>
      <c r="CH47" s="60"/>
      <c r="CI47" s="60"/>
      <c r="CJ47" s="60"/>
      <c r="CK47" s="60"/>
      <c r="CL47" s="60"/>
      <c r="CM47" s="60"/>
      <c r="CN47" s="68"/>
      <c r="CO47" s="67"/>
      <c r="CP47" s="60"/>
      <c r="CQ47" s="60"/>
      <c r="CR47" s="60"/>
      <c r="CS47" s="68"/>
      <c r="CT47" s="69"/>
      <c r="CU47" s="69"/>
      <c r="CV47" s="69"/>
      <c r="CW47" s="69"/>
      <c r="CX47" s="70"/>
    </row>
    <row r="48" spans="1:102" ht="15.75" hidden="1" customHeight="1">
      <c r="A48" s="58"/>
      <c r="E48" s="59">
        <v>31</v>
      </c>
      <c r="F48" s="60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67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5"/>
      <c r="AL48" s="66"/>
      <c r="AM48" s="60"/>
      <c r="AN48" s="60"/>
      <c r="AO48" s="60"/>
      <c r="AP48" s="60"/>
      <c r="AQ48" s="60"/>
      <c r="AR48" s="60"/>
      <c r="AS48" s="60"/>
      <c r="AT48" s="60"/>
      <c r="AU48" s="60"/>
      <c r="AV48" s="60"/>
      <c r="AW48" s="60"/>
      <c r="AX48" s="60"/>
      <c r="AY48" s="60"/>
      <c r="AZ48" s="60"/>
      <c r="BA48" s="60"/>
      <c r="BB48" s="60"/>
      <c r="BC48" s="60"/>
      <c r="BD48" s="60"/>
      <c r="BE48" s="60"/>
      <c r="BF48" s="60"/>
      <c r="BG48" s="60"/>
      <c r="BH48" s="60"/>
      <c r="BI48" s="60"/>
      <c r="BJ48" s="60"/>
      <c r="BK48" s="60"/>
      <c r="BL48" s="60"/>
      <c r="BM48" s="60"/>
      <c r="BN48" s="60"/>
      <c r="BO48" s="60"/>
      <c r="BP48" s="60"/>
      <c r="BQ48" s="60"/>
      <c r="BR48" s="60"/>
      <c r="BS48" s="60"/>
      <c r="BT48" s="65"/>
      <c r="BU48" s="67"/>
      <c r="BV48" s="60"/>
      <c r="BW48" s="60"/>
      <c r="BX48" s="60"/>
      <c r="BY48" s="60"/>
      <c r="BZ48" s="60"/>
      <c r="CA48" s="60"/>
      <c r="CB48" s="60"/>
      <c r="CC48" s="60"/>
      <c r="CD48" s="60"/>
      <c r="CE48" s="60"/>
      <c r="CF48" s="60"/>
      <c r="CG48" s="60"/>
      <c r="CH48" s="60"/>
      <c r="CI48" s="60"/>
      <c r="CJ48" s="60"/>
      <c r="CK48" s="60"/>
      <c r="CL48" s="60"/>
      <c r="CM48" s="60"/>
      <c r="CN48" s="68"/>
      <c r="CO48" s="67"/>
      <c r="CP48" s="60"/>
      <c r="CQ48" s="60"/>
      <c r="CR48" s="60"/>
      <c r="CS48" s="68"/>
      <c r="CT48" s="69"/>
      <c r="CU48" s="69"/>
      <c r="CV48" s="69"/>
      <c r="CW48" s="69"/>
      <c r="CX48" s="70"/>
    </row>
    <row r="49" spans="1:102" ht="15.75" hidden="1" customHeight="1">
      <c r="A49" s="58"/>
      <c r="E49" s="59">
        <v>32</v>
      </c>
      <c r="F49" s="60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67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5"/>
      <c r="AL49" s="66"/>
      <c r="AM49" s="60"/>
      <c r="AN49" s="60"/>
      <c r="AO49" s="60"/>
      <c r="AP49" s="60"/>
      <c r="AQ49" s="60"/>
      <c r="AR49" s="60"/>
      <c r="AS49" s="60"/>
      <c r="AT49" s="60"/>
      <c r="AU49" s="60"/>
      <c r="AV49" s="60"/>
      <c r="AW49" s="60"/>
      <c r="AX49" s="60"/>
      <c r="AY49" s="60"/>
      <c r="AZ49" s="60"/>
      <c r="BA49" s="60"/>
      <c r="BB49" s="60"/>
      <c r="BC49" s="60"/>
      <c r="BD49" s="60"/>
      <c r="BE49" s="60"/>
      <c r="BF49" s="60"/>
      <c r="BG49" s="60"/>
      <c r="BH49" s="60"/>
      <c r="BI49" s="60"/>
      <c r="BJ49" s="60"/>
      <c r="BK49" s="60"/>
      <c r="BL49" s="60"/>
      <c r="BM49" s="60"/>
      <c r="BN49" s="60"/>
      <c r="BO49" s="60"/>
      <c r="BP49" s="60"/>
      <c r="BQ49" s="60"/>
      <c r="BR49" s="60"/>
      <c r="BS49" s="60"/>
      <c r="BT49" s="65"/>
      <c r="BU49" s="67"/>
      <c r="BV49" s="60"/>
      <c r="BW49" s="60"/>
      <c r="BX49" s="60"/>
      <c r="BY49" s="60"/>
      <c r="BZ49" s="60"/>
      <c r="CA49" s="60"/>
      <c r="CB49" s="60"/>
      <c r="CC49" s="60"/>
      <c r="CD49" s="60"/>
      <c r="CE49" s="60"/>
      <c r="CF49" s="60"/>
      <c r="CG49" s="60"/>
      <c r="CH49" s="60"/>
      <c r="CI49" s="60"/>
      <c r="CJ49" s="60"/>
      <c r="CK49" s="60"/>
      <c r="CL49" s="60"/>
      <c r="CM49" s="60"/>
      <c r="CN49" s="68"/>
      <c r="CO49" s="67"/>
      <c r="CP49" s="60"/>
      <c r="CQ49" s="60"/>
      <c r="CR49" s="60"/>
      <c r="CS49" s="68"/>
      <c r="CT49" s="69"/>
      <c r="CU49" s="69"/>
      <c r="CV49" s="69"/>
      <c r="CW49" s="69"/>
      <c r="CX49" s="70"/>
    </row>
    <row r="50" spans="1:102" ht="15.75" hidden="1" customHeight="1">
      <c r="A50" s="58"/>
      <c r="E50" s="59">
        <v>33</v>
      </c>
      <c r="F50" s="60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67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5"/>
      <c r="AL50" s="66"/>
      <c r="AM50" s="60"/>
      <c r="AN50" s="60"/>
      <c r="AO50" s="60"/>
      <c r="AP50" s="60"/>
      <c r="AQ50" s="60"/>
      <c r="AR50" s="60"/>
      <c r="AS50" s="60"/>
      <c r="AT50" s="60"/>
      <c r="AU50" s="60"/>
      <c r="AV50" s="60"/>
      <c r="AW50" s="60"/>
      <c r="AX50" s="60"/>
      <c r="AY50" s="60"/>
      <c r="AZ50" s="60"/>
      <c r="BA50" s="60"/>
      <c r="BB50" s="60"/>
      <c r="BC50" s="60"/>
      <c r="BD50" s="60"/>
      <c r="BE50" s="60"/>
      <c r="BF50" s="60"/>
      <c r="BG50" s="60"/>
      <c r="BH50" s="60"/>
      <c r="BI50" s="60"/>
      <c r="BJ50" s="60"/>
      <c r="BK50" s="60"/>
      <c r="BL50" s="60"/>
      <c r="BM50" s="60"/>
      <c r="BN50" s="60"/>
      <c r="BO50" s="60"/>
      <c r="BP50" s="60"/>
      <c r="BQ50" s="60"/>
      <c r="BR50" s="60"/>
      <c r="BS50" s="60"/>
      <c r="BT50" s="65"/>
      <c r="BU50" s="67"/>
      <c r="BV50" s="60"/>
      <c r="BW50" s="60"/>
      <c r="BX50" s="60"/>
      <c r="BY50" s="60"/>
      <c r="BZ50" s="60"/>
      <c r="CA50" s="60"/>
      <c r="CB50" s="60"/>
      <c r="CC50" s="60"/>
      <c r="CD50" s="60"/>
      <c r="CE50" s="60"/>
      <c r="CF50" s="60"/>
      <c r="CG50" s="60"/>
      <c r="CH50" s="60"/>
      <c r="CI50" s="60"/>
      <c r="CJ50" s="60"/>
      <c r="CK50" s="60"/>
      <c r="CL50" s="60"/>
      <c r="CM50" s="60"/>
      <c r="CN50" s="68"/>
      <c r="CO50" s="67"/>
      <c r="CP50" s="60"/>
      <c r="CQ50" s="60"/>
      <c r="CR50" s="60"/>
      <c r="CS50" s="68"/>
      <c r="CT50" s="69"/>
      <c r="CU50" s="69"/>
      <c r="CV50" s="69"/>
      <c r="CW50" s="69"/>
      <c r="CX50" s="70"/>
    </row>
    <row r="51" spans="1:102" ht="15.75" hidden="1" customHeight="1">
      <c r="A51" s="58"/>
      <c r="E51" s="59">
        <v>34</v>
      </c>
      <c r="F51" s="60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67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5"/>
      <c r="AL51" s="66"/>
      <c r="AM51" s="60"/>
      <c r="AN51" s="60"/>
      <c r="AO51" s="60"/>
      <c r="AP51" s="60"/>
      <c r="AQ51" s="60"/>
      <c r="AR51" s="60"/>
      <c r="AS51" s="60"/>
      <c r="AT51" s="60"/>
      <c r="AU51" s="60"/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/>
      <c r="BJ51" s="60"/>
      <c r="BK51" s="60"/>
      <c r="BL51" s="60"/>
      <c r="BM51" s="60"/>
      <c r="BN51" s="60"/>
      <c r="BO51" s="60"/>
      <c r="BP51" s="60"/>
      <c r="BQ51" s="60"/>
      <c r="BR51" s="60"/>
      <c r="BS51" s="60"/>
      <c r="BT51" s="65"/>
      <c r="BU51" s="67"/>
      <c r="BV51" s="60"/>
      <c r="BW51" s="60"/>
      <c r="BX51" s="60"/>
      <c r="BY51" s="60"/>
      <c r="BZ51" s="60"/>
      <c r="CA51" s="60"/>
      <c r="CB51" s="60"/>
      <c r="CC51" s="60"/>
      <c r="CD51" s="60"/>
      <c r="CE51" s="60"/>
      <c r="CF51" s="60"/>
      <c r="CG51" s="60"/>
      <c r="CH51" s="60"/>
      <c r="CI51" s="60"/>
      <c r="CJ51" s="60"/>
      <c r="CK51" s="60"/>
      <c r="CL51" s="60"/>
      <c r="CM51" s="60"/>
      <c r="CN51" s="68"/>
      <c r="CO51" s="67"/>
      <c r="CP51" s="60"/>
      <c r="CQ51" s="60"/>
      <c r="CR51" s="60"/>
      <c r="CS51" s="68"/>
      <c r="CT51" s="69"/>
      <c r="CU51" s="69"/>
      <c r="CV51" s="69"/>
      <c r="CW51" s="69"/>
      <c r="CX51" s="70"/>
    </row>
    <row r="52" spans="1:102" ht="15.75" hidden="1" customHeight="1">
      <c r="A52" s="58"/>
      <c r="E52" s="59">
        <v>35</v>
      </c>
      <c r="F52" s="60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67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5"/>
      <c r="AL52" s="66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0"/>
      <c r="AY52" s="60"/>
      <c r="AZ52" s="60"/>
      <c r="BA52" s="60"/>
      <c r="BB52" s="60"/>
      <c r="BC52" s="60"/>
      <c r="BD52" s="60"/>
      <c r="BE52" s="60"/>
      <c r="BF52" s="60"/>
      <c r="BG52" s="60"/>
      <c r="BH52" s="60"/>
      <c r="BI52" s="60"/>
      <c r="BJ52" s="60"/>
      <c r="BK52" s="60"/>
      <c r="BL52" s="60"/>
      <c r="BM52" s="60"/>
      <c r="BN52" s="60"/>
      <c r="BO52" s="60"/>
      <c r="BP52" s="60"/>
      <c r="BQ52" s="60"/>
      <c r="BR52" s="60"/>
      <c r="BS52" s="60"/>
      <c r="BT52" s="65"/>
      <c r="BU52" s="67"/>
      <c r="BV52" s="60"/>
      <c r="BW52" s="60"/>
      <c r="BX52" s="60"/>
      <c r="BY52" s="60"/>
      <c r="BZ52" s="60"/>
      <c r="CA52" s="60"/>
      <c r="CB52" s="60"/>
      <c r="CC52" s="60"/>
      <c r="CD52" s="60"/>
      <c r="CE52" s="60"/>
      <c r="CF52" s="60"/>
      <c r="CG52" s="60"/>
      <c r="CH52" s="60"/>
      <c r="CI52" s="60"/>
      <c r="CJ52" s="60"/>
      <c r="CK52" s="60"/>
      <c r="CL52" s="60"/>
      <c r="CM52" s="60"/>
      <c r="CN52" s="68"/>
      <c r="CO52" s="67"/>
      <c r="CP52" s="60"/>
      <c r="CQ52" s="60"/>
      <c r="CR52" s="60"/>
      <c r="CS52" s="68"/>
      <c r="CT52" s="69"/>
      <c r="CU52" s="69"/>
      <c r="CV52" s="69"/>
      <c r="CW52" s="69"/>
      <c r="CX52" s="70"/>
    </row>
    <row r="53" spans="1:102" ht="15.75" hidden="1" customHeight="1">
      <c r="A53" s="58"/>
      <c r="E53" s="59">
        <v>36</v>
      </c>
      <c r="F53" s="60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67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5"/>
      <c r="AL53" s="66"/>
      <c r="AM53" s="60"/>
      <c r="AN53" s="60"/>
      <c r="AO53" s="60"/>
      <c r="AP53" s="60"/>
      <c r="AQ53" s="60"/>
      <c r="AR53" s="60"/>
      <c r="AS53" s="60"/>
      <c r="AT53" s="60"/>
      <c r="AU53" s="60"/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/>
      <c r="BJ53" s="60"/>
      <c r="BK53" s="60"/>
      <c r="BL53" s="60"/>
      <c r="BM53" s="60"/>
      <c r="BN53" s="60"/>
      <c r="BO53" s="60"/>
      <c r="BP53" s="60"/>
      <c r="BQ53" s="60"/>
      <c r="BR53" s="60"/>
      <c r="BS53" s="60"/>
      <c r="BT53" s="65"/>
      <c r="BU53" s="67"/>
      <c r="BV53" s="60"/>
      <c r="BW53" s="60"/>
      <c r="BX53" s="60"/>
      <c r="BY53" s="60"/>
      <c r="BZ53" s="60"/>
      <c r="CA53" s="60"/>
      <c r="CB53" s="60"/>
      <c r="CC53" s="60"/>
      <c r="CD53" s="60"/>
      <c r="CE53" s="60"/>
      <c r="CF53" s="60"/>
      <c r="CG53" s="60"/>
      <c r="CH53" s="60"/>
      <c r="CI53" s="60"/>
      <c r="CJ53" s="60"/>
      <c r="CK53" s="60"/>
      <c r="CL53" s="60"/>
      <c r="CM53" s="60"/>
      <c r="CN53" s="68"/>
      <c r="CO53" s="67"/>
      <c r="CP53" s="60"/>
      <c r="CQ53" s="60"/>
      <c r="CR53" s="60"/>
      <c r="CS53" s="68"/>
      <c r="CT53" s="69"/>
      <c r="CU53" s="69"/>
      <c r="CV53" s="69"/>
      <c r="CW53" s="69"/>
      <c r="CX53" s="70"/>
    </row>
    <row r="54" spans="1:102" ht="15.75" hidden="1" customHeight="1">
      <c r="A54" s="58"/>
      <c r="E54" s="59">
        <v>37</v>
      </c>
      <c r="F54" s="60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67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5"/>
      <c r="AL54" s="66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0"/>
      <c r="AY54" s="60"/>
      <c r="AZ54" s="60"/>
      <c r="BA54" s="60"/>
      <c r="BB54" s="60"/>
      <c r="BC54" s="60"/>
      <c r="BD54" s="60"/>
      <c r="BE54" s="60"/>
      <c r="BF54" s="60"/>
      <c r="BG54" s="60"/>
      <c r="BH54" s="60"/>
      <c r="BI54" s="60"/>
      <c r="BJ54" s="60"/>
      <c r="BK54" s="60"/>
      <c r="BL54" s="60"/>
      <c r="BM54" s="60"/>
      <c r="BN54" s="60"/>
      <c r="BO54" s="60"/>
      <c r="BP54" s="60"/>
      <c r="BQ54" s="60"/>
      <c r="BR54" s="60"/>
      <c r="BS54" s="60"/>
      <c r="BT54" s="65"/>
      <c r="BU54" s="67"/>
      <c r="BV54" s="60"/>
      <c r="BW54" s="60"/>
      <c r="BX54" s="60"/>
      <c r="BY54" s="60"/>
      <c r="BZ54" s="60"/>
      <c r="CA54" s="60"/>
      <c r="CB54" s="60"/>
      <c r="CC54" s="60"/>
      <c r="CD54" s="60"/>
      <c r="CE54" s="60"/>
      <c r="CF54" s="60"/>
      <c r="CG54" s="60"/>
      <c r="CH54" s="60"/>
      <c r="CI54" s="60"/>
      <c r="CJ54" s="60"/>
      <c r="CK54" s="60"/>
      <c r="CL54" s="60"/>
      <c r="CM54" s="60"/>
      <c r="CN54" s="68"/>
      <c r="CO54" s="67"/>
      <c r="CP54" s="60"/>
      <c r="CQ54" s="60"/>
      <c r="CR54" s="60"/>
      <c r="CS54" s="68"/>
      <c r="CT54" s="69"/>
      <c r="CU54" s="69"/>
      <c r="CV54" s="69"/>
      <c r="CW54" s="69"/>
      <c r="CX54" s="70"/>
    </row>
    <row r="55" spans="1:102" ht="15.75" hidden="1" customHeight="1">
      <c r="A55" s="58"/>
      <c r="E55" s="59">
        <v>38</v>
      </c>
      <c r="F55" s="60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67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5"/>
      <c r="AL55" s="66"/>
      <c r="AM55" s="60"/>
      <c r="AN55" s="60"/>
      <c r="AO55" s="60"/>
      <c r="AP55" s="60"/>
      <c r="AQ55" s="60"/>
      <c r="AR55" s="60"/>
      <c r="AS55" s="60"/>
      <c r="AT55" s="60"/>
      <c r="AU55" s="60"/>
      <c r="AV55" s="60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5"/>
      <c r="BU55" s="67"/>
      <c r="BV55" s="60"/>
      <c r="BW55" s="60"/>
      <c r="BX55" s="60"/>
      <c r="BY55" s="60"/>
      <c r="BZ55" s="60"/>
      <c r="CA55" s="60"/>
      <c r="CB55" s="60"/>
      <c r="CC55" s="60"/>
      <c r="CD55" s="60"/>
      <c r="CE55" s="60"/>
      <c r="CF55" s="60"/>
      <c r="CG55" s="60"/>
      <c r="CH55" s="60"/>
      <c r="CI55" s="60"/>
      <c r="CJ55" s="60"/>
      <c r="CK55" s="60"/>
      <c r="CL55" s="60"/>
      <c r="CM55" s="60"/>
      <c r="CN55" s="68"/>
      <c r="CO55" s="67"/>
      <c r="CP55" s="60"/>
      <c r="CQ55" s="60"/>
      <c r="CR55" s="60"/>
      <c r="CS55" s="68"/>
      <c r="CT55" s="69"/>
      <c r="CU55" s="69"/>
      <c r="CV55" s="69"/>
      <c r="CW55" s="69"/>
      <c r="CX55" s="70"/>
    </row>
    <row r="56" spans="1:102" ht="15.75" hidden="1" customHeight="1">
      <c r="A56" s="58"/>
      <c r="E56" s="59">
        <v>39</v>
      </c>
      <c r="F56" s="60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67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  <c r="AA56" s="60"/>
      <c r="AB56" s="60"/>
      <c r="AC56" s="60"/>
      <c r="AD56" s="60"/>
      <c r="AE56" s="60"/>
      <c r="AF56" s="60"/>
      <c r="AG56" s="60"/>
      <c r="AH56" s="60"/>
      <c r="AI56" s="60"/>
      <c r="AJ56" s="60"/>
      <c r="AK56" s="65"/>
      <c r="AL56" s="66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5"/>
      <c r="BU56" s="67"/>
      <c r="BV56" s="60"/>
      <c r="BW56" s="60"/>
      <c r="BX56" s="60"/>
      <c r="BY56" s="60"/>
      <c r="BZ56" s="60"/>
      <c r="CA56" s="60"/>
      <c r="CB56" s="60"/>
      <c r="CC56" s="60"/>
      <c r="CD56" s="60"/>
      <c r="CE56" s="60"/>
      <c r="CF56" s="60"/>
      <c r="CG56" s="60"/>
      <c r="CH56" s="60"/>
      <c r="CI56" s="60"/>
      <c r="CJ56" s="60"/>
      <c r="CK56" s="60"/>
      <c r="CL56" s="60"/>
      <c r="CM56" s="60"/>
      <c r="CN56" s="68"/>
      <c r="CO56" s="67"/>
      <c r="CP56" s="60"/>
      <c r="CQ56" s="60"/>
      <c r="CR56" s="60"/>
      <c r="CS56" s="68"/>
      <c r="CT56" s="69"/>
      <c r="CU56" s="69"/>
      <c r="CV56" s="69"/>
      <c r="CW56" s="69"/>
      <c r="CX56" s="70"/>
    </row>
    <row r="57" spans="1:102" ht="15.75" hidden="1" customHeight="1">
      <c r="A57" s="58"/>
      <c r="E57" s="59">
        <v>40</v>
      </c>
      <c r="F57" s="60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67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5"/>
      <c r="AL57" s="66"/>
      <c r="AM57" s="60"/>
      <c r="AN57" s="60"/>
      <c r="AO57" s="60"/>
      <c r="AP57" s="60"/>
      <c r="AQ57" s="60"/>
      <c r="AR57" s="60"/>
      <c r="AS57" s="60"/>
      <c r="AT57" s="60"/>
      <c r="AU57" s="60"/>
      <c r="AV57" s="60"/>
      <c r="AW57" s="60"/>
      <c r="AX57" s="60"/>
      <c r="AY57" s="60"/>
      <c r="AZ57" s="60"/>
      <c r="BA57" s="60"/>
      <c r="BB57" s="60"/>
      <c r="BC57" s="60"/>
      <c r="BD57" s="60"/>
      <c r="BE57" s="60"/>
      <c r="BF57" s="60"/>
      <c r="BG57" s="60"/>
      <c r="BH57" s="60"/>
      <c r="BI57" s="60"/>
      <c r="BJ57" s="60"/>
      <c r="BK57" s="60"/>
      <c r="BL57" s="60"/>
      <c r="BM57" s="60"/>
      <c r="BN57" s="60"/>
      <c r="BO57" s="60"/>
      <c r="BP57" s="60"/>
      <c r="BQ57" s="60"/>
      <c r="BR57" s="60"/>
      <c r="BS57" s="60"/>
      <c r="BT57" s="65"/>
      <c r="BU57" s="67"/>
      <c r="BV57" s="60"/>
      <c r="BW57" s="60"/>
      <c r="BX57" s="60"/>
      <c r="BY57" s="60"/>
      <c r="BZ57" s="60"/>
      <c r="CA57" s="60"/>
      <c r="CB57" s="60"/>
      <c r="CC57" s="60"/>
      <c r="CD57" s="60"/>
      <c r="CE57" s="60"/>
      <c r="CF57" s="60"/>
      <c r="CG57" s="60"/>
      <c r="CH57" s="60"/>
      <c r="CI57" s="60"/>
      <c r="CJ57" s="60"/>
      <c r="CK57" s="60"/>
      <c r="CL57" s="60"/>
      <c r="CM57" s="60"/>
      <c r="CN57" s="68"/>
      <c r="CO57" s="67"/>
      <c r="CP57" s="60"/>
      <c r="CQ57" s="60"/>
      <c r="CR57" s="60"/>
      <c r="CS57" s="68"/>
      <c r="CT57" s="69"/>
      <c r="CU57" s="69"/>
      <c r="CV57" s="69"/>
      <c r="CW57" s="69"/>
      <c r="CX57" s="70"/>
    </row>
    <row r="58" spans="1:102" ht="15.75" hidden="1" customHeight="1">
      <c r="A58" s="58"/>
      <c r="E58" s="59">
        <v>41</v>
      </c>
      <c r="F58" s="60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67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5"/>
      <c r="AL58" s="66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/>
      <c r="BJ58" s="60"/>
      <c r="BK58" s="60"/>
      <c r="BL58" s="60"/>
      <c r="BM58" s="60"/>
      <c r="BN58" s="60"/>
      <c r="BO58" s="60"/>
      <c r="BP58" s="60"/>
      <c r="BQ58" s="60"/>
      <c r="BR58" s="60"/>
      <c r="BS58" s="60"/>
      <c r="BT58" s="65"/>
      <c r="BU58" s="67"/>
      <c r="BV58" s="60"/>
      <c r="BW58" s="60"/>
      <c r="BX58" s="60"/>
      <c r="BY58" s="60"/>
      <c r="BZ58" s="60"/>
      <c r="CA58" s="60"/>
      <c r="CB58" s="60"/>
      <c r="CC58" s="60"/>
      <c r="CD58" s="60"/>
      <c r="CE58" s="60"/>
      <c r="CF58" s="60"/>
      <c r="CG58" s="60"/>
      <c r="CH58" s="60"/>
      <c r="CI58" s="60"/>
      <c r="CJ58" s="60"/>
      <c r="CK58" s="60"/>
      <c r="CL58" s="60"/>
      <c r="CM58" s="60"/>
      <c r="CN58" s="68"/>
      <c r="CO58" s="67"/>
      <c r="CP58" s="60"/>
      <c r="CQ58" s="60"/>
      <c r="CR58" s="60"/>
      <c r="CS58" s="68"/>
      <c r="CT58" s="69"/>
      <c r="CU58" s="69"/>
      <c r="CV58" s="69"/>
      <c r="CW58" s="69"/>
      <c r="CX58" s="70"/>
    </row>
    <row r="59" spans="1:102" ht="15.75" hidden="1" customHeight="1">
      <c r="A59" s="58"/>
      <c r="E59" s="59">
        <v>42</v>
      </c>
      <c r="F59" s="60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67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5"/>
      <c r="AL59" s="66"/>
      <c r="AM59" s="60"/>
      <c r="AN59" s="60"/>
      <c r="AO59" s="60"/>
      <c r="AP59" s="60"/>
      <c r="AQ59" s="60"/>
      <c r="AR59" s="60"/>
      <c r="AS59" s="60"/>
      <c r="AT59" s="60"/>
      <c r="AU59" s="60"/>
      <c r="AV59" s="60"/>
      <c r="AW59" s="60"/>
      <c r="AX59" s="60"/>
      <c r="AY59" s="60"/>
      <c r="AZ59" s="60"/>
      <c r="BA59" s="60"/>
      <c r="BB59" s="60"/>
      <c r="BC59" s="60"/>
      <c r="BD59" s="60"/>
      <c r="BE59" s="60"/>
      <c r="BF59" s="60"/>
      <c r="BG59" s="60"/>
      <c r="BH59" s="60"/>
      <c r="BI59" s="60"/>
      <c r="BJ59" s="60"/>
      <c r="BK59" s="60"/>
      <c r="BL59" s="60"/>
      <c r="BM59" s="60"/>
      <c r="BN59" s="60"/>
      <c r="BO59" s="60"/>
      <c r="BP59" s="60"/>
      <c r="BQ59" s="60"/>
      <c r="BR59" s="60"/>
      <c r="BS59" s="60"/>
      <c r="BT59" s="65"/>
      <c r="BU59" s="67"/>
      <c r="BV59" s="60"/>
      <c r="BW59" s="60"/>
      <c r="BX59" s="60"/>
      <c r="BY59" s="60"/>
      <c r="BZ59" s="60"/>
      <c r="CA59" s="60"/>
      <c r="CB59" s="60"/>
      <c r="CC59" s="60"/>
      <c r="CD59" s="60"/>
      <c r="CE59" s="60"/>
      <c r="CF59" s="60"/>
      <c r="CG59" s="60"/>
      <c r="CH59" s="60"/>
      <c r="CI59" s="60"/>
      <c r="CJ59" s="60"/>
      <c r="CK59" s="60"/>
      <c r="CL59" s="60"/>
      <c r="CM59" s="60"/>
      <c r="CN59" s="68"/>
      <c r="CO59" s="67"/>
      <c r="CP59" s="60"/>
      <c r="CQ59" s="60"/>
      <c r="CR59" s="60"/>
      <c r="CS59" s="68"/>
      <c r="CT59" s="69"/>
      <c r="CU59" s="69"/>
      <c r="CV59" s="69"/>
      <c r="CW59" s="69"/>
      <c r="CX59" s="70"/>
    </row>
    <row r="60" spans="1:102" ht="15.75" hidden="1" customHeight="1">
      <c r="A60" s="58"/>
      <c r="E60" s="59">
        <v>43</v>
      </c>
      <c r="F60" s="60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67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5"/>
      <c r="AL60" s="66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/>
      <c r="BJ60" s="60"/>
      <c r="BK60" s="60"/>
      <c r="BL60" s="60"/>
      <c r="BM60" s="60"/>
      <c r="BN60" s="60"/>
      <c r="BO60" s="60"/>
      <c r="BP60" s="60"/>
      <c r="BQ60" s="60"/>
      <c r="BR60" s="60"/>
      <c r="BS60" s="60"/>
      <c r="BT60" s="65"/>
      <c r="BU60" s="67"/>
      <c r="BV60" s="60"/>
      <c r="BW60" s="60"/>
      <c r="BX60" s="60"/>
      <c r="BY60" s="60"/>
      <c r="BZ60" s="60"/>
      <c r="CA60" s="60"/>
      <c r="CB60" s="60"/>
      <c r="CC60" s="60"/>
      <c r="CD60" s="60"/>
      <c r="CE60" s="60"/>
      <c r="CF60" s="60"/>
      <c r="CG60" s="60"/>
      <c r="CH60" s="60"/>
      <c r="CI60" s="60"/>
      <c r="CJ60" s="60"/>
      <c r="CK60" s="60"/>
      <c r="CL60" s="60"/>
      <c r="CM60" s="60"/>
      <c r="CN60" s="68"/>
      <c r="CO60" s="67"/>
      <c r="CP60" s="60"/>
      <c r="CQ60" s="60"/>
      <c r="CR60" s="60"/>
      <c r="CS60" s="68"/>
      <c r="CT60" s="69"/>
      <c r="CU60" s="69"/>
      <c r="CV60" s="69"/>
      <c r="CW60" s="69"/>
      <c r="CX60" s="70"/>
    </row>
    <row r="61" spans="1:102" ht="15.75" hidden="1" customHeight="1">
      <c r="A61" s="58"/>
      <c r="E61" s="59">
        <v>44</v>
      </c>
      <c r="F61" s="60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67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5"/>
      <c r="AL61" s="66"/>
      <c r="AM61" s="60"/>
      <c r="AN61" s="60"/>
      <c r="AO61" s="60"/>
      <c r="AP61" s="60"/>
      <c r="AQ61" s="60"/>
      <c r="AR61" s="60"/>
      <c r="AS61" s="60"/>
      <c r="AT61" s="60"/>
      <c r="AU61" s="60"/>
      <c r="AV61" s="60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5"/>
      <c r="BU61" s="67"/>
      <c r="BV61" s="60"/>
      <c r="BW61" s="60"/>
      <c r="BX61" s="60"/>
      <c r="BY61" s="60"/>
      <c r="BZ61" s="60"/>
      <c r="CA61" s="60"/>
      <c r="CB61" s="60"/>
      <c r="CC61" s="60"/>
      <c r="CD61" s="60"/>
      <c r="CE61" s="60"/>
      <c r="CF61" s="60"/>
      <c r="CG61" s="60"/>
      <c r="CH61" s="60"/>
      <c r="CI61" s="60"/>
      <c r="CJ61" s="60"/>
      <c r="CK61" s="60"/>
      <c r="CL61" s="60"/>
      <c r="CM61" s="60"/>
      <c r="CN61" s="68"/>
      <c r="CO61" s="67"/>
      <c r="CP61" s="60"/>
      <c r="CQ61" s="60"/>
      <c r="CR61" s="60"/>
      <c r="CS61" s="68"/>
      <c r="CT61" s="69"/>
      <c r="CU61" s="69"/>
      <c r="CV61" s="69"/>
      <c r="CW61" s="69"/>
      <c r="CX61" s="70"/>
    </row>
    <row r="62" spans="1:102" ht="15.75" hidden="1" customHeight="1">
      <c r="A62" s="58"/>
      <c r="E62" s="59">
        <v>45</v>
      </c>
      <c r="F62" s="60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67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5"/>
      <c r="AL62" s="66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5"/>
      <c r="BU62" s="67"/>
      <c r="BV62" s="60"/>
      <c r="BW62" s="60"/>
      <c r="BX62" s="60"/>
      <c r="BY62" s="60"/>
      <c r="BZ62" s="60"/>
      <c r="CA62" s="60"/>
      <c r="CB62" s="60"/>
      <c r="CC62" s="60"/>
      <c r="CD62" s="60"/>
      <c r="CE62" s="60"/>
      <c r="CF62" s="60"/>
      <c r="CG62" s="60"/>
      <c r="CH62" s="60"/>
      <c r="CI62" s="60"/>
      <c r="CJ62" s="60"/>
      <c r="CK62" s="60"/>
      <c r="CL62" s="60"/>
      <c r="CM62" s="60"/>
      <c r="CN62" s="68"/>
      <c r="CO62" s="67"/>
      <c r="CP62" s="60"/>
      <c r="CQ62" s="60"/>
      <c r="CR62" s="60"/>
      <c r="CS62" s="68"/>
      <c r="CT62" s="69"/>
      <c r="CU62" s="69"/>
      <c r="CV62" s="69"/>
      <c r="CW62" s="69"/>
      <c r="CX62" s="70"/>
    </row>
    <row r="63" spans="1:102" ht="15.75" hidden="1" customHeight="1">
      <c r="A63" s="58"/>
      <c r="E63" s="59">
        <v>46</v>
      </c>
      <c r="F63" s="60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67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5"/>
      <c r="AL63" s="66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5"/>
      <c r="BU63" s="67"/>
      <c r="BV63" s="60"/>
      <c r="BW63" s="60"/>
      <c r="BX63" s="60"/>
      <c r="BY63" s="60"/>
      <c r="BZ63" s="60"/>
      <c r="CA63" s="60"/>
      <c r="CB63" s="60"/>
      <c r="CC63" s="60"/>
      <c r="CD63" s="60"/>
      <c r="CE63" s="60"/>
      <c r="CF63" s="60"/>
      <c r="CG63" s="60"/>
      <c r="CH63" s="60"/>
      <c r="CI63" s="60"/>
      <c r="CJ63" s="60"/>
      <c r="CK63" s="60"/>
      <c r="CL63" s="60"/>
      <c r="CM63" s="60"/>
      <c r="CN63" s="68"/>
      <c r="CO63" s="67"/>
      <c r="CP63" s="60"/>
      <c r="CQ63" s="60"/>
      <c r="CR63" s="60"/>
      <c r="CS63" s="68"/>
      <c r="CT63" s="69"/>
      <c r="CU63" s="69"/>
      <c r="CV63" s="69"/>
      <c r="CW63" s="69"/>
      <c r="CX63" s="70"/>
    </row>
    <row r="64" spans="1:102" ht="15.75" hidden="1" customHeight="1">
      <c r="A64" s="58"/>
      <c r="E64" s="59">
        <v>47</v>
      </c>
      <c r="F64" s="60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67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/>
      <c r="BJ64" s="60"/>
      <c r="BK64" s="60"/>
      <c r="BL64" s="60"/>
      <c r="BM64" s="60"/>
      <c r="BN64" s="60"/>
      <c r="BO64" s="60"/>
      <c r="BP64" s="60"/>
      <c r="BQ64" s="60"/>
      <c r="BR64" s="60"/>
      <c r="BS64" s="60"/>
      <c r="BT64" s="65"/>
      <c r="BU64" s="67"/>
      <c r="BV64" s="60"/>
      <c r="BW64" s="60"/>
      <c r="BX64" s="60"/>
      <c r="BY64" s="60"/>
      <c r="BZ64" s="60"/>
      <c r="CA64" s="60"/>
      <c r="CB64" s="60"/>
      <c r="CC64" s="60"/>
      <c r="CD64" s="60"/>
      <c r="CE64" s="60"/>
      <c r="CF64" s="60"/>
      <c r="CG64" s="60"/>
      <c r="CH64" s="60"/>
      <c r="CI64" s="60"/>
      <c r="CJ64" s="60"/>
      <c r="CK64" s="60"/>
      <c r="CL64" s="60"/>
      <c r="CM64" s="60"/>
      <c r="CN64" s="68"/>
      <c r="CO64" s="67"/>
      <c r="CP64" s="60"/>
      <c r="CQ64" s="60"/>
      <c r="CR64" s="60"/>
      <c r="CS64" s="68"/>
      <c r="CT64" s="69"/>
      <c r="CU64" s="69"/>
      <c r="CV64" s="69"/>
      <c r="CW64" s="69"/>
      <c r="CX64" s="70"/>
    </row>
    <row r="65" spans="1:102" ht="15.75" hidden="1" customHeight="1">
      <c r="A65" s="58"/>
      <c r="E65" s="59">
        <v>48</v>
      </c>
      <c r="F65" s="60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67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5"/>
      <c r="BU65" s="67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8"/>
      <c r="CO65" s="67"/>
      <c r="CP65" s="60"/>
      <c r="CQ65" s="60"/>
      <c r="CR65" s="60"/>
      <c r="CS65" s="68"/>
      <c r="CT65" s="69"/>
      <c r="CU65" s="69"/>
      <c r="CV65" s="69"/>
      <c r="CW65" s="69"/>
      <c r="CX65" s="70"/>
    </row>
    <row r="66" spans="1:102" ht="15" hidden="1" customHeight="1">
      <c r="A66" s="58"/>
      <c r="E66" s="59">
        <v>49</v>
      </c>
      <c r="F66" s="60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67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/>
      <c r="BJ66" s="60"/>
      <c r="BK66" s="60"/>
      <c r="BL66" s="60"/>
      <c r="BM66" s="60"/>
      <c r="BN66" s="60"/>
      <c r="BO66" s="60"/>
      <c r="BP66" s="60"/>
      <c r="BQ66" s="60"/>
      <c r="BR66" s="60"/>
      <c r="BS66" s="60"/>
      <c r="BT66" s="65"/>
      <c r="BU66" s="67"/>
      <c r="BV66" s="60"/>
      <c r="BW66" s="60"/>
      <c r="BX66" s="60"/>
      <c r="BY66" s="60"/>
      <c r="BZ66" s="60"/>
      <c r="CA66" s="60"/>
      <c r="CB66" s="60"/>
      <c r="CC66" s="60"/>
      <c r="CD66" s="60"/>
      <c r="CE66" s="60"/>
      <c r="CF66" s="60"/>
      <c r="CG66" s="60"/>
      <c r="CH66" s="60"/>
      <c r="CI66" s="60"/>
      <c r="CJ66" s="60"/>
      <c r="CK66" s="60"/>
      <c r="CL66" s="60"/>
      <c r="CM66" s="60"/>
      <c r="CN66" s="68"/>
      <c r="CO66" s="67"/>
      <c r="CP66" s="60"/>
      <c r="CQ66" s="60"/>
      <c r="CR66" s="60"/>
      <c r="CS66" s="68"/>
      <c r="CT66" s="69"/>
      <c r="CU66" s="69"/>
      <c r="CV66" s="69"/>
      <c r="CW66" s="69"/>
      <c r="CX66" s="70"/>
    </row>
    <row r="67" spans="1:102" ht="15" hidden="1" customHeight="1">
      <c r="A67" s="58"/>
      <c r="E67" s="59">
        <v>50</v>
      </c>
      <c r="F67" s="60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67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  <c r="AS67" s="60"/>
      <c r="AT67" s="60"/>
      <c r="AU67" s="60"/>
      <c r="AV67" s="60"/>
      <c r="AW67" s="60"/>
      <c r="AX67" s="60"/>
      <c r="AY67" s="60"/>
      <c r="AZ67" s="60"/>
      <c r="BA67" s="60"/>
      <c r="BB67" s="60"/>
      <c r="BC67" s="60"/>
      <c r="BD67" s="60"/>
      <c r="BE67" s="60"/>
      <c r="BF67" s="60"/>
      <c r="BG67" s="60"/>
      <c r="BH67" s="60"/>
      <c r="BI67" s="60"/>
      <c r="BJ67" s="60"/>
      <c r="BK67" s="60"/>
      <c r="BL67" s="60"/>
      <c r="BM67" s="60"/>
      <c r="BN67" s="60"/>
      <c r="BO67" s="60"/>
      <c r="BP67" s="60"/>
      <c r="BQ67" s="60"/>
      <c r="BR67" s="60"/>
      <c r="BS67" s="60"/>
      <c r="BT67" s="65"/>
      <c r="BU67" s="67"/>
      <c r="BV67" s="60"/>
      <c r="BW67" s="60"/>
      <c r="BX67" s="60"/>
      <c r="BY67" s="60"/>
      <c r="BZ67" s="60"/>
      <c r="CA67" s="60"/>
      <c r="CB67" s="60"/>
      <c r="CC67" s="60"/>
      <c r="CD67" s="60"/>
      <c r="CE67" s="60"/>
      <c r="CF67" s="60"/>
      <c r="CG67" s="60"/>
      <c r="CH67" s="60"/>
      <c r="CI67" s="60"/>
      <c r="CJ67" s="60"/>
      <c r="CK67" s="60"/>
      <c r="CL67" s="60"/>
      <c r="CM67" s="60"/>
      <c r="CN67" s="68"/>
      <c r="CO67" s="67"/>
      <c r="CP67" s="60"/>
      <c r="CQ67" s="60"/>
      <c r="CR67" s="60"/>
      <c r="CS67" s="68"/>
      <c r="CT67" s="69"/>
      <c r="CU67" s="69"/>
      <c r="CV67" s="69"/>
      <c r="CW67" s="69"/>
      <c r="CX67" s="70"/>
    </row>
    <row r="68" spans="1:102" ht="15.75" hidden="1" customHeight="1">
      <c r="A68" s="58"/>
      <c r="E68" s="59">
        <v>51</v>
      </c>
      <c r="F68" s="60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67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/>
      <c r="BJ68" s="60"/>
      <c r="BK68" s="60"/>
      <c r="BL68" s="60"/>
      <c r="BM68" s="60"/>
      <c r="BN68" s="60"/>
      <c r="BO68" s="60"/>
      <c r="BP68" s="60"/>
      <c r="BQ68" s="60"/>
      <c r="BR68" s="60"/>
      <c r="BS68" s="60"/>
      <c r="BT68" s="65"/>
      <c r="BU68" s="67"/>
      <c r="BV68" s="60"/>
      <c r="BW68" s="60"/>
      <c r="BX68" s="60"/>
      <c r="BY68" s="60"/>
      <c r="BZ68" s="60"/>
      <c r="CA68" s="60"/>
      <c r="CB68" s="60"/>
      <c r="CC68" s="60"/>
      <c r="CD68" s="60"/>
      <c r="CE68" s="60"/>
      <c r="CF68" s="60"/>
      <c r="CG68" s="60"/>
      <c r="CH68" s="60"/>
      <c r="CI68" s="60"/>
      <c r="CJ68" s="60"/>
      <c r="CK68" s="60"/>
      <c r="CL68" s="60"/>
      <c r="CM68" s="60"/>
      <c r="CN68" s="68"/>
      <c r="CO68" s="67"/>
      <c r="CP68" s="60"/>
      <c r="CQ68" s="60"/>
      <c r="CR68" s="60"/>
      <c r="CS68" s="68"/>
      <c r="CT68" s="69"/>
      <c r="CU68" s="69"/>
      <c r="CV68" s="69"/>
      <c r="CW68" s="69"/>
      <c r="CX68" s="70"/>
    </row>
    <row r="69" spans="1:102" ht="15.75" hidden="1" customHeight="1">
      <c r="A69" s="58"/>
      <c r="E69" s="59">
        <v>52</v>
      </c>
      <c r="F69" s="60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67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  <c r="AA69" s="60"/>
      <c r="AB69" s="60"/>
      <c r="AC69" s="60"/>
      <c r="AD69" s="60"/>
      <c r="AE69" s="60"/>
      <c r="AF69" s="60"/>
      <c r="AG69" s="60"/>
      <c r="AH69" s="60"/>
      <c r="AI69" s="60"/>
      <c r="AJ69" s="60"/>
      <c r="AK69" s="60"/>
      <c r="AL69" s="60"/>
      <c r="AM69" s="60"/>
      <c r="AN69" s="60"/>
      <c r="AO69" s="60"/>
      <c r="AP69" s="60"/>
      <c r="AQ69" s="60"/>
      <c r="AR69" s="60"/>
      <c r="AS69" s="60"/>
      <c r="AT69" s="60"/>
      <c r="AU69" s="60"/>
      <c r="AV69" s="60"/>
      <c r="AW69" s="60"/>
      <c r="AX69" s="60"/>
      <c r="AY69" s="60"/>
      <c r="AZ69" s="60"/>
      <c r="BA69" s="60"/>
      <c r="BB69" s="60"/>
      <c r="BC69" s="60"/>
      <c r="BD69" s="60"/>
      <c r="BE69" s="60"/>
      <c r="BF69" s="60"/>
      <c r="BG69" s="60"/>
      <c r="BH69" s="60"/>
      <c r="BI69" s="60"/>
      <c r="BJ69" s="60"/>
      <c r="BK69" s="60"/>
      <c r="BL69" s="60"/>
      <c r="BM69" s="60"/>
      <c r="BN69" s="60"/>
      <c r="BO69" s="60"/>
      <c r="BP69" s="60"/>
      <c r="BQ69" s="60"/>
      <c r="BR69" s="60"/>
      <c r="BS69" s="60"/>
      <c r="BT69" s="65"/>
      <c r="BU69" s="67"/>
      <c r="BV69" s="60"/>
      <c r="BW69" s="60"/>
      <c r="BX69" s="60"/>
      <c r="BY69" s="60"/>
      <c r="BZ69" s="60"/>
      <c r="CA69" s="60"/>
      <c r="CB69" s="60"/>
      <c r="CC69" s="60"/>
      <c r="CD69" s="60"/>
      <c r="CE69" s="60"/>
      <c r="CF69" s="60"/>
      <c r="CG69" s="60"/>
      <c r="CH69" s="60"/>
      <c r="CI69" s="60"/>
      <c r="CJ69" s="60"/>
      <c r="CK69" s="60"/>
      <c r="CL69" s="60"/>
      <c r="CM69" s="60"/>
      <c r="CN69" s="68"/>
      <c r="CO69" s="67"/>
      <c r="CP69" s="60"/>
      <c r="CQ69" s="60"/>
      <c r="CR69" s="60"/>
      <c r="CS69" s="68"/>
      <c r="CT69" s="69"/>
      <c r="CU69" s="69"/>
      <c r="CV69" s="69"/>
      <c r="CW69" s="69"/>
      <c r="CX69" s="70"/>
    </row>
    <row r="70" spans="1:102" ht="15.75" hidden="1" customHeight="1">
      <c r="A70" s="58"/>
      <c r="E70" s="59">
        <v>53</v>
      </c>
      <c r="F70" s="60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67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  <c r="AA70" s="60"/>
      <c r="AB70" s="60"/>
      <c r="AC70" s="60"/>
      <c r="AD70" s="60"/>
      <c r="AE70" s="60"/>
      <c r="AF70" s="60"/>
      <c r="AG70" s="60"/>
      <c r="AH70" s="60"/>
      <c r="AI70" s="60"/>
      <c r="AJ70" s="60"/>
      <c r="AK70" s="60"/>
      <c r="AL70" s="60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0"/>
      <c r="AY70" s="60"/>
      <c r="AZ70" s="60"/>
      <c r="BA70" s="60"/>
      <c r="BB70" s="60"/>
      <c r="BC70" s="60"/>
      <c r="BD70" s="60"/>
      <c r="BE70" s="60"/>
      <c r="BF70" s="60"/>
      <c r="BG70" s="60"/>
      <c r="BH70" s="60"/>
      <c r="BI70" s="60"/>
      <c r="BJ70" s="60"/>
      <c r="BK70" s="60"/>
      <c r="BL70" s="60"/>
      <c r="BM70" s="60"/>
      <c r="BN70" s="60"/>
      <c r="BO70" s="60"/>
      <c r="BP70" s="60"/>
      <c r="BQ70" s="60"/>
      <c r="BR70" s="60"/>
      <c r="BS70" s="60"/>
      <c r="BT70" s="65"/>
      <c r="BU70" s="67"/>
      <c r="BV70" s="60"/>
      <c r="BW70" s="60"/>
      <c r="BX70" s="60"/>
      <c r="BY70" s="60"/>
      <c r="BZ70" s="60"/>
      <c r="CA70" s="60"/>
      <c r="CB70" s="60"/>
      <c r="CC70" s="60"/>
      <c r="CD70" s="60"/>
      <c r="CE70" s="60"/>
      <c r="CF70" s="60"/>
      <c r="CG70" s="60"/>
      <c r="CH70" s="60"/>
      <c r="CI70" s="60"/>
      <c r="CJ70" s="60"/>
      <c r="CK70" s="60"/>
      <c r="CL70" s="60"/>
      <c r="CM70" s="60"/>
      <c r="CN70" s="68"/>
      <c r="CO70" s="67"/>
      <c r="CP70" s="60"/>
      <c r="CQ70" s="60"/>
      <c r="CR70" s="60"/>
      <c r="CS70" s="68"/>
      <c r="CT70" s="69"/>
      <c r="CU70" s="69"/>
      <c r="CV70" s="69"/>
      <c r="CW70" s="69"/>
      <c r="CX70" s="70"/>
    </row>
    <row r="71" spans="1:102" ht="15.75" hidden="1" customHeight="1">
      <c r="A71" s="58"/>
      <c r="E71" s="59">
        <v>54</v>
      </c>
      <c r="F71" s="60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67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  <c r="AA71" s="60"/>
      <c r="AB71" s="60"/>
      <c r="AC71" s="60"/>
      <c r="AD71" s="60"/>
      <c r="AE71" s="60"/>
      <c r="AF71" s="60"/>
      <c r="AG71" s="60"/>
      <c r="AH71" s="60"/>
      <c r="AI71" s="60"/>
      <c r="AJ71" s="60"/>
      <c r="AK71" s="60"/>
      <c r="AL71" s="60"/>
      <c r="AM71" s="60"/>
      <c r="AN71" s="60"/>
      <c r="AO71" s="60"/>
      <c r="AP71" s="60"/>
      <c r="AQ71" s="60"/>
      <c r="AR71" s="60"/>
      <c r="AS71" s="60"/>
      <c r="AT71" s="60"/>
      <c r="AU71" s="60"/>
      <c r="AV71" s="60"/>
      <c r="AW71" s="60"/>
      <c r="AX71" s="60"/>
      <c r="AY71" s="60"/>
      <c r="AZ71" s="60"/>
      <c r="BA71" s="60"/>
      <c r="BB71" s="60"/>
      <c r="BC71" s="60"/>
      <c r="BD71" s="60"/>
      <c r="BE71" s="60"/>
      <c r="BF71" s="60"/>
      <c r="BG71" s="60"/>
      <c r="BH71" s="60"/>
      <c r="BI71" s="60"/>
      <c r="BJ71" s="60"/>
      <c r="BK71" s="60"/>
      <c r="BL71" s="60"/>
      <c r="BM71" s="60"/>
      <c r="BN71" s="60"/>
      <c r="BO71" s="60"/>
      <c r="BP71" s="60"/>
      <c r="BQ71" s="60"/>
      <c r="BR71" s="60"/>
      <c r="BS71" s="60"/>
      <c r="BT71" s="65"/>
      <c r="BU71" s="67"/>
      <c r="BV71" s="60"/>
      <c r="BW71" s="60"/>
      <c r="BX71" s="60"/>
      <c r="BY71" s="60"/>
      <c r="BZ71" s="60"/>
      <c r="CA71" s="60"/>
      <c r="CB71" s="60"/>
      <c r="CC71" s="60"/>
      <c r="CD71" s="60"/>
      <c r="CE71" s="60"/>
      <c r="CF71" s="60"/>
      <c r="CG71" s="60"/>
      <c r="CH71" s="60"/>
      <c r="CI71" s="60"/>
      <c r="CJ71" s="60"/>
      <c r="CK71" s="60"/>
      <c r="CL71" s="60"/>
      <c r="CM71" s="60"/>
      <c r="CN71" s="68"/>
      <c r="CO71" s="67"/>
      <c r="CP71" s="60"/>
      <c r="CQ71" s="60"/>
      <c r="CR71" s="60"/>
      <c r="CS71" s="68"/>
      <c r="CT71" s="69"/>
      <c r="CU71" s="69"/>
      <c r="CV71" s="69"/>
      <c r="CW71" s="69"/>
      <c r="CX71" s="70"/>
    </row>
    <row r="72" spans="1:102" ht="15.75" hidden="1" customHeight="1">
      <c r="A72" s="58"/>
      <c r="E72" s="59">
        <v>55</v>
      </c>
      <c r="F72" s="60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67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  <c r="AA72" s="60"/>
      <c r="AB72" s="60"/>
      <c r="AC72" s="60"/>
      <c r="AD72" s="60"/>
      <c r="AE72" s="60"/>
      <c r="AF72" s="60"/>
      <c r="AG72" s="60"/>
      <c r="AH72" s="60"/>
      <c r="AI72" s="60"/>
      <c r="AJ72" s="60"/>
      <c r="AK72" s="60"/>
      <c r="AL72" s="60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0"/>
      <c r="AY72" s="60"/>
      <c r="AZ72" s="60"/>
      <c r="BA72" s="60"/>
      <c r="BB72" s="60"/>
      <c r="BC72" s="60"/>
      <c r="BD72" s="60"/>
      <c r="BE72" s="60"/>
      <c r="BF72" s="60"/>
      <c r="BG72" s="60"/>
      <c r="BH72" s="60"/>
      <c r="BI72" s="60"/>
      <c r="BJ72" s="60"/>
      <c r="BK72" s="60"/>
      <c r="BL72" s="60"/>
      <c r="BM72" s="60"/>
      <c r="BN72" s="60"/>
      <c r="BO72" s="60"/>
      <c r="BP72" s="60"/>
      <c r="BQ72" s="60"/>
      <c r="BR72" s="60"/>
      <c r="BS72" s="60"/>
      <c r="BT72" s="65"/>
      <c r="BU72" s="67"/>
      <c r="BV72" s="60"/>
      <c r="BW72" s="60"/>
      <c r="BX72" s="60"/>
      <c r="BY72" s="60"/>
      <c r="BZ72" s="60"/>
      <c r="CA72" s="60"/>
      <c r="CB72" s="60"/>
      <c r="CC72" s="60"/>
      <c r="CD72" s="60"/>
      <c r="CE72" s="60"/>
      <c r="CF72" s="60"/>
      <c r="CG72" s="60"/>
      <c r="CH72" s="60"/>
      <c r="CI72" s="60"/>
      <c r="CJ72" s="60"/>
      <c r="CK72" s="60"/>
      <c r="CL72" s="60"/>
      <c r="CM72" s="60"/>
      <c r="CN72" s="68"/>
      <c r="CO72" s="67"/>
      <c r="CP72" s="60"/>
      <c r="CQ72" s="60"/>
      <c r="CR72" s="60"/>
      <c r="CS72" s="68"/>
      <c r="CT72" s="69"/>
      <c r="CU72" s="69"/>
      <c r="CV72" s="69"/>
      <c r="CW72" s="69"/>
      <c r="CX72" s="70"/>
    </row>
    <row r="73" spans="1:102" ht="15.75" hidden="1" customHeight="1">
      <c r="A73" s="58"/>
      <c r="E73" s="59">
        <v>56</v>
      </c>
      <c r="F73" s="60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67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60"/>
      <c r="AU73" s="60"/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/>
      <c r="BJ73" s="60"/>
      <c r="BK73" s="60"/>
      <c r="BL73" s="60"/>
      <c r="BM73" s="60"/>
      <c r="BN73" s="60"/>
      <c r="BO73" s="60"/>
      <c r="BP73" s="60"/>
      <c r="BQ73" s="60"/>
      <c r="BR73" s="60"/>
      <c r="BS73" s="60"/>
      <c r="BT73" s="65"/>
      <c r="BU73" s="67"/>
      <c r="BV73" s="60"/>
      <c r="BW73" s="60"/>
      <c r="BX73" s="60"/>
      <c r="BY73" s="60"/>
      <c r="BZ73" s="60"/>
      <c r="CA73" s="60"/>
      <c r="CB73" s="60"/>
      <c r="CC73" s="60"/>
      <c r="CD73" s="60"/>
      <c r="CE73" s="60"/>
      <c r="CF73" s="60"/>
      <c r="CG73" s="60"/>
      <c r="CH73" s="60"/>
      <c r="CI73" s="60"/>
      <c r="CJ73" s="60"/>
      <c r="CK73" s="60"/>
      <c r="CL73" s="60"/>
      <c r="CM73" s="60"/>
      <c r="CN73" s="68"/>
      <c r="CO73" s="67"/>
      <c r="CP73" s="60"/>
      <c r="CQ73" s="60"/>
      <c r="CR73" s="60"/>
      <c r="CS73" s="68"/>
      <c r="CT73" s="69"/>
      <c r="CU73" s="69"/>
      <c r="CV73" s="69"/>
      <c r="CW73" s="69"/>
      <c r="CX73" s="70"/>
    </row>
    <row r="74" spans="1:102" ht="15.75" hidden="1" customHeight="1">
      <c r="A74" s="58"/>
      <c r="E74" s="59">
        <v>57</v>
      </c>
      <c r="F74" s="60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67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  <c r="AA74" s="60"/>
      <c r="AB74" s="60"/>
      <c r="AC74" s="60"/>
      <c r="AD74" s="60"/>
      <c r="AE74" s="60"/>
      <c r="AF74" s="60"/>
      <c r="AG74" s="60"/>
      <c r="AH74" s="60"/>
      <c r="AI74" s="60"/>
      <c r="AJ74" s="60"/>
      <c r="AK74" s="60"/>
      <c r="AL74" s="60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0"/>
      <c r="AY74" s="60"/>
      <c r="AZ74" s="60"/>
      <c r="BA74" s="60"/>
      <c r="BB74" s="60"/>
      <c r="BC74" s="60"/>
      <c r="BD74" s="60"/>
      <c r="BE74" s="60"/>
      <c r="BF74" s="60"/>
      <c r="BG74" s="60"/>
      <c r="BH74" s="60"/>
      <c r="BI74" s="60"/>
      <c r="BJ74" s="60"/>
      <c r="BK74" s="60"/>
      <c r="BL74" s="60"/>
      <c r="BM74" s="60"/>
      <c r="BN74" s="60"/>
      <c r="BO74" s="60"/>
      <c r="BP74" s="60"/>
      <c r="BQ74" s="60"/>
      <c r="BR74" s="60"/>
      <c r="BS74" s="60"/>
      <c r="BT74" s="65"/>
      <c r="BU74" s="67"/>
      <c r="BV74" s="60"/>
      <c r="BW74" s="60"/>
      <c r="BX74" s="60"/>
      <c r="BY74" s="60"/>
      <c r="BZ74" s="60"/>
      <c r="CA74" s="60"/>
      <c r="CB74" s="60"/>
      <c r="CC74" s="60"/>
      <c r="CD74" s="60"/>
      <c r="CE74" s="60"/>
      <c r="CF74" s="60"/>
      <c r="CG74" s="60"/>
      <c r="CH74" s="60"/>
      <c r="CI74" s="60"/>
      <c r="CJ74" s="60"/>
      <c r="CK74" s="60"/>
      <c r="CL74" s="60"/>
      <c r="CM74" s="60"/>
      <c r="CN74" s="68"/>
      <c r="CO74" s="67"/>
      <c r="CP74" s="60"/>
      <c r="CQ74" s="60"/>
      <c r="CR74" s="60"/>
      <c r="CS74" s="68"/>
      <c r="CT74" s="69"/>
      <c r="CU74" s="69"/>
      <c r="CV74" s="69"/>
      <c r="CW74" s="69"/>
      <c r="CX74" s="70"/>
    </row>
    <row r="75" spans="1:102" ht="15.75" hidden="1" customHeight="1">
      <c r="A75" s="58"/>
      <c r="E75" s="59">
        <v>58</v>
      </c>
      <c r="F75" s="60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67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60"/>
      <c r="AU75" s="60"/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/>
      <c r="BJ75" s="60"/>
      <c r="BK75" s="60"/>
      <c r="BL75" s="60"/>
      <c r="BM75" s="60"/>
      <c r="BN75" s="60"/>
      <c r="BO75" s="60"/>
      <c r="BP75" s="60"/>
      <c r="BQ75" s="60"/>
      <c r="BR75" s="60"/>
      <c r="BS75" s="60"/>
      <c r="BT75" s="65"/>
      <c r="BU75" s="67"/>
      <c r="BV75" s="60"/>
      <c r="BW75" s="60"/>
      <c r="BX75" s="60"/>
      <c r="BY75" s="60"/>
      <c r="BZ75" s="60"/>
      <c r="CA75" s="60"/>
      <c r="CB75" s="60"/>
      <c r="CC75" s="60"/>
      <c r="CD75" s="60"/>
      <c r="CE75" s="60"/>
      <c r="CF75" s="60"/>
      <c r="CG75" s="60"/>
      <c r="CH75" s="60"/>
      <c r="CI75" s="60"/>
      <c r="CJ75" s="60"/>
      <c r="CK75" s="60"/>
      <c r="CL75" s="60"/>
      <c r="CM75" s="60"/>
      <c r="CN75" s="68"/>
      <c r="CO75" s="67"/>
      <c r="CP75" s="60"/>
      <c r="CQ75" s="60"/>
      <c r="CR75" s="60"/>
      <c r="CS75" s="68"/>
      <c r="CT75" s="69"/>
      <c r="CU75" s="69"/>
      <c r="CV75" s="69"/>
      <c r="CW75" s="69"/>
      <c r="CX75" s="70"/>
    </row>
    <row r="76" spans="1:102" ht="15.75" hidden="1" customHeight="1">
      <c r="A76" s="58"/>
      <c r="E76" s="59">
        <v>59</v>
      </c>
      <c r="F76" s="60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67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0"/>
      <c r="AL76" s="60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0"/>
      <c r="AY76" s="60"/>
      <c r="AZ76" s="60"/>
      <c r="BA76" s="60"/>
      <c r="BB76" s="60"/>
      <c r="BC76" s="60"/>
      <c r="BD76" s="60"/>
      <c r="BE76" s="60"/>
      <c r="BF76" s="60"/>
      <c r="BG76" s="60"/>
      <c r="BH76" s="60"/>
      <c r="BI76" s="60"/>
      <c r="BJ76" s="60"/>
      <c r="BK76" s="60"/>
      <c r="BL76" s="60"/>
      <c r="BM76" s="60"/>
      <c r="BN76" s="60"/>
      <c r="BO76" s="60"/>
      <c r="BP76" s="60"/>
      <c r="BQ76" s="60"/>
      <c r="BR76" s="60"/>
      <c r="BS76" s="60"/>
      <c r="BT76" s="65"/>
      <c r="BU76" s="67"/>
      <c r="BV76" s="60"/>
      <c r="BW76" s="60"/>
      <c r="BX76" s="60"/>
      <c r="BY76" s="60"/>
      <c r="BZ76" s="60"/>
      <c r="CA76" s="60"/>
      <c r="CB76" s="60"/>
      <c r="CC76" s="60"/>
      <c r="CD76" s="60"/>
      <c r="CE76" s="60"/>
      <c r="CF76" s="60"/>
      <c r="CG76" s="60"/>
      <c r="CH76" s="60"/>
      <c r="CI76" s="60"/>
      <c r="CJ76" s="60"/>
      <c r="CK76" s="60"/>
      <c r="CL76" s="60"/>
      <c r="CM76" s="60"/>
      <c r="CN76" s="68"/>
      <c r="CO76" s="67"/>
      <c r="CP76" s="60"/>
      <c r="CQ76" s="60"/>
      <c r="CR76" s="60"/>
      <c r="CS76" s="68"/>
      <c r="CT76" s="69"/>
      <c r="CU76" s="69"/>
      <c r="CV76" s="69"/>
      <c r="CW76" s="69"/>
      <c r="CX76" s="70"/>
    </row>
    <row r="77" spans="1:102" ht="15.75" hidden="1" customHeight="1">
      <c r="A77" s="58"/>
      <c r="E77" s="59">
        <v>60</v>
      </c>
      <c r="F77" s="60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67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0"/>
      <c r="AL77" s="60"/>
      <c r="AM77" s="60"/>
      <c r="AN77" s="60"/>
      <c r="AO77" s="60"/>
      <c r="AP77" s="60"/>
      <c r="AQ77" s="60"/>
      <c r="AR77" s="60"/>
      <c r="AS77" s="60"/>
      <c r="AT77" s="60"/>
      <c r="AU77" s="60"/>
      <c r="AV77" s="60"/>
      <c r="AW77" s="60"/>
      <c r="AX77" s="60"/>
      <c r="AY77" s="60"/>
      <c r="AZ77" s="60"/>
      <c r="BA77" s="60"/>
      <c r="BB77" s="60"/>
      <c r="BC77" s="60"/>
      <c r="BD77" s="60"/>
      <c r="BE77" s="60"/>
      <c r="BF77" s="60"/>
      <c r="BG77" s="60"/>
      <c r="BH77" s="60"/>
      <c r="BI77" s="60"/>
      <c r="BJ77" s="60"/>
      <c r="BK77" s="60"/>
      <c r="BL77" s="60"/>
      <c r="BM77" s="60"/>
      <c r="BN77" s="60"/>
      <c r="BO77" s="60"/>
      <c r="BP77" s="60"/>
      <c r="BQ77" s="60"/>
      <c r="BR77" s="60"/>
      <c r="BS77" s="60"/>
      <c r="BT77" s="65"/>
      <c r="BU77" s="67"/>
      <c r="BV77" s="60"/>
      <c r="BW77" s="60"/>
      <c r="BX77" s="60"/>
      <c r="BY77" s="60"/>
      <c r="BZ77" s="60"/>
      <c r="CA77" s="60"/>
      <c r="CB77" s="60"/>
      <c r="CC77" s="60"/>
      <c r="CD77" s="60"/>
      <c r="CE77" s="60"/>
      <c r="CF77" s="60"/>
      <c r="CG77" s="60"/>
      <c r="CH77" s="60"/>
      <c r="CI77" s="60"/>
      <c r="CJ77" s="60"/>
      <c r="CK77" s="60"/>
      <c r="CL77" s="60"/>
      <c r="CM77" s="60"/>
      <c r="CN77" s="68"/>
      <c r="CO77" s="67"/>
      <c r="CP77" s="60"/>
      <c r="CQ77" s="60"/>
      <c r="CR77" s="60"/>
      <c r="CS77" s="68"/>
      <c r="CT77" s="69"/>
      <c r="CU77" s="69"/>
      <c r="CV77" s="69"/>
      <c r="CW77" s="69"/>
      <c r="CX77" s="70"/>
    </row>
    <row r="78" spans="1:102" ht="15.75" hidden="1" customHeight="1">
      <c r="A78" s="58"/>
      <c r="E78" s="59">
        <v>61</v>
      </c>
      <c r="F78" s="60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67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0"/>
      <c r="AY78" s="60"/>
      <c r="AZ78" s="60"/>
      <c r="BA78" s="60"/>
      <c r="BB78" s="60"/>
      <c r="BC78" s="60"/>
      <c r="BD78" s="60"/>
      <c r="BE78" s="60"/>
      <c r="BF78" s="60"/>
      <c r="BG78" s="60"/>
      <c r="BH78" s="60"/>
      <c r="BI78" s="60"/>
      <c r="BJ78" s="60"/>
      <c r="BK78" s="60"/>
      <c r="BL78" s="60"/>
      <c r="BM78" s="60"/>
      <c r="BN78" s="60"/>
      <c r="BO78" s="60"/>
      <c r="BP78" s="60"/>
      <c r="BQ78" s="60"/>
      <c r="BR78" s="60"/>
      <c r="BS78" s="60"/>
      <c r="BT78" s="65"/>
      <c r="BU78" s="67"/>
      <c r="BV78" s="60"/>
      <c r="BW78" s="60"/>
      <c r="BX78" s="60"/>
      <c r="BY78" s="60"/>
      <c r="BZ78" s="60"/>
      <c r="CA78" s="60"/>
      <c r="CB78" s="60"/>
      <c r="CC78" s="60"/>
      <c r="CD78" s="60"/>
      <c r="CE78" s="60"/>
      <c r="CF78" s="60"/>
      <c r="CG78" s="60"/>
      <c r="CH78" s="60"/>
      <c r="CI78" s="60"/>
      <c r="CJ78" s="60"/>
      <c r="CK78" s="60"/>
      <c r="CL78" s="60"/>
      <c r="CM78" s="60"/>
      <c r="CN78" s="68"/>
      <c r="CO78" s="67"/>
      <c r="CP78" s="60"/>
      <c r="CQ78" s="60"/>
      <c r="CR78" s="60"/>
      <c r="CS78" s="68"/>
      <c r="CT78" s="69"/>
      <c r="CU78" s="69"/>
      <c r="CV78" s="69"/>
      <c r="CW78" s="69"/>
      <c r="CX78" s="70"/>
    </row>
    <row r="79" spans="1:102" ht="15.75" hidden="1" customHeight="1">
      <c r="A79" s="58"/>
      <c r="E79" s="59">
        <v>62</v>
      </c>
      <c r="F79" s="60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67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60"/>
      <c r="BA79" s="60"/>
      <c r="BB79" s="60"/>
      <c r="BC79" s="60"/>
      <c r="BD79" s="60"/>
      <c r="BE79" s="60"/>
      <c r="BF79" s="60"/>
      <c r="BG79" s="60"/>
      <c r="BH79" s="60"/>
      <c r="BI79" s="60"/>
      <c r="BJ79" s="60"/>
      <c r="BK79" s="60"/>
      <c r="BL79" s="60"/>
      <c r="BM79" s="60"/>
      <c r="BN79" s="60"/>
      <c r="BO79" s="60"/>
      <c r="BP79" s="60"/>
      <c r="BQ79" s="60"/>
      <c r="BR79" s="60"/>
      <c r="BS79" s="60"/>
      <c r="BT79" s="65"/>
      <c r="BU79" s="67"/>
      <c r="BV79" s="60"/>
      <c r="BW79" s="60"/>
      <c r="BX79" s="60"/>
      <c r="BY79" s="60"/>
      <c r="BZ79" s="60"/>
      <c r="CA79" s="60"/>
      <c r="CB79" s="60"/>
      <c r="CC79" s="60"/>
      <c r="CD79" s="60"/>
      <c r="CE79" s="60"/>
      <c r="CF79" s="60"/>
      <c r="CG79" s="60"/>
      <c r="CH79" s="60"/>
      <c r="CI79" s="60"/>
      <c r="CJ79" s="60"/>
      <c r="CK79" s="60"/>
      <c r="CL79" s="60"/>
      <c r="CM79" s="60"/>
      <c r="CN79" s="68"/>
      <c r="CO79" s="67"/>
      <c r="CP79" s="60"/>
      <c r="CQ79" s="60"/>
      <c r="CR79" s="60"/>
      <c r="CS79" s="68"/>
      <c r="CT79" s="69"/>
      <c r="CU79" s="69"/>
      <c r="CV79" s="69"/>
      <c r="CW79" s="69"/>
      <c r="CX79" s="70"/>
    </row>
    <row r="80" spans="1:102" ht="15.75" hidden="1" customHeight="1">
      <c r="A80" s="58"/>
      <c r="E80" s="59">
        <v>63</v>
      </c>
      <c r="F80" s="60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67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/>
      <c r="BJ80" s="60"/>
      <c r="BK80" s="60"/>
      <c r="BL80" s="60"/>
      <c r="BM80" s="60"/>
      <c r="BN80" s="60"/>
      <c r="BO80" s="60"/>
      <c r="BP80" s="60"/>
      <c r="BQ80" s="60"/>
      <c r="BR80" s="60"/>
      <c r="BS80" s="60"/>
      <c r="BT80" s="65"/>
      <c r="BU80" s="67"/>
      <c r="BV80" s="60"/>
      <c r="BW80" s="60"/>
      <c r="BX80" s="60"/>
      <c r="BY80" s="60"/>
      <c r="BZ80" s="60"/>
      <c r="CA80" s="60"/>
      <c r="CB80" s="60"/>
      <c r="CC80" s="60"/>
      <c r="CD80" s="60"/>
      <c r="CE80" s="60"/>
      <c r="CF80" s="60"/>
      <c r="CG80" s="60"/>
      <c r="CH80" s="60"/>
      <c r="CI80" s="60"/>
      <c r="CJ80" s="60"/>
      <c r="CK80" s="60"/>
      <c r="CL80" s="60"/>
      <c r="CM80" s="60"/>
      <c r="CN80" s="68"/>
      <c r="CO80" s="67"/>
      <c r="CP80" s="60"/>
      <c r="CQ80" s="60"/>
      <c r="CR80" s="60"/>
      <c r="CS80" s="68"/>
      <c r="CT80" s="69"/>
      <c r="CU80" s="69"/>
      <c r="CV80" s="69"/>
      <c r="CW80" s="69"/>
      <c r="CX80" s="70"/>
    </row>
    <row r="81" spans="1:102" ht="15.75" hidden="1" customHeight="1">
      <c r="A81" s="58"/>
      <c r="E81" s="59">
        <v>64</v>
      </c>
      <c r="F81" s="60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67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0"/>
      <c r="AN81" s="60"/>
      <c r="AO81" s="60"/>
      <c r="AP81" s="60"/>
      <c r="AQ81" s="60"/>
      <c r="AR81" s="60"/>
      <c r="AS81" s="60"/>
      <c r="AT81" s="60"/>
      <c r="AU81" s="60"/>
      <c r="AV81" s="60"/>
      <c r="AW81" s="60"/>
      <c r="AX81" s="60"/>
      <c r="AY81" s="60"/>
      <c r="AZ81" s="60"/>
      <c r="BA81" s="60"/>
      <c r="BB81" s="60"/>
      <c r="BC81" s="60"/>
      <c r="BD81" s="60"/>
      <c r="BE81" s="60"/>
      <c r="BF81" s="60"/>
      <c r="BG81" s="60"/>
      <c r="BH81" s="60"/>
      <c r="BI81" s="60"/>
      <c r="BJ81" s="60"/>
      <c r="BK81" s="60"/>
      <c r="BL81" s="60"/>
      <c r="BM81" s="60"/>
      <c r="BN81" s="60"/>
      <c r="BO81" s="60"/>
      <c r="BP81" s="60"/>
      <c r="BQ81" s="60"/>
      <c r="BR81" s="60"/>
      <c r="BS81" s="60"/>
      <c r="BT81" s="65"/>
      <c r="BU81" s="67"/>
      <c r="BV81" s="60"/>
      <c r="BW81" s="60"/>
      <c r="BX81" s="60"/>
      <c r="BY81" s="60"/>
      <c r="BZ81" s="60"/>
      <c r="CA81" s="60"/>
      <c r="CB81" s="60"/>
      <c r="CC81" s="60"/>
      <c r="CD81" s="60"/>
      <c r="CE81" s="60"/>
      <c r="CF81" s="60"/>
      <c r="CG81" s="60"/>
      <c r="CH81" s="60"/>
      <c r="CI81" s="60"/>
      <c r="CJ81" s="60"/>
      <c r="CK81" s="60"/>
      <c r="CL81" s="60"/>
      <c r="CM81" s="60"/>
      <c r="CN81" s="68"/>
      <c r="CO81" s="67"/>
      <c r="CP81" s="60"/>
      <c r="CQ81" s="60"/>
      <c r="CR81" s="60"/>
      <c r="CS81" s="68"/>
      <c r="CT81" s="69"/>
      <c r="CU81" s="69"/>
      <c r="CV81" s="69"/>
      <c r="CW81" s="69"/>
      <c r="CX81" s="70"/>
    </row>
    <row r="82" spans="1:102" ht="15.75" hidden="1" customHeight="1">
      <c r="A82" s="58"/>
      <c r="E82" s="59">
        <v>65</v>
      </c>
      <c r="F82" s="60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67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0"/>
      <c r="AY82" s="60"/>
      <c r="AZ82" s="60"/>
      <c r="BA82" s="60"/>
      <c r="BB82" s="60"/>
      <c r="BC82" s="60"/>
      <c r="BD82" s="60"/>
      <c r="BE82" s="60"/>
      <c r="BF82" s="60"/>
      <c r="BG82" s="60"/>
      <c r="BH82" s="60"/>
      <c r="BI82" s="60"/>
      <c r="BJ82" s="60"/>
      <c r="BK82" s="60"/>
      <c r="BL82" s="60"/>
      <c r="BM82" s="60"/>
      <c r="BN82" s="60"/>
      <c r="BO82" s="60"/>
      <c r="BP82" s="60"/>
      <c r="BQ82" s="60"/>
      <c r="BR82" s="60"/>
      <c r="BS82" s="60"/>
      <c r="BT82" s="65"/>
      <c r="BU82" s="67"/>
      <c r="BV82" s="60"/>
      <c r="BW82" s="60"/>
      <c r="BX82" s="60"/>
      <c r="BY82" s="60"/>
      <c r="BZ82" s="60"/>
      <c r="CA82" s="60"/>
      <c r="CB82" s="60"/>
      <c r="CC82" s="60"/>
      <c r="CD82" s="60"/>
      <c r="CE82" s="60"/>
      <c r="CF82" s="60"/>
      <c r="CG82" s="60"/>
      <c r="CH82" s="60"/>
      <c r="CI82" s="60"/>
      <c r="CJ82" s="60"/>
      <c r="CK82" s="60"/>
      <c r="CL82" s="60"/>
      <c r="CM82" s="60"/>
      <c r="CN82" s="68"/>
      <c r="CO82" s="67"/>
      <c r="CP82" s="60"/>
      <c r="CQ82" s="60"/>
      <c r="CR82" s="60"/>
      <c r="CS82" s="68"/>
      <c r="CT82" s="69"/>
      <c r="CU82" s="69"/>
      <c r="CV82" s="69"/>
      <c r="CW82" s="69"/>
      <c r="CX82" s="70"/>
    </row>
    <row r="83" spans="1:102" ht="15.75" hidden="1" customHeight="1">
      <c r="A83" s="58"/>
      <c r="E83" s="59">
        <v>66</v>
      </c>
      <c r="F83" s="60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67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/>
      <c r="BJ83" s="60"/>
      <c r="BK83" s="60"/>
      <c r="BL83" s="60"/>
      <c r="BM83" s="60"/>
      <c r="BN83" s="60"/>
      <c r="BO83" s="60"/>
      <c r="BP83" s="60"/>
      <c r="BQ83" s="60"/>
      <c r="BR83" s="60"/>
      <c r="BS83" s="60"/>
      <c r="BT83" s="65"/>
      <c r="BU83" s="67"/>
      <c r="BV83" s="60"/>
      <c r="BW83" s="60"/>
      <c r="BX83" s="60"/>
      <c r="BY83" s="60"/>
      <c r="BZ83" s="60"/>
      <c r="CA83" s="60"/>
      <c r="CB83" s="60"/>
      <c r="CC83" s="60"/>
      <c r="CD83" s="60"/>
      <c r="CE83" s="60"/>
      <c r="CF83" s="60"/>
      <c r="CG83" s="60"/>
      <c r="CH83" s="60"/>
      <c r="CI83" s="60"/>
      <c r="CJ83" s="60"/>
      <c r="CK83" s="60"/>
      <c r="CL83" s="60"/>
      <c r="CM83" s="60"/>
      <c r="CN83" s="68"/>
      <c r="CO83" s="67"/>
      <c r="CP83" s="60"/>
      <c r="CQ83" s="60"/>
      <c r="CR83" s="60"/>
      <c r="CS83" s="68"/>
      <c r="CT83" s="69"/>
      <c r="CU83" s="69"/>
      <c r="CV83" s="69"/>
      <c r="CW83" s="69"/>
      <c r="CX83" s="70"/>
    </row>
    <row r="84" spans="1:102" ht="15.75" hidden="1" customHeight="1">
      <c r="A84" s="58"/>
      <c r="E84" s="59">
        <v>67</v>
      </c>
      <c r="F84" s="60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67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0"/>
      <c r="AN84" s="60"/>
      <c r="AO84" s="60"/>
      <c r="AP84" s="60"/>
      <c r="AQ84" s="60"/>
      <c r="AR84" s="60"/>
      <c r="AS84" s="60"/>
      <c r="AT84" s="60"/>
      <c r="AU84" s="60"/>
      <c r="AV84" s="60"/>
      <c r="AW84" s="60"/>
      <c r="AX84" s="60"/>
      <c r="AY84" s="60"/>
      <c r="AZ84" s="60"/>
      <c r="BA84" s="60"/>
      <c r="BB84" s="60"/>
      <c r="BC84" s="60"/>
      <c r="BD84" s="60"/>
      <c r="BE84" s="60"/>
      <c r="BF84" s="60"/>
      <c r="BG84" s="60"/>
      <c r="BH84" s="60"/>
      <c r="BI84" s="60"/>
      <c r="BJ84" s="60"/>
      <c r="BK84" s="60"/>
      <c r="BL84" s="60"/>
      <c r="BM84" s="60"/>
      <c r="BN84" s="60"/>
      <c r="BO84" s="60"/>
      <c r="BP84" s="60"/>
      <c r="BQ84" s="60"/>
      <c r="BR84" s="60"/>
      <c r="BS84" s="60"/>
      <c r="BT84" s="65"/>
      <c r="BU84" s="67"/>
      <c r="BV84" s="60"/>
      <c r="BW84" s="60"/>
      <c r="BX84" s="60"/>
      <c r="BY84" s="60"/>
      <c r="BZ84" s="60"/>
      <c r="CA84" s="60"/>
      <c r="CB84" s="60"/>
      <c r="CC84" s="60"/>
      <c r="CD84" s="60"/>
      <c r="CE84" s="60"/>
      <c r="CF84" s="60"/>
      <c r="CG84" s="60"/>
      <c r="CH84" s="60"/>
      <c r="CI84" s="60"/>
      <c r="CJ84" s="60"/>
      <c r="CK84" s="60"/>
      <c r="CL84" s="60"/>
      <c r="CM84" s="60"/>
      <c r="CN84" s="68"/>
      <c r="CO84" s="67"/>
      <c r="CP84" s="60"/>
      <c r="CQ84" s="60"/>
      <c r="CR84" s="60"/>
      <c r="CS84" s="68"/>
      <c r="CT84" s="69"/>
      <c r="CU84" s="69"/>
      <c r="CV84" s="69"/>
      <c r="CW84" s="69"/>
      <c r="CX84" s="70"/>
    </row>
    <row r="85" spans="1:102" ht="15.75" hidden="1" customHeight="1">
      <c r="A85" s="58"/>
      <c r="E85" s="59">
        <v>68</v>
      </c>
      <c r="F85" s="60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67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/>
      <c r="AE85" s="60"/>
      <c r="AF85" s="60"/>
      <c r="AG85" s="60"/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60"/>
      <c r="AU85" s="60"/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/>
      <c r="BJ85" s="60"/>
      <c r="BK85" s="60"/>
      <c r="BL85" s="60"/>
      <c r="BM85" s="60"/>
      <c r="BN85" s="60"/>
      <c r="BO85" s="60"/>
      <c r="BP85" s="60"/>
      <c r="BQ85" s="60"/>
      <c r="BR85" s="60"/>
      <c r="BS85" s="60"/>
      <c r="BT85" s="65"/>
      <c r="BU85" s="67"/>
      <c r="BV85" s="60"/>
      <c r="BW85" s="60"/>
      <c r="BX85" s="60"/>
      <c r="BY85" s="60"/>
      <c r="BZ85" s="60"/>
      <c r="CA85" s="60"/>
      <c r="CB85" s="60"/>
      <c r="CC85" s="60"/>
      <c r="CD85" s="60"/>
      <c r="CE85" s="60"/>
      <c r="CF85" s="60"/>
      <c r="CG85" s="60"/>
      <c r="CH85" s="60"/>
      <c r="CI85" s="60"/>
      <c r="CJ85" s="60"/>
      <c r="CK85" s="60"/>
      <c r="CL85" s="60"/>
      <c r="CM85" s="60"/>
      <c r="CN85" s="68"/>
      <c r="CO85" s="67"/>
      <c r="CP85" s="60"/>
      <c r="CQ85" s="60"/>
      <c r="CR85" s="60"/>
      <c r="CS85" s="68"/>
      <c r="CT85" s="69"/>
      <c r="CU85" s="69"/>
      <c r="CV85" s="69"/>
      <c r="CW85" s="69"/>
      <c r="CX85" s="70"/>
    </row>
    <row r="86" spans="1:102" ht="15.75" hidden="1" customHeight="1">
      <c r="A86" s="58"/>
      <c r="E86" s="59">
        <v>69</v>
      </c>
      <c r="F86" s="60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67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  <c r="AA86" s="60"/>
      <c r="AB86" s="60"/>
      <c r="AC86" s="60"/>
      <c r="AD86" s="60"/>
      <c r="AE86" s="60"/>
      <c r="AF86" s="60"/>
      <c r="AG86" s="60"/>
      <c r="AH86" s="60"/>
      <c r="AI86" s="60"/>
      <c r="AJ86" s="60"/>
      <c r="AK86" s="60"/>
      <c r="AL86" s="60"/>
      <c r="AM86" s="60"/>
      <c r="AN86" s="60"/>
      <c r="AO86" s="60"/>
      <c r="AP86" s="60"/>
      <c r="AQ86" s="60"/>
      <c r="AR86" s="60"/>
      <c r="AS86" s="60"/>
      <c r="AT86" s="60"/>
      <c r="AU86" s="60"/>
      <c r="AV86" s="60"/>
      <c r="AW86" s="60"/>
      <c r="AX86" s="60"/>
      <c r="AY86" s="60"/>
      <c r="AZ86" s="60"/>
      <c r="BA86" s="60"/>
      <c r="BB86" s="60"/>
      <c r="BC86" s="60"/>
      <c r="BD86" s="60"/>
      <c r="BE86" s="60"/>
      <c r="BF86" s="60"/>
      <c r="BG86" s="60"/>
      <c r="BH86" s="60"/>
      <c r="BI86" s="60"/>
      <c r="BJ86" s="60"/>
      <c r="BK86" s="60"/>
      <c r="BL86" s="60"/>
      <c r="BM86" s="60"/>
      <c r="BN86" s="60"/>
      <c r="BO86" s="60"/>
      <c r="BP86" s="60"/>
      <c r="BQ86" s="60"/>
      <c r="BR86" s="60"/>
      <c r="BS86" s="60"/>
      <c r="BT86" s="65"/>
      <c r="BU86" s="67"/>
      <c r="BV86" s="60"/>
      <c r="BW86" s="60"/>
      <c r="BX86" s="60"/>
      <c r="BY86" s="60"/>
      <c r="BZ86" s="60"/>
      <c r="CA86" s="60"/>
      <c r="CB86" s="60"/>
      <c r="CC86" s="60"/>
      <c r="CD86" s="60"/>
      <c r="CE86" s="60"/>
      <c r="CF86" s="60"/>
      <c r="CG86" s="60"/>
      <c r="CH86" s="60"/>
      <c r="CI86" s="60"/>
      <c r="CJ86" s="60"/>
      <c r="CK86" s="60"/>
      <c r="CL86" s="60"/>
      <c r="CM86" s="60"/>
      <c r="CN86" s="68"/>
      <c r="CO86" s="67"/>
      <c r="CP86" s="60"/>
      <c r="CQ86" s="60"/>
      <c r="CR86" s="60"/>
      <c r="CS86" s="68"/>
      <c r="CT86" s="69"/>
      <c r="CU86" s="69"/>
      <c r="CV86" s="69"/>
      <c r="CW86" s="69"/>
      <c r="CX86" s="70"/>
    </row>
    <row r="87" spans="1:102" ht="15" hidden="1" customHeight="1">
      <c r="A87" s="71"/>
      <c r="B87" s="11"/>
      <c r="C87" s="11"/>
      <c r="D87" s="11"/>
      <c r="E87" s="59">
        <v>70</v>
      </c>
      <c r="F87" s="60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67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  <c r="AB87" s="60"/>
      <c r="AC87" s="60"/>
      <c r="AD87" s="60"/>
      <c r="AE87" s="60"/>
      <c r="AF87" s="60"/>
      <c r="AG87" s="60"/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60"/>
      <c r="AU87" s="60"/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/>
      <c r="BJ87" s="60"/>
      <c r="BK87" s="60"/>
      <c r="BL87" s="60"/>
      <c r="BM87" s="60"/>
      <c r="BN87" s="60"/>
      <c r="BO87" s="60"/>
      <c r="BP87" s="60"/>
      <c r="BQ87" s="60"/>
      <c r="BR87" s="60"/>
      <c r="BS87" s="60"/>
      <c r="BT87" s="65"/>
      <c r="BU87" s="67"/>
      <c r="BV87" s="60"/>
      <c r="BW87" s="60"/>
      <c r="BX87" s="60"/>
      <c r="BY87" s="60"/>
      <c r="BZ87" s="60"/>
      <c r="CA87" s="60"/>
      <c r="CB87" s="60"/>
      <c r="CC87" s="60"/>
      <c r="CD87" s="60"/>
      <c r="CE87" s="60"/>
      <c r="CF87" s="60"/>
      <c r="CG87" s="60"/>
      <c r="CH87" s="60"/>
      <c r="CI87" s="60"/>
      <c r="CJ87" s="60"/>
      <c r="CK87" s="60"/>
      <c r="CL87" s="60"/>
      <c r="CM87" s="60"/>
      <c r="CN87" s="68"/>
      <c r="CO87" s="67"/>
      <c r="CP87" s="60"/>
      <c r="CQ87" s="60"/>
      <c r="CR87" s="60"/>
      <c r="CS87" s="68"/>
      <c r="CT87" s="69"/>
      <c r="CU87" s="69"/>
      <c r="CV87" s="69"/>
      <c r="CW87" s="69"/>
      <c r="CX87" s="70"/>
    </row>
    <row r="88" spans="1:102" ht="15" hidden="1" customHeight="1">
      <c r="A88" s="71"/>
      <c r="B88" s="11"/>
      <c r="C88" s="11"/>
      <c r="D88" s="11"/>
      <c r="E88" s="59">
        <v>71</v>
      </c>
      <c r="F88" s="60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67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  <c r="AB88" s="60"/>
      <c r="AC88" s="60"/>
      <c r="AD88" s="60"/>
      <c r="AE88" s="60"/>
      <c r="AF88" s="60"/>
      <c r="AG88" s="60"/>
      <c r="AH88" s="60"/>
      <c r="AI88" s="60"/>
      <c r="AJ88" s="60"/>
      <c r="AK88" s="60"/>
      <c r="AL88" s="60"/>
      <c r="AM88" s="60"/>
      <c r="AN88" s="60"/>
      <c r="AO88" s="60"/>
      <c r="AP88" s="60"/>
      <c r="AQ88" s="60"/>
      <c r="AR88" s="60"/>
      <c r="AS88" s="60"/>
      <c r="AT88" s="60"/>
      <c r="AU88" s="60"/>
      <c r="AV88" s="60"/>
      <c r="AW88" s="60"/>
      <c r="AX88" s="60"/>
      <c r="AY88" s="60"/>
      <c r="AZ88" s="60"/>
      <c r="BA88" s="60"/>
      <c r="BB88" s="60"/>
      <c r="BC88" s="60"/>
      <c r="BD88" s="60"/>
      <c r="BE88" s="60"/>
      <c r="BF88" s="60"/>
      <c r="BG88" s="60"/>
      <c r="BH88" s="60"/>
      <c r="BI88" s="60"/>
      <c r="BJ88" s="60"/>
      <c r="BK88" s="60"/>
      <c r="BL88" s="60"/>
      <c r="BM88" s="60"/>
      <c r="BN88" s="60"/>
      <c r="BO88" s="60"/>
      <c r="BP88" s="60"/>
      <c r="BQ88" s="60"/>
      <c r="BR88" s="60"/>
      <c r="BS88" s="60"/>
      <c r="BT88" s="65"/>
      <c r="BU88" s="67"/>
      <c r="BV88" s="60"/>
      <c r="BW88" s="60"/>
      <c r="BX88" s="60"/>
      <c r="BY88" s="60"/>
      <c r="BZ88" s="60"/>
      <c r="CA88" s="60"/>
      <c r="CB88" s="60"/>
      <c r="CC88" s="60"/>
      <c r="CD88" s="60"/>
      <c r="CE88" s="60"/>
      <c r="CF88" s="60"/>
      <c r="CG88" s="60"/>
      <c r="CH88" s="60"/>
      <c r="CI88" s="60"/>
      <c r="CJ88" s="60"/>
      <c r="CK88" s="60"/>
      <c r="CL88" s="60"/>
      <c r="CM88" s="60"/>
      <c r="CN88" s="68"/>
      <c r="CO88" s="67"/>
      <c r="CP88" s="60"/>
      <c r="CQ88" s="60"/>
      <c r="CR88" s="60"/>
      <c r="CS88" s="68"/>
      <c r="CT88" s="69"/>
      <c r="CU88" s="69"/>
      <c r="CV88" s="69"/>
      <c r="CW88" s="69"/>
      <c r="CX88" s="70"/>
    </row>
    <row r="89" spans="1:102" ht="15" hidden="1" customHeight="1">
      <c r="A89" s="71"/>
      <c r="B89" s="11"/>
      <c r="C89" s="11"/>
      <c r="D89" s="11"/>
      <c r="E89" s="59">
        <v>72</v>
      </c>
      <c r="F89" s="60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67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  <c r="AB89" s="60"/>
      <c r="AC89" s="60"/>
      <c r="AD89" s="60"/>
      <c r="AE89" s="60"/>
      <c r="AF89" s="60"/>
      <c r="AG89" s="60"/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60"/>
      <c r="AU89" s="60"/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/>
      <c r="BJ89" s="60"/>
      <c r="BK89" s="60"/>
      <c r="BL89" s="60"/>
      <c r="BM89" s="60"/>
      <c r="BN89" s="60"/>
      <c r="BO89" s="60"/>
      <c r="BP89" s="60"/>
      <c r="BQ89" s="60"/>
      <c r="BR89" s="60"/>
      <c r="BS89" s="60"/>
      <c r="BT89" s="65"/>
      <c r="BU89" s="67"/>
      <c r="BV89" s="60"/>
      <c r="BW89" s="60"/>
      <c r="BX89" s="60"/>
      <c r="BY89" s="60"/>
      <c r="BZ89" s="60"/>
      <c r="CA89" s="60"/>
      <c r="CB89" s="60"/>
      <c r="CC89" s="60"/>
      <c r="CD89" s="60"/>
      <c r="CE89" s="60"/>
      <c r="CF89" s="60"/>
      <c r="CG89" s="60"/>
      <c r="CH89" s="60"/>
      <c r="CI89" s="60"/>
      <c r="CJ89" s="60"/>
      <c r="CK89" s="60"/>
      <c r="CL89" s="60"/>
      <c r="CM89" s="60"/>
      <c r="CN89" s="68"/>
      <c r="CO89" s="67"/>
      <c r="CP89" s="60"/>
      <c r="CQ89" s="60"/>
      <c r="CR89" s="60"/>
      <c r="CS89" s="68"/>
      <c r="CT89" s="69"/>
      <c r="CU89" s="69"/>
      <c r="CV89" s="69"/>
      <c r="CW89" s="69"/>
      <c r="CX89" s="70"/>
    </row>
    <row r="90" spans="1:102" ht="15" hidden="1" customHeight="1">
      <c r="A90" s="71"/>
      <c r="B90" s="11"/>
      <c r="C90" s="11"/>
      <c r="D90" s="11"/>
      <c r="E90" s="59">
        <v>73</v>
      </c>
      <c r="F90" s="60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67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  <c r="AB90" s="60"/>
      <c r="AC90" s="60"/>
      <c r="AD90" s="60"/>
      <c r="AE90" s="60"/>
      <c r="AF90" s="60"/>
      <c r="AG90" s="60"/>
      <c r="AH90" s="60"/>
      <c r="AI90" s="60"/>
      <c r="AJ90" s="60"/>
      <c r="AK90" s="60"/>
      <c r="AL90" s="60"/>
      <c r="AM90" s="60"/>
      <c r="AN90" s="60"/>
      <c r="AO90" s="60"/>
      <c r="AP90" s="60"/>
      <c r="AQ90" s="60"/>
      <c r="AR90" s="60"/>
      <c r="AS90" s="60"/>
      <c r="AT90" s="60"/>
      <c r="AU90" s="60"/>
      <c r="AV90" s="60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5"/>
      <c r="BU90" s="67"/>
      <c r="BV90" s="60"/>
      <c r="BW90" s="60"/>
      <c r="BX90" s="60"/>
      <c r="BY90" s="60"/>
      <c r="BZ90" s="60"/>
      <c r="CA90" s="60"/>
      <c r="CB90" s="60"/>
      <c r="CC90" s="60"/>
      <c r="CD90" s="60"/>
      <c r="CE90" s="60"/>
      <c r="CF90" s="60"/>
      <c r="CG90" s="60"/>
      <c r="CH90" s="60"/>
      <c r="CI90" s="60"/>
      <c r="CJ90" s="60"/>
      <c r="CK90" s="60"/>
      <c r="CL90" s="60"/>
      <c r="CM90" s="60"/>
      <c r="CN90" s="68"/>
      <c r="CO90" s="67"/>
      <c r="CP90" s="60"/>
      <c r="CQ90" s="60"/>
      <c r="CR90" s="60"/>
      <c r="CS90" s="68"/>
      <c r="CT90" s="69"/>
      <c r="CU90" s="69"/>
      <c r="CV90" s="69"/>
      <c r="CW90" s="69"/>
      <c r="CX90" s="70"/>
    </row>
    <row r="91" spans="1:102" ht="15" hidden="1" customHeight="1">
      <c r="A91" s="71"/>
      <c r="B91" s="11"/>
      <c r="C91" s="11"/>
      <c r="D91" s="11"/>
      <c r="E91" s="59">
        <v>74</v>
      </c>
      <c r="F91" s="60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67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  <c r="AA91" s="60"/>
      <c r="AB91" s="60"/>
      <c r="AC91" s="60"/>
      <c r="AD91" s="60"/>
      <c r="AE91" s="60"/>
      <c r="AF91" s="60"/>
      <c r="AG91" s="60"/>
      <c r="AH91" s="60"/>
      <c r="AI91" s="60"/>
      <c r="AJ91" s="60"/>
      <c r="AK91" s="60"/>
      <c r="AL91" s="60"/>
      <c r="AM91" s="60"/>
      <c r="AN91" s="60"/>
      <c r="AO91" s="60"/>
      <c r="AP91" s="60"/>
      <c r="AQ91" s="60"/>
      <c r="AR91" s="60"/>
      <c r="AS91" s="60"/>
      <c r="AT91" s="60"/>
      <c r="AU91" s="60"/>
      <c r="AV91" s="60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5"/>
      <c r="BU91" s="67"/>
      <c r="BV91" s="60"/>
      <c r="BW91" s="60"/>
      <c r="BX91" s="60"/>
      <c r="BY91" s="60"/>
      <c r="BZ91" s="60"/>
      <c r="CA91" s="60"/>
      <c r="CB91" s="60"/>
      <c r="CC91" s="60"/>
      <c r="CD91" s="60"/>
      <c r="CE91" s="60"/>
      <c r="CF91" s="60"/>
      <c r="CG91" s="60"/>
      <c r="CH91" s="60"/>
      <c r="CI91" s="60"/>
      <c r="CJ91" s="60"/>
      <c r="CK91" s="60"/>
      <c r="CL91" s="60"/>
      <c r="CM91" s="60"/>
      <c r="CN91" s="68"/>
      <c r="CO91" s="67"/>
      <c r="CP91" s="60"/>
      <c r="CQ91" s="60"/>
      <c r="CR91" s="60"/>
      <c r="CS91" s="68"/>
      <c r="CT91" s="69"/>
      <c r="CU91" s="69"/>
      <c r="CV91" s="69"/>
      <c r="CW91" s="69"/>
      <c r="CX91" s="70"/>
    </row>
    <row r="92" spans="1:102" ht="15" hidden="1" customHeight="1">
      <c r="A92" s="71"/>
      <c r="B92" s="11"/>
      <c r="C92" s="11"/>
      <c r="D92" s="11"/>
      <c r="E92" s="59">
        <v>75</v>
      </c>
      <c r="F92" s="60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67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  <c r="AA92" s="60"/>
      <c r="AB92" s="60"/>
      <c r="AC92" s="60"/>
      <c r="AD92" s="60"/>
      <c r="AE92" s="60"/>
      <c r="AF92" s="60"/>
      <c r="AG92" s="60"/>
      <c r="AH92" s="60"/>
      <c r="AI92" s="60"/>
      <c r="AJ92" s="60"/>
      <c r="AK92" s="60"/>
      <c r="AL92" s="60"/>
      <c r="AM92" s="60"/>
      <c r="AN92" s="60"/>
      <c r="AO92" s="60"/>
      <c r="AP92" s="60"/>
      <c r="AQ92" s="60"/>
      <c r="AR92" s="60"/>
      <c r="AS92" s="60"/>
      <c r="AT92" s="60"/>
      <c r="AU92" s="60"/>
      <c r="AV92" s="60"/>
      <c r="AW92" s="60"/>
      <c r="AX92" s="60"/>
      <c r="AY92" s="60"/>
      <c r="AZ92" s="60"/>
      <c r="BA92" s="60"/>
      <c r="BB92" s="60"/>
      <c r="BC92" s="60"/>
      <c r="BD92" s="60"/>
      <c r="BE92" s="60"/>
      <c r="BF92" s="60"/>
      <c r="BG92" s="60"/>
      <c r="BH92" s="60"/>
      <c r="BI92" s="60"/>
      <c r="BJ92" s="60"/>
      <c r="BK92" s="60"/>
      <c r="BL92" s="60"/>
      <c r="BM92" s="60"/>
      <c r="BN92" s="60"/>
      <c r="BO92" s="60"/>
      <c r="BP92" s="60"/>
      <c r="BQ92" s="60"/>
      <c r="BR92" s="60"/>
      <c r="BS92" s="60"/>
      <c r="BT92" s="65"/>
      <c r="BU92" s="67"/>
      <c r="BV92" s="60"/>
      <c r="BW92" s="60"/>
      <c r="BX92" s="60"/>
      <c r="BY92" s="60"/>
      <c r="BZ92" s="60"/>
      <c r="CA92" s="60"/>
      <c r="CB92" s="60"/>
      <c r="CC92" s="60"/>
      <c r="CD92" s="60"/>
      <c r="CE92" s="60"/>
      <c r="CF92" s="60"/>
      <c r="CG92" s="60"/>
      <c r="CH92" s="60"/>
      <c r="CI92" s="60"/>
      <c r="CJ92" s="60"/>
      <c r="CK92" s="60"/>
      <c r="CL92" s="60"/>
      <c r="CM92" s="60"/>
      <c r="CN92" s="68"/>
      <c r="CO92" s="67"/>
      <c r="CP92" s="60"/>
      <c r="CQ92" s="60"/>
      <c r="CR92" s="60"/>
      <c r="CS92" s="68"/>
      <c r="CT92" s="69"/>
      <c r="CU92" s="69"/>
      <c r="CV92" s="69"/>
      <c r="CW92" s="69"/>
      <c r="CX92" s="70"/>
    </row>
    <row r="93" spans="1:102" ht="15" hidden="1" customHeight="1">
      <c r="A93" s="71"/>
      <c r="B93" s="11"/>
      <c r="C93" s="11"/>
      <c r="D93" s="11"/>
      <c r="E93" s="59">
        <v>76</v>
      </c>
      <c r="F93" s="60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67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  <c r="AA93" s="60"/>
      <c r="AB93" s="60"/>
      <c r="AC93" s="60"/>
      <c r="AD93" s="60"/>
      <c r="AE93" s="60"/>
      <c r="AF93" s="60"/>
      <c r="AG93" s="60"/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60"/>
      <c r="AU93" s="60"/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5"/>
      <c r="BU93" s="67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68"/>
      <c r="CO93" s="67"/>
      <c r="CP93" s="60"/>
      <c r="CQ93" s="60"/>
      <c r="CR93" s="60"/>
      <c r="CS93" s="68"/>
      <c r="CT93" s="69"/>
      <c r="CU93" s="69"/>
      <c r="CV93" s="69"/>
      <c r="CW93" s="69"/>
      <c r="CX93" s="70"/>
    </row>
    <row r="94" spans="1:102" ht="15" hidden="1" customHeight="1">
      <c r="A94" s="71"/>
      <c r="B94" s="11"/>
      <c r="C94" s="11"/>
      <c r="D94" s="11"/>
      <c r="E94" s="59">
        <v>77</v>
      </c>
      <c r="F94" s="60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67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  <c r="AA94" s="60"/>
      <c r="AB94" s="60"/>
      <c r="AC94" s="60"/>
      <c r="AD94" s="60"/>
      <c r="AE94" s="60"/>
      <c r="AF94" s="60"/>
      <c r="AG94" s="60"/>
      <c r="AH94" s="60"/>
      <c r="AI94" s="60"/>
      <c r="AJ94" s="60"/>
      <c r="AK94" s="60"/>
      <c r="AL94" s="60"/>
      <c r="AM94" s="60"/>
      <c r="AN94" s="60"/>
      <c r="AO94" s="60"/>
      <c r="AP94" s="60"/>
      <c r="AQ94" s="60"/>
      <c r="AR94" s="60"/>
      <c r="AS94" s="60"/>
      <c r="AT94" s="60"/>
      <c r="AU94" s="60"/>
      <c r="AV94" s="60"/>
      <c r="AW94" s="60"/>
      <c r="AX94" s="60"/>
      <c r="AY94" s="60"/>
      <c r="AZ94" s="60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5"/>
      <c r="BU94" s="67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68"/>
      <c r="CO94" s="67"/>
      <c r="CP94" s="60"/>
      <c r="CQ94" s="60"/>
      <c r="CR94" s="60"/>
      <c r="CS94" s="68"/>
      <c r="CT94" s="69"/>
      <c r="CU94" s="69"/>
      <c r="CV94" s="69"/>
      <c r="CW94" s="69"/>
      <c r="CX94" s="70"/>
    </row>
    <row r="95" spans="1:102" ht="15" hidden="1" customHeight="1">
      <c r="A95" s="71"/>
      <c r="B95" s="11"/>
      <c r="C95" s="11"/>
      <c r="D95" s="11"/>
      <c r="E95" s="59">
        <v>78</v>
      </c>
      <c r="F95" s="60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67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  <c r="AA95" s="60"/>
      <c r="AB95" s="60"/>
      <c r="AC95" s="60"/>
      <c r="AD95" s="60"/>
      <c r="AE95" s="60"/>
      <c r="AF95" s="60"/>
      <c r="AG95" s="60"/>
      <c r="AH95" s="60"/>
      <c r="AI95" s="60"/>
      <c r="AJ95" s="60"/>
      <c r="AK95" s="60"/>
      <c r="AL95" s="60"/>
      <c r="AM95" s="60"/>
      <c r="AN95" s="60"/>
      <c r="AO95" s="60"/>
      <c r="AP95" s="60"/>
      <c r="AQ95" s="60"/>
      <c r="AR95" s="60"/>
      <c r="AS95" s="60"/>
      <c r="AT95" s="60"/>
      <c r="AU95" s="60"/>
      <c r="AV95" s="60"/>
      <c r="AW95" s="60"/>
      <c r="AX95" s="60"/>
      <c r="AY95" s="60"/>
      <c r="AZ95" s="60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5"/>
      <c r="BU95" s="67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68"/>
      <c r="CO95" s="67"/>
      <c r="CP95" s="60"/>
      <c r="CQ95" s="60"/>
      <c r="CR95" s="60"/>
      <c r="CS95" s="68"/>
      <c r="CT95" s="69"/>
      <c r="CU95" s="69"/>
      <c r="CV95" s="69"/>
      <c r="CW95" s="69"/>
      <c r="CX95" s="70"/>
    </row>
    <row r="96" spans="1:102" ht="15" hidden="1" customHeight="1">
      <c r="A96" s="71"/>
      <c r="B96" s="11"/>
      <c r="C96" s="11"/>
      <c r="D96" s="11"/>
      <c r="E96" s="59">
        <v>79</v>
      </c>
      <c r="F96" s="60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67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  <c r="AA96" s="60"/>
      <c r="AB96" s="60"/>
      <c r="AC96" s="60"/>
      <c r="AD96" s="60"/>
      <c r="AE96" s="60"/>
      <c r="AF96" s="60"/>
      <c r="AG96" s="60"/>
      <c r="AH96" s="60"/>
      <c r="AI96" s="60"/>
      <c r="AJ96" s="60"/>
      <c r="AK96" s="60"/>
      <c r="AL96" s="60"/>
      <c r="AM96" s="60"/>
      <c r="AN96" s="60"/>
      <c r="AO96" s="60"/>
      <c r="AP96" s="60"/>
      <c r="AQ96" s="60"/>
      <c r="AR96" s="60"/>
      <c r="AS96" s="60"/>
      <c r="AT96" s="60"/>
      <c r="AU96" s="60"/>
      <c r="AV96" s="60"/>
      <c r="AW96" s="60"/>
      <c r="AX96" s="60"/>
      <c r="AY96" s="60"/>
      <c r="AZ96" s="60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5"/>
      <c r="BU96" s="67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68"/>
      <c r="CO96" s="67"/>
      <c r="CP96" s="60"/>
      <c r="CQ96" s="60"/>
      <c r="CR96" s="60"/>
      <c r="CS96" s="68"/>
      <c r="CT96" s="69"/>
      <c r="CU96" s="69"/>
      <c r="CV96" s="69"/>
      <c r="CW96" s="69"/>
      <c r="CX96" s="70"/>
    </row>
    <row r="97" spans="1:102" ht="15" hidden="1" customHeight="1">
      <c r="A97" s="71"/>
      <c r="B97" s="11"/>
      <c r="C97" s="11"/>
      <c r="D97" s="11"/>
      <c r="E97" s="59">
        <v>80</v>
      </c>
      <c r="F97" s="60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67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  <c r="AA97" s="60"/>
      <c r="AB97" s="60"/>
      <c r="AC97" s="60"/>
      <c r="AD97" s="60"/>
      <c r="AE97" s="60"/>
      <c r="AF97" s="60"/>
      <c r="AG97" s="60"/>
      <c r="AH97" s="60"/>
      <c r="AI97" s="60"/>
      <c r="AJ97" s="60"/>
      <c r="AK97" s="60"/>
      <c r="AL97" s="60"/>
      <c r="AM97" s="60"/>
      <c r="AN97" s="60"/>
      <c r="AO97" s="60"/>
      <c r="AP97" s="60"/>
      <c r="AQ97" s="60"/>
      <c r="AR97" s="60"/>
      <c r="AS97" s="60"/>
      <c r="AT97" s="60"/>
      <c r="AU97" s="60"/>
      <c r="AV97" s="60"/>
      <c r="AW97" s="60"/>
      <c r="AX97" s="60"/>
      <c r="AY97" s="60"/>
      <c r="AZ97" s="60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5"/>
      <c r="BU97" s="67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68"/>
      <c r="CO97" s="67"/>
      <c r="CP97" s="60"/>
      <c r="CQ97" s="60"/>
      <c r="CR97" s="60"/>
      <c r="CS97" s="68"/>
      <c r="CT97" s="69"/>
      <c r="CU97" s="69"/>
      <c r="CV97" s="69"/>
      <c r="CW97" s="69"/>
      <c r="CX97" s="70"/>
    </row>
    <row r="98" spans="1:102" ht="15" hidden="1" customHeight="1">
      <c r="A98" s="71"/>
      <c r="B98" s="11"/>
      <c r="C98" s="11"/>
      <c r="D98" s="11"/>
      <c r="E98" s="59">
        <v>81</v>
      </c>
      <c r="F98" s="60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67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  <c r="AA98" s="60"/>
      <c r="AB98" s="60"/>
      <c r="AC98" s="60"/>
      <c r="AD98" s="60"/>
      <c r="AE98" s="60"/>
      <c r="AF98" s="60"/>
      <c r="AG98" s="60"/>
      <c r="AH98" s="60"/>
      <c r="AI98" s="60"/>
      <c r="AJ98" s="60"/>
      <c r="AK98" s="60"/>
      <c r="AL98" s="60"/>
      <c r="AM98" s="60"/>
      <c r="AN98" s="60"/>
      <c r="AO98" s="60"/>
      <c r="AP98" s="60"/>
      <c r="AQ98" s="60"/>
      <c r="AR98" s="60"/>
      <c r="AS98" s="60"/>
      <c r="AT98" s="60"/>
      <c r="AU98" s="60"/>
      <c r="AV98" s="60"/>
      <c r="AW98" s="60"/>
      <c r="AX98" s="60"/>
      <c r="AY98" s="60"/>
      <c r="AZ98" s="60"/>
      <c r="BA98" s="60"/>
      <c r="BB98" s="60"/>
      <c r="BC98" s="60"/>
      <c r="BD98" s="60"/>
      <c r="BE98" s="60"/>
      <c r="BF98" s="60"/>
      <c r="BG98" s="60"/>
      <c r="BH98" s="60"/>
      <c r="BI98" s="60"/>
      <c r="BJ98" s="60"/>
      <c r="BK98" s="60"/>
      <c r="BL98" s="60"/>
      <c r="BM98" s="60"/>
      <c r="BN98" s="60"/>
      <c r="BO98" s="60"/>
      <c r="BP98" s="60"/>
      <c r="BQ98" s="60"/>
      <c r="BR98" s="60"/>
      <c r="BS98" s="60"/>
      <c r="BT98" s="65"/>
      <c r="BU98" s="67"/>
      <c r="BV98" s="60"/>
      <c r="BW98" s="60"/>
      <c r="BX98" s="60"/>
      <c r="BY98" s="60"/>
      <c r="BZ98" s="60"/>
      <c r="CA98" s="60"/>
      <c r="CB98" s="60"/>
      <c r="CC98" s="60"/>
      <c r="CD98" s="60"/>
      <c r="CE98" s="60"/>
      <c r="CF98" s="60"/>
      <c r="CG98" s="60"/>
      <c r="CH98" s="60"/>
      <c r="CI98" s="60"/>
      <c r="CJ98" s="60"/>
      <c r="CK98" s="60"/>
      <c r="CL98" s="60"/>
      <c r="CM98" s="60"/>
      <c r="CN98" s="68"/>
      <c r="CO98" s="67"/>
      <c r="CP98" s="60"/>
      <c r="CQ98" s="60"/>
      <c r="CR98" s="60"/>
      <c r="CS98" s="68"/>
      <c r="CT98" s="69"/>
      <c r="CU98" s="69"/>
      <c r="CV98" s="69"/>
      <c r="CW98" s="69"/>
      <c r="CX98" s="70"/>
    </row>
    <row r="99" spans="1:102" ht="15" hidden="1" customHeight="1">
      <c r="A99" s="71"/>
      <c r="B99" s="11"/>
      <c r="C99" s="11"/>
      <c r="D99" s="11"/>
      <c r="E99" s="59">
        <v>82</v>
      </c>
      <c r="F99" s="60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67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  <c r="AA99" s="60"/>
      <c r="AB99" s="60"/>
      <c r="AC99" s="60"/>
      <c r="AD99" s="60"/>
      <c r="AE99" s="60"/>
      <c r="AF99" s="60"/>
      <c r="AG99" s="60"/>
      <c r="AH99" s="60"/>
      <c r="AI99" s="60"/>
      <c r="AJ99" s="60"/>
      <c r="AK99" s="60"/>
      <c r="AL99" s="60"/>
      <c r="AM99" s="60"/>
      <c r="AN99" s="60"/>
      <c r="AO99" s="60"/>
      <c r="AP99" s="60"/>
      <c r="AQ99" s="60"/>
      <c r="AR99" s="60"/>
      <c r="AS99" s="60"/>
      <c r="AT99" s="60"/>
      <c r="AU99" s="60"/>
      <c r="AV99" s="60"/>
      <c r="AW99" s="60"/>
      <c r="AX99" s="60"/>
      <c r="AY99" s="60"/>
      <c r="AZ99" s="60"/>
      <c r="BA99" s="60"/>
      <c r="BB99" s="60"/>
      <c r="BC99" s="60"/>
      <c r="BD99" s="60"/>
      <c r="BE99" s="60"/>
      <c r="BF99" s="60"/>
      <c r="BG99" s="60"/>
      <c r="BH99" s="60"/>
      <c r="BI99" s="60"/>
      <c r="BJ99" s="60"/>
      <c r="BK99" s="60"/>
      <c r="BL99" s="60"/>
      <c r="BM99" s="60"/>
      <c r="BN99" s="60"/>
      <c r="BO99" s="60"/>
      <c r="BP99" s="60"/>
      <c r="BQ99" s="60"/>
      <c r="BR99" s="60"/>
      <c r="BS99" s="60"/>
      <c r="BT99" s="65"/>
      <c r="BU99" s="67"/>
      <c r="BV99" s="60"/>
      <c r="BW99" s="60"/>
      <c r="BX99" s="60"/>
      <c r="BY99" s="60"/>
      <c r="BZ99" s="60"/>
      <c r="CA99" s="60"/>
      <c r="CB99" s="60"/>
      <c r="CC99" s="60"/>
      <c r="CD99" s="60"/>
      <c r="CE99" s="60"/>
      <c r="CF99" s="60"/>
      <c r="CG99" s="60"/>
      <c r="CH99" s="60"/>
      <c r="CI99" s="60"/>
      <c r="CJ99" s="60"/>
      <c r="CK99" s="60"/>
      <c r="CL99" s="60"/>
      <c r="CM99" s="60"/>
      <c r="CN99" s="68"/>
      <c r="CO99" s="67"/>
      <c r="CP99" s="60"/>
      <c r="CQ99" s="60"/>
      <c r="CR99" s="60"/>
      <c r="CS99" s="68"/>
      <c r="CT99" s="69"/>
      <c r="CU99" s="69"/>
      <c r="CV99" s="69"/>
      <c r="CW99" s="69"/>
      <c r="CX99" s="70"/>
    </row>
    <row r="100" spans="1:102" ht="15" hidden="1" customHeight="1">
      <c r="A100" s="71"/>
      <c r="B100" s="11"/>
      <c r="C100" s="11"/>
      <c r="D100" s="11"/>
      <c r="E100" s="59">
        <v>83</v>
      </c>
      <c r="F100" s="60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67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  <c r="AA100" s="60"/>
      <c r="AB100" s="60"/>
      <c r="AC100" s="60"/>
      <c r="AD100" s="60"/>
      <c r="AE100" s="60"/>
      <c r="AF100" s="60"/>
      <c r="AG100" s="60"/>
      <c r="AH100" s="60"/>
      <c r="AI100" s="60"/>
      <c r="AJ100" s="60"/>
      <c r="AK100" s="60"/>
      <c r="AL100" s="60"/>
      <c r="AM100" s="60"/>
      <c r="AN100" s="60"/>
      <c r="AO100" s="60"/>
      <c r="AP100" s="60"/>
      <c r="AQ100" s="60"/>
      <c r="AR100" s="60"/>
      <c r="AS100" s="60"/>
      <c r="AT100" s="60"/>
      <c r="AU100" s="60"/>
      <c r="AV100" s="60"/>
      <c r="AW100" s="60"/>
      <c r="AX100" s="60"/>
      <c r="AY100" s="60"/>
      <c r="AZ100" s="60"/>
      <c r="BA100" s="60"/>
      <c r="BB100" s="60"/>
      <c r="BC100" s="60"/>
      <c r="BD100" s="60"/>
      <c r="BE100" s="60"/>
      <c r="BF100" s="60"/>
      <c r="BG100" s="60"/>
      <c r="BH100" s="60"/>
      <c r="BI100" s="60"/>
      <c r="BJ100" s="60"/>
      <c r="BK100" s="60"/>
      <c r="BL100" s="60"/>
      <c r="BM100" s="60"/>
      <c r="BN100" s="60"/>
      <c r="BO100" s="60"/>
      <c r="BP100" s="60"/>
      <c r="BQ100" s="60"/>
      <c r="BR100" s="60"/>
      <c r="BS100" s="60"/>
      <c r="BT100" s="65"/>
      <c r="BU100" s="67"/>
      <c r="BV100" s="60"/>
      <c r="BW100" s="60"/>
      <c r="BX100" s="60"/>
      <c r="BY100" s="60"/>
      <c r="BZ100" s="60"/>
      <c r="CA100" s="60"/>
      <c r="CB100" s="60"/>
      <c r="CC100" s="60"/>
      <c r="CD100" s="60"/>
      <c r="CE100" s="60"/>
      <c r="CF100" s="60"/>
      <c r="CG100" s="60"/>
      <c r="CH100" s="60"/>
      <c r="CI100" s="60"/>
      <c r="CJ100" s="60"/>
      <c r="CK100" s="60"/>
      <c r="CL100" s="60"/>
      <c r="CM100" s="60"/>
      <c r="CN100" s="68"/>
      <c r="CO100" s="67"/>
      <c r="CP100" s="60"/>
      <c r="CQ100" s="60"/>
      <c r="CR100" s="60"/>
      <c r="CS100" s="68"/>
      <c r="CT100" s="69"/>
      <c r="CU100" s="69"/>
      <c r="CV100" s="69"/>
      <c r="CW100" s="69"/>
      <c r="CX100" s="70"/>
    </row>
    <row r="101" spans="1:102" ht="15" hidden="1" customHeight="1">
      <c r="A101" s="71"/>
      <c r="B101" s="11"/>
      <c r="C101" s="11"/>
      <c r="D101" s="11"/>
      <c r="E101" s="59">
        <v>84</v>
      </c>
      <c r="F101" s="60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67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  <c r="AA101" s="60"/>
      <c r="AB101" s="60"/>
      <c r="AC101" s="60"/>
      <c r="AD101" s="60"/>
      <c r="AE101" s="60"/>
      <c r="AF101" s="60"/>
      <c r="AG101" s="60"/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60"/>
      <c r="AU101" s="60"/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/>
      <c r="BJ101" s="60"/>
      <c r="BK101" s="60"/>
      <c r="BL101" s="60"/>
      <c r="BM101" s="60"/>
      <c r="BN101" s="60"/>
      <c r="BO101" s="60"/>
      <c r="BP101" s="60"/>
      <c r="BQ101" s="60"/>
      <c r="BR101" s="60"/>
      <c r="BS101" s="60"/>
      <c r="BT101" s="65"/>
      <c r="BU101" s="67"/>
      <c r="BV101" s="60"/>
      <c r="BW101" s="60"/>
      <c r="BX101" s="60"/>
      <c r="BY101" s="60"/>
      <c r="BZ101" s="60"/>
      <c r="CA101" s="60"/>
      <c r="CB101" s="60"/>
      <c r="CC101" s="60"/>
      <c r="CD101" s="60"/>
      <c r="CE101" s="60"/>
      <c r="CF101" s="60"/>
      <c r="CG101" s="60"/>
      <c r="CH101" s="60"/>
      <c r="CI101" s="60"/>
      <c r="CJ101" s="60"/>
      <c r="CK101" s="60"/>
      <c r="CL101" s="60"/>
      <c r="CM101" s="60"/>
      <c r="CN101" s="68"/>
      <c r="CO101" s="67"/>
      <c r="CP101" s="60"/>
      <c r="CQ101" s="60"/>
      <c r="CR101" s="60"/>
      <c r="CS101" s="68"/>
      <c r="CT101" s="69"/>
      <c r="CU101" s="69"/>
      <c r="CV101" s="69"/>
      <c r="CW101" s="69"/>
      <c r="CX101" s="70"/>
    </row>
    <row r="102" spans="1:102" ht="15" hidden="1" customHeight="1">
      <c r="A102" s="71"/>
      <c r="B102" s="11"/>
      <c r="C102" s="11"/>
      <c r="D102" s="11"/>
      <c r="E102" s="59">
        <v>85</v>
      </c>
      <c r="F102" s="60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67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  <c r="AA102" s="60"/>
      <c r="AB102" s="60"/>
      <c r="AC102" s="60"/>
      <c r="AD102" s="60"/>
      <c r="AE102" s="60"/>
      <c r="AF102" s="60"/>
      <c r="AG102" s="60"/>
      <c r="AH102" s="60"/>
      <c r="AI102" s="60"/>
      <c r="AJ102" s="60"/>
      <c r="AK102" s="60"/>
      <c r="AL102" s="60"/>
      <c r="AM102" s="60"/>
      <c r="AN102" s="60"/>
      <c r="AO102" s="60"/>
      <c r="AP102" s="60"/>
      <c r="AQ102" s="60"/>
      <c r="AR102" s="60"/>
      <c r="AS102" s="60"/>
      <c r="AT102" s="60"/>
      <c r="AU102" s="60"/>
      <c r="AV102" s="60"/>
      <c r="AW102" s="60"/>
      <c r="AX102" s="60"/>
      <c r="AY102" s="60"/>
      <c r="AZ102" s="60"/>
      <c r="BA102" s="60"/>
      <c r="BB102" s="60"/>
      <c r="BC102" s="60"/>
      <c r="BD102" s="60"/>
      <c r="BE102" s="60"/>
      <c r="BF102" s="60"/>
      <c r="BG102" s="60"/>
      <c r="BH102" s="60"/>
      <c r="BI102" s="60"/>
      <c r="BJ102" s="60"/>
      <c r="BK102" s="60"/>
      <c r="BL102" s="60"/>
      <c r="BM102" s="60"/>
      <c r="BN102" s="60"/>
      <c r="BO102" s="60"/>
      <c r="BP102" s="60"/>
      <c r="BQ102" s="60"/>
      <c r="BR102" s="60"/>
      <c r="BS102" s="60"/>
      <c r="BT102" s="65"/>
      <c r="BU102" s="67"/>
      <c r="BV102" s="60"/>
      <c r="BW102" s="60"/>
      <c r="BX102" s="60"/>
      <c r="BY102" s="60"/>
      <c r="BZ102" s="60"/>
      <c r="CA102" s="60"/>
      <c r="CB102" s="60"/>
      <c r="CC102" s="60"/>
      <c r="CD102" s="60"/>
      <c r="CE102" s="60"/>
      <c r="CF102" s="60"/>
      <c r="CG102" s="60"/>
      <c r="CH102" s="60"/>
      <c r="CI102" s="60"/>
      <c r="CJ102" s="60"/>
      <c r="CK102" s="60"/>
      <c r="CL102" s="60"/>
      <c r="CM102" s="60"/>
      <c r="CN102" s="68"/>
      <c r="CO102" s="67"/>
      <c r="CP102" s="60"/>
      <c r="CQ102" s="60"/>
      <c r="CR102" s="60"/>
      <c r="CS102" s="68"/>
      <c r="CT102" s="69"/>
      <c r="CU102" s="69"/>
      <c r="CV102" s="69"/>
      <c r="CW102" s="69"/>
      <c r="CX102" s="70"/>
    </row>
    <row r="103" spans="1:102" ht="15" hidden="1" customHeight="1">
      <c r="A103" s="71"/>
      <c r="B103" s="11"/>
      <c r="C103" s="11"/>
      <c r="D103" s="11"/>
      <c r="E103" s="59">
        <v>86</v>
      </c>
      <c r="F103" s="60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67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0"/>
      <c r="AO103" s="60"/>
      <c r="AP103" s="60"/>
      <c r="AQ103" s="60"/>
      <c r="AR103" s="60"/>
      <c r="AS103" s="60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0"/>
      <c r="BM103" s="60"/>
      <c r="BN103" s="60"/>
      <c r="BO103" s="60"/>
      <c r="BP103" s="60"/>
      <c r="BQ103" s="60"/>
      <c r="BR103" s="60"/>
      <c r="BS103" s="60"/>
      <c r="BT103" s="65"/>
      <c r="BU103" s="67"/>
      <c r="BV103" s="60"/>
      <c r="BW103" s="60"/>
      <c r="BX103" s="60"/>
      <c r="BY103" s="60"/>
      <c r="BZ103" s="60"/>
      <c r="CA103" s="60"/>
      <c r="CB103" s="60"/>
      <c r="CC103" s="60"/>
      <c r="CD103" s="60"/>
      <c r="CE103" s="60"/>
      <c r="CF103" s="60"/>
      <c r="CG103" s="60"/>
      <c r="CH103" s="60"/>
      <c r="CI103" s="60"/>
      <c r="CJ103" s="60"/>
      <c r="CK103" s="60"/>
      <c r="CL103" s="60"/>
      <c r="CM103" s="60"/>
      <c r="CN103" s="68"/>
      <c r="CO103" s="67"/>
      <c r="CP103" s="60"/>
      <c r="CQ103" s="60"/>
      <c r="CR103" s="60"/>
      <c r="CS103" s="68"/>
      <c r="CT103" s="69"/>
      <c r="CU103" s="69"/>
      <c r="CV103" s="69"/>
      <c r="CW103" s="69"/>
      <c r="CX103" s="70"/>
    </row>
    <row r="104" spans="1:102" ht="15" hidden="1" customHeight="1">
      <c r="A104" s="71"/>
      <c r="B104" s="11"/>
      <c r="C104" s="11"/>
      <c r="D104" s="11"/>
      <c r="E104" s="59">
        <v>87</v>
      </c>
      <c r="F104" s="60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67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60"/>
      <c r="AB104" s="60"/>
      <c r="AC104" s="60"/>
      <c r="AD104" s="60"/>
      <c r="AE104" s="60"/>
      <c r="AF104" s="60"/>
      <c r="AG104" s="60"/>
      <c r="AH104" s="60"/>
      <c r="AI104" s="60"/>
      <c r="AJ104" s="60"/>
      <c r="AK104" s="60"/>
      <c r="AL104" s="60"/>
      <c r="AM104" s="60"/>
      <c r="AN104" s="60"/>
      <c r="AO104" s="60"/>
      <c r="AP104" s="60"/>
      <c r="AQ104" s="60"/>
      <c r="AR104" s="60"/>
      <c r="AS104" s="60"/>
      <c r="AT104" s="60"/>
      <c r="AU104" s="60"/>
      <c r="AV104" s="60"/>
      <c r="AW104" s="60"/>
      <c r="AX104" s="60"/>
      <c r="AY104" s="60"/>
      <c r="AZ104" s="60"/>
      <c r="BA104" s="60"/>
      <c r="BB104" s="60"/>
      <c r="BC104" s="60"/>
      <c r="BD104" s="60"/>
      <c r="BE104" s="60"/>
      <c r="BF104" s="60"/>
      <c r="BG104" s="60"/>
      <c r="BH104" s="60"/>
      <c r="BI104" s="60"/>
      <c r="BJ104" s="60"/>
      <c r="BK104" s="60"/>
      <c r="BL104" s="60"/>
      <c r="BM104" s="60"/>
      <c r="BN104" s="60"/>
      <c r="BO104" s="60"/>
      <c r="BP104" s="60"/>
      <c r="BQ104" s="60"/>
      <c r="BR104" s="60"/>
      <c r="BS104" s="60"/>
      <c r="BT104" s="65"/>
      <c r="BU104" s="67"/>
      <c r="BV104" s="60"/>
      <c r="BW104" s="60"/>
      <c r="BX104" s="60"/>
      <c r="BY104" s="60"/>
      <c r="BZ104" s="60"/>
      <c r="CA104" s="60"/>
      <c r="CB104" s="60"/>
      <c r="CC104" s="60"/>
      <c r="CD104" s="60"/>
      <c r="CE104" s="60"/>
      <c r="CF104" s="60"/>
      <c r="CG104" s="60"/>
      <c r="CH104" s="60"/>
      <c r="CI104" s="60"/>
      <c r="CJ104" s="60"/>
      <c r="CK104" s="60"/>
      <c r="CL104" s="60"/>
      <c r="CM104" s="60"/>
      <c r="CN104" s="68"/>
      <c r="CO104" s="67"/>
      <c r="CP104" s="60"/>
      <c r="CQ104" s="60"/>
      <c r="CR104" s="60"/>
      <c r="CS104" s="68"/>
      <c r="CT104" s="69"/>
      <c r="CU104" s="69"/>
      <c r="CV104" s="69"/>
      <c r="CW104" s="69"/>
      <c r="CX104" s="70"/>
    </row>
    <row r="105" spans="1:102" ht="15" hidden="1" customHeight="1">
      <c r="A105" s="71"/>
      <c r="B105" s="11"/>
      <c r="C105" s="11"/>
      <c r="D105" s="11"/>
      <c r="E105" s="59">
        <v>88</v>
      </c>
      <c r="F105" s="60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67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60"/>
      <c r="AB105" s="60"/>
      <c r="AC105" s="60"/>
      <c r="AD105" s="60"/>
      <c r="AE105" s="60"/>
      <c r="AF105" s="60"/>
      <c r="AG105" s="60"/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60"/>
      <c r="AU105" s="60"/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/>
      <c r="BJ105" s="60"/>
      <c r="BK105" s="60"/>
      <c r="BL105" s="60"/>
      <c r="BM105" s="60"/>
      <c r="BN105" s="60"/>
      <c r="BO105" s="60"/>
      <c r="BP105" s="60"/>
      <c r="BQ105" s="60"/>
      <c r="BR105" s="60"/>
      <c r="BS105" s="60"/>
      <c r="BT105" s="65"/>
      <c r="BU105" s="67"/>
      <c r="BV105" s="60"/>
      <c r="BW105" s="60"/>
      <c r="BX105" s="60"/>
      <c r="BY105" s="60"/>
      <c r="BZ105" s="60"/>
      <c r="CA105" s="60"/>
      <c r="CB105" s="60"/>
      <c r="CC105" s="60"/>
      <c r="CD105" s="60"/>
      <c r="CE105" s="60"/>
      <c r="CF105" s="60"/>
      <c r="CG105" s="60"/>
      <c r="CH105" s="60"/>
      <c r="CI105" s="60"/>
      <c r="CJ105" s="60"/>
      <c r="CK105" s="60"/>
      <c r="CL105" s="60"/>
      <c r="CM105" s="60"/>
      <c r="CN105" s="68"/>
      <c r="CO105" s="67"/>
      <c r="CP105" s="60"/>
      <c r="CQ105" s="60"/>
      <c r="CR105" s="60"/>
      <c r="CS105" s="68"/>
      <c r="CT105" s="69"/>
      <c r="CU105" s="69"/>
      <c r="CV105" s="69"/>
      <c r="CW105" s="69"/>
      <c r="CX105" s="70"/>
    </row>
    <row r="106" spans="1:102" ht="15" hidden="1" customHeight="1">
      <c r="A106" s="71"/>
      <c r="B106" s="11"/>
      <c r="C106" s="11"/>
      <c r="D106" s="11"/>
      <c r="E106" s="59">
        <v>89</v>
      </c>
      <c r="F106" s="60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67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60"/>
      <c r="AB106" s="60"/>
      <c r="AC106" s="60"/>
      <c r="AD106" s="60"/>
      <c r="AE106" s="60"/>
      <c r="AF106" s="60"/>
      <c r="AG106" s="60"/>
      <c r="AH106" s="60"/>
      <c r="AI106" s="60"/>
      <c r="AJ106" s="60"/>
      <c r="AK106" s="60"/>
      <c r="AL106" s="60"/>
      <c r="AM106" s="60"/>
      <c r="AN106" s="60"/>
      <c r="AO106" s="60"/>
      <c r="AP106" s="60"/>
      <c r="AQ106" s="60"/>
      <c r="AR106" s="60"/>
      <c r="AS106" s="60"/>
      <c r="AT106" s="60"/>
      <c r="AU106" s="60"/>
      <c r="AV106" s="60"/>
      <c r="AW106" s="60"/>
      <c r="AX106" s="60"/>
      <c r="AY106" s="60"/>
      <c r="AZ106" s="60"/>
      <c r="BA106" s="60"/>
      <c r="BB106" s="60"/>
      <c r="BC106" s="60"/>
      <c r="BD106" s="60"/>
      <c r="BE106" s="60"/>
      <c r="BF106" s="60"/>
      <c r="BG106" s="60"/>
      <c r="BH106" s="60"/>
      <c r="BI106" s="60"/>
      <c r="BJ106" s="60"/>
      <c r="BK106" s="60"/>
      <c r="BL106" s="60"/>
      <c r="BM106" s="60"/>
      <c r="BN106" s="60"/>
      <c r="BO106" s="60"/>
      <c r="BP106" s="60"/>
      <c r="BQ106" s="60"/>
      <c r="BR106" s="60"/>
      <c r="BS106" s="60"/>
      <c r="BT106" s="65"/>
      <c r="BU106" s="67"/>
      <c r="BV106" s="60"/>
      <c r="BW106" s="60"/>
      <c r="BX106" s="60"/>
      <c r="BY106" s="60"/>
      <c r="BZ106" s="60"/>
      <c r="CA106" s="60"/>
      <c r="CB106" s="60"/>
      <c r="CC106" s="60"/>
      <c r="CD106" s="60"/>
      <c r="CE106" s="60"/>
      <c r="CF106" s="60"/>
      <c r="CG106" s="60"/>
      <c r="CH106" s="60"/>
      <c r="CI106" s="60"/>
      <c r="CJ106" s="60"/>
      <c r="CK106" s="60"/>
      <c r="CL106" s="60"/>
      <c r="CM106" s="60"/>
      <c r="CN106" s="68"/>
      <c r="CO106" s="67"/>
      <c r="CP106" s="60"/>
      <c r="CQ106" s="60"/>
      <c r="CR106" s="60"/>
      <c r="CS106" s="68"/>
      <c r="CT106" s="69"/>
      <c r="CU106" s="69"/>
      <c r="CV106" s="69"/>
      <c r="CW106" s="69"/>
      <c r="CX106" s="70"/>
    </row>
    <row r="107" spans="1:102" ht="15" hidden="1" customHeight="1">
      <c r="A107" s="71"/>
      <c r="B107" s="11"/>
      <c r="C107" s="11"/>
      <c r="D107" s="11"/>
      <c r="E107" s="59">
        <v>90</v>
      </c>
      <c r="F107" s="60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67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60"/>
      <c r="AB107" s="60"/>
      <c r="AC107" s="60"/>
      <c r="AD107" s="60"/>
      <c r="AE107" s="60"/>
      <c r="AF107" s="60"/>
      <c r="AG107" s="60"/>
      <c r="AH107" s="60"/>
      <c r="AI107" s="60"/>
      <c r="AJ107" s="60"/>
      <c r="AK107" s="60"/>
      <c r="AL107" s="60"/>
      <c r="AM107" s="60"/>
      <c r="AN107" s="60"/>
      <c r="AO107" s="60"/>
      <c r="AP107" s="60"/>
      <c r="AQ107" s="60"/>
      <c r="AR107" s="60"/>
      <c r="AS107" s="60"/>
      <c r="AT107" s="60"/>
      <c r="AU107" s="60"/>
      <c r="AV107" s="60"/>
      <c r="AW107" s="60"/>
      <c r="AX107" s="60"/>
      <c r="AY107" s="60"/>
      <c r="AZ107" s="60"/>
      <c r="BA107" s="60"/>
      <c r="BB107" s="60"/>
      <c r="BC107" s="60"/>
      <c r="BD107" s="60"/>
      <c r="BE107" s="60"/>
      <c r="BF107" s="60"/>
      <c r="BG107" s="60"/>
      <c r="BH107" s="60"/>
      <c r="BI107" s="60"/>
      <c r="BJ107" s="60"/>
      <c r="BK107" s="60"/>
      <c r="BL107" s="60"/>
      <c r="BM107" s="60"/>
      <c r="BN107" s="60"/>
      <c r="BO107" s="60"/>
      <c r="BP107" s="60"/>
      <c r="BQ107" s="60"/>
      <c r="BR107" s="60"/>
      <c r="BS107" s="60"/>
      <c r="BT107" s="65"/>
      <c r="BU107" s="67"/>
      <c r="BV107" s="60"/>
      <c r="BW107" s="60"/>
      <c r="BX107" s="60"/>
      <c r="BY107" s="60"/>
      <c r="BZ107" s="60"/>
      <c r="CA107" s="60"/>
      <c r="CB107" s="60"/>
      <c r="CC107" s="60"/>
      <c r="CD107" s="60"/>
      <c r="CE107" s="60"/>
      <c r="CF107" s="60"/>
      <c r="CG107" s="60"/>
      <c r="CH107" s="60"/>
      <c r="CI107" s="60"/>
      <c r="CJ107" s="60"/>
      <c r="CK107" s="60"/>
      <c r="CL107" s="60"/>
      <c r="CM107" s="60"/>
      <c r="CN107" s="68"/>
      <c r="CO107" s="67"/>
      <c r="CP107" s="60"/>
      <c r="CQ107" s="60"/>
      <c r="CR107" s="60"/>
      <c r="CS107" s="68"/>
      <c r="CT107" s="69"/>
      <c r="CU107" s="69"/>
      <c r="CV107" s="69"/>
      <c r="CW107" s="69"/>
      <c r="CX107" s="70"/>
    </row>
    <row r="108" spans="1:102" ht="15" hidden="1" customHeight="1">
      <c r="A108" s="71"/>
      <c r="B108" s="11"/>
      <c r="C108" s="11"/>
      <c r="D108" s="11"/>
      <c r="E108" s="59">
        <v>91</v>
      </c>
      <c r="F108" s="60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67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60"/>
      <c r="AB108" s="60"/>
      <c r="AC108" s="60"/>
      <c r="AD108" s="60"/>
      <c r="AE108" s="60"/>
      <c r="AF108" s="60"/>
      <c r="AG108" s="60"/>
      <c r="AH108" s="60"/>
      <c r="AI108" s="60"/>
      <c r="AJ108" s="60"/>
      <c r="AK108" s="60"/>
      <c r="AL108" s="60"/>
      <c r="AM108" s="60"/>
      <c r="AN108" s="60"/>
      <c r="AO108" s="60"/>
      <c r="AP108" s="60"/>
      <c r="AQ108" s="60"/>
      <c r="AR108" s="60"/>
      <c r="AS108" s="60"/>
      <c r="AT108" s="60"/>
      <c r="AU108" s="60"/>
      <c r="AV108" s="60"/>
      <c r="AW108" s="60"/>
      <c r="AX108" s="60"/>
      <c r="AY108" s="60"/>
      <c r="AZ108" s="60"/>
      <c r="BA108" s="60"/>
      <c r="BB108" s="60"/>
      <c r="BC108" s="60"/>
      <c r="BD108" s="60"/>
      <c r="BE108" s="60"/>
      <c r="BF108" s="60"/>
      <c r="BG108" s="60"/>
      <c r="BH108" s="60"/>
      <c r="BI108" s="60"/>
      <c r="BJ108" s="60"/>
      <c r="BK108" s="60"/>
      <c r="BL108" s="60"/>
      <c r="BM108" s="60"/>
      <c r="BN108" s="60"/>
      <c r="BO108" s="60"/>
      <c r="BP108" s="60"/>
      <c r="BQ108" s="60"/>
      <c r="BR108" s="60"/>
      <c r="BS108" s="60"/>
      <c r="BT108" s="65"/>
      <c r="BU108" s="67"/>
      <c r="BV108" s="60"/>
      <c r="BW108" s="60"/>
      <c r="BX108" s="60"/>
      <c r="BY108" s="60"/>
      <c r="BZ108" s="60"/>
      <c r="CA108" s="60"/>
      <c r="CB108" s="60"/>
      <c r="CC108" s="60"/>
      <c r="CD108" s="60"/>
      <c r="CE108" s="60"/>
      <c r="CF108" s="60"/>
      <c r="CG108" s="60"/>
      <c r="CH108" s="60"/>
      <c r="CI108" s="60"/>
      <c r="CJ108" s="60"/>
      <c r="CK108" s="60"/>
      <c r="CL108" s="60"/>
      <c r="CM108" s="60"/>
      <c r="CN108" s="68"/>
      <c r="CO108" s="67"/>
      <c r="CP108" s="60"/>
      <c r="CQ108" s="60"/>
      <c r="CR108" s="60"/>
      <c r="CS108" s="68"/>
      <c r="CT108" s="69"/>
      <c r="CU108" s="69"/>
      <c r="CV108" s="69"/>
      <c r="CW108" s="69"/>
      <c r="CX108" s="70"/>
    </row>
    <row r="109" spans="1:102" ht="15" hidden="1" customHeight="1">
      <c r="A109" s="71"/>
      <c r="B109" s="11"/>
      <c r="C109" s="11"/>
      <c r="D109" s="11"/>
      <c r="E109" s="59">
        <v>92</v>
      </c>
      <c r="F109" s="60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67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60"/>
      <c r="AB109" s="60"/>
      <c r="AC109" s="60"/>
      <c r="AD109" s="60"/>
      <c r="AE109" s="60"/>
      <c r="AF109" s="60"/>
      <c r="AG109" s="60"/>
      <c r="AH109" s="60"/>
      <c r="AI109" s="60"/>
      <c r="AJ109" s="60"/>
      <c r="AK109" s="60"/>
      <c r="AL109" s="60"/>
      <c r="AM109" s="60"/>
      <c r="AN109" s="60"/>
      <c r="AO109" s="60"/>
      <c r="AP109" s="60"/>
      <c r="AQ109" s="60"/>
      <c r="AR109" s="60"/>
      <c r="AS109" s="60"/>
      <c r="AT109" s="60"/>
      <c r="AU109" s="60"/>
      <c r="AV109" s="60"/>
      <c r="AW109" s="60"/>
      <c r="AX109" s="60"/>
      <c r="AY109" s="60"/>
      <c r="AZ109" s="60"/>
      <c r="BA109" s="60"/>
      <c r="BB109" s="60"/>
      <c r="BC109" s="60"/>
      <c r="BD109" s="60"/>
      <c r="BE109" s="60"/>
      <c r="BF109" s="60"/>
      <c r="BG109" s="60"/>
      <c r="BH109" s="60"/>
      <c r="BI109" s="60"/>
      <c r="BJ109" s="60"/>
      <c r="BK109" s="60"/>
      <c r="BL109" s="60"/>
      <c r="BM109" s="60"/>
      <c r="BN109" s="60"/>
      <c r="BO109" s="60"/>
      <c r="BP109" s="60"/>
      <c r="BQ109" s="60"/>
      <c r="BR109" s="60"/>
      <c r="BS109" s="60"/>
      <c r="BT109" s="65"/>
      <c r="BU109" s="67"/>
      <c r="BV109" s="60"/>
      <c r="BW109" s="60"/>
      <c r="BX109" s="60"/>
      <c r="BY109" s="60"/>
      <c r="BZ109" s="60"/>
      <c r="CA109" s="60"/>
      <c r="CB109" s="60"/>
      <c r="CC109" s="60"/>
      <c r="CD109" s="60"/>
      <c r="CE109" s="60"/>
      <c r="CF109" s="60"/>
      <c r="CG109" s="60"/>
      <c r="CH109" s="60"/>
      <c r="CI109" s="60"/>
      <c r="CJ109" s="60"/>
      <c r="CK109" s="60"/>
      <c r="CL109" s="60"/>
      <c r="CM109" s="60"/>
      <c r="CN109" s="68"/>
      <c r="CO109" s="67"/>
      <c r="CP109" s="60"/>
      <c r="CQ109" s="60"/>
      <c r="CR109" s="60"/>
      <c r="CS109" s="68"/>
      <c r="CT109" s="69"/>
      <c r="CU109" s="69"/>
      <c r="CV109" s="69"/>
      <c r="CW109" s="69"/>
      <c r="CX109" s="70"/>
    </row>
    <row r="110" spans="1:102" ht="15" hidden="1" customHeight="1">
      <c r="A110" s="71"/>
      <c r="B110" s="11"/>
      <c r="C110" s="11"/>
      <c r="D110" s="11"/>
      <c r="E110" s="59">
        <v>93</v>
      </c>
      <c r="F110" s="60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67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60"/>
      <c r="AB110" s="60"/>
      <c r="AC110" s="60"/>
      <c r="AD110" s="60"/>
      <c r="AE110" s="60"/>
      <c r="AF110" s="60"/>
      <c r="AG110" s="60"/>
      <c r="AH110" s="60"/>
      <c r="AI110" s="60"/>
      <c r="AJ110" s="60"/>
      <c r="AK110" s="60"/>
      <c r="AL110" s="60"/>
      <c r="AM110" s="60"/>
      <c r="AN110" s="60"/>
      <c r="AO110" s="60"/>
      <c r="AP110" s="60"/>
      <c r="AQ110" s="60"/>
      <c r="AR110" s="60"/>
      <c r="AS110" s="60"/>
      <c r="AT110" s="60"/>
      <c r="AU110" s="60"/>
      <c r="AV110" s="60"/>
      <c r="AW110" s="60"/>
      <c r="AX110" s="60"/>
      <c r="AY110" s="60"/>
      <c r="AZ110" s="60"/>
      <c r="BA110" s="60"/>
      <c r="BB110" s="60"/>
      <c r="BC110" s="60"/>
      <c r="BD110" s="60"/>
      <c r="BE110" s="60"/>
      <c r="BF110" s="60"/>
      <c r="BG110" s="60"/>
      <c r="BH110" s="60"/>
      <c r="BI110" s="60"/>
      <c r="BJ110" s="60"/>
      <c r="BK110" s="60"/>
      <c r="BL110" s="60"/>
      <c r="BM110" s="60"/>
      <c r="BN110" s="60"/>
      <c r="BO110" s="60"/>
      <c r="BP110" s="60"/>
      <c r="BQ110" s="60"/>
      <c r="BR110" s="60"/>
      <c r="BS110" s="60"/>
      <c r="BT110" s="65"/>
      <c r="BU110" s="67"/>
      <c r="BV110" s="60"/>
      <c r="BW110" s="60"/>
      <c r="BX110" s="60"/>
      <c r="BY110" s="60"/>
      <c r="BZ110" s="60"/>
      <c r="CA110" s="60"/>
      <c r="CB110" s="60"/>
      <c r="CC110" s="60"/>
      <c r="CD110" s="60"/>
      <c r="CE110" s="60"/>
      <c r="CF110" s="60"/>
      <c r="CG110" s="60"/>
      <c r="CH110" s="60"/>
      <c r="CI110" s="60"/>
      <c r="CJ110" s="60"/>
      <c r="CK110" s="60"/>
      <c r="CL110" s="60"/>
      <c r="CM110" s="60"/>
      <c r="CN110" s="68"/>
      <c r="CO110" s="67"/>
      <c r="CP110" s="60"/>
      <c r="CQ110" s="60"/>
      <c r="CR110" s="60"/>
      <c r="CS110" s="68"/>
      <c r="CT110" s="69"/>
      <c r="CU110" s="69"/>
      <c r="CV110" s="69"/>
      <c r="CW110" s="69"/>
      <c r="CX110" s="70"/>
    </row>
    <row r="111" spans="1:102" ht="15" hidden="1" customHeight="1">
      <c r="A111" s="71"/>
      <c r="B111" s="11"/>
      <c r="C111" s="11"/>
      <c r="D111" s="11"/>
      <c r="E111" s="59">
        <v>94</v>
      </c>
      <c r="F111" s="60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67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60"/>
      <c r="AB111" s="60"/>
      <c r="AC111" s="60"/>
      <c r="AD111" s="60"/>
      <c r="AE111" s="60"/>
      <c r="AF111" s="60"/>
      <c r="AG111" s="60"/>
      <c r="AH111" s="60"/>
      <c r="AI111" s="60"/>
      <c r="AJ111" s="60"/>
      <c r="AK111" s="60"/>
      <c r="AL111" s="60"/>
      <c r="AM111" s="60"/>
      <c r="AN111" s="60"/>
      <c r="AO111" s="60"/>
      <c r="AP111" s="60"/>
      <c r="AQ111" s="60"/>
      <c r="AR111" s="60"/>
      <c r="AS111" s="60"/>
      <c r="AT111" s="60"/>
      <c r="AU111" s="60"/>
      <c r="AV111" s="60"/>
      <c r="AW111" s="60"/>
      <c r="AX111" s="60"/>
      <c r="AY111" s="60"/>
      <c r="AZ111" s="60"/>
      <c r="BA111" s="60"/>
      <c r="BB111" s="60"/>
      <c r="BC111" s="60"/>
      <c r="BD111" s="60"/>
      <c r="BE111" s="60"/>
      <c r="BF111" s="60"/>
      <c r="BG111" s="60"/>
      <c r="BH111" s="60"/>
      <c r="BI111" s="60"/>
      <c r="BJ111" s="60"/>
      <c r="BK111" s="60"/>
      <c r="BL111" s="60"/>
      <c r="BM111" s="60"/>
      <c r="BN111" s="60"/>
      <c r="BO111" s="60"/>
      <c r="BP111" s="60"/>
      <c r="BQ111" s="60"/>
      <c r="BR111" s="60"/>
      <c r="BS111" s="60"/>
      <c r="BT111" s="65"/>
      <c r="BU111" s="67"/>
      <c r="BV111" s="60"/>
      <c r="BW111" s="60"/>
      <c r="BX111" s="60"/>
      <c r="BY111" s="60"/>
      <c r="BZ111" s="60"/>
      <c r="CA111" s="60"/>
      <c r="CB111" s="60"/>
      <c r="CC111" s="60"/>
      <c r="CD111" s="60"/>
      <c r="CE111" s="60"/>
      <c r="CF111" s="60"/>
      <c r="CG111" s="60"/>
      <c r="CH111" s="60"/>
      <c r="CI111" s="60"/>
      <c r="CJ111" s="60"/>
      <c r="CK111" s="60"/>
      <c r="CL111" s="60"/>
      <c r="CM111" s="60"/>
      <c r="CN111" s="68"/>
      <c r="CO111" s="67"/>
      <c r="CP111" s="60"/>
      <c r="CQ111" s="60"/>
      <c r="CR111" s="60"/>
      <c r="CS111" s="68"/>
      <c r="CT111" s="69"/>
      <c r="CU111" s="69"/>
      <c r="CV111" s="69"/>
      <c r="CW111" s="69"/>
      <c r="CX111" s="70"/>
    </row>
    <row r="112" spans="1:102" ht="15" hidden="1" customHeight="1">
      <c r="A112" s="71"/>
      <c r="B112" s="11"/>
      <c r="C112" s="11"/>
      <c r="D112" s="11"/>
      <c r="E112" s="59">
        <v>95</v>
      </c>
      <c r="F112" s="60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67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60"/>
      <c r="AB112" s="60"/>
      <c r="AC112" s="60"/>
      <c r="AD112" s="60"/>
      <c r="AE112" s="60"/>
      <c r="AF112" s="60"/>
      <c r="AG112" s="60"/>
      <c r="AH112" s="60"/>
      <c r="AI112" s="60"/>
      <c r="AJ112" s="60"/>
      <c r="AK112" s="60"/>
      <c r="AL112" s="60"/>
      <c r="AM112" s="60"/>
      <c r="AN112" s="60"/>
      <c r="AO112" s="60"/>
      <c r="AP112" s="60"/>
      <c r="AQ112" s="60"/>
      <c r="AR112" s="60"/>
      <c r="AS112" s="60"/>
      <c r="AT112" s="60"/>
      <c r="AU112" s="60"/>
      <c r="AV112" s="60"/>
      <c r="AW112" s="60"/>
      <c r="AX112" s="60"/>
      <c r="AY112" s="60"/>
      <c r="AZ112" s="60"/>
      <c r="BA112" s="60"/>
      <c r="BB112" s="60"/>
      <c r="BC112" s="60"/>
      <c r="BD112" s="60"/>
      <c r="BE112" s="60"/>
      <c r="BF112" s="60"/>
      <c r="BG112" s="60"/>
      <c r="BH112" s="60"/>
      <c r="BI112" s="60"/>
      <c r="BJ112" s="60"/>
      <c r="BK112" s="60"/>
      <c r="BL112" s="60"/>
      <c r="BM112" s="60"/>
      <c r="BN112" s="60"/>
      <c r="BO112" s="60"/>
      <c r="BP112" s="60"/>
      <c r="BQ112" s="60"/>
      <c r="BR112" s="60"/>
      <c r="BS112" s="60"/>
      <c r="BT112" s="65"/>
      <c r="BU112" s="67"/>
      <c r="BV112" s="60"/>
      <c r="BW112" s="60"/>
      <c r="BX112" s="60"/>
      <c r="BY112" s="60"/>
      <c r="BZ112" s="60"/>
      <c r="CA112" s="60"/>
      <c r="CB112" s="60"/>
      <c r="CC112" s="60"/>
      <c r="CD112" s="60"/>
      <c r="CE112" s="60"/>
      <c r="CF112" s="60"/>
      <c r="CG112" s="60"/>
      <c r="CH112" s="60"/>
      <c r="CI112" s="60"/>
      <c r="CJ112" s="60"/>
      <c r="CK112" s="60"/>
      <c r="CL112" s="60"/>
      <c r="CM112" s="60"/>
      <c r="CN112" s="68"/>
      <c r="CO112" s="67"/>
      <c r="CP112" s="60"/>
      <c r="CQ112" s="60"/>
      <c r="CR112" s="60"/>
      <c r="CS112" s="68"/>
      <c r="CT112" s="69"/>
      <c r="CU112" s="69"/>
      <c r="CV112" s="69"/>
      <c r="CW112" s="69"/>
      <c r="CX112" s="70"/>
    </row>
    <row r="113" spans="1:102" ht="15" hidden="1" customHeight="1">
      <c r="A113" s="71"/>
      <c r="B113" s="11"/>
      <c r="C113" s="11"/>
      <c r="D113" s="11"/>
      <c r="E113" s="59">
        <v>96</v>
      </c>
      <c r="F113" s="60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67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60"/>
      <c r="AB113" s="60"/>
      <c r="AC113" s="60"/>
      <c r="AD113" s="60"/>
      <c r="AE113" s="60"/>
      <c r="AF113" s="60"/>
      <c r="AG113" s="60"/>
      <c r="AH113" s="60"/>
      <c r="AI113" s="60"/>
      <c r="AJ113" s="60"/>
      <c r="AK113" s="60"/>
      <c r="AL113" s="60"/>
      <c r="AM113" s="60"/>
      <c r="AN113" s="60"/>
      <c r="AO113" s="60"/>
      <c r="AP113" s="60"/>
      <c r="AQ113" s="60"/>
      <c r="AR113" s="60"/>
      <c r="AS113" s="60"/>
      <c r="AT113" s="60"/>
      <c r="AU113" s="60"/>
      <c r="AV113" s="60"/>
      <c r="AW113" s="60"/>
      <c r="AX113" s="60"/>
      <c r="AY113" s="60"/>
      <c r="AZ113" s="60"/>
      <c r="BA113" s="60"/>
      <c r="BB113" s="60"/>
      <c r="BC113" s="60"/>
      <c r="BD113" s="60"/>
      <c r="BE113" s="60"/>
      <c r="BF113" s="60"/>
      <c r="BG113" s="60"/>
      <c r="BH113" s="60"/>
      <c r="BI113" s="60"/>
      <c r="BJ113" s="60"/>
      <c r="BK113" s="60"/>
      <c r="BL113" s="60"/>
      <c r="BM113" s="60"/>
      <c r="BN113" s="60"/>
      <c r="BO113" s="60"/>
      <c r="BP113" s="60"/>
      <c r="BQ113" s="60"/>
      <c r="BR113" s="60"/>
      <c r="BS113" s="60"/>
      <c r="BT113" s="65"/>
      <c r="BU113" s="67"/>
      <c r="BV113" s="60"/>
      <c r="BW113" s="60"/>
      <c r="BX113" s="60"/>
      <c r="BY113" s="60"/>
      <c r="BZ113" s="60"/>
      <c r="CA113" s="60"/>
      <c r="CB113" s="60"/>
      <c r="CC113" s="60"/>
      <c r="CD113" s="60"/>
      <c r="CE113" s="60"/>
      <c r="CF113" s="60"/>
      <c r="CG113" s="60"/>
      <c r="CH113" s="60"/>
      <c r="CI113" s="60"/>
      <c r="CJ113" s="60"/>
      <c r="CK113" s="60"/>
      <c r="CL113" s="60"/>
      <c r="CM113" s="60"/>
      <c r="CN113" s="68"/>
      <c r="CO113" s="67"/>
      <c r="CP113" s="60"/>
      <c r="CQ113" s="60"/>
      <c r="CR113" s="60"/>
      <c r="CS113" s="68"/>
      <c r="CT113" s="69"/>
      <c r="CU113" s="69"/>
      <c r="CV113" s="69"/>
      <c r="CW113" s="69"/>
      <c r="CX113" s="70"/>
    </row>
    <row r="114" spans="1:102" ht="15" hidden="1" customHeight="1">
      <c r="A114" s="71"/>
      <c r="B114" s="11"/>
      <c r="C114" s="11"/>
      <c r="D114" s="11"/>
      <c r="E114" s="59">
        <v>97</v>
      </c>
      <c r="F114" s="60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67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60"/>
      <c r="AB114" s="60"/>
      <c r="AC114" s="60"/>
      <c r="AD114" s="60"/>
      <c r="AE114" s="60"/>
      <c r="AF114" s="60"/>
      <c r="AG114" s="60"/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60"/>
      <c r="AU114" s="60"/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5"/>
      <c r="BU114" s="67"/>
      <c r="BV114" s="60"/>
      <c r="BW114" s="60"/>
      <c r="BX114" s="60"/>
      <c r="BY114" s="60"/>
      <c r="BZ114" s="60"/>
      <c r="CA114" s="60"/>
      <c r="CB114" s="60"/>
      <c r="CC114" s="60"/>
      <c r="CD114" s="60"/>
      <c r="CE114" s="60"/>
      <c r="CF114" s="60"/>
      <c r="CG114" s="60"/>
      <c r="CH114" s="60"/>
      <c r="CI114" s="60"/>
      <c r="CJ114" s="60"/>
      <c r="CK114" s="60"/>
      <c r="CL114" s="60"/>
      <c r="CM114" s="60"/>
      <c r="CN114" s="68"/>
      <c r="CO114" s="67"/>
      <c r="CP114" s="60"/>
      <c r="CQ114" s="60"/>
      <c r="CR114" s="60"/>
      <c r="CS114" s="68"/>
      <c r="CT114" s="69"/>
      <c r="CU114" s="69"/>
      <c r="CV114" s="69"/>
      <c r="CW114" s="69"/>
      <c r="CX114" s="70"/>
    </row>
    <row r="115" spans="1:102" ht="15" hidden="1" customHeight="1">
      <c r="A115" s="71"/>
      <c r="B115" s="11"/>
      <c r="C115" s="11"/>
      <c r="D115" s="11"/>
      <c r="E115" s="59">
        <v>98</v>
      </c>
      <c r="F115" s="60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67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60"/>
      <c r="AB115" s="60"/>
      <c r="AC115" s="60"/>
      <c r="AD115" s="60"/>
      <c r="AE115" s="60"/>
      <c r="AF115" s="60"/>
      <c r="AG115" s="60"/>
      <c r="AH115" s="60"/>
      <c r="AI115" s="60"/>
      <c r="AJ115" s="60"/>
      <c r="AK115" s="60"/>
      <c r="AL115" s="60"/>
      <c r="AM115" s="60"/>
      <c r="AN115" s="60"/>
      <c r="AO115" s="60"/>
      <c r="AP115" s="60"/>
      <c r="AQ115" s="60"/>
      <c r="AR115" s="60"/>
      <c r="AS115" s="60"/>
      <c r="AT115" s="60"/>
      <c r="AU115" s="60"/>
      <c r="AV115" s="60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5"/>
      <c r="BU115" s="67"/>
      <c r="BV115" s="60"/>
      <c r="BW115" s="60"/>
      <c r="BX115" s="60"/>
      <c r="BY115" s="60"/>
      <c r="BZ115" s="60"/>
      <c r="CA115" s="60"/>
      <c r="CB115" s="60"/>
      <c r="CC115" s="60"/>
      <c r="CD115" s="60"/>
      <c r="CE115" s="60"/>
      <c r="CF115" s="60"/>
      <c r="CG115" s="60"/>
      <c r="CH115" s="60"/>
      <c r="CI115" s="60"/>
      <c r="CJ115" s="60"/>
      <c r="CK115" s="60"/>
      <c r="CL115" s="60"/>
      <c r="CM115" s="60"/>
      <c r="CN115" s="68"/>
      <c r="CO115" s="67"/>
      <c r="CP115" s="60"/>
      <c r="CQ115" s="60"/>
      <c r="CR115" s="60"/>
      <c r="CS115" s="68"/>
      <c r="CT115" s="69"/>
      <c r="CU115" s="69"/>
      <c r="CV115" s="69"/>
      <c r="CW115" s="69"/>
      <c r="CX115" s="70"/>
    </row>
    <row r="116" spans="1:102" ht="15" hidden="1" customHeight="1">
      <c r="A116" s="71"/>
      <c r="B116" s="11"/>
      <c r="C116" s="11"/>
      <c r="D116" s="11"/>
      <c r="E116" s="59">
        <v>99</v>
      </c>
      <c r="F116" s="60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67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60"/>
      <c r="AB116" s="60"/>
      <c r="AC116" s="60"/>
      <c r="AD116" s="60"/>
      <c r="AE116" s="60"/>
      <c r="AF116" s="60"/>
      <c r="AG116" s="60"/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60"/>
      <c r="AU116" s="60"/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/>
      <c r="BJ116" s="60"/>
      <c r="BK116" s="60"/>
      <c r="BL116" s="60"/>
      <c r="BM116" s="60"/>
      <c r="BN116" s="60"/>
      <c r="BO116" s="60"/>
      <c r="BP116" s="60"/>
      <c r="BQ116" s="60"/>
      <c r="BR116" s="60"/>
      <c r="BS116" s="60"/>
      <c r="BT116" s="65"/>
      <c r="BU116" s="67"/>
      <c r="BV116" s="60"/>
      <c r="BW116" s="60"/>
      <c r="BX116" s="60"/>
      <c r="BY116" s="60"/>
      <c r="BZ116" s="60"/>
      <c r="CA116" s="60"/>
      <c r="CB116" s="60"/>
      <c r="CC116" s="60"/>
      <c r="CD116" s="60"/>
      <c r="CE116" s="60"/>
      <c r="CF116" s="60"/>
      <c r="CG116" s="60"/>
      <c r="CH116" s="60"/>
      <c r="CI116" s="60"/>
      <c r="CJ116" s="60"/>
      <c r="CK116" s="60"/>
      <c r="CL116" s="60"/>
      <c r="CM116" s="60"/>
      <c r="CN116" s="68"/>
      <c r="CO116" s="67"/>
      <c r="CP116" s="60"/>
      <c r="CQ116" s="60"/>
      <c r="CR116" s="60"/>
      <c r="CS116" s="68"/>
      <c r="CT116" s="69"/>
      <c r="CU116" s="69"/>
      <c r="CV116" s="69"/>
      <c r="CW116" s="69"/>
      <c r="CX116" s="70"/>
    </row>
    <row r="117" spans="1:102" ht="15" hidden="1" customHeight="1">
      <c r="A117" s="71"/>
      <c r="B117" s="11"/>
      <c r="C117" s="11"/>
      <c r="D117" s="11"/>
      <c r="E117" s="59">
        <v>100</v>
      </c>
      <c r="F117" s="148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49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  <c r="AA117" s="148"/>
      <c r="AB117" s="148"/>
      <c r="AC117" s="148"/>
      <c r="AD117" s="148"/>
      <c r="AE117" s="148"/>
      <c r="AF117" s="148"/>
      <c r="AG117" s="148"/>
      <c r="AH117" s="148"/>
      <c r="AI117" s="148"/>
      <c r="AJ117" s="148"/>
      <c r="AK117" s="148"/>
      <c r="AL117" s="148"/>
      <c r="AM117" s="148"/>
      <c r="AN117" s="148"/>
      <c r="AO117" s="148"/>
      <c r="AP117" s="148"/>
      <c r="AQ117" s="148"/>
      <c r="AR117" s="148"/>
      <c r="AS117" s="148"/>
      <c r="AT117" s="148"/>
      <c r="AU117" s="148"/>
      <c r="AV117" s="148"/>
      <c r="AW117" s="148"/>
      <c r="AX117" s="148"/>
      <c r="AY117" s="148"/>
      <c r="AZ117" s="148"/>
      <c r="BA117" s="148"/>
      <c r="BB117" s="148"/>
      <c r="BC117" s="148"/>
      <c r="BD117" s="148"/>
      <c r="BE117" s="148"/>
      <c r="BF117" s="148"/>
      <c r="BG117" s="148"/>
      <c r="BH117" s="148"/>
      <c r="BI117" s="148"/>
      <c r="BJ117" s="148"/>
      <c r="BK117" s="148"/>
      <c r="BL117" s="148"/>
      <c r="BM117" s="148"/>
      <c r="BN117" s="148"/>
      <c r="BO117" s="148"/>
      <c r="BP117" s="148"/>
      <c r="BQ117" s="148"/>
      <c r="BR117" s="148"/>
      <c r="BS117" s="148"/>
      <c r="BT117" s="150"/>
      <c r="BU117" s="149"/>
      <c r="BV117" s="148"/>
      <c r="BW117" s="148"/>
      <c r="BX117" s="148"/>
      <c r="BY117" s="148"/>
      <c r="BZ117" s="148"/>
      <c r="CA117" s="148"/>
      <c r="CB117" s="148"/>
      <c r="CC117" s="148"/>
      <c r="CD117" s="148"/>
      <c r="CE117" s="148"/>
      <c r="CF117" s="148"/>
      <c r="CG117" s="148"/>
      <c r="CH117" s="148"/>
      <c r="CI117" s="148"/>
      <c r="CJ117" s="148"/>
      <c r="CK117" s="148"/>
      <c r="CL117" s="148"/>
      <c r="CM117" s="148"/>
      <c r="CN117" s="151"/>
      <c r="CO117" s="149"/>
      <c r="CP117" s="148"/>
      <c r="CQ117" s="148"/>
      <c r="CR117" s="148"/>
      <c r="CS117" s="151"/>
      <c r="CT117" s="152"/>
      <c r="CU117" s="152"/>
      <c r="CV117" s="152"/>
      <c r="CW117" s="152"/>
      <c r="CX117" s="153"/>
    </row>
    <row r="118" spans="1:102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</row>
    <row r="119" spans="1:102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</row>
    <row r="120" spans="1:102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</row>
    <row r="121" spans="1:102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</row>
    <row r="122" spans="1:102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</row>
    <row r="123" spans="1:102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</row>
    <row r="124" spans="1:102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</row>
    <row r="125" spans="1:102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</row>
    <row r="126" spans="1:102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</row>
    <row r="127" spans="1:102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</row>
    <row r="128" spans="1:102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</row>
    <row r="129" spans="8:102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</row>
    <row r="130" spans="8:102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</row>
    <row r="131" spans="8:102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</row>
    <row r="132" spans="8:102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</row>
    <row r="133" spans="8:102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</row>
    <row r="134" spans="8:102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</row>
    <row r="135" spans="8:102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</row>
    <row r="136" spans="8:102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</row>
    <row r="137" spans="8:102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</row>
    <row r="138" spans="8:102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</row>
    <row r="139" spans="8:102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</row>
    <row r="140" spans="8:102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</row>
    <row r="141" spans="8:102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</row>
    <row r="142" spans="8:102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</row>
    <row r="143" spans="8:102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</row>
    <row r="144" spans="8:102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</row>
    <row r="145" spans="8:102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</row>
    <row r="146" spans="8:102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</row>
    <row r="147" spans="8:102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</row>
    <row r="148" spans="8:102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</row>
    <row r="149" spans="8:102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</row>
    <row r="150" spans="8:102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</row>
    <row r="151" spans="8:102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</row>
    <row r="152" spans="8:102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</row>
    <row r="153" spans="8:102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</row>
    <row r="154" spans="8:102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</row>
    <row r="155" spans="8:102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</row>
    <row r="156" spans="8:102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</row>
    <row r="157" spans="8:102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</row>
    <row r="158" spans="8:102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</row>
    <row r="159" spans="8:102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</row>
    <row r="160" spans="8:102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</row>
    <row r="161" spans="8:102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</row>
    <row r="162" spans="8:102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</row>
    <row r="163" spans="8:102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</row>
    <row r="164" spans="8:102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</row>
    <row r="165" spans="8:102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</row>
    <row r="166" spans="8:102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</row>
    <row r="167" spans="8:102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</row>
    <row r="168" spans="8:102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</row>
    <row r="169" spans="8:102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</row>
    <row r="170" spans="8:102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</row>
    <row r="171" spans="8:102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</row>
    <row r="172" spans="8:102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</row>
    <row r="173" spans="8:102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</row>
    <row r="174" spans="8:102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</row>
    <row r="175" spans="8:102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</row>
    <row r="176" spans="8:102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</row>
    <row r="177" spans="8:102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</row>
    <row r="178" spans="8:102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</row>
    <row r="179" spans="8:102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</row>
    <row r="180" spans="8:102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</row>
    <row r="181" spans="8:102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</row>
    <row r="182" spans="8:102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</row>
    <row r="183" spans="8:102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</row>
    <row r="184" spans="8:102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</row>
    <row r="185" spans="8:102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</row>
    <row r="186" spans="8:102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</row>
    <row r="187" spans="8:102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</row>
    <row r="188" spans="8:102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</row>
    <row r="189" spans="8:102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</row>
    <row r="190" spans="8:102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</row>
    <row r="191" spans="8:102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</row>
    <row r="192" spans="8:102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</row>
    <row r="193" spans="8:102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</row>
    <row r="194" spans="8:102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</row>
    <row r="195" spans="8:102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</row>
    <row r="196" spans="8:102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</row>
    <row r="197" spans="8:102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</row>
    <row r="198" spans="8:102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</row>
    <row r="199" spans="8:102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</row>
    <row r="200" spans="8:102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</row>
    <row r="201" spans="8:102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</row>
    <row r="202" spans="8:102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</row>
    <row r="203" spans="8:102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</row>
    <row r="204" spans="8:102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</row>
    <row r="205" spans="8:102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</row>
    <row r="206" spans="8:102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</row>
    <row r="207" spans="8:102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</row>
    <row r="208" spans="8:102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</row>
    <row r="209" spans="8:102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</row>
    <row r="210" spans="8:102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</row>
    <row r="211" spans="8:102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</row>
    <row r="212" spans="8:102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</row>
    <row r="213" spans="8:102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</row>
    <row r="214" spans="8:102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</row>
    <row r="215" spans="8:102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</row>
    <row r="216" spans="8:102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</row>
    <row r="217" spans="8:102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</row>
    <row r="218" spans="8:102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</row>
    <row r="219" spans="8:102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</row>
    <row r="220" spans="8:102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</row>
    <row r="221" spans="8:102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</row>
    <row r="222" spans="8:102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</row>
    <row r="223" spans="8:102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</row>
    <row r="224" spans="8:102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</row>
    <row r="225" spans="8:102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</row>
    <row r="226" spans="8:102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</row>
    <row r="227" spans="8:102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</row>
    <row r="228" spans="8:102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</row>
    <row r="229" spans="8:102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</row>
    <row r="230" spans="8:102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</row>
    <row r="231" spans="8:102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</row>
    <row r="232" spans="8:102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</row>
    <row r="233" spans="8:102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</row>
    <row r="234" spans="8:102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</row>
    <row r="235" spans="8:102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</row>
    <row r="236" spans="8:102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</row>
    <row r="237" spans="8:102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</row>
    <row r="238" spans="8:102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</row>
    <row r="239" spans="8:102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</row>
    <row r="240" spans="8:102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</row>
    <row r="241" spans="8:102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</row>
    <row r="242" spans="8:102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</row>
    <row r="243" spans="8:102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</row>
    <row r="244" spans="8:102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</row>
    <row r="245" spans="8:102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</row>
    <row r="246" spans="8:102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</row>
    <row r="247" spans="8:102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</row>
    <row r="248" spans="8:102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</row>
    <row r="249" spans="8:102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</row>
    <row r="250" spans="8:102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</row>
    <row r="251" spans="8:102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</row>
    <row r="252" spans="8:102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</row>
    <row r="253" spans="8:102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</row>
    <row r="254" spans="8:102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</row>
    <row r="255" spans="8:102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</row>
    <row r="256" spans="8:102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</row>
    <row r="257" spans="8:102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</row>
    <row r="258" spans="8:102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</row>
    <row r="259" spans="8:102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</row>
    <row r="260" spans="8:102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</row>
    <row r="261" spans="8:102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</row>
    <row r="262" spans="8:102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</row>
    <row r="263" spans="8:102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</row>
    <row r="264" spans="8:102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</row>
    <row r="265" spans="8:102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</row>
    <row r="266" spans="8:102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</row>
    <row r="267" spans="8:102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</row>
    <row r="268" spans="8:102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</row>
    <row r="269" spans="8:102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</row>
    <row r="270" spans="8:102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</row>
    <row r="271" spans="8:102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</row>
    <row r="272" spans="8:102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</row>
    <row r="273" spans="8:102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</row>
    <row r="274" spans="8:102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</row>
    <row r="275" spans="8:102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</row>
    <row r="276" spans="8:102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</row>
    <row r="277" spans="8:102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</row>
    <row r="278" spans="8:102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</row>
    <row r="279" spans="8:102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</row>
    <row r="280" spans="8:102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</row>
    <row r="281" spans="8:102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</row>
    <row r="282" spans="8:102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</row>
    <row r="283" spans="8:102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</row>
    <row r="284" spans="8:102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</row>
    <row r="285" spans="8:102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</row>
    <row r="286" spans="8:102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</row>
    <row r="287" spans="8:102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</row>
    <row r="288" spans="8:102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</row>
    <row r="289" spans="8:102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</row>
    <row r="290" spans="8:102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</row>
    <row r="291" spans="8:102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</row>
    <row r="292" spans="8:102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</row>
    <row r="293" spans="8:102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</row>
    <row r="294" spans="8:102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</row>
    <row r="295" spans="8:102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</row>
    <row r="296" spans="8:102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</row>
    <row r="297" spans="8:102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</row>
    <row r="298" spans="8:102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</row>
    <row r="299" spans="8:102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</row>
    <row r="300" spans="8:102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</row>
    <row r="301" spans="8:102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</row>
    <row r="302" spans="8:102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</row>
    <row r="303" spans="8:102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</row>
    <row r="304" spans="8:102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</row>
    <row r="305" spans="8:102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</row>
    <row r="306" spans="8:102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</row>
    <row r="307" spans="8:102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</row>
    <row r="308" spans="8:102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</row>
    <row r="309" spans="8:102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</row>
    <row r="310" spans="8:102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</row>
    <row r="311" spans="8:102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</row>
    <row r="312" spans="8:102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</row>
    <row r="313" spans="8:102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</row>
    <row r="314" spans="8:102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</row>
    <row r="315" spans="8:102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</row>
    <row r="316" spans="8:102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</row>
    <row r="317" spans="8:102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</row>
  </sheetData>
  <mergeCells count="46">
    <mergeCell ref="F2:CX2"/>
    <mergeCell ref="F3:CX3"/>
    <mergeCell ref="F4:CX4"/>
    <mergeCell ref="F6:CX6"/>
    <mergeCell ref="E7:F7"/>
    <mergeCell ref="S7:W7"/>
    <mergeCell ref="BL7:BP7"/>
    <mergeCell ref="BV7:CO7"/>
    <mergeCell ref="K7:O7"/>
    <mergeCell ref="BV9:CO9"/>
    <mergeCell ref="K8:O8"/>
    <mergeCell ref="E9:F9"/>
    <mergeCell ref="K9:O9"/>
    <mergeCell ref="E10:F10"/>
    <mergeCell ref="K10:O10"/>
    <mergeCell ref="S9:W9"/>
    <mergeCell ref="S8:W8"/>
    <mergeCell ref="BL8:BP8"/>
    <mergeCell ref="BL9:BP9"/>
    <mergeCell ref="E8:F8"/>
    <mergeCell ref="BV8:CO8"/>
    <mergeCell ref="S10:U10"/>
    <mergeCell ref="V10:Z10"/>
    <mergeCell ref="BL10:BP10"/>
    <mergeCell ref="BV10:CO10"/>
    <mergeCell ref="BU13:CN14"/>
    <mergeCell ref="CO13:CX14"/>
    <mergeCell ref="E13:E17"/>
    <mergeCell ref="F13:F17"/>
    <mergeCell ref="G13:G17"/>
    <mergeCell ref="H13:BT14"/>
    <mergeCell ref="CP11:CS11"/>
    <mergeCell ref="E12:F12"/>
    <mergeCell ref="K12:O12"/>
    <mergeCell ref="X12:Y12"/>
    <mergeCell ref="BL12:BP12"/>
    <mergeCell ref="BQ12:BR12"/>
    <mergeCell ref="BV12:CO12"/>
    <mergeCell ref="CP12:CS12"/>
    <mergeCell ref="K11:O11"/>
    <mergeCell ref="BV11:CO11"/>
    <mergeCell ref="E11:F11"/>
    <mergeCell ref="S11:U11"/>
    <mergeCell ref="V11:Z11"/>
    <mergeCell ref="BL11:BP11"/>
    <mergeCell ref="BQ11:BR11"/>
  </mergeCells>
  <conditionalFormatting sqref="H18:CX117">
    <cfRule type="cellIs" dxfId="7" priority="1" operator="equal">
      <formula>""</formula>
    </cfRule>
  </conditionalFormatting>
  <hyperlinks>
    <hyperlink ref="F4" r:id="rId1" xr:uid="{00000000-0004-0000-0200-000000000000}"/>
  </hyperlinks>
  <pageMargins left="0.23622047244094491" right="0.23622047244094491" top="0.74803149606299213" bottom="0.74803149606299213" header="0" footer="0"/>
  <pageSetup paperSize="9" orientation="landscape"/>
  <headerFooter>
    <oddFooter>&amp;LDocument Code: OVPAA-F-INS-055A&amp;CRevision No.: 04                                                                     Issue Date: September 16, 2024&amp;R Page 1 of 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  <pageSetUpPr fitToPage="1"/>
  </sheetPr>
  <dimension ref="A2:DI317"/>
  <sheetViews>
    <sheetView showGridLines="0" topLeftCell="R7" zoomScale="71" workbookViewId="0">
      <selection activeCell="CS13" sqref="CS13:DD14"/>
    </sheetView>
  </sheetViews>
  <sheetFormatPr defaultColWidth="14.453125" defaultRowHeight="15" customHeight="1"/>
  <cols>
    <col min="1" max="4" width="9.1796875" hidden="1" customWidth="1"/>
    <col min="5" max="5" width="4" customWidth="1"/>
    <col min="6" max="6" width="14" customWidth="1"/>
    <col min="7" max="7" width="31.81640625" customWidth="1"/>
    <col min="8" max="37" width="5.7265625" customWidth="1"/>
    <col min="38" max="72" width="5.7265625" hidden="1" customWidth="1"/>
    <col min="73" max="84" width="5.7265625" customWidth="1"/>
    <col min="85" max="94" width="5.7265625" hidden="1" customWidth="1"/>
    <col min="95" max="113" width="5.7265625" customWidth="1"/>
  </cols>
  <sheetData>
    <row r="2" spans="5:113" ht="14.5">
      <c r="F2" s="234" t="s">
        <v>0</v>
      </c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  <c r="S2" s="223"/>
      <c r="T2" s="223"/>
      <c r="U2" s="223"/>
      <c r="V2" s="223"/>
      <c r="W2" s="223"/>
      <c r="X2" s="223"/>
      <c r="Y2" s="223"/>
      <c r="Z2" s="223"/>
      <c r="AA2" s="223"/>
      <c r="AB2" s="223"/>
      <c r="AC2" s="223"/>
      <c r="AD2" s="223"/>
      <c r="AE2" s="223"/>
      <c r="AF2" s="223"/>
      <c r="AG2" s="223"/>
      <c r="AH2" s="223"/>
      <c r="AI2" s="223"/>
      <c r="AJ2" s="223"/>
      <c r="AK2" s="223"/>
      <c r="AL2" s="223"/>
      <c r="AM2" s="223"/>
      <c r="AN2" s="223"/>
      <c r="AO2" s="223"/>
      <c r="AP2" s="223"/>
      <c r="AQ2" s="223"/>
      <c r="AR2" s="223"/>
      <c r="AS2" s="223"/>
      <c r="AT2" s="223"/>
      <c r="AU2" s="223"/>
      <c r="AV2" s="223"/>
      <c r="AW2" s="223"/>
      <c r="AX2" s="223"/>
      <c r="AY2" s="223"/>
      <c r="AZ2" s="223"/>
      <c r="BA2" s="223"/>
      <c r="BB2" s="223"/>
      <c r="BC2" s="223"/>
      <c r="BD2" s="223"/>
      <c r="BE2" s="223"/>
      <c r="BF2" s="223"/>
      <c r="BG2" s="223"/>
      <c r="BH2" s="223"/>
      <c r="BI2" s="223"/>
      <c r="BJ2" s="223"/>
      <c r="BK2" s="223"/>
      <c r="BL2" s="223"/>
      <c r="BM2" s="223"/>
      <c r="BN2" s="223"/>
      <c r="BO2" s="223"/>
      <c r="BP2" s="223"/>
      <c r="BQ2" s="223"/>
      <c r="BR2" s="223"/>
      <c r="BS2" s="223"/>
      <c r="BT2" s="223"/>
      <c r="BU2" s="223"/>
      <c r="BV2" s="223"/>
      <c r="BW2" s="223"/>
      <c r="BX2" s="223"/>
      <c r="BY2" s="223"/>
      <c r="BZ2" s="223"/>
      <c r="CA2" s="223"/>
      <c r="CB2" s="223"/>
      <c r="CC2" s="223"/>
      <c r="CD2" s="223"/>
      <c r="CE2" s="223"/>
      <c r="CF2" s="223"/>
      <c r="CG2" s="223"/>
      <c r="CH2" s="223"/>
      <c r="CI2" s="223"/>
      <c r="CJ2" s="223"/>
      <c r="CK2" s="223"/>
      <c r="CL2" s="223"/>
      <c r="CM2" s="223"/>
      <c r="CN2" s="223"/>
      <c r="CO2" s="223"/>
      <c r="CP2" s="223"/>
      <c r="CQ2" s="223"/>
      <c r="CR2" s="223"/>
      <c r="CS2" s="223"/>
      <c r="CT2" s="223"/>
      <c r="CU2" s="223"/>
      <c r="CV2" s="223"/>
      <c r="CW2" s="223"/>
      <c r="CX2" s="223"/>
      <c r="CY2" s="223"/>
      <c r="CZ2" s="223"/>
      <c r="DA2" s="223"/>
      <c r="DB2" s="223"/>
      <c r="DC2" s="223"/>
      <c r="DD2" s="223"/>
      <c r="DE2" s="223"/>
      <c r="DF2" s="223"/>
      <c r="DG2" s="223"/>
      <c r="DH2" s="223"/>
      <c r="DI2" s="72"/>
    </row>
    <row r="3" spans="5:113" ht="14.5">
      <c r="F3" s="235" t="s">
        <v>1</v>
      </c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  <c r="S3" s="223"/>
      <c r="T3" s="223"/>
      <c r="U3" s="223"/>
      <c r="V3" s="223"/>
      <c r="W3" s="223"/>
      <c r="X3" s="223"/>
      <c r="Y3" s="223"/>
      <c r="Z3" s="223"/>
      <c r="AA3" s="223"/>
      <c r="AB3" s="223"/>
      <c r="AC3" s="223"/>
      <c r="AD3" s="223"/>
      <c r="AE3" s="223"/>
      <c r="AF3" s="223"/>
      <c r="AG3" s="223"/>
      <c r="AH3" s="223"/>
      <c r="AI3" s="223"/>
      <c r="AJ3" s="223"/>
      <c r="AK3" s="223"/>
      <c r="AL3" s="223"/>
      <c r="AM3" s="223"/>
      <c r="AN3" s="223"/>
      <c r="AO3" s="223"/>
      <c r="AP3" s="223"/>
      <c r="AQ3" s="223"/>
      <c r="AR3" s="223"/>
      <c r="AS3" s="223"/>
      <c r="AT3" s="223"/>
      <c r="AU3" s="223"/>
      <c r="AV3" s="223"/>
      <c r="AW3" s="223"/>
      <c r="AX3" s="223"/>
      <c r="AY3" s="223"/>
      <c r="AZ3" s="223"/>
      <c r="BA3" s="223"/>
      <c r="BB3" s="223"/>
      <c r="BC3" s="223"/>
      <c r="BD3" s="223"/>
      <c r="BE3" s="223"/>
      <c r="BF3" s="223"/>
      <c r="BG3" s="223"/>
      <c r="BH3" s="223"/>
      <c r="BI3" s="223"/>
      <c r="BJ3" s="223"/>
      <c r="BK3" s="223"/>
      <c r="BL3" s="223"/>
      <c r="BM3" s="223"/>
      <c r="BN3" s="223"/>
      <c r="BO3" s="223"/>
      <c r="BP3" s="223"/>
      <c r="BQ3" s="223"/>
      <c r="BR3" s="223"/>
      <c r="BS3" s="223"/>
      <c r="BT3" s="223"/>
      <c r="BU3" s="223"/>
      <c r="BV3" s="223"/>
      <c r="BW3" s="223"/>
      <c r="BX3" s="223"/>
      <c r="BY3" s="223"/>
      <c r="BZ3" s="223"/>
      <c r="CA3" s="223"/>
      <c r="CB3" s="223"/>
      <c r="CC3" s="223"/>
      <c r="CD3" s="223"/>
      <c r="CE3" s="223"/>
      <c r="CF3" s="223"/>
      <c r="CG3" s="223"/>
      <c r="CH3" s="223"/>
      <c r="CI3" s="223"/>
      <c r="CJ3" s="223"/>
      <c r="CK3" s="223"/>
      <c r="CL3" s="223"/>
      <c r="CM3" s="223"/>
      <c r="CN3" s="223"/>
      <c r="CO3" s="223"/>
      <c r="CP3" s="223"/>
      <c r="CQ3" s="223"/>
      <c r="CR3" s="223"/>
      <c r="CS3" s="223"/>
      <c r="CT3" s="223"/>
      <c r="CU3" s="223"/>
      <c r="CV3" s="223"/>
      <c r="CW3" s="223"/>
      <c r="CX3" s="223"/>
      <c r="CY3" s="223"/>
      <c r="CZ3" s="223"/>
      <c r="DA3" s="223"/>
      <c r="DB3" s="223"/>
      <c r="DC3" s="223"/>
      <c r="DD3" s="223"/>
      <c r="DE3" s="223"/>
      <c r="DF3" s="223"/>
      <c r="DG3" s="223"/>
      <c r="DH3" s="223"/>
      <c r="DI3" s="73"/>
    </row>
    <row r="4" spans="5:113" ht="14.5">
      <c r="F4" s="236" t="s">
        <v>2</v>
      </c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  <c r="S4" s="223"/>
      <c r="T4" s="223"/>
      <c r="U4" s="223"/>
      <c r="V4" s="223"/>
      <c r="W4" s="223"/>
      <c r="X4" s="223"/>
      <c r="Y4" s="223"/>
      <c r="Z4" s="223"/>
      <c r="AA4" s="223"/>
      <c r="AB4" s="223"/>
      <c r="AC4" s="223"/>
      <c r="AD4" s="223"/>
      <c r="AE4" s="223"/>
      <c r="AF4" s="223"/>
      <c r="AG4" s="223"/>
      <c r="AH4" s="223"/>
      <c r="AI4" s="223"/>
      <c r="AJ4" s="223"/>
      <c r="AK4" s="223"/>
      <c r="AL4" s="223"/>
      <c r="AM4" s="223"/>
      <c r="AN4" s="223"/>
      <c r="AO4" s="223"/>
      <c r="AP4" s="223"/>
      <c r="AQ4" s="223"/>
      <c r="AR4" s="223"/>
      <c r="AS4" s="223"/>
      <c r="AT4" s="223"/>
      <c r="AU4" s="223"/>
      <c r="AV4" s="223"/>
      <c r="AW4" s="223"/>
      <c r="AX4" s="223"/>
      <c r="AY4" s="223"/>
      <c r="AZ4" s="223"/>
      <c r="BA4" s="223"/>
      <c r="BB4" s="223"/>
      <c r="BC4" s="223"/>
      <c r="BD4" s="223"/>
      <c r="BE4" s="223"/>
      <c r="BF4" s="223"/>
      <c r="BG4" s="223"/>
      <c r="BH4" s="223"/>
      <c r="BI4" s="223"/>
      <c r="BJ4" s="223"/>
      <c r="BK4" s="223"/>
      <c r="BL4" s="223"/>
      <c r="BM4" s="223"/>
      <c r="BN4" s="223"/>
      <c r="BO4" s="223"/>
      <c r="BP4" s="223"/>
      <c r="BQ4" s="223"/>
      <c r="BR4" s="223"/>
      <c r="BS4" s="223"/>
      <c r="BT4" s="223"/>
      <c r="BU4" s="223"/>
      <c r="BV4" s="223"/>
      <c r="BW4" s="223"/>
      <c r="BX4" s="223"/>
      <c r="BY4" s="223"/>
      <c r="BZ4" s="223"/>
      <c r="CA4" s="223"/>
      <c r="CB4" s="223"/>
      <c r="CC4" s="223"/>
      <c r="CD4" s="223"/>
      <c r="CE4" s="223"/>
      <c r="CF4" s="223"/>
      <c r="CG4" s="223"/>
      <c r="CH4" s="223"/>
      <c r="CI4" s="223"/>
      <c r="CJ4" s="223"/>
      <c r="CK4" s="223"/>
      <c r="CL4" s="223"/>
      <c r="CM4" s="223"/>
      <c r="CN4" s="223"/>
      <c r="CO4" s="223"/>
      <c r="CP4" s="223"/>
      <c r="CQ4" s="223"/>
      <c r="CR4" s="223"/>
      <c r="CS4" s="223"/>
      <c r="CT4" s="223"/>
      <c r="CU4" s="223"/>
      <c r="CV4" s="223"/>
      <c r="CW4" s="223"/>
      <c r="CX4" s="223"/>
      <c r="CY4" s="223"/>
      <c r="CZ4" s="223"/>
      <c r="DA4" s="223"/>
      <c r="DB4" s="223"/>
      <c r="DC4" s="223"/>
      <c r="DD4" s="223"/>
      <c r="DE4" s="223"/>
      <c r="DF4" s="223"/>
      <c r="DG4" s="223"/>
      <c r="DH4" s="223"/>
      <c r="DI4" s="74"/>
    </row>
    <row r="5" spans="5:113" ht="14.5"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</row>
    <row r="6" spans="5:113" ht="18.5">
      <c r="E6" s="5"/>
      <c r="F6" s="266" t="s">
        <v>65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  <c r="AE6" s="223"/>
      <c r="AF6" s="223"/>
      <c r="AG6" s="223"/>
      <c r="AH6" s="223"/>
      <c r="AI6" s="223"/>
      <c r="AJ6" s="223"/>
      <c r="AK6" s="223"/>
      <c r="AL6" s="223"/>
      <c r="AM6" s="223"/>
      <c r="AN6" s="223"/>
      <c r="AO6" s="223"/>
      <c r="AP6" s="223"/>
      <c r="AQ6" s="223"/>
      <c r="AR6" s="223"/>
      <c r="AS6" s="223"/>
      <c r="AT6" s="223"/>
      <c r="AU6" s="223"/>
      <c r="AV6" s="223"/>
      <c r="AW6" s="223"/>
      <c r="AX6" s="223"/>
      <c r="AY6" s="223"/>
      <c r="AZ6" s="223"/>
      <c r="BA6" s="223"/>
      <c r="BB6" s="223"/>
      <c r="BC6" s="223"/>
      <c r="BD6" s="223"/>
      <c r="BE6" s="223"/>
      <c r="BF6" s="223"/>
      <c r="BG6" s="223"/>
      <c r="BH6" s="223"/>
      <c r="BI6" s="223"/>
      <c r="BJ6" s="223"/>
      <c r="BK6" s="223"/>
      <c r="BL6" s="223"/>
      <c r="BM6" s="223"/>
      <c r="BN6" s="223"/>
      <c r="BO6" s="223"/>
      <c r="BP6" s="223"/>
      <c r="BQ6" s="223"/>
      <c r="BR6" s="223"/>
      <c r="BS6" s="223"/>
      <c r="BT6" s="223"/>
      <c r="BU6" s="223"/>
      <c r="BV6" s="223"/>
      <c r="BW6" s="223"/>
      <c r="BX6" s="223"/>
      <c r="BY6" s="223"/>
      <c r="BZ6" s="223"/>
      <c r="CA6" s="223"/>
      <c r="CB6" s="223"/>
      <c r="CC6" s="223"/>
      <c r="CD6" s="223"/>
      <c r="CE6" s="223"/>
      <c r="CF6" s="223"/>
      <c r="CG6" s="223"/>
      <c r="CH6" s="223"/>
      <c r="CI6" s="223"/>
      <c r="CJ6" s="223"/>
      <c r="CK6" s="223"/>
      <c r="CL6" s="223"/>
      <c r="CM6" s="223"/>
      <c r="CN6" s="223"/>
      <c r="CO6" s="223"/>
      <c r="CP6" s="223"/>
      <c r="CQ6" s="223"/>
      <c r="CR6" s="223"/>
      <c r="CS6" s="223"/>
      <c r="CT6" s="223"/>
      <c r="CU6" s="223"/>
      <c r="CV6" s="223"/>
      <c r="CW6" s="223"/>
      <c r="CX6" s="223"/>
      <c r="CY6" s="223"/>
      <c r="CZ6" s="223"/>
      <c r="DA6" s="223"/>
      <c r="DB6" s="223"/>
      <c r="DC6" s="223"/>
      <c r="DD6" s="223"/>
      <c r="DE6" s="223"/>
      <c r="DF6" s="223"/>
      <c r="DG6" s="223"/>
      <c r="DH6" s="223"/>
      <c r="DI6" s="75"/>
    </row>
    <row r="7" spans="5:113" ht="14.5">
      <c r="E7" s="253" t="s">
        <v>3</v>
      </c>
      <c r="F7" s="223"/>
      <c r="G7" s="5" t="str">
        <f>'Midterm OVPAA-F-INS-055A RAW SC'!G7</f>
        <v>T205</v>
      </c>
      <c r="H7" s="6"/>
      <c r="I7" s="3" t="s">
        <v>4</v>
      </c>
      <c r="J7" s="5"/>
      <c r="K7" s="258" t="str">
        <f>'Midterm OVPAA-F-INS-055A RAW SC'!K7</f>
        <v>TF</v>
      </c>
      <c r="L7" s="223"/>
      <c r="M7" s="223"/>
      <c r="N7" s="223"/>
      <c r="O7" s="223"/>
      <c r="P7" s="5"/>
      <c r="Q7" s="2"/>
      <c r="R7" s="6"/>
      <c r="S7" s="258"/>
      <c r="T7" s="223"/>
      <c r="U7" s="223"/>
      <c r="V7" s="223"/>
      <c r="W7" s="223"/>
      <c r="X7" s="5"/>
      <c r="Y7" s="5"/>
      <c r="Z7" s="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6"/>
      <c r="BL7" s="258"/>
      <c r="BM7" s="223"/>
      <c r="BN7" s="223"/>
      <c r="BO7" s="223"/>
      <c r="BP7" s="223"/>
      <c r="BQ7" s="5"/>
      <c r="BR7" s="5"/>
      <c r="BS7" s="5"/>
      <c r="BT7" s="2"/>
      <c r="BU7" s="6"/>
      <c r="BV7" s="258"/>
      <c r="BW7" s="223"/>
      <c r="BX7" s="223"/>
      <c r="BY7" s="223"/>
      <c r="BZ7" s="223"/>
      <c r="CA7" s="223"/>
      <c r="CB7" s="223"/>
      <c r="CC7" s="223"/>
      <c r="CD7" s="223"/>
      <c r="CE7" s="223"/>
      <c r="CF7" s="223"/>
      <c r="CG7" s="223"/>
      <c r="CH7" s="223"/>
      <c r="CI7" s="223"/>
      <c r="CJ7" s="223"/>
      <c r="CK7" s="223"/>
      <c r="CL7" s="223"/>
      <c r="CM7" s="223"/>
      <c r="CN7" s="223"/>
      <c r="CO7" s="223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2"/>
      <c r="DB7" s="6"/>
      <c r="DC7" s="258"/>
      <c r="DD7" s="223"/>
      <c r="DE7" s="223"/>
      <c r="DF7" s="223"/>
      <c r="DG7" s="223"/>
      <c r="DH7" s="5"/>
      <c r="DI7" s="5"/>
    </row>
    <row r="8" spans="5:113" ht="14.5">
      <c r="E8" s="253" t="s">
        <v>6</v>
      </c>
      <c r="F8" s="223"/>
      <c r="G8" s="5" t="str">
        <f>'Midterm OVPAA-F-INS-055A RAW SC'!G8</f>
        <v>BA 13131</v>
      </c>
      <c r="H8" s="6"/>
      <c r="I8" s="3" t="s">
        <v>7</v>
      </c>
      <c r="J8" s="5"/>
      <c r="K8" s="258" t="str">
        <f>'Midterm OVPAA-F-INS-055A RAW SC'!K8</f>
        <v>7:30AM-10:00AM</v>
      </c>
      <c r="L8" s="223"/>
      <c r="M8" s="223"/>
      <c r="N8" s="223"/>
      <c r="O8" s="223"/>
      <c r="P8" s="5"/>
      <c r="Q8" s="2"/>
      <c r="R8" s="6"/>
      <c r="S8" s="258"/>
      <c r="T8" s="223"/>
      <c r="U8" s="223"/>
      <c r="V8" s="223"/>
      <c r="W8" s="223"/>
      <c r="X8" s="5"/>
      <c r="Y8" s="5"/>
      <c r="Z8" s="5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6"/>
      <c r="BL8" s="258"/>
      <c r="BM8" s="223"/>
      <c r="BN8" s="223"/>
      <c r="BO8" s="223"/>
      <c r="BP8" s="223"/>
      <c r="BQ8" s="5"/>
      <c r="BR8" s="5"/>
      <c r="BS8" s="5"/>
      <c r="BT8" s="2"/>
      <c r="BU8" s="6"/>
      <c r="BV8" s="258"/>
      <c r="BW8" s="223"/>
      <c r="BX8" s="223"/>
      <c r="BY8" s="223"/>
      <c r="BZ8" s="223"/>
      <c r="CA8" s="223"/>
      <c r="CB8" s="223"/>
      <c r="CC8" s="223"/>
      <c r="CD8" s="223"/>
      <c r="CE8" s="223"/>
      <c r="CF8" s="223"/>
      <c r="CG8" s="223"/>
      <c r="CH8" s="223"/>
      <c r="CI8" s="223"/>
      <c r="CJ8" s="223"/>
      <c r="CK8" s="223"/>
      <c r="CL8" s="223"/>
      <c r="CM8" s="223"/>
      <c r="CN8" s="223"/>
      <c r="CO8" s="223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2"/>
      <c r="DB8" s="6"/>
      <c r="DC8" s="258"/>
      <c r="DD8" s="223"/>
      <c r="DE8" s="223"/>
      <c r="DF8" s="223"/>
      <c r="DG8" s="223"/>
      <c r="DH8" s="5"/>
      <c r="DI8" s="5"/>
    </row>
    <row r="9" spans="5:113" ht="14.5">
      <c r="E9" s="253" t="s">
        <v>9</v>
      </c>
      <c r="F9" s="223"/>
      <c r="G9" s="5" t="str">
        <f>'Midterm OVPAA-F-INS-055A RAW SC'!G9</f>
        <v>Computer Programming 1</v>
      </c>
      <c r="H9" s="6"/>
      <c r="I9" s="3" t="s">
        <v>10</v>
      </c>
      <c r="J9" s="5"/>
      <c r="K9" s="258" t="str">
        <f>'Midterm OVPAA-F-INS-055A RAW SC'!K9</f>
        <v>Lab 7</v>
      </c>
      <c r="L9" s="223"/>
      <c r="M9" s="223"/>
      <c r="N9" s="223"/>
      <c r="O9" s="223"/>
      <c r="P9" s="5"/>
      <c r="Q9" s="2"/>
      <c r="R9" s="6"/>
      <c r="S9" s="258"/>
      <c r="T9" s="223"/>
      <c r="U9" s="223"/>
      <c r="V9" s="223"/>
      <c r="W9" s="223"/>
      <c r="X9" s="5"/>
      <c r="Y9" s="5"/>
      <c r="Z9" s="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6"/>
      <c r="BL9" s="258"/>
      <c r="BM9" s="223"/>
      <c r="BN9" s="223"/>
      <c r="BO9" s="223"/>
      <c r="BP9" s="223"/>
      <c r="BQ9" s="5"/>
      <c r="BR9" s="5"/>
      <c r="BS9" s="5"/>
      <c r="BT9" s="2"/>
      <c r="BU9" s="6"/>
      <c r="BV9" s="258"/>
      <c r="BW9" s="223"/>
      <c r="BX9" s="223"/>
      <c r="BY9" s="223"/>
      <c r="BZ9" s="223"/>
      <c r="CA9" s="223"/>
      <c r="CB9" s="223"/>
      <c r="CC9" s="223"/>
      <c r="CD9" s="223"/>
      <c r="CE9" s="223"/>
      <c r="CF9" s="223"/>
      <c r="CG9" s="223"/>
      <c r="CH9" s="223"/>
      <c r="CI9" s="223"/>
      <c r="CJ9" s="223"/>
      <c r="CK9" s="223"/>
      <c r="CL9" s="223"/>
      <c r="CM9" s="223"/>
      <c r="CN9" s="223"/>
      <c r="CO9" s="223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2"/>
      <c r="DB9" s="6"/>
      <c r="DC9" s="258"/>
      <c r="DD9" s="223"/>
      <c r="DE9" s="223"/>
      <c r="DF9" s="223"/>
      <c r="DG9" s="223"/>
      <c r="DH9" s="5"/>
      <c r="DI9" s="5"/>
    </row>
    <row r="10" spans="5:113" ht="14.5">
      <c r="E10" s="253" t="s">
        <v>12</v>
      </c>
      <c r="F10" s="223"/>
      <c r="G10" s="5" t="str">
        <f>'Midterm OVPAA-F-INS-055A RAW SC'!G10</f>
        <v>2nd Sem</v>
      </c>
      <c r="H10" s="6"/>
      <c r="I10" s="3" t="s">
        <v>14</v>
      </c>
      <c r="J10" s="5"/>
      <c r="K10" s="258">
        <f>'Midterm OVPAA-F-INS-055A RAW SC'!K10</f>
        <v>3</v>
      </c>
      <c r="L10" s="223"/>
      <c r="M10" s="223"/>
      <c r="N10" s="223"/>
      <c r="O10" s="223"/>
      <c r="P10" s="5"/>
      <c r="Q10" s="2"/>
      <c r="R10" s="6"/>
      <c r="S10" s="253" t="s">
        <v>15</v>
      </c>
      <c r="T10" s="223"/>
      <c r="U10" s="223"/>
      <c r="V10" s="258" t="str">
        <f>'Midterm OVPAA-F-INS-055A RAW SC'!V10</f>
        <v>Information Technology</v>
      </c>
      <c r="W10" s="223"/>
      <c r="X10" s="223"/>
      <c r="Y10" s="223"/>
      <c r="Z10" s="223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6"/>
      <c r="BL10" s="258"/>
      <c r="BM10" s="223"/>
      <c r="BN10" s="223"/>
      <c r="BO10" s="223"/>
      <c r="BP10" s="223"/>
      <c r="BQ10" s="5"/>
      <c r="BR10" s="5"/>
      <c r="BS10" s="5"/>
      <c r="BT10" s="2"/>
      <c r="BU10" s="6"/>
      <c r="BV10" s="258"/>
      <c r="BW10" s="223"/>
      <c r="BX10" s="223"/>
      <c r="BY10" s="223"/>
      <c r="BZ10" s="223"/>
      <c r="CA10" s="223"/>
      <c r="CB10" s="223"/>
      <c r="CC10" s="223"/>
      <c r="CD10" s="223"/>
      <c r="CE10" s="223"/>
      <c r="CF10" s="223"/>
      <c r="CG10" s="223"/>
      <c r="CH10" s="223"/>
      <c r="CI10" s="223"/>
      <c r="CJ10" s="223"/>
      <c r="CK10" s="223"/>
      <c r="CL10" s="223"/>
      <c r="CM10" s="223"/>
      <c r="CN10" s="223"/>
      <c r="CO10" s="223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2"/>
      <c r="DB10" s="6"/>
      <c r="DC10" s="258"/>
      <c r="DD10" s="223"/>
      <c r="DE10" s="223"/>
      <c r="DF10" s="223"/>
      <c r="DG10" s="223"/>
      <c r="DH10" s="5"/>
      <c r="DI10" s="5"/>
    </row>
    <row r="11" spans="5:113" ht="14.5">
      <c r="E11" s="253" t="s">
        <v>17</v>
      </c>
      <c r="F11" s="223"/>
      <c r="G11" s="6" t="str">
        <f>'Midterm OVPAA-F-INS-055A RAW SC'!G11</f>
        <v>2025-2026</v>
      </c>
      <c r="H11" s="6"/>
      <c r="I11" s="3" t="s">
        <v>66</v>
      </c>
      <c r="J11" s="5"/>
      <c r="K11" s="258" t="str">
        <f>'Midterm OVPAA-F-INS-055A RAW SC'!K11</f>
        <v>Dr. Sales G. Aribe, Jr.</v>
      </c>
      <c r="L11" s="223"/>
      <c r="M11" s="223"/>
      <c r="N11" s="223"/>
      <c r="O11" s="223"/>
      <c r="P11" s="5"/>
      <c r="Q11" s="2"/>
      <c r="R11" s="6"/>
      <c r="S11" s="253" t="s">
        <v>21</v>
      </c>
      <c r="T11" s="223"/>
      <c r="U11" s="223"/>
      <c r="V11" s="258" t="str">
        <f>'Midterm OVPAA-F-INS-055A RAW SC'!V11</f>
        <v>College of Technologies</v>
      </c>
      <c r="W11" s="223"/>
      <c r="X11" s="223"/>
      <c r="Y11" s="223"/>
      <c r="Z11" s="223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6"/>
      <c r="BL11" s="258"/>
      <c r="BM11" s="223"/>
      <c r="BN11" s="223"/>
      <c r="BO11" s="223"/>
      <c r="BP11" s="223"/>
      <c r="BQ11" s="255"/>
      <c r="BR11" s="223"/>
      <c r="BS11" s="5"/>
      <c r="BT11" s="2"/>
      <c r="BU11" s="6"/>
      <c r="BV11" s="258"/>
      <c r="BW11" s="223"/>
      <c r="BX11" s="223"/>
      <c r="BY11" s="223"/>
      <c r="BZ11" s="223"/>
      <c r="CA11" s="223"/>
      <c r="CB11" s="223"/>
      <c r="CC11" s="223"/>
      <c r="CD11" s="223"/>
      <c r="CE11" s="223"/>
      <c r="CF11" s="223"/>
      <c r="CG11" s="223"/>
      <c r="CH11" s="223"/>
      <c r="CI11" s="223"/>
      <c r="CJ11" s="223"/>
      <c r="CK11" s="223"/>
      <c r="CL11" s="223"/>
      <c r="CM11" s="223"/>
      <c r="CN11" s="223"/>
      <c r="CO11" s="223"/>
      <c r="CP11" s="255"/>
      <c r="CQ11" s="223"/>
      <c r="CR11" s="223"/>
      <c r="CS11" s="223"/>
      <c r="CT11" s="9"/>
      <c r="CU11" s="9"/>
      <c r="CV11" s="9"/>
      <c r="CW11" s="9"/>
      <c r="CX11" s="5"/>
      <c r="CY11" s="5"/>
      <c r="CZ11" s="5"/>
      <c r="DA11" s="2"/>
      <c r="DB11" s="6"/>
      <c r="DC11" s="258"/>
      <c r="DD11" s="223"/>
      <c r="DE11" s="223"/>
      <c r="DF11" s="223"/>
      <c r="DG11" s="223"/>
      <c r="DH11" s="255"/>
      <c r="DI11" s="223"/>
    </row>
    <row r="12" spans="5:113" ht="14.5">
      <c r="E12" s="275" t="s">
        <v>23</v>
      </c>
      <c r="F12" s="247"/>
      <c r="G12" s="11" t="str">
        <f>'Midterm OVPAA-F-INS-055A RAW SC'!G12</f>
        <v>Czarissa Louise A. Navidad</v>
      </c>
      <c r="H12" s="2"/>
      <c r="I12" s="10" t="s">
        <v>25</v>
      </c>
      <c r="J12" s="11"/>
      <c r="K12" s="276" t="str">
        <f>'Midterm OVPAA-F-INS-055A RAW SC'!K12</f>
        <v>Dr. Marilou O. Espina</v>
      </c>
      <c r="L12" s="247"/>
      <c r="M12" s="247"/>
      <c r="N12" s="247"/>
      <c r="O12" s="247"/>
      <c r="P12" s="2"/>
      <c r="Q12" s="2"/>
      <c r="R12" s="2"/>
      <c r="S12" s="12" t="s">
        <v>27</v>
      </c>
      <c r="T12" s="13"/>
      <c r="U12" s="13"/>
      <c r="V12" s="14">
        <f>'Midterm OVPAA-F-INS-055A RAW SC'!V12</f>
        <v>0.5</v>
      </c>
      <c r="W12" s="5"/>
      <c r="X12" s="256"/>
      <c r="Y12" s="247"/>
      <c r="Z12" s="11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76"/>
      <c r="BL12" s="276"/>
      <c r="BM12" s="247"/>
      <c r="BN12" s="247"/>
      <c r="BO12" s="247"/>
      <c r="BP12" s="247"/>
      <c r="BQ12" s="256"/>
      <c r="BR12" s="247"/>
      <c r="BS12" s="11"/>
      <c r="BT12" s="16"/>
      <c r="BU12" s="76"/>
      <c r="BV12" s="276"/>
      <c r="BW12" s="247"/>
      <c r="BX12" s="247"/>
      <c r="BY12" s="247"/>
      <c r="BZ12" s="247"/>
      <c r="CA12" s="247"/>
      <c r="CB12" s="247"/>
      <c r="CC12" s="247"/>
      <c r="CD12" s="247"/>
      <c r="CE12" s="247"/>
      <c r="CF12" s="247"/>
      <c r="CG12" s="247"/>
      <c r="CH12" s="247"/>
      <c r="CI12" s="247"/>
      <c r="CJ12" s="247"/>
      <c r="CK12" s="247"/>
      <c r="CL12" s="247"/>
      <c r="CM12" s="247"/>
      <c r="CN12" s="247"/>
      <c r="CO12" s="247"/>
      <c r="CP12" s="256"/>
      <c r="CQ12" s="247"/>
      <c r="CR12" s="247"/>
      <c r="CS12" s="247"/>
      <c r="CT12" s="15"/>
      <c r="CU12" s="15"/>
      <c r="CV12" s="15"/>
      <c r="CW12" s="15"/>
      <c r="CX12" s="11"/>
      <c r="CY12" s="11"/>
      <c r="CZ12" s="11"/>
      <c r="DA12" s="16"/>
      <c r="DB12" s="76"/>
      <c r="DC12" s="276"/>
      <c r="DD12" s="247"/>
      <c r="DE12" s="247"/>
      <c r="DF12" s="247"/>
      <c r="DG12" s="247"/>
      <c r="DH12" s="256"/>
      <c r="DI12" s="247"/>
    </row>
    <row r="13" spans="5:113" ht="15" customHeight="1">
      <c r="E13" s="261" t="s">
        <v>28</v>
      </c>
      <c r="F13" s="261" t="s">
        <v>29</v>
      </c>
      <c r="G13" s="261" t="s">
        <v>30</v>
      </c>
      <c r="H13" s="277" t="s">
        <v>31</v>
      </c>
      <c r="I13" s="245"/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  <c r="AB13" s="245"/>
      <c r="AC13" s="245"/>
      <c r="AD13" s="245"/>
      <c r="AE13" s="245"/>
      <c r="AF13" s="245"/>
      <c r="AG13" s="245"/>
      <c r="AH13" s="245"/>
      <c r="AI13" s="245"/>
      <c r="AJ13" s="245"/>
      <c r="AK13" s="245"/>
      <c r="AL13" s="245"/>
      <c r="AM13" s="245"/>
      <c r="AN13" s="245"/>
      <c r="AO13" s="245"/>
      <c r="AP13" s="245"/>
      <c r="AQ13" s="245"/>
      <c r="AR13" s="245"/>
      <c r="AS13" s="245"/>
      <c r="AT13" s="245"/>
      <c r="AU13" s="245"/>
      <c r="AV13" s="245"/>
      <c r="AW13" s="245"/>
      <c r="AX13" s="245"/>
      <c r="AY13" s="245"/>
      <c r="AZ13" s="245"/>
      <c r="BA13" s="245"/>
      <c r="BB13" s="245"/>
      <c r="BC13" s="245"/>
      <c r="BD13" s="245"/>
      <c r="BE13" s="245"/>
      <c r="BF13" s="245"/>
      <c r="BG13" s="245"/>
      <c r="BH13" s="245"/>
      <c r="BI13" s="245"/>
      <c r="BJ13" s="245"/>
      <c r="BK13" s="245"/>
      <c r="BL13" s="245"/>
      <c r="BM13" s="245"/>
      <c r="BN13" s="245"/>
      <c r="BO13" s="245"/>
      <c r="BP13" s="245"/>
      <c r="BQ13" s="245"/>
      <c r="BR13" s="245"/>
      <c r="BS13" s="245"/>
      <c r="BT13" s="245"/>
      <c r="BU13" s="245"/>
      <c r="BV13" s="249"/>
      <c r="BW13" s="244" t="s">
        <v>32</v>
      </c>
      <c r="BX13" s="245"/>
      <c r="BY13" s="245"/>
      <c r="BZ13" s="245"/>
      <c r="CA13" s="245"/>
      <c r="CB13" s="245"/>
      <c r="CC13" s="245"/>
      <c r="CD13" s="245"/>
      <c r="CE13" s="245"/>
      <c r="CF13" s="245"/>
      <c r="CG13" s="245"/>
      <c r="CH13" s="245"/>
      <c r="CI13" s="245"/>
      <c r="CJ13" s="245"/>
      <c r="CK13" s="245"/>
      <c r="CL13" s="245"/>
      <c r="CM13" s="245"/>
      <c r="CN13" s="245"/>
      <c r="CO13" s="245"/>
      <c r="CP13" s="245"/>
      <c r="CQ13" s="245"/>
      <c r="CR13" s="249"/>
      <c r="CS13" s="248" t="s">
        <v>33</v>
      </c>
      <c r="CT13" s="245"/>
      <c r="CU13" s="245"/>
      <c r="CV13" s="245"/>
      <c r="CW13" s="245"/>
      <c r="CX13" s="245"/>
      <c r="CY13" s="245"/>
      <c r="CZ13" s="245"/>
      <c r="DA13" s="245"/>
      <c r="DB13" s="245"/>
      <c r="DC13" s="245"/>
      <c r="DD13" s="249"/>
      <c r="DE13" s="271" t="s">
        <v>67</v>
      </c>
      <c r="DF13" s="272"/>
      <c r="DG13" s="273"/>
      <c r="DH13" s="274" t="s">
        <v>88</v>
      </c>
      <c r="DI13" s="249"/>
    </row>
    <row r="14" spans="5:113" ht="15" customHeight="1">
      <c r="E14" s="262"/>
      <c r="F14" s="262"/>
      <c r="G14" s="262"/>
      <c r="H14" s="278"/>
      <c r="I14" s="247"/>
      <c r="J14" s="247"/>
      <c r="K14" s="247"/>
      <c r="L14" s="247"/>
      <c r="M14" s="247"/>
      <c r="N14" s="247"/>
      <c r="O14" s="247"/>
      <c r="P14" s="247"/>
      <c r="Q14" s="247"/>
      <c r="R14" s="247"/>
      <c r="S14" s="247"/>
      <c r="T14" s="247"/>
      <c r="U14" s="247"/>
      <c r="V14" s="247"/>
      <c r="W14" s="247"/>
      <c r="X14" s="247"/>
      <c r="Y14" s="247"/>
      <c r="Z14" s="247"/>
      <c r="AA14" s="247"/>
      <c r="AB14" s="247"/>
      <c r="AC14" s="247"/>
      <c r="AD14" s="247"/>
      <c r="AE14" s="247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47"/>
      <c r="BE14" s="247"/>
      <c r="BF14" s="247"/>
      <c r="BG14" s="247"/>
      <c r="BH14" s="247"/>
      <c r="BI14" s="247"/>
      <c r="BJ14" s="247"/>
      <c r="BK14" s="247"/>
      <c r="BL14" s="247"/>
      <c r="BM14" s="247"/>
      <c r="BN14" s="247"/>
      <c r="BO14" s="247"/>
      <c r="BP14" s="247"/>
      <c r="BQ14" s="247"/>
      <c r="BR14" s="247"/>
      <c r="BS14" s="247"/>
      <c r="BT14" s="247"/>
      <c r="BU14" s="247"/>
      <c r="BV14" s="250"/>
      <c r="BW14" s="246"/>
      <c r="BX14" s="247"/>
      <c r="BY14" s="247"/>
      <c r="BZ14" s="247"/>
      <c r="CA14" s="247"/>
      <c r="CB14" s="247"/>
      <c r="CC14" s="247"/>
      <c r="CD14" s="247"/>
      <c r="CE14" s="247"/>
      <c r="CF14" s="247"/>
      <c r="CG14" s="247"/>
      <c r="CH14" s="247"/>
      <c r="CI14" s="247"/>
      <c r="CJ14" s="247"/>
      <c r="CK14" s="247"/>
      <c r="CL14" s="247"/>
      <c r="CM14" s="247"/>
      <c r="CN14" s="247"/>
      <c r="CO14" s="247"/>
      <c r="CP14" s="247"/>
      <c r="CQ14" s="247"/>
      <c r="CR14" s="250"/>
      <c r="CS14" s="246"/>
      <c r="CT14" s="247"/>
      <c r="CU14" s="247"/>
      <c r="CV14" s="247"/>
      <c r="CW14" s="247"/>
      <c r="CX14" s="247"/>
      <c r="CY14" s="247"/>
      <c r="CZ14" s="247"/>
      <c r="DA14" s="247"/>
      <c r="DB14" s="247"/>
      <c r="DC14" s="247"/>
      <c r="DD14" s="250"/>
      <c r="DE14" s="77" t="s">
        <v>69</v>
      </c>
      <c r="DF14" s="78" t="s">
        <v>70</v>
      </c>
      <c r="DG14" s="79" t="s">
        <v>71</v>
      </c>
      <c r="DH14" s="246"/>
      <c r="DI14" s="250"/>
    </row>
    <row r="15" spans="5:113" ht="14.5">
      <c r="E15" s="262"/>
      <c r="F15" s="262"/>
      <c r="G15" s="262"/>
      <c r="H15" s="18">
        <v>1</v>
      </c>
      <c r="I15" s="19">
        <v>2</v>
      </c>
      <c r="J15" s="19">
        <v>3</v>
      </c>
      <c r="K15" s="19">
        <v>4</v>
      </c>
      <c r="L15" s="19">
        <v>5</v>
      </c>
      <c r="M15" s="19">
        <v>6</v>
      </c>
      <c r="N15" s="19">
        <v>7</v>
      </c>
      <c r="O15" s="19">
        <v>8</v>
      </c>
      <c r="P15" s="19">
        <v>9</v>
      </c>
      <c r="Q15" s="20">
        <v>10</v>
      </c>
      <c r="R15" s="19">
        <v>11</v>
      </c>
      <c r="S15" s="19">
        <v>12</v>
      </c>
      <c r="T15" s="19">
        <v>13</v>
      </c>
      <c r="U15" s="19">
        <v>14</v>
      </c>
      <c r="V15" s="19">
        <v>15</v>
      </c>
      <c r="W15" s="19">
        <v>16</v>
      </c>
      <c r="X15" s="19">
        <v>17</v>
      </c>
      <c r="Y15" s="19">
        <v>18</v>
      </c>
      <c r="Z15" s="19">
        <v>19</v>
      </c>
      <c r="AA15" s="19">
        <v>20</v>
      </c>
      <c r="AB15" s="19">
        <v>21</v>
      </c>
      <c r="AC15" s="19">
        <v>22</v>
      </c>
      <c r="AD15" s="19">
        <v>23</v>
      </c>
      <c r="AE15" s="19">
        <v>24</v>
      </c>
      <c r="AF15" s="19">
        <v>25</v>
      </c>
      <c r="AG15" s="19">
        <v>26</v>
      </c>
      <c r="AH15" s="19">
        <v>27</v>
      </c>
      <c r="AI15" s="19">
        <v>28</v>
      </c>
      <c r="AJ15" s="19">
        <v>29</v>
      </c>
      <c r="AK15" s="19">
        <v>30</v>
      </c>
      <c r="AL15" s="19">
        <v>31</v>
      </c>
      <c r="AM15" s="19">
        <v>32</v>
      </c>
      <c r="AN15" s="19">
        <v>33</v>
      </c>
      <c r="AO15" s="19">
        <v>34</v>
      </c>
      <c r="AP15" s="19">
        <v>35</v>
      </c>
      <c r="AQ15" s="19">
        <v>36</v>
      </c>
      <c r="AR15" s="19">
        <v>37</v>
      </c>
      <c r="AS15" s="19">
        <v>38</v>
      </c>
      <c r="AT15" s="19">
        <v>39</v>
      </c>
      <c r="AU15" s="19">
        <v>40</v>
      </c>
      <c r="AV15" s="19">
        <v>41</v>
      </c>
      <c r="AW15" s="19">
        <v>42</v>
      </c>
      <c r="AX15" s="19">
        <v>43</v>
      </c>
      <c r="AY15" s="19">
        <v>44</v>
      </c>
      <c r="AZ15" s="19">
        <v>45</v>
      </c>
      <c r="BA15" s="19">
        <v>46</v>
      </c>
      <c r="BB15" s="19">
        <v>47</v>
      </c>
      <c r="BC15" s="19">
        <v>48</v>
      </c>
      <c r="BD15" s="19">
        <v>49</v>
      </c>
      <c r="BE15" s="19">
        <v>50</v>
      </c>
      <c r="BF15" s="19">
        <v>51</v>
      </c>
      <c r="BG15" s="19">
        <v>52</v>
      </c>
      <c r="BH15" s="19">
        <v>53</v>
      </c>
      <c r="BI15" s="19">
        <v>54</v>
      </c>
      <c r="BJ15" s="19">
        <v>55</v>
      </c>
      <c r="BK15" s="19">
        <v>56</v>
      </c>
      <c r="BL15" s="19">
        <v>57</v>
      </c>
      <c r="BM15" s="19">
        <v>58</v>
      </c>
      <c r="BN15" s="19">
        <v>59</v>
      </c>
      <c r="BO15" s="19">
        <v>60</v>
      </c>
      <c r="BP15" s="19">
        <v>61</v>
      </c>
      <c r="BQ15" s="19">
        <v>62</v>
      </c>
      <c r="BR15" s="19">
        <v>63</v>
      </c>
      <c r="BS15" s="19">
        <v>64</v>
      </c>
      <c r="BT15" s="19">
        <v>65</v>
      </c>
      <c r="BU15" s="279" t="s">
        <v>72</v>
      </c>
      <c r="BV15" s="280" t="s">
        <v>73</v>
      </c>
      <c r="BW15" s="23">
        <v>1</v>
      </c>
      <c r="BX15" s="24">
        <v>2</v>
      </c>
      <c r="BY15" s="24">
        <v>3</v>
      </c>
      <c r="BZ15" s="24">
        <v>4</v>
      </c>
      <c r="CA15" s="24">
        <v>5</v>
      </c>
      <c r="CB15" s="24">
        <v>6</v>
      </c>
      <c r="CC15" s="24">
        <v>7</v>
      </c>
      <c r="CD15" s="24">
        <v>8</v>
      </c>
      <c r="CE15" s="24">
        <v>9</v>
      </c>
      <c r="CF15" s="24">
        <v>10</v>
      </c>
      <c r="CG15" s="24">
        <v>11</v>
      </c>
      <c r="CH15" s="24">
        <v>12</v>
      </c>
      <c r="CI15" s="24">
        <v>13</v>
      </c>
      <c r="CJ15" s="24">
        <v>14</v>
      </c>
      <c r="CK15" s="24">
        <v>15</v>
      </c>
      <c r="CL15" s="24">
        <v>16</v>
      </c>
      <c r="CM15" s="24">
        <v>17</v>
      </c>
      <c r="CN15" s="24">
        <v>18</v>
      </c>
      <c r="CO15" s="24">
        <v>19</v>
      </c>
      <c r="CP15" s="24">
        <v>20</v>
      </c>
      <c r="CQ15" s="281" t="s">
        <v>72</v>
      </c>
      <c r="CR15" s="80"/>
      <c r="CS15" s="25">
        <v>1</v>
      </c>
      <c r="CT15" s="26">
        <v>2</v>
      </c>
      <c r="CU15" s="26">
        <v>3</v>
      </c>
      <c r="CV15" s="26">
        <v>4</v>
      </c>
      <c r="CW15" s="26">
        <v>5</v>
      </c>
      <c r="CX15" s="26">
        <v>6</v>
      </c>
      <c r="CY15" s="26">
        <v>7</v>
      </c>
      <c r="CZ15" s="26">
        <v>8</v>
      </c>
      <c r="DA15" s="26">
        <v>9</v>
      </c>
      <c r="DB15" s="26">
        <v>10</v>
      </c>
      <c r="DC15" s="267" t="s">
        <v>72</v>
      </c>
      <c r="DD15" s="269" t="s">
        <v>73</v>
      </c>
      <c r="DE15" s="81">
        <v>0.3</v>
      </c>
      <c r="DF15" s="82">
        <v>0.3</v>
      </c>
      <c r="DG15" s="83">
        <v>0.4</v>
      </c>
      <c r="DH15" s="84" t="s">
        <v>74</v>
      </c>
      <c r="DI15" s="85" t="s">
        <v>75</v>
      </c>
    </row>
    <row r="16" spans="5:113" ht="88.5" customHeight="1">
      <c r="E16" s="262"/>
      <c r="F16" s="262"/>
      <c r="G16" s="262"/>
      <c r="H16" s="86" t="str">
        <f>IF('Finalterm OVPAA-F-INS-055A RAW '!H16="","",'Finalterm OVPAA-F-INS-055A RAW '!H16)</f>
        <v>Production Progress Report 1</v>
      </c>
      <c r="I16" s="28" t="str">
        <f>IF('Finalterm OVPAA-F-INS-055A RAW '!I16="","",'Finalterm OVPAA-F-INS-055A RAW '!I16)</f>
        <v>Production Progress Report 2</v>
      </c>
      <c r="J16" s="28" t="str">
        <f>IF('Finalterm OVPAA-F-INS-055A RAW '!J16="","",'Finalterm OVPAA-F-INS-055A RAW '!J16)</f>
        <v>Production Progress Report 3</v>
      </c>
      <c r="K16" s="28" t="str">
        <f>IF('Finalterm OVPAA-F-INS-055A RAW '!K16="","",'Finalterm OVPAA-F-INS-055A RAW '!K16)</f>
        <v>Production Progress Report 4</v>
      </c>
      <c r="L16" s="28" t="str">
        <f>IF('Finalterm OVPAA-F-INS-055A RAW '!L16="","",'Finalterm OVPAA-F-INS-055A RAW '!L16)</f>
        <v>Production Progress Report 5</v>
      </c>
      <c r="M16" s="28" t="str">
        <f>IF('Finalterm OVPAA-F-INS-055A RAW '!M16="","",'Finalterm OVPAA-F-INS-055A RAW '!M16)</f>
        <v/>
      </c>
      <c r="N16" s="28" t="str">
        <f>IF('Finalterm OVPAA-F-INS-055A RAW '!N16="","",'Finalterm OVPAA-F-INS-055A RAW '!N16)</f>
        <v/>
      </c>
      <c r="O16" s="28" t="str">
        <f>IF('Finalterm OVPAA-F-INS-055A RAW '!O16="","",'Finalterm OVPAA-F-INS-055A RAW '!O16)</f>
        <v/>
      </c>
      <c r="P16" s="28" t="str">
        <f>IF('Finalterm OVPAA-F-INS-055A RAW '!P16="","",'Finalterm OVPAA-F-INS-055A RAW '!P16)</f>
        <v/>
      </c>
      <c r="Q16" s="28" t="str">
        <f>IF('Finalterm OVPAA-F-INS-055A RAW '!Q16="","",'Finalterm OVPAA-F-INS-055A RAW '!Q16)</f>
        <v/>
      </c>
      <c r="R16" s="28" t="str">
        <f>IF('Finalterm OVPAA-F-INS-055A RAW '!R16="","",'Finalterm OVPAA-F-INS-055A RAW '!R16)</f>
        <v/>
      </c>
      <c r="S16" s="28" t="str">
        <f>IF('Finalterm OVPAA-F-INS-055A RAW '!S16="","",'Finalterm OVPAA-F-INS-055A RAW '!S16)</f>
        <v/>
      </c>
      <c r="T16" s="28" t="str">
        <f>IF('Finalterm OVPAA-F-INS-055A RAW '!T16="","",'Finalterm OVPAA-F-INS-055A RAW '!T16)</f>
        <v/>
      </c>
      <c r="U16" s="28" t="str">
        <f>IF('Finalterm OVPAA-F-INS-055A RAW '!U16="","",'Finalterm OVPAA-F-INS-055A RAW '!U16)</f>
        <v/>
      </c>
      <c r="V16" s="28" t="str">
        <f>IF('Finalterm OVPAA-F-INS-055A RAW '!V16="","",'Finalterm OVPAA-F-INS-055A RAW '!V16)</f>
        <v/>
      </c>
      <c r="W16" s="28" t="str">
        <f>IF('Finalterm OVPAA-F-INS-055A RAW '!W16="","",'Finalterm OVPAA-F-INS-055A RAW '!W16)</f>
        <v/>
      </c>
      <c r="X16" s="28" t="str">
        <f>IF('Finalterm OVPAA-F-INS-055A RAW '!X16="","",'Finalterm OVPAA-F-INS-055A RAW '!X16)</f>
        <v/>
      </c>
      <c r="Y16" s="28" t="str">
        <f>IF('Finalterm OVPAA-F-INS-055A RAW '!Y16="","",'Finalterm OVPAA-F-INS-055A RAW '!Y16)</f>
        <v/>
      </c>
      <c r="Z16" s="28" t="str">
        <f>IF('Finalterm OVPAA-F-INS-055A RAW '!Z16="","",'Finalterm OVPAA-F-INS-055A RAW '!Z16)</f>
        <v/>
      </c>
      <c r="AA16" s="28" t="str">
        <f>IF('Finalterm OVPAA-F-INS-055A RAW '!AA16="","",'Finalterm OVPAA-F-INS-055A RAW '!AA16)</f>
        <v/>
      </c>
      <c r="AB16" s="28" t="str">
        <f>IF('Finalterm OVPAA-F-INS-055A RAW '!AB16="","",'Finalterm OVPAA-F-INS-055A RAW '!AB16)</f>
        <v/>
      </c>
      <c r="AC16" s="28" t="str">
        <f>IF('Finalterm OVPAA-F-INS-055A RAW '!AC16="","",'Finalterm OVPAA-F-INS-055A RAW '!AC16)</f>
        <v/>
      </c>
      <c r="AD16" s="28" t="str">
        <f>IF('Finalterm OVPAA-F-INS-055A RAW '!AD16="","",'Finalterm OVPAA-F-INS-055A RAW '!AD16)</f>
        <v/>
      </c>
      <c r="AE16" s="28" t="str">
        <f>IF('Finalterm OVPAA-F-INS-055A RAW '!AE16="","",'Finalterm OVPAA-F-INS-055A RAW '!AE16)</f>
        <v/>
      </c>
      <c r="AF16" s="28" t="str">
        <f>IF('Finalterm OVPAA-F-INS-055A RAW '!AF16="","",'Finalterm OVPAA-F-INS-055A RAW '!AF16)</f>
        <v/>
      </c>
      <c r="AG16" s="28" t="str">
        <f>IF('Finalterm OVPAA-F-INS-055A RAW '!AG16="","",'Finalterm OVPAA-F-INS-055A RAW '!AG16)</f>
        <v/>
      </c>
      <c r="AH16" s="28" t="str">
        <f>IF('Finalterm OVPAA-F-INS-055A RAW '!AH16="","",'Finalterm OVPAA-F-INS-055A RAW '!AH16)</f>
        <v/>
      </c>
      <c r="AI16" s="28" t="str">
        <f>IF('Finalterm OVPAA-F-INS-055A RAW '!AI16="","",'Finalterm OVPAA-F-INS-055A RAW '!AI16)</f>
        <v/>
      </c>
      <c r="AJ16" s="28" t="str">
        <f>IF('Finalterm OVPAA-F-INS-055A RAW '!AJ16="","",'Finalterm OVPAA-F-INS-055A RAW '!AJ16)</f>
        <v/>
      </c>
      <c r="AK16" s="28" t="str">
        <f>IF('Finalterm OVPAA-F-INS-055A RAW '!AK16="","",'Finalterm OVPAA-F-INS-055A RAW '!AK16)</f>
        <v/>
      </c>
      <c r="AL16" s="28" t="str">
        <f>IF('Finalterm OVPAA-F-INS-055A RAW '!AL16="","",'Finalterm OVPAA-F-INS-055A RAW '!AL16)</f>
        <v/>
      </c>
      <c r="AM16" s="28" t="str">
        <f>IF('Finalterm OVPAA-F-INS-055A RAW '!AM16="","",'Finalterm OVPAA-F-INS-055A RAW '!AM16)</f>
        <v/>
      </c>
      <c r="AN16" s="28" t="str">
        <f>IF('Finalterm OVPAA-F-INS-055A RAW '!AN16="","",'Finalterm OVPAA-F-INS-055A RAW '!AN16)</f>
        <v/>
      </c>
      <c r="AO16" s="28" t="str">
        <f>IF('Finalterm OVPAA-F-INS-055A RAW '!AO16="","",'Finalterm OVPAA-F-INS-055A RAW '!AO16)</f>
        <v/>
      </c>
      <c r="AP16" s="28" t="str">
        <f>IF('Finalterm OVPAA-F-INS-055A RAW '!AP16="","",'Finalterm OVPAA-F-INS-055A RAW '!AP16)</f>
        <v/>
      </c>
      <c r="AQ16" s="28" t="str">
        <f>IF('Finalterm OVPAA-F-INS-055A RAW '!AQ16="","",'Finalterm OVPAA-F-INS-055A RAW '!AQ16)</f>
        <v/>
      </c>
      <c r="AR16" s="28" t="str">
        <f>IF('Finalterm OVPAA-F-INS-055A RAW '!AR16="","",'Finalterm OVPAA-F-INS-055A RAW '!AR16)</f>
        <v/>
      </c>
      <c r="AS16" s="28" t="str">
        <f>IF('Finalterm OVPAA-F-INS-055A RAW '!AS16="","",'Finalterm OVPAA-F-INS-055A RAW '!AS16)</f>
        <v/>
      </c>
      <c r="AT16" s="28" t="str">
        <f>IF('Finalterm OVPAA-F-INS-055A RAW '!AT16="","",'Finalterm OVPAA-F-INS-055A RAW '!AT16)</f>
        <v/>
      </c>
      <c r="AU16" s="28" t="str">
        <f>IF('Finalterm OVPAA-F-INS-055A RAW '!AU16="","",'Finalterm OVPAA-F-INS-055A RAW '!AU16)</f>
        <v/>
      </c>
      <c r="AV16" s="28" t="str">
        <f>IF('Finalterm OVPAA-F-INS-055A RAW '!AV16="","",'Finalterm OVPAA-F-INS-055A RAW '!AV16)</f>
        <v/>
      </c>
      <c r="AW16" s="28" t="str">
        <f>IF('Finalterm OVPAA-F-INS-055A RAW '!AW16="","",'Finalterm OVPAA-F-INS-055A RAW '!AW16)</f>
        <v/>
      </c>
      <c r="AX16" s="28" t="str">
        <f>IF('Finalterm OVPAA-F-INS-055A RAW '!AX16="","",'Finalterm OVPAA-F-INS-055A RAW '!AX16)</f>
        <v/>
      </c>
      <c r="AY16" s="28" t="str">
        <f>IF('Finalterm OVPAA-F-INS-055A RAW '!AY16="","",'Finalterm OVPAA-F-INS-055A RAW '!AY16)</f>
        <v/>
      </c>
      <c r="AZ16" s="28" t="str">
        <f>IF('Finalterm OVPAA-F-INS-055A RAW '!AZ16="","",'Finalterm OVPAA-F-INS-055A RAW '!AZ16)</f>
        <v/>
      </c>
      <c r="BA16" s="28" t="str">
        <f>IF('Finalterm OVPAA-F-INS-055A RAW '!BA16="","",'Finalterm OVPAA-F-INS-055A RAW '!BA16)</f>
        <v/>
      </c>
      <c r="BB16" s="28" t="str">
        <f>IF('Finalterm OVPAA-F-INS-055A RAW '!BB16="","",'Finalterm OVPAA-F-INS-055A RAW '!BB16)</f>
        <v/>
      </c>
      <c r="BC16" s="28" t="str">
        <f>IF('Finalterm OVPAA-F-INS-055A RAW '!BC16="","",'Finalterm OVPAA-F-INS-055A RAW '!BC16)</f>
        <v/>
      </c>
      <c r="BD16" s="28" t="str">
        <f>IF('Finalterm OVPAA-F-INS-055A RAW '!BD16="","",'Finalterm OVPAA-F-INS-055A RAW '!BD16)</f>
        <v/>
      </c>
      <c r="BE16" s="28" t="str">
        <f>IF('Finalterm OVPAA-F-INS-055A RAW '!BE16="","",'Finalterm OVPAA-F-INS-055A RAW '!BE16)</f>
        <v/>
      </c>
      <c r="BF16" s="28" t="str">
        <f>IF('Finalterm OVPAA-F-INS-055A RAW '!BF16="","",'Finalterm OVPAA-F-INS-055A RAW '!BF16)</f>
        <v/>
      </c>
      <c r="BG16" s="28" t="str">
        <f>IF('Finalterm OVPAA-F-INS-055A RAW '!BG16="","",'Finalterm OVPAA-F-INS-055A RAW '!BG16)</f>
        <v/>
      </c>
      <c r="BH16" s="28" t="str">
        <f>IF('Finalterm OVPAA-F-INS-055A RAW '!BH16="","",'Finalterm OVPAA-F-INS-055A RAW '!BH16)</f>
        <v/>
      </c>
      <c r="BI16" s="28" t="str">
        <f>IF('Finalterm OVPAA-F-INS-055A RAW '!BI16="","",'Finalterm OVPAA-F-INS-055A RAW '!BI16)</f>
        <v/>
      </c>
      <c r="BJ16" s="28" t="str">
        <f>IF('Finalterm OVPAA-F-INS-055A RAW '!BJ16="","",'Finalterm OVPAA-F-INS-055A RAW '!BJ16)</f>
        <v/>
      </c>
      <c r="BK16" s="28" t="str">
        <f>IF('Finalterm OVPAA-F-INS-055A RAW '!BK16="","",'Finalterm OVPAA-F-INS-055A RAW '!BK16)</f>
        <v/>
      </c>
      <c r="BL16" s="28" t="str">
        <f>IF('Finalterm OVPAA-F-INS-055A RAW '!BL16="","",'Finalterm OVPAA-F-INS-055A RAW '!BL16)</f>
        <v/>
      </c>
      <c r="BM16" s="28" t="str">
        <f>IF('Finalterm OVPAA-F-INS-055A RAW '!BM16="","",'Finalterm OVPAA-F-INS-055A RAW '!BM16)</f>
        <v/>
      </c>
      <c r="BN16" s="28" t="str">
        <f>IF('Finalterm OVPAA-F-INS-055A RAW '!BN16="","",'Finalterm OVPAA-F-INS-055A RAW '!BN16)</f>
        <v/>
      </c>
      <c r="BO16" s="28" t="str">
        <f>IF('Finalterm OVPAA-F-INS-055A RAW '!BO16="","",'Finalterm OVPAA-F-INS-055A RAW '!BO16)</f>
        <v/>
      </c>
      <c r="BP16" s="28" t="str">
        <f>IF('Finalterm OVPAA-F-INS-055A RAW '!BP16="","",'Finalterm OVPAA-F-INS-055A RAW '!BP16)</f>
        <v/>
      </c>
      <c r="BQ16" s="28" t="str">
        <f>IF('Finalterm OVPAA-F-INS-055A RAW '!BQ16="","",'Finalterm OVPAA-F-INS-055A RAW '!BQ16)</f>
        <v/>
      </c>
      <c r="BR16" s="28" t="str">
        <f>IF('Finalterm OVPAA-F-INS-055A RAW '!BR16="","",'Finalterm OVPAA-F-INS-055A RAW '!BR16)</f>
        <v/>
      </c>
      <c r="BS16" s="28" t="str">
        <f>IF('Finalterm OVPAA-F-INS-055A RAW '!BS16="","",'Finalterm OVPAA-F-INS-055A RAW '!BS16)</f>
        <v/>
      </c>
      <c r="BT16" s="28" t="str">
        <f>IF('Finalterm OVPAA-F-INS-055A RAW '!BT16="","",'Finalterm OVPAA-F-INS-055A RAW '!BT16)</f>
        <v/>
      </c>
      <c r="BU16" s="268"/>
      <c r="BV16" s="270"/>
      <c r="BW16" s="32" t="str">
        <f>IF('Finalterm OVPAA-F-INS-055A RAW '!BU16="","",'Finalterm OVPAA-F-INS-055A RAW '!BU16)</f>
        <v>Movie Poster</v>
      </c>
      <c r="BX16" s="87" t="str">
        <f>IF('Finalterm OVPAA-F-INS-055A RAW '!BV16="","",'Finalterm OVPAA-F-INS-055A RAW '!BV16)</f>
        <v>Animation Snippets</v>
      </c>
      <c r="BY16" s="87" t="str">
        <f>IF('Finalterm OVPAA-F-INS-055A RAW '!BW16="","",'Finalterm OVPAA-F-INS-055A RAW '!BW16)</f>
        <v>Short Film Screening</v>
      </c>
      <c r="BZ16" s="87" t="str">
        <f>IF('Finalterm OVPAA-F-INS-055A RAW '!BX16="","",'Finalterm OVPAA-F-INS-055A RAW '!BX16)</f>
        <v/>
      </c>
      <c r="CA16" s="87" t="str">
        <f>IF('Finalterm OVPAA-F-INS-055A RAW '!BY16="","",'Finalterm OVPAA-F-INS-055A RAW '!BY16)</f>
        <v/>
      </c>
      <c r="CB16" s="87" t="str">
        <f>IF('Finalterm OVPAA-F-INS-055A RAW '!BZ16="","",'Finalterm OVPAA-F-INS-055A RAW '!BZ16)</f>
        <v/>
      </c>
      <c r="CC16" s="87" t="str">
        <f>IF('Finalterm OVPAA-F-INS-055A RAW '!CA16="","",'Finalterm OVPAA-F-INS-055A RAW '!CA16)</f>
        <v/>
      </c>
      <c r="CD16" s="87" t="str">
        <f>IF('Finalterm OVPAA-F-INS-055A RAW '!CB16="","",'Finalterm OVPAA-F-INS-055A RAW '!CB16)</f>
        <v/>
      </c>
      <c r="CE16" s="87" t="str">
        <f>IF('Finalterm OVPAA-F-INS-055A RAW '!CC16="","",'Finalterm OVPAA-F-INS-055A RAW '!CC16)</f>
        <v/>
      </c>
      <c r="CF16" s="87" t="str">
        <f>IF('Finalterm OVPAA-F-INS-055A RAW '!CD16="","",'Finalterm OVPAA-F-INS-055A RAW '!CD16)</f>
        <v/>
      </c>
      <c r="CG16" s="87" t="str">
        <f>IF('Finalterm OVPAA-F-INS-055A RAW '!CE16="","",'Finalterm OVPAA-F-INS-055A RAW '!CE16)</f>
        <v/>
      </c>
      <c r="CH16" s="87" t="str">
        <f>IF('Finalterm OVPAA-F-INS-055A RAW '!CF16="","",'Finalterm OVPAA-F-INS-055A RAW '!CF16)</f>
        <v/>
      </c>
      <c r="CI16" s="87" t="str">
        <f>IF('Finalterm OVPAA-F-INS-055A RAW '!CG16="","",'Finalterm OVPAA-F-INS-055A RAW '!CG16)</f>
        <v/>
      </c>
      <c r="CJ16" s="87" t="str">
        <f>IF('Finalterm OVPAA-F-INS-055A RAW '!CH16="","",'Finalterm OVPAA-F-INS-055A RAW '!CH16)</f>
        <v/>
      </c>
      <c r="CK16" s="87" t="str">
        <f>IF('Finalterm OVPAA-F-INS-055A RAW '!CI16="","",'Finalterm OVPAA-F-INS-055A RAW '!CI16)</f>
        <v/>
      </c>
      <c r="CL16" s="87" t="str">
        <f>IF('Finalterm OVPAA-F-INS-055A RAW '!CJ16="","",'Finalterm OVPAA-F-INS-055A RAW '!CJ16)</f>
        <v/>
      </c>
      <c r="CM16" s="87" t="str">
        <f>IF('Finalterm OVPAA-F-INS-055A RAW '!CK16="","",'Finalterm OVPAA-F-INS-055A RAW '!CK16)</f>
        <v/>
      </c>
      <c r="CN16" s="87" t="str">
        <f>IF('Finalterm OVPAA-F-INS-055A RAW '!CL16="","",'Finalterm OVPAA-F-INS-055A RAW '!CL16)</f>
        <v/>
      </c>
      <c r="CO16" s="87" t="str">
        <f>IF('Finalterm OVPAA-F-INS-055A RAW '!CM16="","",'Finalterm OVPAA-F-INS-055A RAW '!CM16)</f>
        <v/>
      </c>
      <c r="CP16" s="87" t="str">
        <f>IF('Finalterm OVPAA-F-INS-055A RAW '!CN16="","",'Finalterm OVPAA-F-INS-055A RAW '!CN16)</f>
        <v/>
      </c>
      <c r="CQ16" s="268"/>
      <c r="CR16" s="88" t="s">
        <v>76</v>
      </c>
      <c r="CS16" s="34" t="str">
        <f>IF('Finalterm OVPAA-F-INS-055A RAW '!CO16="","",'Finalterm OVPAA-F-INS-055A RAW '!CO16)</f>
        <v>Animatic</v>
      </c>
      <c r="CT16" s="89" t="str">
        <f>IF('Finalterm OVPAA-F-INS-055A RAW '!CP16="","",'Finalterm OVPAA-F-INS-055A RAW '!CP16)</f>
        <v>Short Film</v>
      </c>
      <c r="CU16" s="89" t="str">
        <f>IF('Finalterm OVPAA-F-INS-055A RAW '!CQ16="","",'Finalterm OVPAA-F-INS-055A RAW '!CQ16)</f>
        <v/>
      </c>
      <c r="CV16" s="89" t="str">
        <f>IF('Finalterm OVPAA-F-INS-055A RAW '!CR16="","",'Finalterm OVPAA-F-INS-055A RAW '!CR16)</f>
        <v/>
      </c>
      <c r="CW16" s="89" t="str">
        <f>IF('Finalterm OVPAA-F-INS-055A RAW '!CS16="","",'Finalterm OVPAA-F-INS-055A RAW '!CS16)</f>
        <v/>
      </c>
      <c r="CX16" s="89" t="str">
        <f>IF('Finalterm OVPAA-F-INS-055A RAW '!CT16="","",'Finalterm OVPAA-F-INS-055A RAW '!CT16)</f>
        <v/>
      </c>
      <c r="CY16" s="89" t="str">
        <f>IF('Finalterm OVPAA-F-INS-055A RAW '!CU16="","",'Finalterm OVPAA-F-INS-055A RAW '!CU16)</f>
        <v/>
      </c>
      <c r="CZ16" s="89" t="str">
        <f>IF('Finalterm OVPAA-F-INS-055A RAW '!CV16="","",'Finalterm OVPAA-F-INS-055A RAW '!CV16)</f>
        <v/>
      </c>
      <c r="DA16" s="89" t="str">
        <f>IF('Finalterm OVPAA-F-INS-055A RAW '!CW16="","",'Finalterm OVPAA-F-INS-055A RAW '!CW16)</f>
        <v/>
      </c>
      <c r="DB16" s="89" t="str">
        <f>IF('Finalterm OVPAA-F-INS-055A RAW '!CX16="","",'Finalterm OVPAA-F-INS-055A RAW '!CX16)</f>
        <v/>
      </c>
      <c r="DC16" s="268"/>
      <c r="DD16" s="270"/>
      <c r="DE16" s="90"/>
      <c r="DF16" s="91"/>
      <c r="DG16" s="92"/>
      <c r="DH16" s="93"/>
      <c r="DI16" s="94"/>
    </row>
    <row r="17" spans="5:113" ht="14.5">
      <c r="E17" s="263"/>
      <c r="F17" s="263"/>
      <c r="G17" s="263"/>
      <c r="H17" s="37" t="s">
        <v>77</v>
      </c>
      <c r="I17" s="38" t="s">
        <v>77</v>
      </c>
      <c r="J17" s="38" t="s">
        <v>77</v>
      </c>
      <c r="K17" s="38" t="s">
        <v>77</v>
      </c>
      <c r="L17" s="38" t="s">
        <v>77</v>
      </c>
      <c r="M17" s="38" t="s">
        <v>77</v>
      </c>
      <c r="N17" s="38" t="s">
        <v>77</v>
      </c>
      <c r="O17" s="38" t="s">
        <v>77</v>
      </c>
      <c r="P17" s="38" t="s">
        <v>77</v>
      </c>
      <c r="Q17" s="38" t="s">
        <v>77</v>
      </c>
      <c r="R17" s="38" t="s">
        <v>77</v>
      </c>
      <c r="S17" s="38" t="s">
        <v>77</v>
      </c>
      <c r="T17" s="38" t="s">
        <v>77</v>
      </c>
      <c r="U17" s="38" t="s">
        <v>77</v>
      </c>
      <c r="V17" s="38" t="s">
        <v>77</v>
      </c>
      <c r="W17" s="38" t="s">
        <v>77</v>
      </c>
      <c r="X17" s="38" t="s">
        <v>77</v>
      </c>
      <c r="Y17" s="38" t="s">
        <v>77</v>
      </c>
      <c r="Z17" s="38" t="s">
        <v>77</v>
      </c>
      <c r="AA17" s="38" t="s">
        <v>77</v>
      </c>
      <c r="AB17" s="38" t="s">
        <v>77</v>
      </c>
      <c r="AC17" s="38" t="s">
        <v>77</v>
      </c>
      <c r="AD17" s="38" t="s">
        <v>77</v>
      </c>
      <c r="AE17" s="38" t="s">
        <v>77</v>
      </c>
      <c r="AF17" s="38" t="s">
        <v>77</v>
      </c>
      <c r="AG17" s="38" t="s">
        <v>77</v>
      </c>
      <c r="AH17" s="38" t="s">
        <v>77</v>
      </c>
      <c r="AI17" s="38" t="s">
        <v>77</v>
      </c>
      <c r="AJ17" s="38" t="s">
        <v>77</v>
      </c>
      <c r="AK17" s="38" t="s">
        <v>77</v>
      </c>
      <c r="AL17" s="38" t="s">
        <v>77</v>
      </c>
      <c r="AM17" s="38" t="s">
        <v>77</v>
      </c>
      <c r="AN17" s="38" t="s">
        <v>77</v>
      </c>
      <c r="AO17" s="38" t="s">
        <v>77</v>
      </c>
      <c r="AP17" s="38" t="s">
        <v>77</v>
      </c>
      <c r="AQ17" s="38" t="s">
        <v>77</v>
      </c>
      <c r="AR17" s="38" t="s">
        <v>77</v>
      </c>
      <c r="AS17" s="38" t="s">
        <v>77</v>
      </c>
      <c r="AT17" s="38" t="s">
        <v>77</v>
      </c>
      <c r="AU17" s="38" t="s">
        <v>77</v>
      </c>
      <c r="AV17" s="38" t="s">
        <v>77</v>
      </c>
      <c r="AW17" s="38" t="s">
        <v>77</v>
      </c>
      <c r="AX17" s="38" t="s">
        <v>77</v>
      </c>
      <c r="AY17" s="38" t="s">
        <v>77</v>
      </c>
      <c r="AZ17" s="38" t="s">
        <v>77</v>
      </c>
      <c r="BA17" s="38" t="s">
        <v>77</v>
      </c>
      <c r="BB17" s="38" t="s">
        <v>77</v>
      </c>
      <c r="BC17" s="38" t="s">
        <v>77</v>
      </c>
      <c r="BD17" s="38" t="s">
        <v>77</v>
      </c>
      <c r="BE17" s="38" t="s">
        <v>77</v>
      </c>
      <c r="BF17" s="38" t="s">
        <v>77</v>
      </c>
      <c r="BG17" s="38" t="s">
        <v>77</v>
      </c>
      <c r="BH17" s="38" t="s">
        <v>77</v>
      </c>
      <c r="BI17" s="38" t="s">
        <v>77</v>
      </c>
      <c r="BJ17" s="38" t="s">
        <v>77</v>
      </c>
      <c r="BK17" s="38" t="s">
        <v>77</v>
      </c>
      <c r="BL17" s="38" t="s">
        <v>77</v>
      </c>
      <c r="BM17" s="38" t="s">
        <v>77</v>
      </c>
      <c r="BN17" s="38" t="s">
        <v>77</v>
      </c>
      <c r="BO17" s="38" t="s">
        <v>77</v>
      </c>
      <c r="BP17" s="38" t="s">
        <v>77</v>
      </c>
      <c r="BQ17" s="38" t="s">
        <v>77</v>
      </c>
      <c r="BR17" s="38" t="s">
        <v>77</v>
      </c>
      <c r="BS17" s="38" t="s">
        <v>77</v>
      </c>
      <c r="BT17" s="38" t="s">
        <v>77</v>
      </c>
      <c r="BU17" s="95">
        <v>100</v>
      </c>
      <c r="BV17" s="96">
        <v>1</v>
      </c>
      <c r="BW17" s="42" t="s">
        <v>77</v>
      </c>
      <c r="BX17" s="97" t="s">
        <v>77</v>
      </c>
      <c r="BY17" s="97" t="s">
        <v>77</v>
      </c>
      <c r="BZ17" s="97" t="s">
        <v>77</v>
      </c>
      <c r="CA17" s="97" t="s">
        <v>77</v>
      </c>
      <c r="CB17" s="97" t="s">
        <v>77</v>
      </c>
      <c r="CC17" s="97" t="s">
        <v>77</v>
      </c>
      <c r="CD17" s="97" t="s">
        <v>77</v>
      </c>
      <c r="CE17" s="97" t="s">
        <v>77</v>
      </c>
      <c r="CF17" s="97" t="s">
        <v>77</v>
      </c>
      <c r="CG17" s="97" t="s">
        <v>77</v>
      </c>
      <c r="CH17" s="97" t="s">
        <v>77</v>
      </c>
      <c r="CI17" s="97" t="s">
        <v>77</v>
      </c>
      <c r="CJ17" s="97" t="s">
        <v>77</v>
      </c>
      <c r="CK17" s="97" t="s">
        <v>77</v>
      </c>
      <c r="CL17" s="97" t="s">
        <v>77</v>
      </c>
      <c r="CM17" s="97" t="s">
        <v>77</v>
      </c>
      <c r="CN17" s="97" t="s">
        <v>77</v>
      </c>
      <c r="CO17" s="97" t="s">
        <v>77</v>
      </c>
      <c r="CP17" s="97" t="s">
        <v>77</v>
      </c>
      <c r="CQ17" s="98">
        <v>100</v>
      </c>
      <c r="CR17" s="99">
        <v>1</v>
      </c>
      <c r="CS17" s="44" t="s">
        <v>77</v>
      </c>
      <c r="CT17" s="100" t="s">
        <v>77</v>
      </c>
      <c r="CU17" s="100" t="s">
        <v>77</v>
      </c>
      <c r="CV17" s="100" t="s">
        <v>77</v>
      </c>
      <c r="CW17" s="100" t="s">
        <v>77</v>
      </c>
      <c r="CX17" s="100" t="s">
        <v>77</v>
      </c>
      <c r="CY17" s="100" t="s">
        <v>77</v>
      </c>
      <c r="CZ17" s="100" t="s">
        <v>77</v>
      </c>
      <c r="DA17" s="100" t="s">
        <v>77</v>
      </c>
      <c r="DB17" s="100" t="s">
        <v>77</v>
      </c>
      <c r="DC17" s="101">
        <v>100</v>
      </c>
      <c r="DD17" s="102">
        <v>1</v>
      </c>
      <c r="DE17" s="103">
        <f t="shared" ref="DE17:DG17" si="0">DE15</f>
        <v>0.3</v>
      </c>
      <c r="DF17" s="104">
        <f t="shared" si="0"/>
        <v>0.3</v>
      </c>
      <c r="DG17" s="105">
        <f t="shared" si="0"/>
        <v>0.4</v>
      </c>
      <c r="DH17" s="106">
        <v>100</v>
      </c>
      <c r="DI17" s="107">
        <v>1</v>
      </c>
    </row>
    <row r="18" spans="5:113" ht="14.5">
      <c r="E18" s="49">
        <v>1</v>
      </c>
      <c r="F18" s="108">
        <f>IF(NOT(ISBLANK('Midterm OVPAA-F-INS-055A RAW SC'!F18)),'Midterm OVPAA-F-INS-055A RAW SC'!F18,"")</f>
        <v>2201102063</v>
      </c>
      <c r="G18" s="51" t="str">
        <f>IF(NOT(ISBLANK('Midterm OVPAA-F-INS-055A RAW SC'!G18)),'Midterm OVPAA-F-INS-055A RAW SC'!G18,"")</f>
        <v>Amparado, Kendrick</v>
      </c>
      <c r="H18" s="154">
        <v>0</v>
      </c>
      <c r="I18" s="154">
        <v>0</v>
      </c>
      <c r="J18" s="154">
        <v>0</v>
      </c>
      <c r="K18" s="154">
        <v>0</v>
      </c>
      <c r="L18" s="154">
        <v>0</v>
      </c>
      <c r="M18" s="154" t="str">
        <f>IF('Finalterm OVPAA-F-INS-055A RAW '!M18="","",'Finalterm OVPAA-F-INS-055A RAW '!M18/'Finalterm OVPAA-F-INS-055A RAW '!M$17*100)</f>
        <v/>
      </c>
      <c r="N18" s="154" t="str">
        <f>IF('Finalterm OVPAA-F-INS-055A RAW '!N18="","",'Finalterm OVPAA-F-INS-055A RAW '!N18/'Finalterm OVPAA-F-INS-055A RAW '!N$17*100)</f>
        <v/>
      </c>
      <c r="O18" s="154" t="str">
        <f>IF('Finalterm OVPAA-F-INS-055A RAW '!O18="","",'Finalterm OVPAA-F-INS-055A RAW '!O18/'Finalterm OVPAA-F-INS-055A RAW '!O$17*100)</f>
        <v/>
      </c>
      <c r="P18" s="154" t="str">
        <f>IF('Finalterm OVPAA-F-INS-055A RAW '!P18="","",'Finalterm OVPAA-F-INS-055A RAW '!P18/'Finalterm OVPAA-F-INS-055A RAW '!P$17*100)</f>
        <v/>
      </c>
      <c r="Q18" s="154" t="str">
        <f>IF('Finalterm OVPAA-F-INS-055A RAW '!Q18="","",'Finalterm OVPAA-F-INS-055A RAW '!Q18/'Finalterm OVPAA-F-INS-055A RAW '!Q$17*100)</f>
        <v/>
      </c>
      <c r="R18" s="154" t="str">
        <f>IF('Finalterm OVPAA-F-INS-055A RAW '!R18="","",'Finalterm OVPAA-F-INS-055A RAW '!R18/'Finalterm OVPAA-F-INS-055A RAW '!R$17*100)</f>
        <v/>
      </c>
      <c r="S18" s="154" t="str">
        <f>IF('Finalterm OVPAA-F-INS-055A RAW '!S18="","",'Finalterm OVPAA-F-INS-055A RAW '!S18/'Finalterm OVPAA-F-INS-055A RAW '!S$17*100)</f>
        <v/>
      </c>
      <c r="T18" s="154" t="str">
        <f>IF('Finalterm OVPAA-F-INS-055A RAW '!T18="","",'Finalterm OVPAA-F-INS-055A RAW '!T18/'Finalterm OVPAA-F-INS-055A RAW '!T$17*100)</f>
        <v/>
      </c>
      <c r="U18" s="154" t="str">
        <f>IF('Finalterm OVPAA-F-INS-055A RAW '!U18="","",'Finalterm OVPAA-F-INS-055A RAW '!U18/'Finalterm OVPAA-F-INS-055A RAW '!U$17*100)</f>
        <v/>
      </c>
      <c r="V18" s="154" t="str">
        <f>IF('Finalterm OVPAA-F-INS-055A RAW '!V18="","",'Finalterm OVPAA-F-INS-055A RAW '!V18/'Finalterm OVPAA-F-INS-055A RAW '!V$17*100)</f>
        <v/>
      </c>
      <c r="W18" s="154" t="str">
        <f>IF('Finalterm OVPAA-F-INS-055A RAW '!W18="","",'Finalterm OVPAA-F-INS-055A RAW '!W18/'Finalterm OVPAA-F-INS-055A RAW '!W$17*100)</f>
        <v/>
      </c>
      <c r="X18" s="154" t="str">
        <f>IF('Finalterm OVPAA-F-INS-055A RAW '!X18="","",'Finalterm OVPAA-F-INS-055A RAW '!X18/'Finalterm OVPAA-F-INS-055A RAW '!X$17*100)</f>
        <v/>
      </c>
      <c r="Y18" s="154" t="str">
        <f>IF('Finalterm OVPAA-F-INS-055A RAW '!Y18="","",'Finalterm OVPAA-F-INS-055A RAW '!Y18/'Finalterm OVPAA-F-INS-055A RAW '!Y$17*100)</f>
        <v/>
      </c>
      <c r="Z18" s="154" t="str">
        <f>IF('Finalterm OVPAA-F-INS-055A RAW '!Z18="","",'Finalterm OVPAA-F-INS-055A RAW '!Z18/'Finalterm OVPAA-F-INS-055A RAW '!Z$17*100)</f>
        <v/>
      </c>
      <c r="AA18" s="154" t="str">
        <f>IF('Finalterm OVPAA-F-INS-055A RAW '!AA18="","",'Finalterm OVPAA-F-INS-055A RAW '!AA18/'Finalterm OVPAA-F-INS-055A RAW '!AA$17*100)</f>
        <v/>
      </c>
      <c r="AB18" s="154" t="str">
        <f>IF('Finalterm OVPAA-F-INS-055A RAW '!AB18="","",'Finalterm OVPAA-F-INS-055A RAW '!AB18/'Finalterm OVPAA-F-INS-055A RAW '!AB$17*100)</f>
        <v/>
      </c>
      <c r="AC18" s="154" t="str">
        <f>IF('Finalterm OVPAA-F-INS-055A RAW '!AC18="","",'Finalterm OVPAA-F-INS-055A RAW '!AC18/'Finalterm OVPAA-F-INS-055A RAW '!AC$17*100)</f>
        <v/>
      </c>
      <c r="AD18" s="154" t="str">
        <f>IF('Finalterm OVPAA-F-INS-055A RAW '!AD18="","",'Finalterm OVPAA-F-INS-055A RAW '!AD18/'Finalterm OVPAA-F-INS-055A RAW '!AD$17*100)</f>
        <v/>
      </c>
      <c r="AE18" s="154" t="str">
        <f>IF('Finalterm OVPAA-F-INS-055A RAW '!AE18="","",'Finalterm OVPAA-F-INS-055A RAW '!AE18/'Finalterm OVPAA-F-INS-055A RAW '!AE$17*100)</f>
        <v/>
      </c>
      <c r="AF18" s="154" t="str">
        <f>IF('Finalterm OVPAA-F-INS-055A RAW '!AF18="","",'Finalterm OVPAA-F-INS-055A RAW '!AF18/'Finalterm OVPAA-F-INS-055A RAW '!AF$17*100)</f>
        <v/>
      </c>
      <c r="AG18" s="154" t="str">
        <f>IF('Finalterm OVPAA-F-INS-055A RAW '!AG18="","",'Finalterm OVPAA-F-INS-055A RAW '!AG18/'Finalterm OVPAA-F-INS-055A RAW '!AG$17*100)</f>
        <v/>
      </c>
      <c r="AH18" s="154" t="str">
        <f>IF('Finalterm OVPAA-F-INS-055A RAW '!AH18="","",'Finalterm OVPAA-F-INS-055A RAW '!AH18/'Finalterm OVPAA-F-INS-055A RAW '!AH$17*100)</f>
        <v/>
      </c>
      <c r="AI18" s="154" t="str">
        <f>IF('Finalterm OVPAA-F-INS-055A RAW '!AI18="","",'Finalterm OVPAA-F-INS-055A RAW '!AI18/'Finalterm OVPAA-F-INS-055A RAW '!AI$17*100)</f>
        <v/>
      </c>
      <c r="AJ18" s="154" t="str">
        <f>IF('Finalterm OVPAA-F-INS-055A RAW '!AJ18="","",'Finalterm OVPAA-F-INS-055A RAW '!AJ18/'Finalterm OVPAA-F-INS-055A RAW '!AJ$17*100)</f>
        <v/>
      </c>
      <c r="AK18" s="154" t="str">
        <f>IF('Finalterm OVPAA-F-INS-055A RAW '!AK18="","",'Finalterm OVPAA-F-INS-055A RAW '!AK18/'Finalterm OVPAA-F-INS-055A RAW '!AK$17*100)</f>
        <v/>
      </c>
      <c r="AL18" s="154" t="str">
        <f>IF('Finalterm OVPAA-F-INS-055A RAW '!AL18="","",'Finalterm OVPAA-F-INS-055A RAW '!AL18/'Finalterm OVPAA-F-INS-055A RAW '!AL$17*100)</f>
        <v/>
      </c>
      <c r="AM18" s="154" t="str">
        <f>IF('Finalterm OVPAA-F-INS-055A RAW '!AM18="","",'Finalterm OVPAA-F-INS-055A RAW '!AM18/'Finalterm OVPAA-F-INS-055A RAW '!AM$17*100)</f>
        <v/>
      </c>
      <c r="AN18" s="154" t="str">
        <f>IF('Finalterm OVPAA-F-INS-055A RAW '!AN18="","",'Finalterm OVPAA-F-INS-055A RAW '!AN18/'Finalterm OVPAA-F-INS-055A RAW '!AN$17*100)</f>
        <v/>
      </c>
      <c r="AO18" s="154" t="str">
        <f>IF('Finalterm OVPAA-F-INS-055A RAW '!AO18="","",'Finalterm OVPAA-F-INS-055A RAW '!AO18/'Finalterm OVPAA-F-INS-055A RAW '!AO$17*100)</f>
        <v/>
      </c>
      <c r="AP18" s="154" t="str">
        <f>IF('Finalterm OVPAA-F-INS-055A RAW '!AP18="","",'Finalterm OVPAA-F-INS-055A RAW '!AP18/'Finalterm OVPAA-F-INS-055A RAW '!AP$17*100)</f>
        <v/>
      </c>
      <c r="AQ18" s="154" t="str">
        <f>IF('Finalterm OVPAA-F-INS-055A RAW '!AQ18="","",'Finalterm OVPAA-F-INS-055A RAW '!AQ18/'Finalterm OVPAA-F-INS-055A RAW '!AQ$17*100)</f>
        <v/>
      </c>
      <c r="AR18" s="154" t="str">
        <f>IF('Finalterm OVPAA-F-INS-055A RAW '!AR18="","",'Finalterm OVPAA-F-INS-055A RAW '!AR18/'Finalterm OVPAA-F-INS-055A RAW '!AR$17*100)</f>
        <v/>
      </c>
      <c r="AS18" s="154" t="str">
        <f>IF('Finalterm OVPAA-F-INS-055A RAW '!AS18="","",'Finalterm OVPAA-F-INS-055A RAW '!AS18/'Finalterm OVPAA-F-INS-055A RAW '!AS$17*100)</f>
        <v/>
      </c>
      <c r="AT18" s="154" t="str">
        <f>IF('Finalterm OVPAA-F-INS-055A RAW '!AT18="","",'Finalterm OVPAA-F-INS-055A RAW '!AT18/'Finalterm OVPAA-F-INS-055A RAW '!AT$17*100)</f>
        <v/>
      </c>
      <c r="AU18" s="154" t="str">
        <f>IF('Finalterm OVPAA-F-INS-055A RAW '!AU18="","",'Finalterm OVPAA-F-INS-055A RAW '!AU18/'Finalterm OVPAA-F-INS-055A RAW '!AU$17*100)</f>
        <v/>
      </c>
      <c r="AV18" s="154" t="str">
        <f>IF('Finalterm OVPAA-F-INS-055A RAW '!AV18="","",'Finalterm OVPAA-F-INS-055A RAW '!AV18/'Finalterm OVPAA-F-INS-055A RAW '!AV$17*100)</f>
        <v/>
      </c>
      <c r="AW18" s="154" t="str">
        <f>IF('Finalterm OVPAA-F-INS-055A RAW '!AW18="","",'Finalterm OVPAA-F-INS-055A RAW '!AW18/'Finalterm OVPAA-F-INS-055A RAW '!AW$17*100)</f>
        <v/>
      </c>
      <c r="AX18" s="154" t="str">
        <f>IF('Finalterm OVPAA-F-INS-055A RAW '!AX18="","",'Finalterm OVPAA-F-INS-055A RAW '!AX18/'Finalterm OVPAA-F-INS-055A RAW '!AX$17*100)</f>
        <v/>
      </c>
      <c r="AY18" s="154" t="str">
        <f>IF('Finalterm OVPAA-F-INS-055A RAW '!AY18="","",'Finalterm OVPAA-F-INS-055A RAW '!AY18/'Finalterm OVPAA-F-INS-055A RAW '!AY$17*100)</f>
        <v/>
      </c>
      <c r="AZ18" s="154" t="str">
        <f>IF('Finalterm OVPAA-F-INS-055A RAW '!AZ18="","",'Finalterm OVPAA-F-INS-055A RAW '!AZ18/'Finalterm OVPAA-F-INS-055A RAW '!AZ$17*100)</f>
        <v/>
      </c>
      <c r="BA18" s="154" t="str">
        <f>IF('Finalterm OVPAA-F-INS-055A RAW '!BA18="","",'Finalterm OVPAA-F-INS-055A RAW '!BA18/'Finalterm OVPAA-F-INS-055A RAW '!BA$17*100)</f>
        <v/>
      </c>
      <c r="BB18" s="154" t="str">
        <f>IF('Finalterm OVPAA-F-INS-055A RAW '!BB18="","",'Finalterm OVPAA-F-INS-055A RAW '!BB18/'Finalterm OVPAA-F-INS-055A RAW '!BB$17*100)</f>
        <v/>
      </c>
      <c r="BC18" s="154" t="str">
        <f>IF('Finalterm OVPAA-F-INS-055A RAW '!BC18="","",'Finalterm OVPAA-F-INS-055A RAW '!BC18/'Finalterm OVPAA-F-INS-055A RAW '!BC$17*100)</f>
        <v/>
      </c>
      <c r="BD18" s="154" t="str">
        <f>IF('Finalterm OVPAA-F-INS-055A RAW '!BD18="","",'Finalterm OVPAA-F-INS-055A RAW '!BD18/'Finalterm OVPAA-F-INS-055A RAW '!BD$17*100)</f>
        <v/>
      </c>
      <c r="BE18" s="154" t="str">
        <f>IF('Finalterm OVPAA-F-INS-055A RAW '!BE18="","",'Finalterm OVPAA-F-INS-055A RAW '!BE18/'Finalterm OVPAA-F-INS-055A RAW '!BE$17*100)</f>
        <v/>
      </c>
      <c r="BF18" s="154" t="str">
        <f>IF('Finalterm OVPAA-F-INS-055A RAW '!BF18="","",'Finalterm OVPAA-F-INS-055A RAW '!BF18/'Finalterm OVPAA-F-INS-055A RAW '!BF$17*100)</f>
        <v/>
      </c>
      <c r="BG18" s="154" t="str">
        <f>IF('Finalterm OVPAA-F-INS-055A RAW '!BG18="","",'Finalterm OVPAA-F-INS-055A RAW '!BG18/'Finalterm OVPAA-F-INS-055A RAW '!BG$17*100)</f>
        <v/>
      </c>
      <c r="BH18" s="154" t="str">
        <f>IF('Finalterm OVPAA-F-INS-055A RAW '!BH18="","",'Finalterm OVPAA-F-INS-055A RAW '!BH18/'Finalterm OVPAA-F-INS-055A RAW '!BH$17*100)</f>
        <v/>
      </c>
      <c r="BI18" s="154" t="str">
        <f>IF('Finalterm OVPAA-F-INS-055A RAW '!BI18="","",'Finalterm OVPAA-F-INS-055A RAW '!BI18/'Finalterm OVPAA-F-INS-055A RAW '!BI$17*100)</f>
        <v/>
      </c>
      <c r="BJ18" s="154" t="str">
        <f>IF('Finalterm OVPAA-F-INS-055A RAW '!BJ18="","",'Finalterm OVPAA-F-INS-055A RAW '!BJ18/'Finalterm OVPAA-F-INS-055A RAW '!BJ$17*100)</f>
        <v/>
      </c>
      <c r="BK18" s="154" t="str">
        <f>IF('Finalterm OVPAA-F-INS-055A RAW '!BK18="","",'Finalterm OVPAA-F-INS-055A RAW '!BK18/'Finalterm OVPAA-F-INS-055A RAW '!BK$17*100)</f>
        <v/>
      </c>
      <c r="BL18" s="154" t="str">
        <f>IF('Finalterm OVPAA-F-INS-055A RAW '!BL18="","",'Finalterm OVPAA-F-INS-055A RAW '!BL18/'Finalterm OVPAA-F-INS-055A RAW '!BL$17*100)</f>
        <v/>
      </c>
      <c r="BM18" s="154" t="str">
        <f>IF('Finalterm OVPAA-F-INS-055A RAW '!BM18="","",'Finalterm OVPAA-F-INS-055A RAW '!BM18/'Finalterm OVPAA-F-INS-055A RAW '!BM$17*100)</f>
        <v/>
      </c>
      <c r="BN18" s="154" t="str">
        <f>IF('Finalterm OVPAA-F-INS-055A RAW '!BN18="","",'Finalterm OVPAA-F-INS-055A RAW '!BN18/'Finalterm OVPAA-F-INS-055A RAW '!BN$17*100)</f>
        <v/>
      </c>
      <c r="BO18" s="154" t="str">
        <f>IF('Finalterm OVPAA-F-INS-055A RAW '!BO18="","",'Finalterm OVPAA-F-INS-055A RAW '!BO18/'Finalterm OVPAA-F-INS-055A RAW '!BO$17*100)</f>
        <v/>
      </c>
      <c r="BP18" s="154" t="str">
        <f>IF('Finalterm OVPAA-F-INS-055A RAW '!BP18="","",'Finalterm OVPAA-F-INS-055A RAW '!BP18/'Finalterm OVPAA-F-INS-055A RAW '!BP$17*100)</f>
        <v/>
      </c>
      <c r="BQ18" s="154" t="str">
        <f>IF('Finalterm OVPAA-F-INS-055A RAW '!BQ18="","",'Finalterm OVPAA-F-INS-055A RAW '!BQ18/'Finalterm OVPAA-F-INS-055A RAW '!BQ$17*100)</f>
        <v/>
      </c>
      <c r="BR18" s="154" t="str">
        <f>IF('Finalterm OVPAA-F-INS-055A RAW '!BR18="","",'Finalterm OVPAA-F-INS-055A RAW '!BR18/'Finalterm OVPAA-F-INS-055A RAW '!BR$17*100)</f>
        <v/>
      </c>
      <c r="BS18" s="154" t="str">
        <f>IF('Finalterm OVPAA-F-INS-055A RAW '!BS18="","",'Finalterm OVPAA-F-INS-055A RAW '!BS18/'Finalterm OVPAA-F-INS-055A RAW '!BS$17*100)</f>
        <v/>
      </c>
      <c r="BT18" s="154" t="str">
        <f>IF('Finalterm OVPAA-F-INS-055A RAW '!BT18="","",'Finalterm OVPAA-F-INS-055A RAW '!BT18/'Finalterm OVPAA-F-INS-055A RAW '!BT$17*100)</f>
        <v/>
      </c>
      <c r="BU18" s="155">
        <f t="array" ref="BU18">IF('Finalterm OVPAA-F-INS-055A RAW '!$G18="","",IF((SUMPRODUCT(--ISBLANK('Finalterm OVPAA-F-INS-055A RAW '!H18:BT18))=COLUMNS('Finalterm OVPAA-F-INS-055A RAW '!H18:BT18))=TRUE,"",(((COUNTA('Finalterm OVPAA-F-INS-055A RAW '!$H$17:$BT$17)+COUNTBLANK('Finalterm OVPAA-F-INS-055A RAW '!H18:BT18))-COLUMNS('Finalterm OVPAA-F-INS-055A RAW '!H18:BT18))*5+SUM(H18:BT18))/COUNTA('Finalterm OVPAA-F-INS-055A RAW '!$H$17:$BT$17)))</f>
        <v>0</v>
      </c>
      <c r="BV18" s="156">
        <f>IF(BU18="","",VLOOKUP(BU18,IF('Midterm OVPAA-F-INS-055A RAW SC'!$V$12=0.5,TRANSMUTATION!$C$4:$D$17,TRANSMUTATION!$G$4:$H$17),2,TRUE))</f>
        <v>5</v>
      </c>
      <c r="BW18" s="112">
        <v>0</v>
      </c>
      <c r="BX18" s="113">
        <f>IF('Finalterm OVPAA-F-INS-055A RAW '!BV18="","",'Finalterm OVPAA-F-INS-055A RAW '!BV18/'Finalterm OVPAA-F-INS-055A RAW '!BV$17*100)</f>
        <v>0</v>
      </c>
      <c r="BY18" s="113">
        <v>0</v>
      </c>
      <c r="BZ18" s="113" t="str">
        <f>IF('Finalterm OVPAA-F-INS-055A RAW '!BX18="","",'Finalterm OVPAA-F-INS-055A RAW '!BX18/'Finalterm OVPAA-F-INS-055A RAW '!BX$17*100)</f>
        <v/>
      </c>
      <c r="CA18" s="113" t="str">
        <f>IF('Finalterm OVPAA-F-INS-055A RAW '!BY18="","",'Finalterm OVPAA-F-INS-055A RAW '!BY18/'Finalterm OVPAA-F-INS-055A RAW '!BY$17*100)</f>
        <v/>
      </c>
      <c r="CB18" s="113" t="str">
        <f>IF('Finalterm OVPAA-F-INS-055A RAW '!BZ18="","",'Finalterm OVPAA-F-INS-055A RAW '!BZ18/'Finalterm OVPAA-F-INS-055A RAW '!BZ$17*100)</f>
        <v/>
      </c>
      <c r="CC18" s="113" t="str">
        <f>IF('Finalterm OVPAA-F-INS-055A RAW '!CA18="","",'Finalterm OVPAA-F-INS-055A RAW '!CA18/'Finalterm OVPAA-F-INS-055A RAW '!CA$17*100)</f>
        <v/>
      </c>
      <c r="CD18" s="113" t="str">
        <f>IF('Finalterm OVPAA-F-INS-055A RAW '!CB18="","",'Finalterm OVPAA-F-INS-055A RAW '!CB18/'Finalterm OVPAA-F-INS-055A RAW '!CB$17*100)</f>
        <v/>
      </c>
      <c r="CE18" s="113" t="str">
        <f>IF('Finalterm OVPAA-F-INS-055A RAW '!CC18="","",'Finalterm OVPAA-F-INS-055A RAW '!CC18/'Finalterm OVPAA-F-INS-055A RAW '!CC$17*100)</f>
        <v/>
      </c>
      <c r="CF18" s="113" t="str">
        <f>IF('Finalterm OVPAA-F-INS-055A RAW '!CD18="","",'Finalterm OVPAA-F-INS-055A RAW '!CD18/'Finalterm OVPAA-F-INS-055A RAW '!CD$17*100)</f>
        <v/>
      </c>
      <c r="CG18" s="113" t="str">
        <f>IF('Finalterm OVPAA-F-INS-055A RAW '!CE18="","",'Finalterm OVPAA-F-INS-055A RAW '!CE18/'Finalterm OVPAA-F-INS-055A RAW '!CE$17*100)</f>
        <v/>
      </c>
      <c r="CH18" s="113" t="str">
        <f>IF('Finalterm OVPAA-F-INS-055A RAW '!CF18="","",'Finalterm OVPAA-F-INS-055A RAW '!CF18/'Finalterm OVPAA-F-INS-055A RAW '!CF$17*100)</f>
        <v/>
      </c>
      <c r="CI18" s="113" t="str">
        <f>IF('Finalterm OVPAA-F-INS-055A RAW '!CG18="","",'Finalterm OVPAA-F-INS-055A RAW '!CG18/'Finalterm OVPAA-F-INS-055A RAW '!CG$17*100)</f>
        <v/>
      </c>
      <c r="CJ18" s="113" t="str">
        <f>IF('Finalterm OVPAA-F-INS-055A RAW '!CH18="","",'Finalterm OVPAA-F-INS-055A RAW '!CH18/'Finalterm OVPAA-F-INS-055A RAW '!CH$17*100)</f>
        <v/>
      </c>
      <c r="CK18" s="113" t="str">
        <f>IF('Finalterm OVPAA-F-INS-055A RAW '!CI18="","",'Finalterm OVPAA-F-INS-055A RAW '!CI18/'Finalterm OVPAA-F-INS-055A RAW '!CI$17*100)</f>
        <v/>
      </c>
      <c r="CL18" s="113" t="str">
        <f>IF('Finalterm OVPAA-F-INS-055A RAW '!CJ18="","",'Finalterm OVPAA-F-INS-055A RAW '!CJ18/'Finalterm OVPAA-F-INS-055A RAW '!CJ$17*100)</f>
        <v/>
      </c>
      <c r="CM18" s="113" t="str">
        <f>IF('Finalterm OVPAA-F-INS-055A RAW '!CK18="","",'Finalterm OVPAA-F-INS-055A RAW '!CK18/'Finalterm OVPAA-F-INS-055A RAW '!CK$17*100)</f>
        <v/>
      </c>
      <c r="CN18" s="113" t="str">
        <f>IF('Finalterm OVPAA-F-INS-055A RAW '!CL18="","",'Finalterm OVPAA-F-INS-055A RAW '!CL18/'Finalterm OVPAA-F-INS-055A RAW '!CL$17*100)</f>
        <v/>
      </c>
      <c r="CO18" s="113" t="str">
        <f>IF('Finalterm OVPAA-F-INS-055A RAW '!CM18="","",'Finalterm OVPAA-F-INS-055A RAW '!CM18/'Finalterm OVPAA-F-INS-055A RAW '!CM$17*100)</f>
        <v/>
      </c>
      <c r="CP18" s="113" t="e">
        <f>IF('Finalterm OVPAA-F-INS-055A RAW '!CN18="","",'Finalterm OVPAA-F-INS-055A RAW '!CN18/'Finalterm OVPAA-F-INS-055A RAW '!CN$17*100)</f>
        <v>#DIV/0!</v>
      </c>
      <c r="CQ18" s="157">
        <v>0</v>
      </c>
      <c r="CR18" s="116">
        <f>IF(CQ18="","",VLOOKUP(CQ18,IF('Midterm OVPAA-F-INS-055A RAW SC'!$V$12=0.5,TRANSMUTATION!$C$4:$D$17,TRANSMUTATION!$G$4:$H$17),2,TRUE))</f>
        <v>5</v>
      </c>
      <c r="CS18" s="158">
        <v>0</v>
      </c>
      <c r="CT18" s="158">
        <v>0</v>
      </c>
      <c r="CU18" s="158" t="str">
        <f>IF('Finalterm OVPAA-F-INS-055A RAW '!CQ18="","",'Finalterm OVPAA-F-INS-055A RAW '!CQ18/'Finalterm OVPAA-F-INS-055A RAW '!CQ$17*100)</f>
        <v/>
      </c>
      <c r="CV18" s="158" t="str">
        <f>IF('Finalterm OVPAA-F-INS-055A RAW '!CR18="","",'Finalterm OVPAA-F-INS-055A RAW '!CR18/'Finalterm OVPAA-F-INS-055A RAW '!CR$17*100)</f>
        <v/>
      </c>
      <c r="CW18" s="158" t="str">
        <f>IF('Finalterm OVPAA-F-INS-055A RAW '!CS18="","",'Finalterm OVPAA-F-INS-055A RAW '!CS18/'Finalterm OVPAA-F-INS-055A RAW '!CS$17*100)</f>
        <v/>
      </c>
      <c r="CX18" s="158" t="str">
        <f>IF('Finalterm OVPAA-F-INS-055A RAW '!CT18="","",'Finalterm OVPAA-F-INS-055A RAW '!CT18/'Finalterm OVPAA-F-INS-055A RAW '!CT$17*100)</f>
        <v/>
      </c>
      <c r="CY18" s="158" t="str">
        <f>IF('Finalterm OVPAA-F-INS-055A RAW '!CU18="","",'Finalterm OVPAA-F-INS-055A RAW '!CU18/'Finalterm OVPAA-F-INS-055A RAW '!CU$17*100)</f>
        <v/>
      </c>
      <c r="CZ18" s="158" t="str">
        <f>IF('Finalterm OVPAA-F-INS-055A RAW '!CV18="","",'Finalterm OVPAA-F-INS-055A RAW '!CV18/'Finalterm OVPAA-F-INS-055A RAW '!CV$17*100)</f>
        <v/>
      </c>
      <c r="DA18" s="158" t="str">
        <f>IF('Finalterm OVPAA-F-INS-055A RAW '!CW18="","",'Finalterm OVPAA-F-INS-055A RAW '!CW18/'Finalterm OVPAA-F-INS-055A RAW '!CW$17*100)</f>
        <v/>
      </c>
      <c r="DB18" s="158" t="str">
        <f>IF('Finalterm OVPAA-F-INS-055A RAW '!CX18="","",'Finalterm OVPAA-F-INS-055A RAW '!CX18/'Finalterm OVPAA-F-INS-055A RAW '!CX$17*100)</f>
        <v/>
      </c>
      <c r="DC18" s="159">
        <f t="array" ref="DC18">IF('Midterm OVPAA-F-INS-055A RAW SC'!$G18="","",IF((SUMPRODUCT(--ISBLANK('Finalterm OVPAA-F-INS-055A RAW '!CO18:CX18))=COLUMNS('Finalterm OVPAA-F-INS-055A RAW '!CO18:CX18))=TRUE,"",(((COUNTA('Finalterm OVPAA-F-INS-055A RAW '!$CO$17:$CX$17)+COUNTBLANK('Finalterm OVPAA-F-INS-055A RAW '!CO18:CX18))-COLUMNS('Finalterm OVPAA-F-INS-055A RAW '!CO18:CX18))*5+SUM(CS18:DB18))/COUNTA('Finalterm OVPAA-F-INS-055A RAW '!$CO$17:$CX$17)))</f>
        <v>0</v>
      </c>
      <c r="DD18" s="160">
        <f>IF(DC18="","",VLOOKUP(DC18,IF('Midterm OVPAA-F-INS-055A RAW SC'!$V$12=0.5,TRANSMUTATION!$C$4:$D$17,TRANSMUTATION!$G$4:$H$17),2,TRUE))</f>
        <v>5</v>
      </c>
      <c r="DE18" s="120">
        <f t="shared" ref="DE18:DE117" si="1">IF(BV18="","",(BV18*DE$15))</f>
        <v>1.5</v>
      </c>
      <c r="DF18" s="161">
        <f t="shared" ref="DF18:DF117" si="2">IF(CR18="","",(CR18*DF$15))</f>
        <v>1.5</v>
      </c>
      <c r="DG18" s="162">
        <f t="shared" ref="DG18:DG117" si="3">IF(DD18="","",(DD18*DG$15))</f>
        <v>2</v>
      </c>
      <c r="DH18" s="163">
        <f t="shared" ref="DH18:DH117" si="4">IF($DF$15="",IF(OR(DE18="",DG18="")=TRUE,"",(SUM(DE18:DG18))),IF(OR(DE18="",DF18="",DG18="")=TRUE,"",(SUM(DE18:DG18))))</f>
        <v>5</v>
      </c>
      <c r="DI18" s="164" t="str">
        <f t="shared" ref="DI18:DI117" si="5">IF(DH18="","",LOOKUP(DH18,{0,1.1251,1.3751,1.6251,1.8751,2.1251,2.3751,2.6251,2.8751,3.1251,3.3751,3.6251},{"1.00","1.25","1.50","1.75","2.00","2.25","2.50","2.75","3.00","3.25","3.50","5.00"}))</f>
        <v>5.00</v>
      </c>
    </row>
    <row r="19" spans="5:113" ht="14.5">
      <c r="E19" s="59">
        <v>2</v>
      </c>
      <c r="F19" s="124">
        <f>IF(NOT(ISBLANK('Midterm OVPAA-F-INS-055A RAW SC'!F19)),'Midterm OVPAA-F-INS-055A RAW SC'!F19,"")</f>
        <v>10</v>
      </c>
      <c r="G19" s="125" t="str">
        <f>IF(NOT(ISBLANK('Midterm OVPAA-F-INS-055A RAW SC'!G19)),'Midterm OVPAA-F-INS-055A RAW SC'!G19,"")</f>
        <v>Añonuevo, Thomas Franz</v>
      </c>
      <c r="H19" s="126">
        <f>IF('Finalterm OVPAA-F-INS-055A RAW '!H19="","",'Finalterm OVPAA-F-INS-055A RAW '!H19/'Finalterm OVPAA-F-INS-055A RAW '!H$17*100)</f>
        <v>100</v>
      </c>
      <c r="I19" s="126">
        <f>IF('Finalterm OVPAA-F-INS-055A RAW '!I19="","",'Finalterm OVPAA-F-INS-055A RAW '!I19/'Finalterm OVPAA-F-INS-055A RAW '!I$17*100)</f>
        <v>100</v>
      </c>
      <c r="J19" s="126">
        <f>IF('Finalterm OVPAA-F-INS-055A RAW '!J19="","",'Finalterm OVPAA-F-INS-055A RAW '!J19/'Finalterm OVPAA-F-INS-055A RAW '!J$17*100)</f>
        <v>100</v>
      </c>
      <c r="K19" s="126">
        <f>IF('Finalterm OVPAA-F-INS-055A RAW '!K19="","",'Finalterm OVPAA-F-INS-055A RAW '!K19/'Finalterm OVPAA-F-INS-055A RAW '!K$17*100)</f>
        <v>100</v>
      </c>
      <c r="L19" s="126">
        <f>IF('Finalterm OVPAA-F-INS-055A RAW '!L19="","",'Finalterm OVPAA-F-INS-055A RAW '!L19/'Finalterm OVPAA-F-INS-055A RAW '!L$17*100)</f>
        <v>100</v>
      </c>
      <c r="M19" s="126" t="str">
        <f>IF('Finalterm OVPAA-F-INS-055A RAW '!M19="","",'Finalterm OVPAA-F-INS-055A RAW '!M19/'Finalterm OVPAA-F-INS-055A RAW '!M$17*100)</f>
        <v/>
      </c>
      <c r="N19" s="126" t="str">
        <f>IF('Finalterm OVPAA-F-INS-055A RAW '!N19="","",'Finalterm OVPAA-F-INS-055A RAW '!N19/'Finalterm OVPAA-F-INS-055A RAW '!N$17*100)</f>
        <v/>
      </c>
      <c r="O19" s="126" t="str">
        <f>IF('Finalterm OVPAA-F-INS-055A RAW '!O19="","",'Finalterm OVPAA-F-INS-055A RAW '!O19/'Finalterm OVPAA-F-INS-055A RAW '!O$17*100)</f>
        <v/>
      </c>
      <c r="P19" s="126" t="str">
        <f>IF('Finalterm OVPAA-F-INS-055A RAW '!P19="","",'Finalterm OVPAA-F-INS-055A RAW '!P19/'Finalterm OVPAA-F-INS-055A RAW '!P$17*100)</f>
        <v/>
      </c>
      <c r="Q19" s="126" t="str">
        <f>IF('Finalterm OVPAA-F-INS-055A RAW '!Q19="","",'Finalterm OVPAA-F-INS-055A RAW '!Q19/'Finalterm OVPAA-F-INS-055A RAW '!Q$17*100)</f>
        <v/>
      </c>
      <c r="R19" s="126" t="str">
        <f>IF('Finalterm OVPAA-F-INS-055A RAW '!R19="","",'Finalterm OVPAA-F-INS-055A RAW '!R19/'Finalterm OVPAA-F-INS-055A RAW '!R$17*100)</f>
        <v/>
      </c>
      <c r="S19" s="126" t="str">
        <f>IF('Finalterm OVPAA-F-INS-055A RAW '!S19="","",'Finalterm OVPAA-F-INS-055A RAW '!S19/'Finalterm OVPAA-F-INS-055A RAW '!S$17*100)</f>
        <v/>
      </c>
      <c r="T19" s="126" t="str">
        <f>IF('Finalterm OVPAA-F-INS-055A RAW '!T19="","",'Finalterm OVPAA-F-INS-055A RAW '!T19/'Finalterm OVPAA-F-INS-055A RAW '!T$17*100)</f>
        <v/>
      </c>
      <c r="U19" s="126" t="str">
        <f>IF('Finalterm OVPAA-F-INS-055A RAW '!U19="","",'Finalterm OVPAA-F-INS-055A RAW '!U19/'Finalterm OVPAA-F-INS-055A RAW '!U$17*100)</f>
        <v/>
      </c>
      <c r="V19" s="126" t="str">
        <f>IF('Finalterm OVPAA-F-INS-055A RAW '!V19="","",'Finalterm OVPAA-F-INS-055A RAW '!V19/'Finalterm OVPAA-F-INS-055A RAW '!V$17*100)</f>
        <v/>
      </c>
      <c r="W19" s="126" t="str">
        <f>IF('Finalterm OVPAA-F-INS-055A RAW '!W19="","",'Finalterm OVPAA-F-INS-055A RAW '!W19/'Finalterm OVPAA-F-INS-055A RAW '!W$17*100)</f>
        <v/>
      </c>
      <c r="X19" s="126" t="str">
        <f>IF('Finalterm OVPAA-F-INS-055A RAW '!X19="","",'Finalterm OVPAA-F-INS-055A RAW '!X19/'Finalterm OVPAA-F-INS-055A RAW '!X$17*100)</f>
        <v/>
      </c>
      <c r="Y19" s="126" t="str">
        <f>IF('Finalterm OVPAA-F-INS-055A RAW '!Y19="","",'Finalterm OVPAA-F-INS-055A RAW '!Y19/'Finalterm OVPAA-F-INS-055A RAW '!Y$17*100)</f>
        <v/>
      </c>
      <c r="Z19" s="126" t="str">
        <f>IF('Finalterm OVPAA-F-INS-055A RAW '!Z19="","",'Finalterm OVPAA-F-INS-055A RAW '!Z19/'Finalterm OVPAA-F-INS-055A RAW '!Z$17*100)</f>
        <v/>
      </c>
      <c r="AA19" s="126" t="str">
        <f>IF('Finalterm OVPAA-F-INS-055A RAW '!AA19="","",'Finalterm OVPAA-F-INS-055A RAW '!AA19/'Finalterm OVPAA-F-INS-055A RAW '!AA$17*100)</f>
        <v/>
      </c>
      <c r="AB19" s="126" t="str">
        <f>IF('Finalterm OVPAA-F-INS-055A RAW '!AB19="","",'Finalterm OVPAA-F-INS-055A RAW '!AB19/'Finalterm OVPAA-F-INS-055A RAW '!AB$17*100)</f>
        <v/>
      </c>
      <c r="AC19" s="126" t="str">
        <f>IF('Finalterm OVPAA-F-INS-055A RAW '!AC19="","",'Finalterm OVPAA-F-INS-055A RAW '!AC19/'Finalterm OVPAA-F-INS-055A RAW '!AC$17*100)</f>
        <v/>
      </c>
      <c r="AD19" s="126" t="str">
        <f>IF('Finalterm OVPAA-F-INS-055A RAW '!AD19="","",'Finalterm OVPAA-F-INS-055A RAW '!AD19/'Finalterm OVPAA-F-INS-055A RAW '!AD$17*100)</f>
        <v/>
      </c>
      <c r="AE19" s="126" t="str">
        <f>IF('Finalterm OVPAA-F-INS-055A RAW '!AE19="","",'Finalterm OVPAA-F-INS-055A RAW '!AE19/'Finalterm OVPAA-F-INS-055A RAW '!AE$17*100)</f>
        <v/>
      </c>
      <c r="AF19" s="126" t="str">
        <f>IF('Finalterm OVPAA-F-INS-055A RAW '!AF19="","",'Finalterm OVPAA-F-INS-055A RAW '!AF19/'Finalterm OVPAA-F-INS-055A RAW '!AF$17*100)</f>
        <v/>
      </c>
      <c r="AG19" s="126" t="str">
        <f>IF('Finalterm OVPAA-F-INS-055A RAW '!AG19="","",'Finalterm OVPAA-F-INS-055A RAW '!AG19/'Finalterm OVPAA-F-INS-055A RAW '!AG$17*100)</f>
        <v/>
      </c>
      <c r="AH19" s="126" t="str">
        <f>IF('Finalterm OVPAA-F-INS-055A RAW '!AH19="","",'Finalterm OVPAA-F-INS-055A RAW '!AH19/'Finalterm OVPAA-F-INS-055A RAW '!AH$17*100)</f>
        <v/>
      </c>
      <c r="AI19" s="126" t="str">
        <f>IF('Finalterm OVPAA-F-INS-055A RAW '!AI19="","",'Finalterm OVPAA-F-INS-055A RAW '!AI19/'Finalterm OVPAA-F-INS-055A RAW '!AI$17*100)</f>
        <v/>
      </c>
      <c r="AJ19" s="126" t="str">
        <f>IF('Finalterm OVPAA-F-INS-055A RAW '!AJ19="","",'Finalterm OVPAA-F-INS-055A RAW '!AJ19/'Finalterm OVPAA-F-INS-055A RAW '!AJ$17*100)</f>
        <v/>
      </c>
      <c r="AK19" s="126" t="str">
        <f>IF('Finalterm OVPAA-F-INS-055A RAW '!AK19="","",'Finalterm OVPAA-F-INS-055A RAW '!AK19/'Finalterm OVPAA-F-INS-055A RAW '!AK$17*100)</f>
        <v/>
      </c>
      <c r="AL19" s="126" t="str">
        <f>IF('Finalterm OVPAA-F-INS-055A RAW '!AL19="","",'Finalterm OVPAA-F-INS-055A RAW '!AL19/'Finalterm OVPAA-F-INS-055A RAW '!AL$17*100)</f>
        <v/>
      </c>
      <c r="AM19" s="126" t="str">
        <f>IF('Finalterm OVPAA-F-INS-055A RAW '!AM19="","",'Finalterm OVPAA-F-INS-055A RAW '!AM19/'Finalterm OVPAA-F-INS-055A RAW '!AM$17*100)</f>
        <v/>
      </c>
      <c r="AN19" s="126" t="str">
        <f>IF('Finalterm OVPAA-F-INS-055A RAW '!AN19="","",'Finalterm OVPAA-F-INS-055A RAW '!AN19/'Finalterm OVPAA-F-INS-055A RAW '!AN$17*100)</f>
        <v/>
      </c>
      <c r="AO19" s="126" t="str">
        <f>IF('Finalterm OVPAA-F-INS-055A RAW '!AO19="","",'Finalterm OVPAA-F-INS-055A RAW '!AO19/'Finalterm OVPAA-F-INS-055A RAW '!AO$17*100)</f>
        <v/>
      </c>
      <c r="AP19" s="126" t="str">
        <f>IF('Finalterm OVPAA-F-INS-055A RAW '!AP19="","",'Finalterm OVPAA-F-INS-055A RAW '!AP19/'Finalterm OVPAA-F-INS-055A RAW '!AP$17*100)</f>
        <v/>
      </c>
      <c r="AQ19" s="126" t="str">
        <f>IF('Finalterm OVPAA-F-INS-055A RAW '!AQ19="","",'Finalterm OVPAA-F-INS-055A RAW '!AQ19/'Finalterm OVPAA-F-INS-055A RAW '!AQ$17*100)</f>
        <v/>
      </c>
      <c r="AR19" s="126" t="str">
        <f>IF('Finalterm OVPAA-F-INS-055A RAW '!AR19="","",'Finalterm OVPAA-F-INS-055A RAW '!AR19/'Finalterm OVPAA-F-INS-055A RAW '!AR$17*100)</f>
        <v/>
      </c>
      <c r="AS19" s="126" t="str">
        <f>IF('Finalterm OVPAA-F-INS-055A RAW '!AS19="","",'Finalterm OVPAA-F-INS-055A RAW '!AS19/'Finalterm OVPAA-F-INS-055A RAW '!AS$17*100)</f>
        <v/>
      </c>
      <c r="AT19" s="126" t="str">
        <f>IF('Finalterm OVPAA-F-INS-055A RAW '!AT19="","",'Finalterm OVPAA-F-INS-055A RAW '!AT19/'Finalterm OVPAA-F-INS-055A RAW '!AT$17*100)</f>
        <v/>
      </c>
      <c r="AU19" s="126" t="str">
        <f>IF('Finalterm OVPAA-F-INS-055A RAW '!AU19="","",'Finalterm OVPAA-F-INS-055A RAW '!AU19/'Finalterm OVPAA-F-INS-055A RAW '!AU$17*100)</f>
        <v/>
      </c>
      <c r="AV19" s="126" t="str">
        <f>IF('Finalterm OVPAA-F-INS-055A RAW '!AV19="","",'Finalterm OVPAA-F-INS-055A RAW '!AV19/'Finalterm OVPAA-F-INS-055A RAW '!AV$17*100)</f>
        <v/>
      </c>
      <c r="AW19" s="126" t="str">
        <f>IF('Finalterm OVPAA-F-INS-055A RAW '!AW19="","",'Finalterm OVPAA-F-INS-055A RAW '!AW19/'Finalterm OVPAA-F-INS-055A RAW '!AW$17*100)</f>
        <v/>
      </c>
      <c r="AX19" s="126" t="str">
        <f>IF('Finalterm OVPAA-F-INS-055A RAW '!AX19="","",'Finalterm OVPAA-F-INS-055A RAW '!AX19/'Finalterm OVPAA-F-INS-055A RAW '!AX$17*100)</f>
        <v/>
      </c>
      <c r="AY19" s="126" t="str">
        <f>IF('Finalterm OVPAA-F-INS-055A RAW '!AY19="","",'Finalterm OVPAA-F-INS-055A RAW '!AY19/'Finalterm OVPAA-F-INS-055A RAW '!AY$17*100)</f>
        <v/>
      </c>
      <c r="AZ19" s="126" t="str">
        <f>IF('Finalterm OVPAA-F-INS-055A RAW '!AZ19="","",'Finalterm OVPAA-F-INS-055A RAW '!AZ19/'Finalterm OVPAA-F-INS-055A RAW '!AZ$17*100)</f>
        <v/>
      </c>
      <c r="BA19" s="126" t="str">
        <f>IF('Finalterm OVPAA-F-INS-055A RAW '!BA19="","",'Finalterm OVPAA-F-INS-055A RAW '!BA19/'Finalterm OVPAA-F-INS-055A RAW '!BA$17*100)</f>
        <v/>
      </c>
      <c r="BB19" s="126" t="str">
        <f>IF('Finalterm OVPAA-F-INS-055A RAW '!BB19="","",'Finalterm OVPAA-F-INS-055A RAW '!BB19/'Finalterm OVPAA-F-INS-055A RAW '!BB$17*100)</f>
        <v/>
      </c>
      <c r="BC19" s="126" t="str">
        <f>IF('Finalterm OVPAA-F-INS-055A RAW '!BC19="","",'Finalterm OVPAA-F-INS-055A RAW '!BC19/'Finalterm OVPAA-F-INS-055A RAW '!BC$17*100)</f>
        <v/>
      </c>
      <c r="BD19" s="126" t="str">
        <f>IF('Finalterm OVPAA-F-INS-055A RAW '!BD19="","",'Finalterm OVPAA-F-INS-055A RAW '!BD19/'Finalterm OVPAA-F-INS-055A RAW '!BD$17*100)</f>
        <v/>
      </c>
      <c r="BE19" s="126" t="str">
        <f>IF('Finalterm OVPAA-F-INS-055A RAW '!BE19="","",'Finalterm OVPAA-F-INS-055A RAW '!BE19/'Finalterm OVPAA-F-INS-055A RAW '!BE$17*100)</f>
        <v/>
      </c>
      <c r="BF19" s="126" t="str">
        <f>IF('Finalterm OVPAA-F-INS-055A RAW '!BF19="","",'Finalterm OVPAA-F-INS-055A RAW '!BF19/'Finalterm OVPAA-F-INS-055A RAW '!BF$17*100)</f>
        <v/>
      </c>
      <c r="BG19" s="126" t="str">
        <f>IF('Finalterm OVPAA-F-INS-055A RAW '!BG19="","",'Finalterm OVPAA-F-INS-055A RAW '!BG19/'Finalterm OVPAA-F-INS-055A RAW '!BG$17*100)</f>
        <v/>
      </c>
      <c r="BH19" s="126" t="str">
        <f>IF('Finalterm OVPAA-F-INS-055A RAW '!BH19="","",'Finalterm OVPAA-F-INS-055A RAW '!BH19/'Finalterm OVPAA-F-INS-055A RAW '!BH$17*100)</f>
        <v/>
      </c>
      <c r="BI19" s="126" t="str">
        <f>IF('Finalterm OVPAA-F-INS-055A RAW '!BI19="","",'Finalterm OVPAA-F-INS-055A RAW '!BI19/'Finalterm OVPAA-F-INS-055A RAW '!BI$17*100)</f>
        <v/>
      </c>
      <c r="BJ19" s="126" t="str">
        <f>IF('Finalterm OVPAA-F-INS-055A RAW '!BJ19="","",'Finalterm OVPAA-F-INS-055A RAW '!BJ19/'Finalterm OVPAA-F-INS-055A RAW '!BJ$17*100)</f>
        <v/>
      </c>
      <c r="BK19" s="126" t="str">
        <f>IF('Finalterm OVPAA-F-INS-055A RAW '!BK19="","",'Finalterm OVPAA-F-INS-055A RAW '!BK19/'Finalterm OVPAA-F-INS-055A RAW '!BK$17*100)</f>
        <v/>
      </c>
      <c r="BL19" s="126" t="str">
        <f>IF('Finalterm OVPAA-F-INS-055A RAW '!BL19="","",'Finalterm OVPAA-F-INS-055A RAW '!BL19/'Finalterm OVPAA-F-INS-055A RAW '!BL$17*100)</f>
        <v/>
      </c>
      <c r="BM19" s="126" t="str">
        <f>IF('Finalterm OVPAA-F-INS-055A RAW '!BM19="","",'Finalterm OVPAA-F-INS-055A RAW '!BM19/'Finalterm OVPAA-F-INS-055A RAW '!BM$17*100)</f>
        <v/>
      </c>
      <c r="BN19" s="126" t="str">
        <f>IF('Finalterm OVPAA-F-INS-055A RAW '!BN19="","",'Finalterm OVPAA-F-INS-055A RAW '!BN19/'Finalterm OVPAA-F-INS-055A RAW '!BN$17*100)</f>
        <v/>
      </c>
      <c r="BO19" s="126" t="str">
        <f>IF('Finalterm OVPAA-F-INS-055A RAW '!BO19="","",'Finalterm OVPAA-F-INS-055A RAW '!BO19/'Finalterm OVPAA-F-INS-055A RAW '!BO$17*100)</f>
        <v/>
      </c>
      <c r="BP19" s="126" t="str">
        <f>IF('Finalterm OVPAA-F-INS-055A RAW '!BP19="","",'Finalterm OVPAA-F-INS-055A RAW '!BP19/'Finalterm OVPAA-F-INS-055A RAW '!BP$17*100)</f>
        <v/>
      </c>
      <c r="BQ19" s="126" t="str">
        <f>IF('Finalterm OVPAA-F-INS-055A RAW '!BQ19="","",'Finalterm OVPAA-F-INS-055A RAW '!BQ19/'Finalterm OVPAA-F-INS-055A RAW '!BQ$17*100)</f>
        <v/>
      </c>
      <c r="BR19" s="126" t="str">
        <f>IF('Finalterm OVPAA-F-INS-055A RAW '!BR19="","",'Finalterm OVPAA-F-INS-055A RAW '!BR19/'Finalterm OVPAA-F-INS-055A RAW '!BR$17*100)</f>
        <v/>
      </c>
      <c r="BS19" s="126" t="str">
        <f>IF('Finalterm OVPAA-F-INS-055A RAW '!BS19="","",'Finalterm OVPAA-F-INS-055A RAW '!BS19/'Finalterm OVPAA-F-INS-055A RAW '!BS$17*100)</f>
        <v/>
      </c>
      <c r="BT19" s="126" t="str">
        <f>IF('Finalterm OVPAA-F-INS-055A RAW '!BT19="","",'Finalterm OVPAA-F-INS-055A RAW '!BT19/'Finalterm OVPAA-F-INS-055A RAW '!BT$17*100)</f>
        <v/>
      </c>
      <c r="BU19" s="127">
        <f t="array" ref="BU19">IF('Finalterm OVPAA-F-INS-055A RAW '!$G19="","",IF((SUMPRODUCT(--ISBLANK('Finalterm OVPAA-F-INS-055A RAW '!H19:BT19))=COLUMNS('Finalterm OVPAA-F-INS-055A RAW '!H19:BT19))=TRUE,"",(((COUNTA('Finalterm OVPAA-F-INS-055A RAW '!$H$17:$BT$17)+COUNTBLANK('Finalterm OVPAA-F-INS-055A RAW '!H19:BT19))-COLUMNS('Finalterm OVPAA-F-INS-055A RAW '!H19:BT19))*5+SUM(H19:BT19))/COUNTA('Finalterm OVPAA-F-INS-055A RAW '!$H$17:$BT$17)))</f>
        <v>100</v>
      </c>
      <c r="BV19" s="165">
        <f>IF(BU19="","",VLOOKUP(BU19,IF('Midterm OVPAA-F-INS-055A RAW SC'!$V$12=0.5,TRANSMUTATION!$C$4:$D$17,TRANSMUTATION!$G$4:$H$17),2,TRUE))</f>
        <v>1</v>
      </c>
      <c r="BW19" s="129">
        <v>0</v>
      </c>
      <c r="BX19" s="130">
        <v>0</v>
      </c>
      <c r="BY19" s="130">
        <v>0</v>
      </c>
      <c r="BZ19" s="130" t="str">
        <f>IF('Finalterm OVPAA-F-INS-055A RAW '!BX19="","",'Finalterm OVPAA-F-INS-055A RAW '!BX19/'Finalterm OVPAA-F-INS-055A RAW '!BX$17*100)</f>
        <v/>
      </c>
      <c r="CA19" s="130" t="str">
        <f>IF('Finalterm OVPAA-F-INS-055A RAW '!BY19="","",'Finalterm OVPAA-F-INS-055A RAW '!BY19/'Finalterm OVPAA-F-INS-055A RAW '!BY$17*100)</f>
        <v/>
      </c>
      <c r="CB19" s="130" t="str">
        <f>IF('Finalterm OVPAA-F-INS-055A RAW '!BZ19="","",'Finalterm OVPAA-F-INS-055A RAW '!BZ19/'Finalterm OVPAA-F-INS-055A RAW '!BZ$17*100)</f>
        <v/>
      </c>
      <c r="CC19" s="130" t="str">
        <f>IF('Finalterm OVPAA-F-INS-055A RAW '!CA19="","",'Finalterm OVPAA-F-INS-055A RAW '!CA19/'Finalterm OVPAA-F-INS-055A RAW '!CA$17*100)</f>
        <v/>
      </c>
      <c r="CD19" s="130" t="str">
        <f>IF('Finalterm OVPAA-F-INS-055A RAW '!CB19="","",'Finalterm OVPAA-F-INS-055A RAW '!CB19/'Finalterm OVPAA-F-INS-055A RAW '!CB$17*100)</f>
        <v/>
      </c>
      <c r="CE19" s="130" t="str">
        <f>IF('Finalterm OVPAA-F-INS-055A RAW '!CC19="","",'Finalterm OVPAA-F-INS-055A RAW '!CC19/'Finalterm OVPAA-F-INS-055A RAW '!CC$17*100)</f>
        <v/>
      </c>
      <c r="CF19" s="130" t="str">
        <f>IF('Finalterm OVPAA-F-INS-055A RAW '!CD19="","",'Finalterm OVPAA-F-INS-055A RAW '!CD19/'Finalterm OVPAA-F-INS-055A RAW '!CD$17*100)</f>
        <v/>
      </c>
      <c r="CG19" s="130" t="str">
        <f>IF('Finalterm OVPAA-F-INS-055A RAW '!CE19="","",'Finalterm OVPAA-F-INS-055A RAW '!CE19/'Finalterm OVPAA-F-INS-055A RAW '!CE$17*100)</f>
        <v/>
      </c>
      <c r="CH19" s="130" t="str">
        <f>IF('Finalterm OVPAA-F-INS-055A RAW '!CF19="","",'Finalterm OVPAA-F-INS-055A RAW '!CF19/'Finalterm OVPAA-F-INS-055A RAW '!CF$17*100)</f>
        <v/>
      </c>
      <c r="CI19" s="130" t="str">
        <f>IF('Finalterm OVPAA-F-INS-055A RAW '!CG19="","",'Finalterm OVPAA-F-INS-055A RAW '!CG19/'Finalterm OVPAA-F-INS-055A RAW '!CG$17*100)</f>
        <v/>
      </c>
      <c r="CJ19" s="130" t="str">
        <f>IF('Finalterm OVPAA-F-INS-055A RAW '!CH19="","",'Finalterm OVPAA-F-INS-055A RAW '!CH19/'Finalterm OVPAA-F-INS-055A RAW '!CH$17*100)</f>
        <v/>
      </c>
      <c r="CK19" s="130" t="str">
        <f>IF('Finalterm OVPAA-F-INS-055A RAW '!CI19="","",'Finalterm OVPAA-F-INS-055A RAW '!CI19/'Finalterm OVPAA-F-INS-055A RAW '!CI$17*100)</f>
        <v/>
      </c>
      <c r="CL19" s="130" t="str">
        <f>IF('Finalterm OVPAA-F-INS-055A RAW '!CJ19="","",'Finalterm OVPAA-F-INS-055A RAW '!CJ19/'Finalterm OVPAA-F-INS-055A RAW '!CJ$17*100)</f>
        <v/>
      </c>
      <c r="CM19" s="130" t="str">
        <f>IF('Finalterm OVPAA-F-INS-055A RAW '!CK19="","",'Finalterm OVPAA-F-INS-055A RAW '!CK19/'Finalterm OVPAA-F-INS-055A RAW '!CK$17*100)</f>
        <v/>
      </c>
      <c r="CN19" s="130" t="str">
        <f>IF('Finalterm OVPAA-F-INS-055A RAW '!CL19="","",'Finalterm OVPAA-F-INS-055A RAW '!CL19/'Finalterm OVPAA-F-INS-055A RAW '!CL$17*100)</f>
        <v/>
      </c>
      <c r="CO19" s="130" t="str">
        <f>IF('Finalterm OVPAA-F-INS-055A RAW '!CM19="","",'Finalterm OVPAA-F-INS-055A RAW '!CM19/'Finalterm OVPAA-F-INS-055A RAW '!CM$17*100)</f>
        <v/>
      </c>
      <c r="CP19" s="130" t="str">
        <f>IF('Finalterm OVPAA-F-INS-055A RAW '!CN19="","",'Finalterm OVPAA-F-INS-055A RAW '!CN19/'Finalterm OVPAA-F-INS-055A RAW '!CN$17*100)</f>
        <v/>
      </c>
      <c r="CQ19" s="131">
        <f t="array" ref="CQ19">IF('Midterm OVPAA-F-INS-055A RAW SC'!G19="","",IF((SUMPRODUCT(--ISBLANK('Finalterm OVPAA-F-INS-055A RAW '!BU19:CN19))=COLUMNS('Finalterm OVPAA-F-INS-055A RAW '!BU19:CN19))=TRUE,"",(((COUNTA('Finalterm OVPAA-F-INS-055A RAW '!$BU$17:$CN$17)+COUNTBLANK('Finalterm OVPAA-F-INS-055A RAW '!BU19:CN19))-COLUMNS('Finalterm OVPAA-F-INS-055A RAW '!BU19:CN19))*5+SUM(BW19:CP19))/COUNTA('Finalterm OVPAA-F-INS-055A RAW '!$BU$17:$CN$17)))</f>
        <v>0</v>
      </c>
      <c r="CR19" s="132">
        <f>IF(CQ19="","",VLOOKUP(CQ19,IF('Midterm OVPAA-F-INS-055A RAW SC'!$V$12=0.5,TRANSMUTATION!$C$4:$D$17,TRANSMUTATION!$G$4:$H$17),2,TRUE))</f>
        <v>5</v>
      </c>
      <c r="CS19" s="133">
        <f>IF('Finalterm OVPAA-F-INS-055A RAW '!CO19="","",'Finalterm OVPAA-F-INS-055A RAW '!CO19/'Finalterm OVPAA-F-INS-055A RAW '!CO$17*100)</f>
        <v>50</v>
      </c>
      <c r="CT19" s="133">
        <f>IF('Finalterm OVPAA-F-INS-055A RAW '!CP19="","",'Finalterm OVPAA-F-INS-055A RAW '!CP19/'Finalterm OVPAA-F-INS-055A RAW '!CP$17*100)</f>
        <v>72.5</v>
      </c>
      <c r="CU19" s="133" t="str">
        <f>IF('Finalterm OVPAA-F-INS-055A RAW '!CQ19="","",'Finalterm OVPAA-F-INS-055A RAW '!CQ19/'Finalterm OVPAA-F-INS-055A RAW '!CQ$17*100)</f>
        <v/>
      </c>
      <c r="CV19" s="133" t="str">
        <f>IF('Finalterm OVPAA-F-INS-055A RAW '!CR19="","",'Finalterm OVPAA-F-INS-055A RAW '!CR19/'Finalterm OVPAA-F-INS-055A RAW '!CR$17*100)</f>
        <v/>
      </c>
      <c r="CW19" s="133" t="str">
        <f>IF('Finalterm OVPAA-F-INS-055A RAW '!CS19="","",'Finalterm OVPAA-F-INS-055A RAW '!CS19/'Finalterm OVPAA-F-INS-055A RAW '!CS$17*100)</f>
        <v/>
      </c>
      <c r="CX19" s="133" t="str">
        <f>IF('Finalterm OVPAA-F-INS-055A RAW '!CT19="","",'Finalterm OVPAA-F-INS-055A RAW '!CT19/'Finalterm OVPAA-F-INS-055A RAW '!CT$17*100)</f>
        <v/>
      </c>
      <c r="CY19" s="133" t="str">
        <f>IF('Finalterm OVPAA-F-INS-055A RAW '!CU19="","",'Finalterm OVPAA-F-INS-055A RAW '!CU19/'Finalterm OVPAA-F-INS-055A RAW '!CU$17*100)</f>
        <v/>
      </c>
      <c r="CZ19" s="133" t="str">
        <f>IF('Finalterm OVPAA-F-INS-055A RAW '!CV19="","",'Finalterm OVPAA-F-INS-055A RAW '!CV19/'Finalterm OVPAA-F-INS-055A RAW '!CV$17*100)</f>
        <v/>
      </c>
      <c r="DA19" s="133" t="str">
        <f>IF('Finalterm OVPAA-F-INS-055A RAW '!CW19="","",'Finalterm OVPAA-F-INS-055A RAW '!CW19/'Finalterm OVPAA-F-INS-055A RAW '!CW$17*100)</f>
        <v/>
      </c>
      <c r="DB19" s="133" t="str">
        <f>IF('Finalterm OVPAA-F-INS-055A RAW '!CX19="","",'Finalterm OVPAA-F-INS-055A RAW '!CX19/'Finalterm OVPAA-F-INS-055A RAW '!CX$17*100)</f>
        <v/>
      </c>
      <c r="DC19" s="134">
        <f t="array" ref="DC19">IF('Midterm OVPAA-F-INS-055A RAW SC'!$G19="","",IF((SUMPRODUCT(--ISBLANK('Finalterm OVPAA-F-INS-055A RAW '!CO19:CX19))=COLUMNS('Finalterm OVPAA-F-INS-055A RAW '!CO19:CX19))=TRUE,"",(((COUNTA('Finalterm OVPAA-F-INS-055A RAW '!$CO$17:$CX$17)+COUNTBLANK('Finalterm OVPAA-F-INS-055A RAW '!CO19:CX19))-COLUMNS('Finalterm OVPAA-F-INS-055A RAW '!CO19:CX19))*5+SUM(CS19:DB19))/COUNTA('Finalterm OVPAA-F-INS-055A RAW '!$CO$17:$CX$17)))</f>
        <v>61.25</v>
      </c>
      <c r="DD19" s="135">
        <f>IF(DC19="","",VLOOKUP(DC19,IF('Midterm OVPAA-F-INS-055A RAW SC'!$V$12=0.5,TRANSMUTATION!$C$4:$D$17,TRANSMUTATION!$G$4:$H$17),2,TRUE))</f>
        <v>2.75</v>
      </c>
      <c r="DE19" s="136">
        <f t="shared" si="1"/>
        <v>0.3</v>
      </c>
      <c r="DF19" s="166">
        <f t="shared" si="2"/>
        <v>1.5</v>
      </c>
      <c r="DG19" s="167">
        <f t="shared" si="3"/>
        <v>1.1000000000000001</v>
      </c>
      <c r="DH19" s="168">
        <f t="shared" si="4"/>
        <v>2.9000000000000004</v>
      </c>
      <c r="DI19" s="169" t="str">
        <f t="shared" si="5"/>
        <v>3.00</v>
      </c>
    </row>
    <row r="20" spans="5:113" ht="14.5">
      <c r="E20" s="59">
        <v>3</v>
      </c>
      <c r="F20" s="124">
        <f>IF(NOT(ISBLANK('Midterm OVPAA-F-INS-055A RAW SC'!F20)),'Midterm OVPAA-F-INS-055A RAW SC'!F20,"")</f>
        <v>11</v>
      </c>
      <c r="G20" s="125" t="str">
        <f>IF(NOT(ISBLANK('Midterm OVPAA-F-INS-055A RAW SC'!G20)),'Midterm OVPAA-F-INS-055A RAW SC'!G20,"")</f>
        <v>Cabuco, Dean Krist A.</v>
      </c>
      <c r="H20" s="126">
        <f>IF('Finalterm OVPAA-F-INS-055A RAW '!H20="","",'Finalterm OVPAA-F-INS-055A RAW '!H20/'Finalterm OVPAA-F-INS-055A RAW '!H$17*100)</f>
        <v>0</v>
      </c>
      <c r="I20" s="126">
        <f>IF('Finalterm OVPAA-F-INS-055A RAW '!I20="","",'Finalterm OVPAA-F-INS-055A RAW '!I20/'Finalterm OVPAA-F-INS-055A RAW '!I$17*100)</f>
        <v>0</v>
      </c>
      <c r="J20" s="126">
        <f>IF('Finalterm OVPAA-F-INS-055A RAW '!J20="","",'Finalterm OVPAA-F-INS-055A RAW '!J20/'Finalterm OVPAA-F-INS-055A RAW '!J$17*100)</f>
        <v>0</v>
      </c>
      <c r="K20" s="126">
        <f>IF('Finalterm OVPAA-F-INS-055A RAW '!K20="","",'Finalterm OVPAA-F-INS-055A RAW '!K20/'Finalterm OVPAA-F-INS-055A RAW '!K$17*100)</f>
        <v>0</v>
      </c>
      <c r="L20" s="126">
        <f>IF('Finalterm OVPAA-F-INS-055A RAW '!L20="","",'Finalterm OVPAA-F-INS-055A RAW '!L20/'Finalterm OVPAA-F-INS-055A RAW '!L$17*100)</f>
        <v>0</v>
      </c>
      <c r="M20" s="126" t="str">
        <f>IF('Finalterm OVPAA-F-INS-055A RAW '!M20="","",'Finalterm OVPAA-F-INS-055A RAW '!M20/'Finalterm OVPAA-F-INS-055A RAW '!M$17*100)</f>
        <v/>
      </c>
      <c r="N20" s="126" t="str">
        <f>IF('Finalterm OVPAA-F-INS-055A RAW '!N20="","",'Finalterm OVPAA-F-INS-055A RAW '!N20/'Finalterm OVPAA-F-INS-055A RAW '!N$17*100)</f>
        <v/>
      </c>
      <c r="O20" s="126" t="str">
        <f>IF('Finalterm OVPAA-F-INS-055A RAW '!O20="","",'Finalterm OVPAA-F-INS-055A RAW '!O20/'Finalterm OVPAA-F-INS-055A RAW '!O$17*100)</f>
        <v/>
      </c>
      <c r="P20" s="126" t="str">
        <f>IF('Finalterm OVPAA-F-INS-055A RAW '!P20="","",'Finalterm OVPAA-F-INS-055A RAW '!P20/'Finalterm OVPAA-F-INS-055A RAW '!P$17*100)</f>
        <v/>
      </c>
      <c r="Q20" s="126" t="str">
        <f>IF('Finalterm OVPAA-F-INS-055A RAW '!Q20="","",'Finalterm OVPAA-F-INS-055A RAW '!Q20/'Finalterm OVPAA-F-INS-055A RAW '!Q$17*100)</f>
        <v/>
      </c>
      <c r="R20" s="126" t="str">
        <f>IF('Finalterm OVPAA-F-INS-055A RAW '!R20="","",'Finalterm OVPAA-F-INS-055A RAW '!R20/'Finalterm OVPAA-F-INS-055A RAW '!R$17*100)</f>
        <v/>
      </c>
      <c r="S20" s="126" t="str">
        <f>IF('Finalterm OVPAA-F-INS-055A RAW '!S20="","",'Finalterm OVPAA-F-INS-055A RAW '!S20/'Finalterm OVPAA-F-INS-055A RAW '!S$17*100)</f>
        <v/>
      </c>
      <c r="T20" s="126" t="str">
        <f>IF('Finalterm OVPAA-F-INS-055A RAW '!T20="","",'Finalterm OVPAA-F-INS-055A RAW '!T20/'Finalterm OVPAA-F-INS-055A RAW '!T$17*100)</f>
        <v/>
      </c>
      <c r="U20" s="126" t="str">
        <f>IF('Finalterm OVPAA-F-INS-055A RAW '!U20="","",'Finalterm OVPAA-F-INS-055A RAW '!U20/'Finalterm OVPAA-F-INS-055A RAW '!U$17*100)</f>
        <v/>
      </c>
      <c r="V20" s="126" t="str">
        <f>IF('Finalterm OVPAA-F-INS-055A RAW '!V20="","",'Finalterm OVPAA-F-INS-055A RAW '!V20/'Finalterm OVPAA-F-INS-055A RAW '!V$17*100)</f>
        <v/>
      </c>
      <c r="W20" s="126" t="str">
        <f>IF('Finalterm OVPAA-F-INS-055A RAW '!W20="","",'Finalterm OVPAA-F-INS-055A RAW '!W20/'Finalterm OVPAA-F-INS-055A RAW '!W$17*100)</f>
        <v/>
      </c>
      <c r="X20" s="126" t="str">
        <f>IF('Finalterm OVPAA-F-INS-055A RAW '!X20="","",'Finalterm OVPAA-F-INS-055A RAW '!X20/'Finalterm OVPAA-F-INS-055A RAW '!X$17*100)</f>
        <v/>
      </c>
      <c r="Y20" s="126" t="str">
        <f>IF('Finalterm OVPAA-F-INS-055A RAW '!Y20="","",'Finalterm OVPAA-F-INS-055A RAW '!Y20/'Finalterm OVPAA-F-INS-055A RAW '!Y$17*100)</f>
        <v/>
      </c>
      <c r="Z20" s="126" t="str">
        <f>IF('Finalterm OVPAA-F-INS-055A RAW '!Z20="","",'Finalterm OVPAA-F-INS-055A RAW '!Z20/'Finalterm OVPAA-F-INS-055A RAW '!Z$17*100)</f>
        <v/>
      </c>
      <c r="AA20" s="126" t="str">
        <f>IF('Finalterm OVPAA-F-INS-055A RAW '!AA20="","",'Finalterm OVPAA-F-INS-055A RAW '!AA20/'Finalterm OVPAA-F-INS-055A RAW '!AA$17*100)</f>
        <v/>
      </c>
      <c r="AB20" s="126" t="str">
        <f>IF('Finalterm OVPAA-F-INS-055A RAW '!AB20="","",'Finalterm OVPAA-F-INS-055A RAW '!AB20/'Finalterm OVPAA-F-INS-055A RAW '!AB$17*100)</f>
        <v/>
      </c>
      <c r="AC20" s="126" t="str">
        <f>IF('Finalterm OVPAA-F-INS-055A RAW '!AC20="","",'Finalterm OVPAA-F-INS-055A RAW '!AC20/'Finalterm OVPAA-F-INS-055A RAW '!AC$17*100)</f>
        <v/>
      </c>
      <c r="AD20" s="126" t="str">
        <f>IF('Finalterm OVPAA-F-INS-055A RAW '!AD20="","",'Finalterm OVPAA-F-INS-055A RAW '!AD20/'Finalterm OVPAA-F-INS-055A RAW '!AD$17*100)</f>
        <v/>
      </c>
      <c r="AE20" s="126" t="str">
        <f>IF('Finalterm OVPAA-F-INS-055A RAW '!AE20="","",'Finalterm OVPAA-F-INS-055A RAW '!AE20/'Finalterm OVPAA-F-INS-055A RAW '!AE$17*100)</f>
        <v/>
      </c>
      <c r="AF20" s="126" t="str">
        <f>IF('Finalterm OVPAA-F-INS-055A RAW '!AF20="","",'Finalterm OVPAA-F-INS-055A RAW '!AF20/'Finalterm OVPAA-F-INS-055A RAW '!AF$17*100)</f>
        <v/>
      </c>
      <c r="AG20" s="126" t="str">
        <f>IF('Finalterm OVPAA-F-INS-055A RAW '!AG20="","",'Finalterm OVPAA-F-INS-055A RAW '!AG20/'Finalterm OVPAA-F-INS-055A RAW '!AG$17*100)</f>
        <v/>
      </c>
      <c r="AH20" s="126" t="str">
        <f>IF('Finalterm OVPAA-F-INS-055A RAW '!AH20="","",'Finalterm OVPAA-F-INS-055A RAW '!AH20/'Finalterm OVPAA-F-INS-055A RAW '!AH$17*100)</f>
        <v/>
      </c>
      <c r="AI20" s="126" t="str">
        <f>IF('Finalterm OVPAA-F-INS-055A RAW '!AI20="","",'Finalterm OVPAA-F-INS-055A RAW '!AI20/'Finalterm OVPAA-F-INS-055A RAW '!AI$17*100)</f>
        <v/>
      </c>
      <c r="AJ20" s="126" t="str">
        <f>IF('Finalterm OVPAA-F-INS-055A RAW '!AJ20="","",'Finalterm OVPAA-F-INS-055A RAW '!AJ20/'Finalterm OVPAA-F-INS-055A RAW '!AJ$17*100)</f>
        <v/>
      </c>
      <c r="AK20" s="126" t="str">
        <f>IF('Finalterm OVPAA-F-INS-055A RAW '!AK20="","",'Finalterm OVPAA-F-INS-055A RAW '!AK20/'Finalterm OVPAA-F-INS-055A RAW '!AK$17*100)</f>
        <v/>
      </c>
      <c r="AL20" s="126" t="str">
        <f>IF('Finalterm OVPAA-F-INS-055A RAW '!AL20="","",'Finalterm OVPAA-F-INS-055A RAW '!AL20/'Finalterm OVPAA-F-INS-055A RAW '!AL$17*100)</f>
        <v/>
      </c>
      <c r="AM20" s="126" t="str">
        <f>IF('Finalterm OVPAA-F-INS-055A RAW '!AM20="","",'Finalterm OVPAA-F-INS-055A RAW '!AM20/'Finalterm OVPAA-F-INS-055A RAW '!AM$17*100)</f>
        <v/>
      </c>
      <c r="AN20" s="126" t="str">
        <f>IF('Finalterm OVPAA-F-INS-055A RAW '!AN20="","",'Finalterm OVPAA-F-INS-055A RAW '!AN20/'Finalterm OVPAA-F-INS-055A RAW '!AN$17*100)</f>
        <v/>
      </c>
      <c r="AO20" s="126" t="str">
        <f>IF('Finalterm OVPAA-F-INS-055A RAW '!AO20="","",'Finalterm OVPAA-F-INS-055A RAW '!AO20/'Finalterm OVPAA-F-INS-055A RAW '!AO$17*100)</f>
        <v/>
      </c>
      <c r="AP20" s="126" t="str">
        <f>IF('Finalterm OVPAA-F-INS-055A RAW '!AP20="","",'Finalterm OVPAA-F-INS-055A RAW '!AP20/'Finalterm OVPAA-F-INS-055A RAW '!AP$17*100)</f>
        <v/>
      </c>
      <c r="AQ20" s="126" t="str">
        <f>IF('Finalterm OVPAA-F-INS-055A RAW '!AQ20="","",'Finalterm OVPAA-F-INS-055A RAW '!AQ20/'Finalterm OVPAA-F-INS-055A RAW '!AQ$17*100)</f>
        <v/>
      </c>
      <c r="AR20" s="126" t="str">
        <f>IF('Finalterm OVPAA-F-INS-055A RAW '!AR20="","",'Finalterm OVPAA-F-INS-055A RAW '!AR20/'Finalterm OVPAA-F-INS-055A RAW '!AR$17*100)</f>
        <v/>
      </c>
      <c r="AS20" s="126" t="str">
        <f>IF('Finalterm OVPAA-F-INS-055A RAW '!AS20="","",'Finalterm OVPAA-F-INS-055A RAW '!AS20/'Finalterm OVPAA-F-INS-055A RAW '!AS$17*100)</f>
        <v/>
      </c>
      <c r="AT20" s="126" t="str">
        <f>IF('Finalterm OVPAA-F-INS-055A RAW '!AT20="","",'Finalterm OVPAA-F-INS-055A RAW '!AT20/'Finalterm OVPAA-F-INS-055A RAW '!AT$17*100)</f>
        <v/>
      </c>
      <c r="AU20" s="126" t="str">
        <f>IF('Finalterm OVPAA-F-INS-055A RAW '!AU20="","",'Finalterm OVPAA-F-INS-055A RAW '!AU20/'Finalterm OVPAA-F-INS-055A RAW '!AU$17*100)</f>
        <v/>
      </c>
      <c r="AV20" s="126" t="str">
        <f>IF('Finalterm OVPAA-F-INS-055A RAW '!AV20="","",'Finalterm OVPAA-F-INS-055A RAW '!AV20/'Finalterm OVPAA-F-INS-055A RAW '!AV$17*100)</f>
        <v/>
      </c>
      <c r="AW20" s="126" t="str">
        <f>IF('Finalterm OVPAA-F-INS-055A RAW '!AW20="","",'Finalterm OVPAA-F-INS-055A RAW '!AW20/'Finalterm OVPAA-F-INS-055A RAW '!AW$17*100)</f>
        <v/>
      </c>
      <c r="AX20" s="126" t="str">
        <f>IF('Finalterm OVPAA-F-INS-055A RAW '!AX20="","",'Finalterm OVPAA-F-INS-055A RAW '!AX20/'Finalterm OVPAA-F-INS-055A RAW '!AX$17*100)</f>
        <v/>
      </c>
      <c r="AY20" s="126" t="str">
        <f>IF('Finalterm OVPAA-F-INS-055A RAW '!AY20="","",'Finalterm OVPAA-F-INS-055A RAW '!AY20/'Finalterm OVPAA-F-INS-055A RAW '!AY$17*100)</f>
        <v/>
      </c>
      <c r="AZ20" s="126" t="str">
        <f>IF('Finalterm OVPAA-F-INS-055A RAW '!AZ20="","",'Finalterm OVPAA-F-INS-055A RAW '!AZ20/'Finalterm OVPAA-F-INS-055A RAW '!AZ$17*100)</f>
        <v/>
      </c>
      <c r="BA20" s="126" t="str">
        <f>IF('Finalterm OVPAA-F-INS-055A RAW '!BA20="","",'Finalterm OVPAA-F-INS-055A RAW '!BA20/'Finalterm OVPAA-F-INS-055A RAW '!BA$17*100)</f>
        <v/>
      </c>
      <c r="BB20" s="126" t="str">
        <f>IF('Finalterm OVPAA-F-INS-055A RAW '!BB20="","",'Finalterm OVPAA-F-INS-055A RAW '!BB20/'Finalterm OVPAA-F-INS-055A RAW '!BB$17*100)</f>
        <v/>
      </c>
      <c r="BC20" s="126" t="str">
        <f>IF('Finalterm OVPAA-F-INS-055A RAW '!BC20="","",'Finalterm OVPAA-F-INS-055A RAW '!BC20/'Finalterm OVPAA-F-INS-055A RAW '!BC$17*100)</f>
        <v/>
      </c>
      <c r="BD20" s="126" t="str">
        <f>IF('Finalterm OVPAA-F-INS-055A RAW '!BD20="","",'Finalterm OVPAA-F-INS-055A RAW '!BD20/'Finalterm OVPAA-F-INS-055A RAW '!BD$17*100)</f>
        <v/>
      </c>
      <c r="BE20" s="126" t="str">
        <f>IF('Finalterm OVPAA-F-INS-055A RAW '!BE20="","",'Finalterm OVPAA-F-INS-055A RAW '!BE20/'Finalterm OVPAA-F-INS-055A RAW '!BE$17*100)</f>
        <v/>
      </c>
      <c r="BF20" s="126" t="str">
        <f>IF('Finalterm OVPAA-F-INS-055A RAW '!BF20="","",'Finalterm OVPAA-F-INS-055A RAW '!BF20/'Finalterm OVPAA-F-INS-055A RAW '!BF$17*100)</f>
        <v/>
      </c>
      <c r="BG20" s="126" t="str">
        <f>IF('Finalterm OVPAA-F-INS-055A RAW '!BG20="","",'Finalterm OVPAA-F-INS-055A RAW '!BG20/'Finalterm OVPAA-F-INS-055A RAW '!BG$17*100)</f>
        <v/>
      </c>
      <c r="BH20" s="126" t="str">
        <f>IF('Finalterm OVPAA-F-INS-055A RAW '!BH20="","",'Finalterm OVPAA-F-INS-055A RAW '!BH20/'Finalterm OVPAA-F-INS-055A RAW '!BH$17*100)</f>
        <v/>
      </c>
      <c r="BI20" s="126" t="str">
        <f>IF('Finalterm OVPAA-F-INS-055A RAW '!BI20="","",'Finalterm OVPAA-F-INS-055A RAW '!BI20/'Finalterm OVPAA-F-INS-055A RAW '!BI$17*100)</f>
        <v/>
      </c>
      <c r="BJ20" s="126" t="str">
        <f>IF('Finalterm OVPAA-F-INS-055A RAW '!BJ20="","",'Finalterm OVPAA-F-INS-055A RAW '!BJ20/'Finalterm OVPAA-F-INS-055A RAW '!BJ$17*100)</f>
        <v/>
      </c>
      <c r="BK20" s="126" t="str">
        <f>IF('Finalterm OVPAA-F-INS-055A RAW '!BK20="","",'Finalterm OVPAA-F-INS-055A RAW '!BK20/'Finalterm OVPAA-F-INS-055A RAW '!BK$17*100)</f>
        <v/>
      </c>
      <c r="BL20" s="126" t="str">
        <f>IF('Finalterm OVPAA-F-INS-055A RAW '!BL20="","",'Finalterm OVPAA-F-INS-055A RAW '!BL20/'Finalterm OVPAA-F-INS-055A RAW '!BL$17*100)</f>
        <v/>
      </c>
      <c r="BM20" s="126" t="str">
        <f>IF('Finalterm OVPAA-F-INS-055A RAW '!BM20="","",'Finalterm OVPAA-F-INS-055A RAW '!BM20/'Finalterm OVPAA-F-INS-055A RAW '!BM$17*100)</f>
        <v/>
      </c>
      <c r="BN20" s="126" t="str">
        <f>IF('Finalterm OVPAA-F-INS-055A RAW '!BN20="","",'Finalterm OVPAA-F-INS-055A RAW '!BN20/'Finalterm OVPAA-F-INS-055A RAW '!BN$17*100)</f>
        <v/>
      </c>
      <c r="BO20" s="126" t="str">
        <f>IF('Finalterm OVPAA-F-INS-055A RAW '!BO20="","",'Finalterm OVPAA-F-INS-055A RAW '!BO20/'Finalterm OVPAA-F-INS-055A RAW '!BO$17*100)</f>
        <v/>
      </c>
      <c r="BP20" s="126" t="str">
        <f>IF('Finalterm OVPAA-F-INS-055A RAW '!BP20="","",'Finalterm OVPAA-F-INS-055A RAW '!BP20/'Finalterm OVPAA-F-INS-055A RAW '!BP$17*100)</f>
        <v/>
      </c>
      <c r="BQ20" s="126" t="str">
        <f>IF('Finalterm OVPAA-F-INS-055A RAW '!BQ20="","",'Finalterm OVPAA-F-INS-055A RAW '!BQ20/'Finalterm OVPAA-F-INS-055A RAW '!BQ$17*100)</f>
        <v/>
      </c>
      <c r="BR20" s="126" t="str">
        <f>IF('Finalterm OVPAA-F-INS-055A RAW '!BR20="","",'Finalterm OVPAA-F-INS-055A RAW '!BR20/'Finalterm OVPAA-F-INS-055A RAW '!BR$17*100)</f>
        <v/>
      </c>
      <c r="BS20" s="126" t="str">
        <f>IF('Finalterm OVPAA-F-INS-055A RAW '!BS20="","",'Finalterm OVPAA-F-INS-055A RAW '!BS20/'Finalterm OVPAA-F-INS-055A RAW '!BS$17*100)</f>
        <v/>
      </c>
      <c r="BT20" s="126" t="str">
        <f>IF('Finalterm OVPAA-F-INS-055A RAW '!BT20="","",'Finalterm OVPAA-F-INS-055A RAW '!BT20/'Finalterm OVPAA-F-INS-055A RAW '!BT$17*100)</f>
        <v/>
      </c>
      <c r="BU20" s="127">
        <f t="array" ref="BU20">IF('Finalterm OVPAA-F-INS-055A RAW '!$G20="","",IF((SUMPRODUCT(--ISBLANK('Finalterm OVPAA-F-INS-055A RAW '!H20:BT20))=COLUMNS('Finalterm OVPAA-F-INS-055A RAW '!H20:BT20))=TRUE,"",(((COUNTA('Finalterm OVPAA-F-INS-055A RAW '!$H$17:$BT$17)+COUNTBLANK('Finalterm OVPAA-F-INS-055A RAW '!H20:BT20))-COLUMNS('Finalterm OVPAA-F-INS-055A RAW '!H20:BT20))*5+SUM(H20:BT20))/COUNTA('Finalterm OVPAA-F-INS-055A RAW '!$H$17:$BT$17)))</f>
        <v>0</v>
      </c>
      <c r="BV20" s="165">
        <f>IF(BU20="","",VLOOKUP(BU20,IF('Midterm OVPAA-F-INS-055A RAW SC'!$V$12=0.5,TRANSMUTATION!$C$4:$D$17,TRANSMUTATION!$G$4:$H$17),2,TRUE))</f>
        <v>5</v>
      </c>
      <c r="BW20" s="129">
        <f>IF('Finalterm OVPAA-F-INS-055A RAW '!BU20="","",'Finalterm OVPAA-F-INS-055A RAW '!BU20/'Finalterm OVPAA-F-INS-055A RAW '!BU$17*100)</f>
        <v>50</v>
      </c>
      <c r="BX20" s="130">
        <f>IF('Finalterm OVPAA-F-INS-055A RAW '!BV20="","",'Finalterm OVPAA-F-INS-055A RAW '!BV20/'Finalterm OVPAA-F-INS-055A RAW '!BV$17*100)</f>
        <v>50</v>
      </c>
      <c r="BY20" s="130">
        <f>IF('Finalterm OVPAA-F-INS-055A RAW '!BW20="","",'Finalterm OVPAA-F-INS-055A RAW '!BW20/'Finalterm OVPAA-F-INS-055A RAW '!BW$17*100)</f>
        <v>0</v>
      </c>
      <c r="BZ20" s="130" t="str">
        <f>IF('Finalterm OVPAA-F-INS-055A RAW '!BX20="","",'Finalterm OVPAA-F-INS-055A RAW '!BX20/'Finalterm OVPAA-F-INS-055A RAW '!BX$17*100)</f>
        <v/>
      </c>
      <c r="CA20" s="130" t="str">
        <f>IF('Finalterm OVPAA-F-INS-055A RAW '!BY20="","",'Finalterm OVPAA-F-INS-055A RAW '!BY20/'Finalterm OVPAA-F-INS-055A RAW '!BY$17*100)</f>
        <v/>
      </c>
      <c r="CB20" s="130" t="str">
        <f>IF('Finalterm OVPAA-F-INS-055A RAW '!BZ20="","",'Finalterm OVPAA-F-INS-055A RAW '!BZ20/'Finalterm OVPAA-F-INS-055A RAW '!BZ$17*100)</f>
        <v/>
      </c>
      <c r="CC20" s="130" t="str">
        <f>IF('Finalterm OVPAA-F-INS-055A RAW '!CA20="","",'Finalterm OVPAA-F-INS-055A RAW '!CA20/'Finalterm OVPAA-F-INS-055A RAW '!CA$17*100)</f>
        <v/>
      </c>
      <c r="CD20" s="130" t="str">
        <f>IF('Finalterm OVPAA-F-INS-055A RAW '!CB20="","",'Finalterm OVPAA-F-INS-055A RAW '!CB20/'Finalterm OVPAA-F-INS-055A RAW '!CB$17*100)</f>
        <v/>
      </c>
      <c r="CE20" s="130" t="str">
        <f>IF('Finalterm OVPAA-F-INS-055A RAW '!CC20="","",'Finalterm OVPAA-F-INS-055A RAW '!CC20/'Finalterm OVPAA-F-INS-055A RAW '!CC$17*100)</f>
        <v/>
      </c>
      <c r="CF20" s="130" t="str">
        <f>IF('Finalterm OVPAA-F-INS-055A RAW '!CD20="","",'Finalterm OVPAA-F-INS-055A RAW '!CD20/'Finalterm OVPAA-F-INS-055A RAW '!CD$17*100)</f>
        <v/>
      </c>
      <c r="CG20" s="130" t="str">
        <f>IF('Finalterm OVPAA-F-INS-055A RAW '!CE20="","",'Finalterm OVPAA-F-INS-055A RAW '!CE20/'Finalterm OVPAA-F-INS-055A RAW '!CE$17*100)</f>
        <v/>
      </c>
      <c r="CH20" s="130" t="str">
        <f>IF('Finalterm OVPAA-F-INS-055A RAW '!CF20="","",'Finalterm OVPAA-F-INS-055A RAW '!CF20/'Finalterm OVPAA-F-INS-055A RAW '!CF$17*100)</f>
        <v/>
      </c>
      <c r="CI20" s="130" t="str">
        <f>IF('Finalterm OVPAA-F-INS-055A RAW '!CG20="","",'Finalterm OVPAA-F-INS-055A RAW '!CG20/'Finalterm OVPAA-F-INS-055A RAW '!CG$17*100)</f>
        <v/>
      </c>
      <c r="CJ20" s="130" t="str">
        <f>IF('Finalterm OVPAA-F-INS-055A RAW '!CH20="","",'Finalterm OVPAA-F-INS-055A RAW '!CH20/'Finalterm OVPAA-F-INS-055A RAW '!CH$17*100)</f>
        <v/>
      </c>
      <c r="CK20" s="130" t="str">
        <f>IF('Finalterm OVPAA-F-INS-055A RAW '!CI20="","",'Finalterm OVPAA-F-INS-055A RAW '!CI20/'Finalterm OVPAA-F-INS-055A RAW '!CI$17*100)</f>
        <v/>
      </c>
      <c r="CL20" s="130" t="str">
        <f>IF('Finalterm OVPAA-F-INS-055A RAW '!CJ20="","",'Finalterm OVPAA-F-INS-055A RAW '!CJ20/'Finalterm OVPAA-F-INS-055A RAW '!CJ$17*100)</f>
        <v/>
      </c>
      <c r="CM20" s="130" t="str">
        <f>IF('Finalterm OVPAA-F-INS-055A RAW '!CK20="","",'Finalterm OVPAA-F-INS-055A RAW '!CK20/'Finalterm OVPAA-F-INS-055A RAW '!CK$17*100)</f>
        <v/>
      </c>
      <c r="CN20" s="130" t="str">
        <f>IF('Finalterm OVPAA-F-INS-055A RAW '!CL20="","",'Finalterm OVPAA-F-INS-055A RAW '!CL20/'Finalterm OVPAA-F-INS-055A RAW '!CL$17*100)</f>
        <v/>
      </c>
      <c r="CO20" s="130" t="str">
        <f>IF('Finalterm OVPAA-F-INS-055A RAW '!CM20="","",'Finalterm OVPAA-F-INS-055A RAW '!CM20/'Finalterm OVPAA-F-INS-055A RAW '!CM$17*100)</f>
        <v/>
      </c>
      <c r="CP20" s="130" t="str">
        <f>IF('Finalterm OVPAA-F-INS-055A RAW '!CN20="","",'Finalterm OVPAA-F-INS-055A RAW '!CN20/'Finalterm OVPAA-F-INS-055A RAW '!CN$17*100)</f>
        <v/>
      </c>
      <c r="CQ20" s="131">
        <f t="array" ref="CQ20">IF('Midterm OVPAA-F-INS-055A RAW SC'!G20="","",IF((SUMPRODUCT(--ISBLANK('Finalterm OVPAA-F-INS-055A RAW '!BU20:CN20))=COLUMNS('Finalterm OVPAA-F-INS-055A RAW '!BU20:CN20))=TRUE,"",(((COUNTA('Finalterm OVPAA-F-INS-055A RAW '!$BU$17:$CN$17)+COUNTBLANK('Finalterm OVPAA-F-INS-055A RAW '!BU20:CN20))-COLUMNS('Finalterm OVPAA-F-INS-055A RAW '!BU20:CN20))*5+SUM(BW20:CP20))/COUNTA('Finalterm OVPAA-F-INS-055A RAW '!$BU$17:$CN$17)))</f>
        <v>33.333333333333336</v>
      </c>
      <c r="CR20" s="132">
        <f>IF(CQ20="","",VLOOKUP(CQ20,IF('Midterm OVPAA-F-INS-055A RAW SC'!$V$12=0.5,TRANSMUTATION!$C$4:$D$17,TRANSMUTATION!$G$4:$H$17),2,TRUE))</f>
        <v>3.75</v>
      </c>
      <c r="CS20" s="133">
        <f>IF('Finalterm OVPAA-F-INS-055A RAW '!CO20="","",'Finalterm OVPAA-F-INS-055A RAW '!CO20/'Finalterm OVPAA-F-INS-055A RAW '!CO$17*100)</f>
        <v>50</v>
      </c>
      <c r="CT20" s="133">
        <f>IF('Finalterm OVPAA-F-INS-055A RAW '!CP20="","",'Finalterm OVPAA-F-INS-055A RAW '!CP20/'Finalterm OVPAA-F-INS-055A RAW '!CP$17*100)</f>
        <v>80.25</v>
      </c>
      <c r="CU20" s="133" t="str">
        <f>IF('Finalterm OVPAA-F-INS-055A RAW '!CQ20="","",'Finalterm OVPAA-F-INS-055A RAW '!CQ20/'Finalterm OVPAA-F-INS-055A RAW '!CQ$17*100)</f>
        <v/>
      </c>
      <c r="CV20" s="133" t="str">
        <f>IF('Finalterm OVPAA-F-INS-055A RAW '!CR20="","",'Finalterm OVPAA-F-INS-055A RAW '!CR20/'Finalterm OVPAA-F-INS-055A RAW '!CR$17*100)</f>
        <v/>
      </c>
      <c r="CW20" s="133" t="str">
        <f>IF('Finalterm OVPAA-F-INS-055A RAW '!CS20="","",'Finalterm OVPAA-F-INS-055A RAW '!CS20/'Finalterm OVPAA-F-INS-055A RAW '!CS$17*100)</f>
        <v/>
      </c>
      <c r="CX20" s="133" t="str">
        <f>IF('Finalterm OVPAA-F-INS-055A RAW '!CT20="","",'Finalterm OVPAA-F-INS-055A RAW '!CT20/'Finalterm OVPAA-F-INS-055A RAW '!CT$17*100)</f>
        <v/>
      </c>
      <c r="CY20" s="133" t="str">
        <f>IF('Finalterm OVPAA-F-INS-055A RAW '!CU20="","",'Finalterm OVPAA-F-INS-055A RAW '!CU20/'Finalterm OVPAA-F-INS-055A RAW '!CU$17*100)</f>
        <v/>
      </c>
      <c r="CZ20" s="133" t="str">
        <f>IF('Finalterm OVPAA-F-INS-055A RAW '!CV20="","",'Finalterm OVPAA-F-INS-055A RAW '!CV20/'Finalterm OVPAA-F-INS-055A RAW '!CV$17*100)</f>
        <v/>
      </c>
      <c r="DA20" s="133" t="str">
        <f>IF('Finalterm OVPAA-F-INS-055A RAW '!CW20="","",'Finalterm OVPAA-F-INS-055A RAW '!CW20/'Finalterm OVPAA-F-INS-055A RAW '!CW$17*100)</f>
        <v/>
      </c>
      <c r="DB20" s="133" t="str">
        <f>IF('Finalterm OVPAA-F-INS-055A RAW '!CX20="","",'Finalterm OVPAA-F-INS-055A RAW '!CX20/'Finalterm OVPAA-F-INS-055A RAW '!CX$17*100)</f>
        <v/>
      </c>
      <c r="DC20" s="134">
        <f t="array" ref="DC20">IF('Midterm OVPAA-F-INS-055A RAW SC'!$G20="","",IF((SUMPRODUCT(--ISBLANK('Finalterm OVPAA-F-INS-055A RAW '!CO20:CX20))=COLUMNS('Finalterm OVPAA-F-INS-055A RAW '!CO20:CX20))=TRUE,"",(((COUNTA('Finalterm OVPAA-F-INS-055A RAW '!$CO$17:$CX$17)+COUNTBLANK('Finalterm OVPAA-F-INS-055A RAW '!CO20:CX20))-COLUMNS('Finalterm OVPAA-F-INS-055A RAW '!CO20:CX20))*5+SUM(CS20:DB20))/COUNTA('Finalterm OVPAA-F-INS-055A RAW '!$CO$17:$CX$17)))</f>
        <v>65.125</v>
      </c>
      <c r="DD20" s="135">
        <f>IF(DC20="","",VLOOKUP(DC20,IF('Midterm OVPAA-F-INS-055A RAW SC'!$V$12=0.5,TRANSMUTATION!$C$4:$D$17,TRANSMUTATION!$G$4:$H$17),2,TRUE))</f>
        <v>2.5</v>
      </c>
      <c r="DE20" s="136">
        <f t="shared" si="1"/>
        <v>1.5</v>
      </c>
      <c r="DF20" s="166">
        <f t="shared" si="2"/>
        <v>1.125</v>
      </c>
      <c r="DG20" s="167">
        <f t="shared" si="3"/>
        <v>1</v>
      </c>
      <c r="DH20" s="168">
        <f t="shared" si="4"/>
        <v>3.625</v>
      </c>
      <c r="DI20" s="169" t="str">
        <f t="shared" si="5"/>
        <v>3.50</v>
      </c>
    </row>
    <row r="21" spans="5:113" ht="15.75" customHeight="1">
      <c r="E21" s="59">
        <v>4</v>
      </c>
      <c r="F21" s="124">
        <f>IF(NOT(ISBLANK('Midterm OVPAA-F-INS-055A RAW SC'!F21)),'Midterm OVPAA-F-INS-055A RAW SC'!F21,"")</f>
        <v>12</v>
      </c>
      <c r="G21" s="125" t="str">
        <f>IF(NOT(ISBLANK('Midterm OVPAA-F-INS-055A RAW SC'!G21)),'Midterm OVPAA-F-INS-055A RAW SC'!G21,"")</f>
        <v>De Guzman, Jim Dale Manong</v>
      </c>
      <c r="H21" s="126">
        <f>IF('Finalterm OVPAA-F-INS-055A RAW '!H21="","",'Finalterm OVPAA-F-INS-055A RAW '!H21/'Finalterm OVPAA-F-INS-055A RAW '!H$17*100)</f>
        <v>100</v>
      </c>
      <c r="I21" s="126">
        <f>IF('Finalterm OVPAA-F-INS-055A RAW '!I21="","",'Finalterm OVPAA-F-INS-055A RAW '!I21/'Finalterm OVPAA-F-INS-055A RAW '!I$17*100)</f>
        <v>0</v>
      </c>
      <c r="J21" s="126">
        <f>IF('Finalterm OVPAA-F-INS-055A RAW '!J21="","",'Finalterm OVPAA-F-INS-055A RAW '!J21/'Finalterm OVPAA-F-INS-055A RAW '!J$17*100)</f>
        <v>0</v>
      </c>
      <c r="K21" s="126">
        <f>IF('Finalterm OVPAA-F-INS-055A RAW '!K21="","",'Finalterm OVPAA-F-INS-055A RAW '!K21/'Finalterm OVPAA-F-INS-055A RAW '!K$17*100)</f>
        <v>100</v>
      </c>
      <c r="L21" s="126">
        <f>IF('Finalterm OVPAA-F-INS-055A RAW '!L21="","",'Finalterm OVPAA-F-INS-055A RAW '!L21/'Finalterm OVPAA-F-INS-055A RAW '!L$17*100)</f>
        <v>100</v>
      </c>
      <c r="M21" s="126" t="str">
        <f>IF('Finalterm OVPAA-F-INS-055A RAW '!M21="","",'Finalterm OVPAA-F-INS-055A RAW '!M21/'Finalterm OVPAA-F-INS-055A RAW '!M$17*100)</f>
        <v/>
      </c>
      <c r="N21" s="126" t="str">
        <f>IF('Finalterm OVPAA-F-INS-055A RAW '!N21="","",'Finalterm OVPAA-F-INS-055A RAW '!N21/'Finalterm OVPAA-F-INS-055A RAW '!N$17*100)</f>
        <v/>
      </c>
      <c r="O21" s="126" t="str">
        <f>IF('Finalterm OVPAA-F-INS-055A RAW '!O21="","",'Finalterm OVPAA-F-INS-055A RAW '!O21/'Finalterm OVPAA-F-INS-055A RAW '!O$17*100)</f>
        <v/>
      </c>
      <c r="P21" s="126" t="str">
        <f>IF('Finalterm OVPAA-F-INS-055A RAW '!P21="","",'Finalterm OVPAA-F-INS-055A RAW '!P21/'Finalterm OVPAA-F-INS-055A RAW '!P$17*100)</f>
        <v/>
      </c>
      <c r="Q21" s="126" t="str">
        <f>IF('Finalterm OVPAA-F-INS-055A RAW '!Q21="","",'Finalterm OVPAA-F-INS-055A RAW '!Q21/'Finalterm OVPAA-F-INS-055A RAW '!Q$17*100)</f>
        <v/>
      </c>
      <c r="R21" s="126" t="str">
        <f>IF('Finalterm OVPAA-F-INS-055A RAW '!R21="","",'Finalterm OVPAA-F-INS-055A RAW '!R21/'Finalterm OVPAA-F-INS-055A RAW '!R$17*100)</f>
        <v/>
      </c>
      <c r="S21" s="126" t="str">
        <f>IF('Finalterm OVPAA-F-INS-055A RAW '!S21="","",'Finalterm OVPAA-F-INS-055A RAW '!S21/'Finalterm OVPAA-F-INS-055A RAW '!S$17*100)</f>
        <v/>
      </c>
      <c r="T21" s="126" t="str">
        <f>IF('Finalterm OVPAA-F-INS-055A RAW '!T21="","",'Finalterm OVPAA-F-INS-055A RAW '!T21/'Finalterm OVPAA-F-INS-055A RAW '!T$17*100)</f>
        <v/>
      </c>
      <c r="U21" s="126" t="str">
        <f>IF('Finalterm OVPAA-F-INS-055A RAW '!U21="","",'Finalterm OVPAA-F-INS-055A RAW '!U21/'Finalterm OVPAA-F-INS-055A RAW '!U$17*100)</f>
        <v/>
      </c>
      <c r="V21" s="126" t="str">
        <f>IF('Finalterm OVPAA-F-INS-055A RAW '!V21="","",'Finalterm OVPAA-F-INS-055A RAW '!V21/'Finalterm OVPAA-F-INS-055A RAW '!V$17*100)</f>
        <v/>
      </c>
      <c r="W21" s="126" t="str">
        <f>IF('Finalterm OVPAA-F-INS-055A RAW '!W21="","",'Finalterm OVPAA-F-INS-055A RAW '!W21/'Finalterm OVPAA-F-INS-055A RAW '!W$17*100)</f>
        <v/>
      </c>
      <c r="X21" s="126" t="str">
        <f>IF('Finalterm OVPAA-F-INS-055A RAW '!X21="","",'Finalterm OVPAA-F-INS-055A RAW '!X21/'Finalterm OVPAA-F-INS-055A RAW '!X$17*100)</f>
        <v/>
      </c>
      <c r="Y21" s="126" t="str">
        <f>IF('Finalterm OVPAA-F-INS-055A RAW '!Y21="","",'Finalterm OVPAA-F-INS-055A RAW '!Y21/'Finalterm OVPAA-F-INS-055A RAW '!Y$17*100)</f>
        <v/>
      </c>
      <c r="Z21" s="126" t="str">
        <f>IF('Finalterm OVPAA-F-INS-055A RAW '!Z21="","",'Finalterm OVPAA-F-INS-055A RAW '!Z21/'Finalterm OVPAA-F-INS-055A RAW '!Z$17*100)</f>
        <v/>
      </c>
      <c r="AA21" s="126" t="str">
        <f>IF('Finalterm OVPAA-F-INS-055A RAW '!AA21="","",'Finalterm OVPAA-F-INS-055A RAW '!AA21/'Finalterm OVPAA-F-INS-055A RAW '!AA$17*100)</f>
        <v/>
      </c>
      <c r="AB21" s="126" t="str">
        <f>IF('Finalterm OVPAA-F-INS-055A RAW '!AB21="","",'Finalterm OVPAA-F-INS-055A RAW '!AB21/'Finalterm OVPAA-F-INS-055A RAW '!AB$17*100)</f>
        <v/>
      </c>
      <c r="AC21" s="126" t="str">
        <f>IF('Finalterm OVPAA-F-INS-055A RAW '!AC21="","",'Finalterm OVPAA-F-INS-055A RAW '!AC21/'Finalterm OVPAA-F-INS-055A RAW '!AC$17*100)</f>
        <v/>
      </c>
      <c r="AD21" s="126" t="str">
        <f>IF('Finalterm OVPAA-F-INS-055A RAW '!AD21="","",'Finalterm OVPAA-F-INS-055A RAW '!AD21/'Finalterm OVPAA-F-INS-055A RAW '!AD$17*100)</f>
        <v/>
      </c>
      <c r="AE21" s="126" t="str">
        <f>IF('Finalterm OVPAA-F-INS-055A RAW '!AE21="","",'Finalterm OVPAA-F-INS-055A RAW '!AE21/'Finalterm OVPAA-F-INS-055A RAW '!AE$17*100)</f>
        <v/>
      </c>
      <c r="AF21" s="126" t="str">
        <f>IF('Finalterm OVPAA-F-INS-055A RAW '!AF21="","",'Finalterm OVPAA-F-INS-055A RAW '!AF21/'Finalterm OVPAA-F-INS-055A RAW '!AF$17*100)</f>
        <v/>
      </c>
      <c r="AG21" s="126" t="str">
        <f>IF('Finalterm OVPAA-F-INS-055A RAW '!AG21="","",'Finalterm OVPAA-F-INS-055A RAW '!AG21/'Finalterm OVPAA-F-INS-055A RAW '!AG$17*100)</f>
        <v/>
      </c>
      <c r="AH21" s="126" t="str">
        <f>IF('Finalterm OVPAA-F-INS-055A RAW '!AH21="","",'Finalterm OVPAA-F-INS-055A RAW '!AH21/'Finalterm OVPAA-F-INS-055A RAW '!AH$17*100)</f>
        <v/>
      </c>
      <c r="AI21" s="126" t="str">
        <f>IF('Finalterm OVPAA-F-INS-055A RAW '!AI21="","",'Finalterm OVPAA-F-INS-055A RAW '!AI21/'Finalterm OVPAA-F-INS-055A RAW '!AI$17*100)</f>
        <v/>
      </c>
      <c r="AJ21" s="126" t="str">
        <f>IF('Finalterm OVPAA-F-INS-055A RAW '!AJ21="","",'Finalterm OVPAA-F-INS-055A RAW '!AJ21/'Finalterm OVPAA-F-INS-055A RAW '!AJ$17*100)</f>
        <v/>
      </c>
      <c r="AK21" s="126" t="str">
        <f>IF('Finalterm OVPAA-F-INS-055A RAW '!AK21="","",'Finalterm OVPAA-F-INS-055A RAW '!AK21/'Finalterm OVPAA-F-INS-055A RAW '!AK$17*100)</f>
        <v/>
      </c>
      <c r="AL21" s="126" t="str">
        <f>IF('Finalterm OVPAA-F-INS-055A RAW '!AL21="","",'Finalterm OVPAA-F-INS-055A RAW '!AL21/'Finalterm OVPAA-F-INS-055A RAW '!AL$17*100)</f>
        <v/>
      </c>
      <c r="AM21" s="126" t="str">
        <f>IF('Finalterm OVPAA-F-INS-055A RAW '!AM21="","",'Finalterm OVPAA-F-INS-055A RAW '!AM21/'Finalterm OVPAA-F-INS-055A RAW '!AM$17*100)</f>
        <v/>
      </c>
      <c r="AN21" s="126" t="str">
        <f>IF('Finalterm OVPAA-F-INS-055A RAW '!AN21="","",'Finalterm OVPAA-F-INS-055A RAW '!AN21/'Finalterm OVPAA-F-INS-055A RAW '!AN$17*100)</f>
        <v/>
      </c>
      <c r="AO21" s="126" t="str">
        <f>IF('Finalterm OVPAA-F-INS-055A RAW '!AO21="","",'Finalterm OVPAA-F-INS-055A RAW '!AO21/'Finalterm OVPAA-F-INS-055A RAW '!AO$17*100)</f>
        <v/>
      </c>
      <c r="AP21" s="126" t="str">
        <f>IF('Finalterm OVPAA-F-INS-055A RAW '!AP21="","",'Finalterm OVPAA-F-INS-055A RAW '!AP21/'Finalterm OVPAA-F-INS-055A RAW '!AP$17*100)</f>
        <v/>
      </c>
      <c r="AQ21" s="126" t="str">
        <f>IF('Finalterm OVPAA-F-INS-055A RAW '!AQ21="","",'Finalterm OVPAA-F-INS-055A RAW '!AQ21/'Finalterm OVPAA-F-INS-055A RAW '!AQ$17*100)</f>
        <v/>
      </c>
      <c r="AR21" s="126" t="str">
        <f>IF('Finalterm OVPAA-F-INS-055A RAW '!AR21="","",'Finalterm OVPAA-F-INS-055A RAW '!AR21/'Finalterm OVPAA-F-INS-055A RAW '!AR$17*100)</f>
        <v/>
      </c>
      <c r="AS21" s="126" t="str">
        <f>IF('Finalterm OVPAA-F-INS-055A RAW '!AS21="","",'Finalterm OVPAA-F-INS-055A RAW '!AS21/'Finalterm OVPAA-F-INS-055A RAW '!AS$17*100)</f>
        <v/>
      </c>
      <c r="AT21" s="126" t="str">
        <f>IF('Finalterm OVPAA-F-INS-055A RAW '!AT21="","",'Finalterm OVPAA-F-INS-055A RAW '!AT21/'Finalterm OVPAA-F-INS-055A RAW '!AT$17*100)</f>
        <v/>
      </c>
      <c r="AU21" s="126" t="str">
        <f>IF('Finalterm OVPAA-F-INS-055A RAW '!AU21="","",'Finalterm OVPAA-F-INS-055A RAW '!AU21/'Finalterm OVPAA-F-INS-055A RAW '!AU$17*100)</f>
        <v/>
      </c>
      <c r="AV21" s="126" t="str">
        <f>IF('Finalterm OVPAA-F-INS-055A RAW '!AV21="","",'Finalterm OVPAA-F-INS-055A RAW '!AV21/'Finalterm OVPAA-F-INS-055A RAW '!AV$17*100)</f>
        <v/>
      </c>
      <c r="AW21" s="126" t="str">
        <f>IF('Finalterm OVPAA-F-INS-055A RAW '!AW21="","",'Finalterm OVPAA-F-INS-055A RAW '!AW21/'Finalterm OVPAA-F-INS-055A RAW '!AW$17*100)</f>
        <v/>
      </c>
      <c r="AX21" s="126" t="str">
        <f>IF('Finalterm OVPAA-F-INS-055A RAW '!AX21="","",'Finalterm OVPAA-F-INS-055A RAW '!AX21/'Finalterm OVPAA-F-INS-055A RAW '!AX$17*100)</f>
        <v/>
      </c>
      <c r="AY21" s="126" t="str">
        <f>IF('Finalterm OVPAA-F-INS-055A RAW '!AY21="","",'Finalterm OVPAA-F-INS-055A RAW '!AY21/'Finalterm OVPAA-F-INS-055A RAW '!AY$17*100)</f>
        <v/>
      </c>
      <c r="AZ21" s="126" t="str">
        <f>IF('Finalterm OVPAA-F-INS-055A RAW '!AZ21="","",'Finalterm OVPAA-F-INS-055A RAW '!AZ21/'Finalterm OVPAA-F-INS-055A RAW '!AZ$17*100)</f>
        <v/>
      </c>
      <c r="BA21" s="126" t="str">
        <f>IF('Finalterm OVPAA-F-INS-055A RAW '!BA21="","",'Finalterm OVPAA-F-INS-055A RAW '!BA21/'Finalterm OVPAA-F-INS-055A RAW '!BA$17*100)</f>
        <v/>
      </c>
      <c r="BB21" s="126" t="str">
        <f>IF('Finalterm OVPAA-F-INS-055A RAW '!BB21="","",'Finalterm OVPAA-F-INS-055A RAW '!BB21/'Finalterm OVPAA-F-INS-055A RAW '!BB$17*100)</f>
        <v/>
      </c>
      <c r="BC21" s="126" t="str">
        <f>IF('Finalterm OVPAA-F-INS-055A RAW '!BC21="","",'Finalterm OVPAA-F-INS-055A RAW '!BC21/'Finalterm OVPAA-F-INS-055A RAW '!BC$17*100)</f>
        <v/>
      </c>
      <c r="BD21" s="126" t="str">
        <f>IF('Finalterm OVPAA-F-INS-055A RAW '!BD21="","",'Finalterm OVPAA-F-INS-055A RAW '!BD21/'Finalterm OVPAA-F-INS-055A RAW '!BD$17*100)</f>
        <v/>
      </c>
      <c r="BE21" s="126" t="str">
        <f>IF('Finalterm OVPAA-F-INS-055A RAW '!BE21="","",'Finalterm OVPAA-F-INS-055A RAW '!BE21/'Finalterm OVPAA-F-INS-055A RAW '!BE$17*100)</f>
        <v/>
      </c>
      <c r="BF21" s="126" t="str">
        <f>IF('Finalterm OVPAA-F-INS-055A RAW '!BF21="","",'Finalterm OVPAA-F-INS-055A RAW '!BF21/'Finalterm OVPAA-F-INS-055A RAW '!BF$17*100)</f>
        <v/>
      </c>
      <c r="BG21" s="126" t="str">
        <f>IF('Finalterm OVPAA-F-INS-055A RAW '!BG21="","",'Finalterm OVPAA-F-INS-055A RAW '!BG21/'Finalterm OVPAA-F-INS-055A RAW '!BG$17*100)</f>
        <v/>
      </c>
      <c r="BH21" s="126" t="str">
        <f>IF('Finalterm OVPAA-F-INS-055A RAW '!BH21="","",'Finalterm OVPAA-F-INS-055A RAW '!BH21/'Finalterm OVPAA-F-INS-055A RAW '!BH$17*100)</f>
        <v/>
      </c>
      <c r="BI21" s="126" t="str">
        <f>IF('Finalterm OVPAA-F-INS-055A RAW '!BI21="","",'Finalterm OVPAA-F-INS-055A RAW '!BI21/'Finalterm OVPAA-F-INS-055A RAW '!BI$17*100)</f>
        <v/>
      </c>
      <c r="BJ21" s="126" t="str">
        <f>IF('Finalterm OVPAA-F-INS-055A RAW '!BJ21="","",'Finalterm OVPAA-F-INS-055A RAW '!BJ21/'Finalterm OVPAA-F-INS-055A RAW '!BJ$17*100)</f>
        <v/>
      </c>
      <c r="BK21" s="126" t="str">
        <f>IF('Finalterm OVPAA-F-INS-055A RAW '!BK21="","",'Finalterm OVPAA-F-INS-055A RAW '!BK21/'Finalterm OVPAA-F-INS-055A RAW '!BK$17*100)</f>
        <v/>
      </c>
      <c r="BL21" s="126" t="str">
        <f>IF('Finalterm OVPAA-F-INS-055A RAW '!BL21="","",'Finalterm OVPAA-F-INS-055A RAW '!BL21/'Finalterm OVPAA-F-INS-055A RAW '!BL$17*100)</f>
        <v/>
      </c>
      <c r="BM21" s="126" t="str">
        <f>IF('Finalterm OVPAA-F-INS-055A RAW '!BM21="","",'Finalterm OVPAA-F-INS-055A RAW '!BM21/'Finalterm OVPAA-F-INS-055A RAW '!BM$17*100)</f>
        <v/>
      </c>
      <c r="BN21" s="126" t="str">
        <f>IF('Finalterm OVPAA-F-INS-055A RAW '!BN21="","",'Finalterm OVPAA-F-INS-055A RAW '!BN21/'Finalterm OVPAA-F-INS-055A RAW '!BN$17*100)</f>
        <v/>
      </c>
      <c r="BO21" s="126" t="str">
        <f>IF('Finalterm OVPAA-F-INS-055A RAW '!BO21="","",'Finalterm OVPAA-F-INS-055A RAW '!BO21/'Finalterm OVPAA-F-INS-055A RAW '!BO$17*100)</f>
        <v/>
      </c>
      <c r="BP21" s="126" t="str">
        <f>IF('Finalterm OVPAA-F-INS-055A RAW '!BP21="","",'Finalterm OVPAA-F-INS-055A RAW '!BP21/'Finalterm OVPAA-F-INS-055A RAW '!BP$17*100)</f>
        <v/>
      </c>
      <c r="BQ21" s="126" t="str">
        <f>IF('Finalterm OVPAA-F-INS-055A RAW '!BQ21="","",'Finalterm OVPAA-F-INS-055A RAW '!BQ21/'Finalterm OVPAA-F-INS-055A RAW '!BQ$17*100)</f>
        <v/>
      </c>
      <c r="BR21" s="126" t="str">
        <f>IF('Finalterm OVPAA-F-INS-055A RAW '!BR21="","",'Finalterm OVPAA-F-INS-055A RAW '!BR21/'Finalterm OVPAA-F-INS-055A RAW '!BR$17*100)</f>
        <v/>
      </c>
      <c r="BS21" s="126" t="str">
        <f>IF('Finalterm OVPAA-F-INS-055A RAW '!BS21="","",'Finalterm OVPAA-F-INS-055A RAW '!BS21/'Finalterm OVPAA-F-INS-055A RAW '!BS$17*100)</f>
        <v/>
      </c>
      <c r="BT21" s="126" t="str">
        <f>IF('Finalterm OVPAA-F-INS-055A RAW '!BT21="","",'Finalterm OVPAA-F-INS-055A RAW '!BT21/'Finalterm OVPAA-F-INS-055A RAW '!BT$17*100)</f>
        <v/>
      </c>
      <c r="BU21" s="127">
        <f t="array" ref="BU21">IF('Finalterm OVPAA-F-INS-055A RAW '!$G21="","",IF((SUMPRODUCT(--ISBLANK('Finalterm OVPAA-F-INS-055A RAW '!H21:BT21))=COLUMNS('Finalterm OVPAA-F-INS-055A RAW '!H21:BT21))=TRUE,"",(((COUNTA('Finalterm OVPAA-F-INS-055A RAW '!$H$17:$BT$17)+COUNTBLANK('Finalterm OVPAA-F-INS-055A RAW '!H21:BT21))-COLUMNS('Finalterm OVPAA-F-INS-055A RAW '!H21:BT21))*5+SUM(H21:BT21))/COUNTA('Finalterm OVPAA-F-INS-055A RAW '!$H$17:$BT$17)))</f>
        <v>60</v>
      </c>
      <c r="BV21" s="165">
        <f>IF(BU21="","",VLOOKUP(BU21,IF('Midterm OVPAA-F-INS-055A RAW SC'!$V$12=0.5,TRANSMUTATION!$C$4:$D$17,TRANSMUTATION!$G$4:$H$17),2,TRUE))</f>
        <v>2.75</v>
      </c>
      <c r="BW21" s="129">
        <f>IF('Finalterm OVPAA-F-INS-055A RAW '!BU21="","",'Finalterm OVPAA-F-INS-055A RAW '!BU21/'Finalterm OVPAA-F-INS-055A RAW '!BU$17*100)</f>
        <v>10</v>
      </c>
      <c r="BX21" s="130">
        <f>IF('Finalterm OVPAA-F-INS-055A RAW '!BV21="","",'Finalterm OVPAA-F-INS-055A RAW '!BV21/'Finalterm OVPAA-F-INS-055A RAW '!BV$17*100)</f>
        <v>10</v>
      </c>
      <c r="BY21" s="130">
        <f>IF('Finalterm OVPAA-F-INS-055A RAW '!BW21="","",'Finalterm OVPAA-F-INS-055A RAW '!BW21/'Finalterm OVPAA-F-INS-055A RAW '!BW$17*100)</f>
        <v>100</v>
      </c>
      <c r="BZ21" s="130" t="str">
        <f>IF('Finalterm OVPAA-F-INS-055A RAW '!BX21="","",'Finalterm OVPAA-F-INS-055A RAW '!BX21/'Finalterm OVPAA-F-INS-055A RAW '!BX$17*100)</f>
        <v/>
      </c>
      <c r="CA21" s="130" t="str">
        <f>IF('Finalterm OVPAA-F-INS-055A RAW '!BY21="","",'Finalterm OVPAA-F-INS-055A RAW '!BY21/'Finalterm OVPAA-F-INS-055A RAW '!BY$17*100)</f>
        <v/>
      </c>
      <c r="CB21" s="130" t="str">
        <f>IF('Finalterm OVPAA-F-INS-055A RAW '!BZ21="","",'Finalterm OVPAA-F-INS-055A RAW '!BZ21/'Finalterm OVPAA-F-INS-055A RAW '!BZ$17*100)</f>
        <v/>
      </c>
      <c r="CC21" s="130" t="str">
        <f>IF('Finalterm OVPAA-F-INS-055A RAW '!CA21="","",'Finalterm OVPAA-F-INS-055A RAW '!CA21/'Finalterm OVPAA-F-INS-055A RAW '!CA$17*100)</f>
        <v/>
      </c>
      <c r="CD21" s="130" t="str">
        <f>IF('Finalterm OVPAA-F-INS-055A RAW '!CB21="","",'Finalterm OVPAA-F-INS-055A RAW '!CB21/'Finalterm OVPAA-F-INS-055A RAW '!CB$17*100)</f>
        <v/>
      </c>
      <c r="CE21" s="130" t="str">
        <f>IF('Finalterm OVPAA-F-INS-055A RAW '!CC21="","",'Finalterm OVPAA-F-INS-055A RAW '!CC21/'Finalterm OVPAA-F-INS-055A RAW '!CC$17*100)</f>
        <v/>
      </c>
      <c r="CF21" s="130" t="str">
        <f>IF('Finalterm OVPAA-F-INS-055A RAW '!CD21="","",'Finalterm OVPAA-F-INS-055A RAW '!CD21/'Finalterm OVPAA-F-INS-055A RAW '!CD$17*100)</f>
        <v/>
      </c>
      <c r="CG21" s="130" t="str">
        <f>IF('Finalterm OVPAA-F-INS-055A RAW '!CE21="","",'Finalterm OVPAA-F-INS-055A RAW '!CE21/'Finalterm OVPAA-F-INS-055A RAW '!CE$17*100)</f>
        <v/>
      </c>
      <c r="CH21" s="130" t="str">
        <f>IF('Finalterm OVPAA-F-INS-055A RAW '!CF21="","",'Finalterm OVPAA-F-INS-055A RAW '!CF21/'Finalterm OVPAA-F-INS-055A RAW '!CF$17*100)</f>
        <v/>
      </c>
      <c r="CI21" s="130" t="str">
        <f>IF('Finalterm OVPAA-F-INS-055A RAW '!CG21="","",'Finalterm OVPAA-F-INS-055A RAW '!CG21/'Finalterm OVPAA-F-INS-055A RAW '!CG$17*100)</f>
        <v/>
      </c>
      <c r="CJ21" s="130" t="str">
        <f>IF('Finalterm OVPAA-F-INS-055A RAW '!CH21="","",'Finalterm OVPAA-F-INS-055A RAW '!CH21/'Finalterm OVPAA-F-INS-055A RAW '!CH$17*100)</f>
        <v/>
      </c>
      <c r="CK21" s="130" t="str">
        <f>IF('Finalterm OVPAA-F-INS-055A RAW '!CI21="","",'Finalterm OVPAA-F-INS-055A RAW '!CI21/'Finalterm OVPAA-F-INS-055A RAW '!CI$17*100)</f>
        <v/>
      </c>
      <c r="CL21" s="130" t="str">
        <f>IF('Finalterm OVPAA-F-INS-055A RAW '!CJ21="","",'Finalterm OVPAA-F-INS-055A RAW '!CJ21/'Finalterm OVPAA-F-INS-055A RAW '!CJ$17*100)</f>
        <v/>
      </c>
      <c r="CM21" s="130" t="str">
        <f>IF('Finalterm OVPAA-F-INS-055A RAW '!CK21="","",'Finalterm OVPAA-F-INS-055A RAW '!CK21/'Finalterm OVPAA-F-INS-055A RAW '!CK$17*100)</f>
        <v/>
      </c>
      <c r="CN21" s="130" t="str">
        <f>IF('Finalterm OVPAA-F-INS-055A RAW '!CL21="","",'Finalterm OVPAA-F-INS-055A RAW '!CL21/'Finalterm OVPAA-F-INS-055A RAW '!CL$17*100)</f>
        <v/>
      </c>
      <c r="CO21" s="130" t="str">
        <f>IF('Finalterm OVPAA-F-INS-055A RAW '!CM21="","",'Finalterm OVPAA-F-INS-055A RAW '!CM21/'Finalterm OVPAA-F-INS-055A RAW '!CM$17*100)</f>
        <v/>
      </c>
      <c r="CP21" s="130" t="str">
        <f>IF('Finalterm OVPAA-F-INS-055A RAW '!CN21="","",'Finalterm OVPAA-F-INS-055A RAW '!CN21/'Finalterm OVPAA-F-INS-055A RAW '!CN$17*100)</f>
        <v/>
      </c>
      <c r="CQ21" s="131">
        <f t="array" ref="CQ21">IF('Midterm OVPAA-F-INS-055A RAW SC'!G21="","",IF((SUMPRODUCT(--ISBLANK('Finalterm OVPAA-F-INS-055A RAW '!BU21:CN21))=COLUMNS('Finalterm OVPAA-F-INS-055A RAW '!BU21:CN21))=TRUE,"",(((COUNTA('Finalterm OVPAA-F-INS-055A RAW '!$BU$17:$CN$17)+COUNTBLANK('Finalterm OVPAA-F-INS-055A RAW '!BU21:CN21))-COLUMNS('Finalterm OVPAA-F-INS-055A RAW '!BU21:CN21))*5+SUM(BW21:CP21))/COUNTA('Finalterm OVPAA-F-INS-055A RAW '!$BU$17:$CN$17)))</f>
        <v>40</v>
      </c>
      <c r="CR21" s="132">
        <f>IF(CQ21="","",VLOOKUP(CQ21,IF('Midterm OVPAA-F-INS-055A RAW SC'!$V$12=0.5,TRANSMUTATION!$C$4:$D$17,TRANSMUTATION!$G$4:$H$17),2,TRUE))</f>
        <v>3.5</v>
      </c>
      <c r="CS21" s="133">
        <f>IF('Finalterm OVPAA-F-INS-055A RAW '!CO21="","",'Finalterm OVPAA-F-INS-055A RAW '!CO21/'Finalterm OVPAA-F-INS-055A RAW '!CO$17*100)</f>
        <v>80</v>
      </c>
      <c r="CT21" s="133">
        <f>IF('Finalterm OVPAA-F-INS-055A RAW '!CP21="","",'Finalterm OVPAA-F-INS-055A RAW '!CP21/'Finalterm OVPAA-F-INS-055A RAW '!CP$17*100)</f>
        <v>54.500000000000007</v>
      </c>
      <c r="CU21" s="133" t="str">
        <f>IF('Finalterm OVPAA-F-INS-055A RAW '!CQ21="","",'Finalterm OVPAA-F-INS-055A RAW '!CQ21/'Finalterm OVPAA-F-INS-055A RAW '!CQ$17*100)</f>
        <v/>
      </c>
      <c r="CV21" s="133" t="str">
        <f>IF('Finalterm OVPAA-F-INS-055A RAW '!CR21="","",'Finalterm OVPAA-F-INS-055A RAW '!CR21/'Finalterm OVPAA-F-INS-055A RAW '!CR$17*100)</f>
        <v/>
      </c>
      <c r="CW21" s="133" t="str">
        <f>IF('Finalterm OVPAA-F-INS-055A RAW '!CS21="","",'Finalterm OVPAA-F-INS-055A RAW '!CS21/'Finalterm OVPAA-F-INS-055A RAW '!CS$17*100)</f>
        <v/>
      </c>
      <c r="CX21" s="133" t="str">
        <f>IF('Finalterm OVPAA-F-INS-055A RAW '!CT21="","",'Finalterm OVPAA-F-INS-055A RAW '!CT21/'Finalterm OVPAA-F-INS-055A RAW '!CT$17*100)</f>
        <v/>
      </c>
      <c r="CY21" s="133" t="str">
        <f>IF('Finalterm OVPAA-F-INS-055A RAW '!CU21="","",'Finalterm OVPAA-F-INS-055A RAW '!CU21/'Finalterm OVPAA-F-INS-055A RAW '!CU$17*100)</f>
        <v/>
      </c>
      <c r="CZ21" s="133" t="str">
        <f>IF('Finalterm OVPAA-F-INS-055A RAW '!CV21="","",'Finalterm OVPAA-F-INS-055A RAW '!CV21/'Finalterm OVPAA-F-INS-055A RAW '!CV$17*100)</f>
        <v/>
      </c>
      <c r="DA21" s="133" t="str">
        <f>IF('Finalterm OVPAA-F-INS-055A RAW '!CW21="","",'Finalterm OVPAA-F-INS-055A RAW '!CW21/'Finalterm OVPAA-F-INS-055A RAW '!CW$17*100)</f>
        <v/>
      </c>
      <c r="DB21" s="133" t="str">
        <f>IF('Finalterm OVPAA-F-INS-055A RAW '!CX21="","",'Finalterm OVPAA-F-INS-055A RAW '!CX21/'Finalterm OVPAA-F-INS-055A RAW '!CX$17*100)</f>
        <v/>
      </c>
      <c r="DC21" s="134">
        <f t="array" ref="DC21">IF('Midterm OVPAA-F-INS-055A RAW SC'!$G21="","",IF((SUMPRODUCT(--ISBLANK('Finalterm OVPAA-F-INS-055A RAW '!CO21:CX21))=COLUMNS('Finalterm OVPAA-F-INS-055A RAW '!CO21:CX21))=TRUE,"",(((COUNTA('Finalterm OVPAA-F-INS-055A RAW '!$CO$17:$CX$17)+COUNTBLANK('Finalterm OVPAA-F-INS-055A RAW '!CO21:CX21))-COLUMNS('Finalterm OVPAA-F-INS-055A RAW '!CO21:CX21))*5+SUM(CS21:DB21))/COUNTA('Finalterm OVPAA-F-INS-055A RAW '!$CO$17:$CX$17)))</f>
        <v>67.25</v>
      </c>
      <c r="DD21" s="135">
        <f>IF(DC21="","",VLOOKUP(DC21,IF('Midterm OVPAA-F-INS-055A RAW SC'!$V$12=0.5,TRANSMUTATION!$C$4:$D$17,TRANSMUTATION!$G$4:$H$17),2,TRUE))</f>
        <v>2.5</v>
      </c>
      <c r="DE21" s="136">
        <f t="shared" si="1"/>
        <v>0.82499999999999996</v>
      </c>
      <c r="DF21" s="166">
        <f t="shared" si="2"/>
        <v>1.05</v>
      </c>
      <c r="DG21" s="167">
        <f t="shared" si="3"/>
        <v>1</v>
      </c>
      <c r="DH21" s="168">
        <f t="shared" si="4"/>
        <v>2.875</v>
      </c>
      <c r="DI21" s="169" t="str">
        <f t="shared" si="5"/>
        <v>2.75</v>
      </c>
    </row>
    <row r="22" spans="5:113" ht="15.75" customHeight="1">
      <c r="E22" s="59">
        <v>5</v>
      </c>
      <c r="F22" s="124">
        <f>IF(NOT(ISBLANK('Midterm OVPAA-F-INS-055A RAW SC'!F22)),'Midterm OVPAA-F-INS-055A RAW SC'!F22,"")</f>
        <v>13</v>
      </c>
      <c r="G22" s="125" t="str">
        <f>IF(NOT(ISBLANK('Midterm OVPAA-F-INS-055A RAW SC'!G22)),'Midterm OVPAA-F-INS-055A RAW SC'!G22,"")</f>
        <v>Dela Cerna, Johann Derek Javier</v>
      </c>
      <c r="H22" s="126">
        <f>IF('Finalterm OVPAA-F-INS-055A RAW '!H22="","",'Finalterm OVPAA-F-INS-055A RAW '!H22/'Finalterm OVPAA-F-INS-055A RAW '!H$17*100)</f>
        <v>100</v>
      </c>
      <c r="I22" s="126">
        <f>IF('Finalterm OVPAA-F-INS-055A RAW '!I22="","",'Finalterm OVPAA-F-INS-055A RAW '!I22/'Finalterm OVPAA-F-INS-055A RAW '!I$17*100)</f>
        <v>100</v>
      </c>
      <c r="J22" s="126">
        <f>IF('Finalterm OVPAA-F-INS-055A RAW '!J22="","",'Finalterm OVPAA-F-INS-055A RAW '!J22/'Finalterm OVPAA-F-INS-055A RAW '!J$17*100)</f>
        <v>0</v>
      </c>
      <c r="K22" s="126">
        <f>IF('Finalterm OVPAA-F-INS-055A RAW '!K22="","",'Finalterm OVPAA-F-INS-055A RAW '!K22/'Finalterm OVPAA-F-INS-055A RAW '!K$17*100)</f>
        <v>0</v>
      </c>
      <c r="L22" s="126">
        <f>IF('Finalterm OVPAA-F-INS-055A RAW '!L22="","",'Finalterm OVPAA-F-INS-055A RAW '!L22/'Finalterm OVPAA-F-INS-055A RAW '!L$17*100)</f>
        <v>0</v>
      </c>
      <c r="M22" s="126" t="str">
        <f>IF('Finalterm OVPAA-F-INS-055A RAW '!M22="","",'Finalterm OVPAA-F-INS-055A RAW '!M22/'Finalterm OVPAA-F-INS-055A RAW '!M$17*100)</f>
        <v/>
      </c>
      <c r="N22" s="126" t="str">
        <f>IF('Finalterm OVPAA-F-INS-055A RAW '!N22="","",'Finalterm OVPAA-F-INS-055A RAW '!N22/'Finalterm OVPAA-F-INS-055A RAW '!N$17*100)</f>
        <v/>
      </c>
      <c r="O22" s="126" t="str">
        <f>IF('Finalterm OVPAA-F-INS-055A RAW '!O22="","",'Finalterm OVPAA-F-INS-055A RAW '!O22/'Finalterm OVPAA-F-INS-055A RAW '!O$17*100)</f>
        <v/>
      </c>
      <c r="P22" s="126" t="str">
        <f>IF('Finalterm OVPAA-F-INS-055A RAW '!P22="","",'Finalterm OVPAA-F-INS-055A RAW '!P22/'Finalterm OVPAA-F-INS-055A RAW '!P$17*100)</f>
        <v/>
      </c>
      <c r="Q22" s="126" t="str">
        <f>IF('Finalterm OVPAA-F-INS-055A RAW '!Q22="","",'Finalterm OVPAA-F-INS-055A RAW '!Q22/'Finalterm OVPAA-F-INS-055A RAW '!Q$17*100)</f>
        <v/>
      </c>
      <c r="R22" s="126" t="str">
        <f>IF('Finalterm OVPAA-F-INS-055A RAW '!R22="","",'Finalterm OVPAA-F-INS-055A RAW '!R22/'Finalterm OVPAA-F-INS-055A RAW '!R$17*100)</f>
        <v/>
      </c>
      <c r="S22" s="126" t="str">
        <f>IF('Finalterm OVPAA-F-INS-055A RAW '!S22="","",'Finalterm OVPAA-F-INS-055A RAW '!S22/'Finalterm OVPAA-F-INS-055A RAW '!S$17*100)</f>
        <v/>
      </c>
      <c r="T22" s="126" t="str">
        <f>IF('Finalterm OVPAA-F-INS-055A RAW '!T22="","",'Finalterm OVPAA-F-INS-055A RAW '!T22/'Finalterm OVPAA-F-INS-055A RAW '!T$17*100)</f>
        <v/>
      </c>
      <c r="U22" s="126" t="str">
        <f>IF('Finalterm OVPAA-F-INS-055A RAW '!U22="","",'Finalterm OVPAA-F-INS-055A RAW '!U22/'Finalterm OVPAA-F-INS-055A RAW '!U$17*100)</f>
        <v/>
      </c>
      <c r="V22" s="126" t="str">
        <f>IF('Finalterm OVPAA-F-INS-055A RAW '!V22="","",'Finalterm OVPAA-F-INS-055A RAW '!V22/'Finalterm OVPAA-F-INS-055A RAW '!V$17*100)</f>
        <v/>
      </c>
      <c r="W22" s="126" t="str">
        <f>IF('Finalterm OVPAA-F-INS-055A RAW '!W22="","",'Finalterm OVPAA-F-INS-055A RAW '!W22/'Finalterm OVPAA-F-INS-055A RAW '!W$17*100)</f>
        <v/>
      </c>
      <c r="X22" s="126" t="str">
        <f>IF('Finalterm OVPAA-F-INS-055A RAW '!X22="","",'Finalterm OVPAA-F-INS-055A RAW '!X22/'Finalterm OVPAA-F-INS-055A RAW '!X$17*100)</f>
        <v/>
      </c>
      <c r="Y22" s="126" t="str">
        <f>IF('Finalterm OVPAA-F-INS-055A RAW '!Y22="","",'Finalterm OVPAA-F-INS-055A RAW '!Y22/'Finalterm OVPAA-F-INS-055A RAW '!Y$17*100)</f>
        <v/>
      </c>
      <c r="Z22" s="126" t="str">
        <f>IF('Finalterm OVPAA-F-INS-055A RAW '!Z22="","",'Finalterm OVPAA-F-INS-055A RAW '!Z22/'Finalterm OVPAA-F-INS-055A RAW '!Z$17*100)</f>
        <v/>
      </c>
      <c r="AA22" s="126" t="str">
        <f>IF('Finalterm OVPAA-F-INS-055A RAW '!AA22="","",'Finalterm OVPAA-F-INS-055A RAW '!AA22/'Finalterm OVPAA-F-INS-055A RAW '!AA$17*100)</f>
        <v/>
      </c>
      <c r="AB22" s="126" t="str">
        <f>IF('Finalterm OVPAA-F-INS-055A RAW '!AB22="","",'Finalterm OVPAA-F-INS-055A RAW '!AB22/'Finalterm OVPAA-F-INS-055A RAW '!AB$17*100)</f>
        <v/>
      </c>
      <c r="AC22" s="126" t="str">
        <f>IF('Finalterm OVPAA-F-INS-055A RAW '!AC22="","",'Finalterm OVPAA-F-INS-055A RAW '!AC22/'Finalterm OVPAA-F-INS-055A RAW '!AC$17*100)</f>
        <v/>
      </c>
      <c r="AD22" s="126" t="str">
        <f>IF('Finalterm OVPAA-F-INS-055A RAW '!AD22="","",'Finalterm OVPAA-F-INS-055A RAW '!AD22/'Finalterm OVPAA-F-INS-055A RAW '!AD$17*100)</f>
        <v/>
      </c>
      <c r="AE22" s="126" t="str">
        <f>IF('Finalterm OVPAA-F-INS-055A RAW '!AE22="","",'Finalterm OVPAA-F-INS-055A RAW '!AE22/'Finalterm OVPAA-F-INS-055A RAW '!AE$17*100)</f>
        <v/>
      </c>
      <c r="AF22" s="126" t="str">
        <f>IF('Finalterm OVPAA-F-INS-055A RAW '!AF22="","",'Finalterm OVPAA-F-INS-055A RAW '!AF22/'Finalterm OVPAA-F-INS-055A RAW '!AF$17*100)</f>
        <v/>
      </c>
      <c r="AG22" s="126" t="str">
        <f>IF('Finalterm OVPAA-F-INS-055A RAW '!AG22="","",'Finalterm OVPAA-F-INS-055A RAW '!AG22/'Finalterm OVPAA-F-INS-055A RAW '!AG$17*100)</f>
        <v/>
      </c>
      <c r="AH22" s="126" t="str">
        <f>IF('Finalterm OVPAA-F-INS-055A RAW '!AH22="","",'Finalterm OVPAA-F-INS-055A RAW '!AH22/'Finalterm OVPAA-F-INS-055A RAW '!AH$17*100)</f>
        <v/>
      </c>
      <c r="AI22" s="126" t="str">
        <f>IF('Finalterm OVPAA-F-INS-055A RAW '!AI22="","",'Finalterm OVPAA-F-INS-055A RAW '!AI22/'Finalterm OVPAA-F-INS-055A RAW '!AI$17*100)</f>
        <v/>
      </c>
      <c r="AJ22" s="126" t="str">
        <f>IF('Finalterm OVPAA-F-INS-055A RAW '!AJ22="","",'Finalterm OVPAA-F-INS-055A RAW '!AJ22/'Finalterm OVPAA-F-INS-055A RAW '!AJ$17*100)</f>
        <v/>
      </c>
      <c r="AK22" s="126" t="str">
        <f>IF('Finalterm OVPAA-F-INS-055A RAW '!AK22="","",'Finalterm OVPAA-F-INS-055A RAW '!AK22/'Finalterm OVPAA-F-INS-055A RAW '!AK$17*100)</f>
        <v/>
      </c>
      <c r="AL22" s="126" t="str">
        <f>IF('Finalterm OVPAA-F-INS-055A RAW '!AL22="","",'Finalterm OVPAA-F-INS-055A RAW '!AL22/'Finalterm OVPAA-F-INS-055A RAW '!AL$17*100)</f>
        <v/>
      </c>
      <c r="AM22" s="126" t="str">
        <f>IF('Finalterm OVPAA-F-INS-055A RAW '!AM22="","",'Finalterm OVPAA-F-INS-055A RAW '!AM22/'Finalterm OVPAA-F-INS-055A RAW '!AM$17*100)</f>
        <v/>
      </c>
      <c r="AN22" s="126" t="str">
        <f>IF('Finalterm OVPAA-F-INS-055A RAW '!AN22="","",'Finalterm OVPAA-F-INS-055A RAW '!AN22/'Finalterm OVPAA-F-INS-055A RAW '!AN$17*100)</f>
        <v/>
      </c>
      <c r="AO22" s="126" t="str">
        <f>IF('Finalterm OVPAA-F-INS-055A RAW '!AO22="","",'Finalterm OVPAA-F-INS-055A RAW '!AO22/'Finalterm OVPAA-F-INS-055A RAW '!AO$17*100)</f>
        <v/>
      </c>
      <c r="AP22" s="126" t="str">
        <f>IF('Finalterm OVPAA-F-INS-055A RAW '!AP22="","",'Finalterm OVPAA-F-INS-055A RAW '!AP22/'Finalterm OVPAA-F-INS-055A RAW '!AP$17*100)</f>
        <v/>
      </c>
      <c r="AQ22" s="126" t="str">
        <f>IF('Finalterm OVPAA-F-INS-055A RAW '!AQ22="","",'Finalterm OVPAA-F-INS-055A RAW '!AQ22/'Finalterm OVPAA-F-INS-055A RAW '!AQ$17*100)</f>
        <v/>
      </c>
      <c r="AR22" s="126" t="str">
        <f>IF('Finalterm OVPAA-F-INS-055A RAW '!AR22="","",'Finalterm OVPAA-F-INS-055A RAW '!AR22/'Finalterm OVPAA-F-INS-055A RAW '!AR$17*100)</f>
        <v/>
      </c>
      <c r="AS22" s="126" t="str">
        <f>IF('Finalterm OVPAA-F-INS-055A RAW '!AS22="","",'Finalterm OVPAA-F-INS-055A RAW '!AS22/'Finalterm OVPAA-F-INS-055A RAW '!AS$17*100)</f>
        <v/>
      </c>
      <c r="AT22" s="126" t="str">
        <f>IF('Finalterm OVPAA-F-INS-055A RAW '!AT22="","",'Finalterm OVPAA-F-INS-055A RAW '!AT22/'Finalterm OVPAA-F-INS-055A RAW '!AT$17*100)</f>
        <v/>
      </c>
      <c r="AU22" s="126" t="str">
        <f>IF('Finalterm OVPAA-F-INS-055A RAW '!AU22="","",'Finalterm OVPAA-F-INS-055A RAW '!AU22/'Finalterm OVPAA-F-INS-055A RAW '!AU$17*100)</f>
        <v/>
      </c>
      <c r="AV22" s="126" t="str">
        <f>IF('Finalterm OVPAA-F-INS-055A RAW '!AV22="","",'Finalterm OVPAA-F-INS-055A RAW '!AV22/'Finalterm OVPAA-F-INS-055A RAW '!AV$17*100)</f>
        <v/>
      </c>
      <c r="AW22" s="126" t="str">
        <f>IF('Finalterm OVPAA-F-INS-055A RAW '!AW22="","",'Finalterm OVPAA-F-INS-055A RAW '!AW22/'Finalterm OVPAA-F-INS-055A RAW '!AW$17*100)</f>
        <v/>
      </c>
      <c r="AX22" s="126" t="str">
        <f>IF('Finalterm OVPAA-F-INS-055A RAW '!AX22="","",'Finalterm OVPAA-F-INS-055A RAW '!AX22/'Finalterm OVPAA-F-INS-055A RAW '!AX$17*100)</f>
        <v/>
      </c>
      <c r="AY22" s="126" t="str">
        <f>IF('Finalterm OVPAA-F-INS-055A RAW '!AY22="","",'Finalterm OVPAA-F-INS-055A RAW '!AY22/'Finalterm OVPAA-F-INS-055A RAW '!AY$17*100)</f>
        <v/>
      </c>
      <c r="AZ22" s="126" t="str">
        <f>IF('Finalterm OVPAA-F-INS-055A RAW '!AZ22="","",'Finalterm OVPAA-F-INS-055A RAW '!AZ22/'Finalterm OVPAA-F-INS-055A RAW '!AZ$17*100)</f>
        <v/>
      </c>
      <c r="BA22" s="126" t="str">
        <f>IF('Finalterm OVPAA-F-INS-055A RAW '!BA22="","",'Finalterm OVPAA-F-INS-055A RAW '!BA22/'Finalterm OVPAA-F-INS-055A RAW '!BA$17*100)</f>
        <v/>
      </c>
      <c r="BB22" s="126" t="str">
        <f>IF('Finalterm OVPAA-F-INS-055A RAW '!BB22="","",'Finalterm OVPAA-F-INS-055A RAW '!BB22/'Finalterm OVPAA-F-INS-055A RAW '!BB$17*100)</f>
        <v/>
      </c>
      <c r="BC22" s="126" t="str">
        <f>IF('Finalterm OVPAA-F-INS-055A RAW '!BC22="","",'Finalterm OVPAA-F-INS-055A RAW '!BC22/'Finalterm OVPAA-F-INS-055A RAW '!BC$17*100)</f>
        <v/>
      </c>
      <c r="BD22" s="126" t="str">
        <f>IF('Finalterm OVPAA-F-INS-055A RAW '!BD22="","",'Finalterm OVPAA-F-INS-055A RAW '!BD22/'Finalterm OVPAA-F-INS-055A RAW '!BD$17*100)</f>
        <v/>
      </c>
      <c r="BE22" s="126" t="str">
        <f>IF('Finalterm OVPAA-F-INS-055A RAW '!BE22="","",'Finalterm OVPAA-F-INS-055A RAW '!BE22/'Finalterm OVPAA-F-INS-055A RAW '!BE$17*100)</f>
        <v/>
      </c>
      <c r="BF22" s="126" t="str">
        <f>IF('Finalterm OVPAA-F-INS-055A RAW '!BF22="","",'Finalterm OVPAA-F-INS-055A RAW '!BF22/'Finalterm OVPAA-F-INS-055A RAW '!BF$17*100)</f>
        <v/>
      </c>
      <c r="BG22" s="126" t="str">
        <f>IF('Finalterm OVPAA-F-INS-055A RAW '!BG22="","",'Finalterm OVPAA-F-INS-055A RAW '!BG22/'Finalterm OVPAA-F-INS-055A RAW '!BG$17*100)</f>
        <v/>
      </c>
      <c r="BH22" s="126" t="str">
        <f>IF('Finalterm OVPAA-F-INS-055A RAW '!BH22="","",'Finalterm OVPAA-F-INS-055A RAW '!BH22/'Finalterm OVPAA-F-INS-055A RAW '!BH$17*100)</f>
        <v/>
      </c>
      <c r="BI22" s="126" t="str">
        <f>IF('Finalterm OVPAA-F-INS-055A RAW '!BI22="","",'Finalterm OVPAA-F-INS-055A RAW '!BI22/'Finalterm OVPAA-F-INS-055A RAW '!BI$17*100)</f>
        <v/>
      </c>
      <c r="BJ22" s="126" t="str">
        <f>IF('Finalterm OVPAA-F-INS-055A RAW '!BJ22="","",'Finalterm OVPAA-F-INS-055A RAW '!BJ22/'Finalterm OVPAA-F-INS-055A RAW '!BJ$17*100)</f>
        <v/>
      </c>
      <c r="BK22" s="126" t="str">
        <f>IF('Finalterm OVPAA-F-INS-055A RAW '!BK22="","",'Finalterm OVPAA-F-INS-055A RAW '!BK22/'Finalterm OVPAA-F-INS-055A RAW '!BK$17*100)</f>
        <v/>
      </c>
      <c r="BL22" s="126" t="str">
        <f>IF('Finalterm OVPAA-F-INS-055A RAW '!BL22="","",'Finalterm OVPAA-F-INS-055A RAW '!BL22/'Finalterm OVPAA-F-INS-055A RAW '!BL$17*100)</f>
        <v/>
      </c>
      <c r="BM22" s="126" t="str">
        <f>IF('Finalterm OVPAA-F-INS-055A RAW '!BM22="","",'Finalterm OVPAA-F-INS-055A RAW '!BM22/'Finalterm OVPAA-F-INS-055A RAW '!BM$17*100)</f>
        <v/>
      </c>
      <c r="BN22" s="126" t="str">
        <f>IF('Finalterm OVPAA-F-INS-055A RAW '!BN22="","",'Finalterm OVPAA-F-INS-055A RAW '!BN22/'Finalterm OVPAA-F-INS-055A RAW '!BN$17*100)</f>
        <v/>
      </c>
      <c r="BO22" s="126" t="str">
        <f>IF('Finalterm OVPAA-F-INS-055A RAW '!BO22="","",'Finalterm OVPAA-F-INS-055A RAW '!BO22/'Finalterm OVPAA-F-INS-055A RAW '!BO$17*100)</f>
        <v/>
      </c>
      <c r="BP22" s="126" t="str">
        <f>IF('Finalterm OVPAA-F-INS-055A RAW '!BP22="","",'Finalterm OVPAA-F-INS-055A RAW '!BP22/'Finalterm OVPAA-F-INS-055A RAW '!BP$17*100)</f>
        <v/>
      </c>
      <c r="BQ22" s="126" t="str">
        <f>IF('Finalterm OVPAA-F-INS-055A RAW '!BQ22="","",'Finalterm OVPAA-F-INS-055A RAW '!BQ22/'Finalterm OVPAA-F-INS-055A RAW '!BQ$17*100)</f>
        <v/>
      </c>
      <c r="BR22" s="126" t="str">
        <f>IF('Finalterm OVPAA-F-INS-055A RAW '!BR22="","",'Finalterm OVPAA-F-INS-055A RAW '!BR22/'Finalterm OVPAA-F-INS-055A RAW '!BR$17*100)</f>
        <v/>
      </c>
      <c r="BS22" s="126" t="str">
        <f>IF('Finalterm OVPAA-F-INS-055A RAW '!BS22="","",'Finalterm OVPAA-F-INS-055A RAW '!BS22/'Finalterm OVPAA-F-INS-055A RAW '!BS$17*100)</f>
        <v/>
      </c>
      <c r="BT22" s="126" t="str">
        <f>IF('Finalterm OVPAA-F-INS-055A RAW '!BT22="","",'Finalterm OVPAA-F-INS-055A RAW '!BT22/'Finalterm OVPAA-F-INS-055A RAW '!BT$17*100)</f>
        <v/>
      </c>
      <c r="BU22" s="127">
        <f t="array" ref="BU22">IF('Finalterm OVPAA-F-INS-055A RAW '!$G22="","",IF((SUMPRODUCT(--ISBLANK('Finalterm OVPAA-F-INS-055A RAW '!H22:BT22))=COLUMNS('Finalterm OVPAA-F-INS-055A RAW '!H22:BT22))=TRUE,"",(((COUNTA('Finalterm OVPAA-F-INS-055A RAW '!$H$17:$BT$17)+COUNTBLANK('Finalterm OVPAA-F-INS-055A RAW '!H22:BT22))-COLUMNS('Finalterm OVPAA-F-INS-055A RAW '!H22:BT22))*5+SUM(H22:BT22))/COUNTA('Finalterm OVPAA-F-INS-055A RAW '!$H$17:$BT$17)))</f>
        <v>40</v>
      </c>
      <c r="BV22" s="165">
        <f>IF(BU22="","",VLOOKUP(BU22,IF('Midterm OVPAA-F-INS-055A RAW SC'!$V$12=0.5,TRANSMUTATION!$C$4:$D$17,TRANSMUTATION!$G$4:$H$17),2,TRUE))</f>
        <v>3.5</v>
      </c>
      <c r="BW22" s="129">
        <f>IF('Finalterm OVPAA-F-INS-055A RAW '!BU22="","",'Finalterm OVPAA-F-INS-055A RAW '!BU22/'Finalterm OVPAA-F-INS-055A RAW '!BU$17*100)</f>
        <v>50</v>
      </c>
      <c r="BX22" s="130">
        <f>IF('Finalterm OVPAA-F-INS-055A RAW '!BV22="","",'Finalterm OVPAA-F-INS-055A RAW '!BV22/'Finalterm OVPAA-F-INS-055A RAW '!BV$17*100)</f>
        <v>85</v>
      </c>
      <c r="BY22" s="130">
        <f>IF('Finalterm OVPAA-F-INS-055A RAW '!BW22="","",'Finalterm OVPAA-F-INS-055A RAW '!BW22/'Finalterm OVPAA-F-INS-055A RAW '!BW$17*100)</f>
        <v>100</v>
      </c>
      <c r="BZ22" s="130" t="str">
        <f>IF('Finalterm OVPAA-F-INS-055A RAW '!BX22="","",'Finalterm OVPAA-F-INS-055A RAW '!BX22/'Finalterm OVPAA-F-INS-055A RAW '!BX$17*100)</f>
        <v/>
      </c>
      <c r="CA22" s="130" t="str">
        <f>IF('Finalterm OVPAA-F-INS-055A RAW '!BY22="","",'Finalterm OVPAA-F-INS-055A RAW '!BY22/'Finalterm OVPAA-F-INS-055A RAW '!BY$17*100)</f>
        <v/>
      </c>
      <c r="CB22" s="130" t="str">
        <f>IF('Finalterm OVPAA-F-INS-055A RAW '!BZ22="","",'Finalterm OVPAA-F-INS-055A RAW '!BZ22/'Finalterm OVPAA-F-INS-055A RAW '!BZ$17*100)</f>
        <v/>
      </c>
      <c r="CC22" s="130" t="str">
        <f>IF('Finalterm OVPAA-F-INS-055A RAW '!CA22="","",'Finalterm OVPAA-F-INS-055A RAW '!CA22/'Finalterm OVPAA-F-INS-055A RAW '!CA$17*100)</f>
        <v/>
      </c>
      <c r="CD22" s="130" t="str">
        <f>IF('Finalterm OVPAA-F-INS-055A RAW '!CB22="","",'Finalterm OVPAA-F-INS-055A RAW '!CB22/'Finalterm OVPAA-F-INS-055A RAW '!CB$17*100)</f>
        <v/>
      </c>
      <c r="CE22" s="130" t="str">
        <f>IF('Finalterm OVPAA-F-INS-055A RAW '!CC22="","",'Finalterm OVPAA-F-INS-055A RAW '!CC22/'Finalterm OVPAA-F-INS-055A RAW '!CC$17*100)</f>
        <v/>
      </c>
      <c r="CF22" s="130" t="str">
        <f>IF('Finalterm OVPAA-F-INS-055A RAW '!CD22="","",'Finalterm OVPAA-F-INS-055A RAW '!CD22/'Finalterm OVPAA-F-INS-055A RAW '!CD$17*100)</f>
        <v/>
      </c>
      <c r="CG22" s="130" t="str">
        <f>IF('Finalterm OVPAA-F-INS-055A RAW '!CE22="","",'Finalterm OVPAA-F-INS-055A RAW '!CE22/'Finalterm OVPAA-F-INS-055A RAW '!CE$17*100)</f>
        <v/>
      </c>
      <c r="CH22" s="130" t="str">
        <f>IF('Finalterm OVPAA-F-INS-055A RAW '!CF22="","",'Finalterm OVPAA-F-INS-055A RAW '!CF22/'Finalterm OVPAA-F-INS-055A RAW '!CF$17*100)</f>
        <v/>
      </c>
      <c r="CI22" s="130" t="str">
        <f>IF('Finalterm OVPAA-F-INS-055A RAW '!CG22="","",'Finalterm OVPAA-F-INS-055A RAW '!CG22/'Finalterm OVPAA-F-INS-055A RAW '!CG$17*100)</f>
        <v/>
      </c>
      <c r="CJ22" s="130" t="str">
        <f>IF('Finalterm OVPAA-F-INS-055A RAW '!CH22="","",'Finalterm OVPAA-F-INS-055A RAW '!CH22/'Finalterm OVPAA-F-INS-055A RAW '!CH$17*100)</f>
        <v/>
      </c>
      <c r="CK22" s="130" t="str">
        <f>IF('Finalterm OVPAA-F-INS-055A RAW '!CI22="","",'Finalterm OVPAA-F-INS-055A RAW '!CI22/'Finalterm OVPAA-F-INS-055A RAW '!CI$17*100)</f>
        <v/>
      </c>
      <c r="CL22" s="130" t="str">
        <f>IF('Finalterm OVPAA-F-INS-055A RAW '!CJ22="","",'Finalterm OVPAA-F-INS-055A RAW '!CJ22/'Finalterm OVPAA-F-INS-055A RAW '!CJ$17*100)</f>
        <v/>
      </c>
      <c r="CM22" s="130" t="str">
        <f>IF('Finalterm OVPAA-F-INS-055A RAW '!CK22="","",'Finalterm OVPAA-F-INS-055A RAW '!CK22/'Finalterm OVPAA-F-INS-055A RAW '!CK$17*100)</f>
        <v/>
      </c>
      <c r="CN22" s="130" t="str">
        <f>IF('Finalterm OVPAA-F-INS-055A RAW '!CL22="","",'Finalterm OVPAA-F-INS-055A RAW '!CL22/'Finalterm OVPAA-F-INS-055A RAW '!CL$17*100)</f>
        <v/>
      </c>
      <c r="CO22" s="130" t="str">
        <f>IF('Finalterm OVPAA-F-INS-055A RAW '!CM22="","",'Finalterm OVPAA-F-INS-055A RAW '!CM22/'Finalterm OVPAA-F-INS-055A RAW '!CM$17*100)</f>
        <v/>
      </c>
      <c r="CP22" s="130" t="str">
        <f>IF('Finalterm OVPAA-F-INS-055A RAW '!CN22="","",'Finalterm OVPAA-F-INS-055A RAW '!CN22/'Finalterm OVPAA-F-INS-055A RAW '!CN$17*100)</f>
        <v/>
      </c>
      <c r="CQ22" s="131">
        <f t="array" ref="CQ22">IF('Midterm OVPAA-F-INS-055A RAW SC'!G22="","",IF((SUMPRODUCT(--ISBLANK('Finalterm OVPAA-F-INS-055A RAW '!BU22:CN22))=COLUMNS('Finalterm OVPAA-F-INS-055A RAW '!BU22:CN22))=TRUE,"",(((COUNTA('Finalterm OVPAA-F-INS-055A RAW '!$BU$17:$CN$17)+COUNTBLANK('Finalterm OVPAA-F-INS-055A RAW '!BU22:CN22))-COLUMNS('Finalterm OVPAA-F-INS-055A RAW '!BU22:CN22))*5+SUM(BW22:CP22))/COUNTA('Finalterm OVPAA-F-INS-055A RAW '!$BU$17:$CN$17)))</f>
        <v>78.333333333333329</v>
      </c>
      <c r="CR22" s="132">
        <f>IF(CQ22="","",VLOOKUP(CQ22,IF('Midterm OVPAA-F-INS-055A RAW SC'!$V$12=0.5,TRANSMUTATION!$C$4:$D$17,TRANSMUTATION!$G$4:$H$17),2,TRUE))</f>
        <v>2</v>
      </c>
      <c r="CS22" s="133">
        <f>IF('Finalterm OVPAA-F-INS-055A RAW '!CO22="","",'Finalterm OVPAA-F-INS-055A RAW '!CO22/'Finalterm OVPAA-F-INS-055A RAW '!CO$17*100)</f>
        <v>100</v>
      </c>
      <c r="CT22" s="133">
        <f>IF('Finalterm OVPAA-F-INS-055A RAW '!CP22="","",'Finalterm OVPAA-F-INS-055A RAW '!CP22/'Finalterm OVPAA-F-INS-055A RAW '!CP$17*100)</f>
        <v>72.5</v>
      </c>
      <c r="CU22" s="133" t="str">
        <f>IF('Finalterm OVPAA-F-INS-055A RAW '!CQ22="","",'Finalterm OVPAA-F-INS-055A RAW '!CQ22/'Finalterm OVPAA-F-INS-055A RAW '!CQ$17*100)</f>
        <v/>
      </c>
      <c r="CV22" s="133" t="str">
        <f>IF('Finalterm OVPAA-F-INS-055A RAW '!CR22="","",'Finalterm OVPAA-F-INS-055A RAW '!CR22/'Finalterm OVPAA-F-INS-055A RAW '!CR$17*100)</f>
        <v/>
      </c>
      <c r="CW22" s="133" t="str">
        <f>IF('Finalterm OVPAA-F-INS-055A RAW '!CS22="","",'Finalterm OVPAA-F-INS-055A RAW '!CS22/'Finalterm OVPAA-F-INS-055A RAW '!CS$17*100)</f>
        <v/>
      </c>
      <c r="CX22" s="133" t="str">
        <f>IF('Finalterm OVPAA-F-INS-055A RAW '!CT22="","",'Finalterm OVPAA-F-INS-055A RAW '!CT22/'Finalterm OVPAA-F-INS-055A RAW '!CT$17*100)</f>
        <v/>
      </c>
      <c r="CY22" s="133" t="str">
        <f>IF('Finalterm OVPAA-F-INS-055A RAW '!CU22="","",'Finalterm OVPAA-F-INS-055A RAW '!CU22/'Finalterm OVPAA-F-INS-055A RAW '!CU$17*100)</f>
        <v/>
      </c>
      <c r="CZ22" s="133" t="str">
        <f>IF('Finalterm OVPAA-F-INS-055A RAW '!CV22="","",'Finalterm OVPAA-F-INS-055A RAW '!CV22/'Finalterm OVPAA-F-INS-055A RAW '!CV$17*100)</f>
        <v/>
      </c>
      <c r="DA22" s="133" t="str">
        <f>IF('Finalterm OVPAA-F-INS-055A RAW '!CW22="","",'Finalterm OVPAA-F-INS-055A RAW '!CW22/'Finalterm OVPAA-F-INS-055A RAW '!CW$17*100)</f>
        <v/>
      </c>
      <c r="DB22" s="133" t="str">
        <f>IF('Finalterm OVPAA-F-INS-055A RAW '!CX22="","",'Finalterm OVPAA-F-INS-055A RAW '!CX22/'Finalterm OVPAA-F-INS-055A RAW '!CX$17*100)</f>
        <v/>
      </c>
      <c r="DC22" s="134">
        <f t="array" ref="DC22">IF('Midterm OVPAA-F-INS-055A RAW SC'!$G22="","",IF((SUMPRODUCT(--ISBLANK('Finalterm OVPAA-F-INS-055A RAW '!CO22:CX22))=COLUMNS('Finalterm OVPAA-F-INS-055A RAW '!CO22:CX22))=TRUE,"",(((COUNTA('Finalterm OVPAA-F-INS-055A RAW '!$CO$17:$CX$17)+COUNTBLANK('Finalterm OVPAA-F-INS-055A RAW '!CO22:CX22))-COLUMNS('Finalterm OVPAA-F-INS-055A RAW '!CO22:CX22))*5+SUM(CS22:DB22))/COUNTA('Finalterm OVPAA-F-INS-055A RAW '!$CO$17:$CX$17)))</f>
        <v>86.25</v>
      </c>
      <c r="DD22" s="135">
        <f>IF(DC22="","",VLOOKUP(DC22,IF('Midterm OVPAA-F-INS-055A RAW SC'!$V$12=0.5,TRANSMUTATION!$C$4:$D$17,TRANSMUTATION!$G$4:$H$17),2,TRUE))</f>
        <v>1.5</v>
      </c>
      <c r="DE22" s="136">
        <f t="shared" si="1"/>
        <v>1.05</v>
      </c>
      <c r="DF22" s="166">
        <f t="shared" si="2"/>
        <v>0.6</v>
      </c>
      <c r="DG22" s="167">
        <f t="shared" si="3"/>
        <v>0.60000000000000009</v>
      </c>
      <c r="DH22" s="168">
        <f t="shared" si="4"/>
        <v>2.25</v>
      </c>
      <c r="DI22" s="169" t="str">
        <f t="shared" si="5"/>
        <v>2.25</v>
      </c>
    </row>
    <row r="23" spans="5:113" ht="15.75" customHeight="1">
      <c r="E23" s="59">
        <v>6</v>
      </c>
      <c r="F23" s="124">
        <f>IF(NOT(ISBLANK('Midterm OVPAA-F-INS-055A RAW SC'!F23)),'Midterm OVPAA-F-INS-055A RAW SC'!F23,"")</f>
        <v>14</v>
      </c>
      <c r="G23" s="125" t="str">
        <f>IF(NOT(ISBLANK('Midterm OVPAA-F-INS-055A RAW SC'!G23)),'Midterm OVPAA-F-INS-055A RAW SC'!G23,"")</f>
        <v>Delfin, Kyle Arnie Jopson</v>
      </c>
      <c r="H23" s="126">
        <f>IF('Finalterm OVPAA-F-INS-055A RAW '!H23="","",'Finalterm OVPAA-F-INS-055A RAW '!H23/'Finalterm OVPAA-F-INS-055A RAW '!H$17*100)</f>
        <v>100</v>
      </c>
      <c r="I23" s="126">
        <f>IF('Finalterm OVPAA-F-INS-055A RAW '!I23="","",'Finalterm OVPAA-F-INS-055A RAW '!I23/'Finalterm OVPAA-F-INS-055A RAW '!I$17*100)</f>
        <v>100</v>
      </c>
      <c r="J23" s="126">
        <f>IF('Finalterm OVPAA-F-INS-055A RAW '!J23="","",'Finalterm OVPAA-F-INS-055A RAW '!J23/'Finalterm OVPAA-F-INS-055A RAW '!J$17*100)</f>
        <v>60</v>
      </c>
      <c r="K23" s="126">
        <f>IF('Finalterm OVPAA-F-INS-055A RAW '!K23="","",'Finalterm OVPAA-F-INS-055A RAW '!K23/'Finalterm OVPAA-F-INS-055A RAW '!K$17*100)</f>
        <v>100</v>
      </c>
      <c r="L23" s="126">
        <f>IF('Finalterm OVPAA-F-INS-055A RAW '!L23="","",'Finalterm OVPAA-F-INS-055A RAW '!L23/'Finalterm OVPAA-F-INS-055A RAW '!L$17*100)</f>
        <v>0</v>
      </c>
      <c r="M23" s="126" t="str">
        <f>IF('Finalterm OVPAA-F-INS-055A RAW '!M23="","",'Finalterm OVPAA-F-INS-055A RAW '!M23/'Finalterm OVPAA-F-INS-055A RAW '!M$17*100)</f>
        <v/>
      </c>
      <c r="N23" s="126" t="str">
        <f>IF('Finalterm OVPAA-F-INS-055A RAW '!N23="","",'Finalterm OVPAA-F-INS-055A RAW '!N23/'Finalterm OVPAA-F-INS-055A RAW '!N$17*100)</f>
        <v/>
      </c>
      <c r="O23" s="126" t="str">
        <f>IF('Finalterm OVPAA-F-INS-055A RAW '!O23="","",'Finalterm OVPAA-F-INS-055A RAW '!O23/'Finalterm OVPAA-F-INS-055A RAW '!O$17*100)</f>
        <v/>
      </c>
      <c r="P23" s="126" t="str">
        <f>IF('Finalterm OVPAA-F-INS-055A RAW '!P23="","",'Finalterm OVPAA-F-INS-055A RAW '!P23/'Finalterm OVPAA-F-INS-055A RAW '!P$17*100)</f>
        <v/>
      </c>
      <c r="Q23" s="126" t="str">
        <f>IF('Finalterm OVPAA-F-INS-055A RAW '!Q23="","",'Finalterm OVPAA-F-INS-055A RAW '!Q23/'Finalterm OVPAA-F-INS-055A RAW '!Q$17*100)</f>
        <v/>
      </c>
      <c r="R23" s="126" t="str">
        <f>IF('Finalterm OVPAA-F-INS-055A RAW '!R23="","",'Finalterm OVPAA-F-INS-055A RAW '!R23/'Finalterm OVPAA-F-INS-055A RAW '!R$17*100)</f>
        <v/>
      </c>
      <c r="S23" s="126" t="str">
        <f>IF('Finalterm OVPAA-F-INS-055A RAW '!S23="","",'Finalterm OVPAA-F-INS-055A RAW '!S23/'Finalterm OVPAA-F-INS-055A RAW '!S$17*100)</f>
        <v/>
      </c>
      <c r="T23" s="126" t="str">
        <f>IF('Finalterm OVPAA-F-INS-055A RAW '!T23="","",'Finalterm OVPAA-F-INS-055A RAW '!T23/'Finalterm OVPAA-F-INS-055A RAW '!T$17*100)</f>
        <v/>
      </c>
      <c r="U23" s="126" t="str">
        <f>IF('Finalterm OVPAA-F-INS-055A RAW '!U23="","",'Finalterm OVPAA-F-INS-055A RAW '!U23/'Finalterm OVPAA-F-INS-055A RAW '!U$17*100)</f>
        <v/>
      </c>
      <c r="V23" s="126" t="str">
        <f>IF('Finalterm OVPAA-F-INS-055A RAW '!V23="","",'Finalterm OVPAA-F-INS-055A RAW '!V23/'Finalterm OVPAA-F-INS-055A RAW '!V$17*100)</f>
        <v/>
      </c>
      <c r="W23" s="126" t="str">
        <f>IF('Finalterm OVPAA-F-INS-055A RAW '!W23="","",'Finalterm OVPAA-F-INS-055A RAW '!W23/'Finalterm OVPAA-F-INS-055A RAW '!W$17*100)</f>
        <v/>
      </c>
      <c r="X23" s="126" t="str">
        <f>IF('Finalterm OVPAA-F-INS-055A RAW '!X23="","",'Finalterm OVPAA-F-INS-055A RAW '!X23/'Finalterm OVPAA-F-INS-055A RAW '!X$17*100)</f>
        <v/>
      </c>
      <c r="Y23" s="126" t="str">
        <f>IF('Finalterm OVPAA-F-INS-055A RAW '!Y23="","",'Finalterm OVPAA-F-INS-055A RAW '!Y23/'Finalterm OVPAA-F-INS-055A RAW '!Y$17*100)</f>
        <v/>
      </c>
      <c r="Z23" s="126" t="str">
        <f>IF('Finalterm OVPAA-F-INS-055A RAW '!Z23="","",'Finalterm OVPAA-F-INS-055A RAW '!Z23/'Finalterm OVPAA-F-INS-055A RAW '!Z$17*100)</f>
        <v/>
      </c>
      <c r="AA23" s="126" t="str">
        <f>IF('Finalterm OVPAA-F-INS-055A RAW '!AA23="","",'Finalterm OVPAA-F-INS-055A RAW '!AA23/'Finalterm OVPAA-F-INS-055A RAW '!AA$17*100)</f>
        <v/>
      </c>
      <c r="AB23" s="126" t="str">
        <f>IF('Finalterm OVPAA-F-INS-055A RAW '!AB23="","",'Finalterm OVPAA-F-INS-055A RAW '!AB23/'Finalterm OVPAA-F-INS-055A RAW '!AB$17*100)</f>
        <v/>
      </c>
      <c r="AC23" s="126" t="str">
        <f>IF('Finalterm OVPAA-F-INS-055A RAW '!AC23="","",'Finalterm OVPAA-F-INS-055A RAW '!AC23/'Finalterm OVPAA-F-INS-055A RAW '!AC$17*100)</f>
        <v/>
      </c>
      <c r="AD23" s="126" t="str">
        <f>IF('Finalterm OVPAA-F-INS-055A RAW '!AD23="","",'Finalterm OVPAA-F-INS-055A RAW '!AD23/'Finalterm OVPAA-F-INS-055A RAW '!AD$17*100)</f>
        <v/>
      </c>
      <c r="AE23" s="126" t="str">
        <f>IF('Finalterm OVPAA-F-INS-055A RAW '!AE23="","",'Finalterm OVPAA-F-INS-055A RAW '!AE23/'Finalterm OVPAA-F-INS-055A RAW '!AE$17*100)</f>
        <v/>
      </c>
      <c r="AF23" s="126" t="str">
        <f>IF('Finalterm OVPAA-F-INS-055A RAW '!AF23="","",'Finalterm OVPAA-F-INS-055A RAW '!AF23/'Finalterm OVPAA-F-INS-055A RAW '!AF$17*100)</f>
        <v/>
      </c>
      <c r="AG23" s="126" t="str">
        <f>IF('Finalterm OVPAA-F-INS-055A RAW '!AG23="","",'Finalterm OVPAA-F-INS-055A RAW '!AG23/'Finalterm OVPAA-F-INS-055A RAW '!AG$17*100)</f>
        <v/>
      </c>
      <c r="AH23" s="126" t="str">
        <f>IF('Finalterm OVPAA-F-INS-055A RAW '!AH23="","",'Finalterm OVPAA-F-INS-055A RAW '!AH23/'Finalterm OVPAA-F-INS-055A RAW '!AH$17*100)</f>
        <v/>
      </c>
      <c r="AI23" s="126" t="str">
        <f>IF('Finalterm OVPAA-F-INS-055A RAW '!AI23="","",'Finalterm OVPAA-F-INS-055A RAW '!AI23/'Finalterm OVPAA-F-INS-055A RAW '!AI$17*100)</f>
        <v/>
      </c>
      <c r="AJ23" s="126" t="str">
        <f>IF('Finalterm OVPAA-F-INS-055A RAW '!AJ23="","",'Finalterm OVPAA-F-INS-055A RAW '!AJ23/'Finalterm OVPAA-F-INS-055A RAW '!AJ$17*100)</f>
        <v/>
      </c>
      <c r="AK23" s="126" t="str">
        <f>IF('Finalterm OVPAA-F-INS-055A RAW '!AK23="","",'Finalterm OVPAA-F-INS-055A RAW '!AK23/'Finalterm OVPAA-F-INS-055A RAW '!AK$17*100)</f>
        <v/>
      </c>
      <c r="AL23" s="126" t="str">
        <f>IF('Finalterm OVPAA-F-INS-055A RAW '!AL23="","",'Finalterm OVPAA-F-INS-055A RAW '!AL23/'Finalterm OVPAA-F-INS-055A RAW '!AL$17*100)</f>
        <v/>
      </c>
      <c r="AM23" s="126" t="str">
        <f>IF('Finalterm OVPAA-F-INS-055A RAW '!AM23="","",'Finalterm OVPAA-F-INS-055A RAW '!AM23/'Finalterm OVPAA-F-INS-055A RAW '!AM$17*100)</f>
        <v/>
      </c>
      <c r="AN23" s="126" t="str">
        <f>IF('Finalterm OVPAA-F-INS-055A RAW '!AN23="","",'Finalterm OVPAA-F-INS-055A RAW '!AN23/'Finalterm OVPAA-F-INS-055A RAW '!AN$17*100)</f>
        <v/>
      </c>
      <c r="AO23" s="126" t="str">
        <f>IF('Finalterm OVPAA-F-INS-055A RAW '!AO23="","",'Finalterm OVPAA-F-INS-055A RAW '!AO23/'Finalterm OVPAA-F-INS-055A RAW '!AO$17*100)</f>
        <v/>
      </c>
      <c r="AP23" s="126" t="str">
        <f>IF('Finalterm OVPAA-F-INS-055A RAW '!AP23="","",'Finalterm OVPAA-F-INS-055A RAW '!AP23/'Finalterm OVPAA-F-INS-055A RAW '!AP$17*100)</f>
        <v/>
      </c>
      <c r="AQ23" s="126" t="str">
        <f>IF('Finalterm OVPAA-F-INS-055A RAW '!AQ23="","",'Finalterm OVPAA-F-INS-055A RAW '!AQ23/'Finalterm OVPAA-F-INS-055A RAW '!AQ$17*100)</f>
        <v/>
      </c>
      <c r="AR23" s="126" t="str">
        <f>IF('Finalterm OVPAA-F-INS-055A RAW '!AR23="","",'Finalterm OVPAA-F-INS-055A RAW '!AR23/'Finalterm OVPAA-F-INS-055A RAW '!AR$17*100)</f>
        <v/>
      </c>
      <c r="AS23" s="126" t="str">
        <f>IF('Finalterm OVPAA-F-INS-055A RAW '!AS23="","",'Finalterm OVPAA-F-INS-055A RAW '!AS23/'Finalterm OVPAA-F-INS-055A RAW '!AS$17*100)</f>
        <v/>
      </c>
      <c r="AT23" s="126" t="str">
        <f>IF('Finalterm OVPAA-F-INS-055A RAW '!AT23="","",'Finalterm OVPAA-F-INS-055A RAW '!AT23/'Finalterm OVPAA-F-INS-055A RAW '!AT$17*100)</f>
        <v/>
      </c>
      <c r="AU23" s="126" t="str">
        <f>IF('Finalterm OVPAA-F-INS-055A RAW '!AU23="","",'Finalterm OVPAA-F-INS-055A RAW '!AU23/'Finalterm OVPAA-F-INS-055A RAW '!AU$17*100)</f>
        <v/>
      </c>
      <c r="AV23" s="126" t="str">
        <f>IF('Finalterm OVPAA-F-INS-055A RAW '!AV23="","",'Finalterm OVPAA-F-INS-055A RAW '!AV23/'Finalterm OVPAA-F-INS-055A RAW '!AV$17*100)</f>
        <v/>
      </c>
      <c r="AW23" s="126" t="str">
        <f>IF('Finalterm OVPAA-F-INS-055A RAW '!AW23="","",'Finalterm OVPAA-F-INS-055A RAW '!AW23/'Finalterm OVPAA-F-INS-055A RAW '!AW$17*100)</f>
        <v/>
      </c>
      <c r="AX23" s="126" t="str">
        <f>IF('Finalterm OVPAA-F-INS-055A RAW '!AX23="","",'Finalterm OVPAA-F-INS-055A RAW '!AX23/'Finalterm OVPAA-F-INS-055A RAW '!AX$17*100)</f>
        <v/>
      </c>
      <c r="AY23" s="126" t="str">
        <f>IF('Finalterm OVPAA-F-INS-055A RAW '!AY23="","",'Finalterm OVPAA-F-INS-055A RAW '!AY23/'Finalterm OVPAA-F-INS-055A RAW '!AY$17*100)</f>
        <v/>
      </c>
      <c r="AZ23" s="126" t="str">
        <f>IF('Finalterm OVPAA-F-INS-055A RAW '!AZ23="","",'Finalterm OVPAA-F-INS-055A RAW '!AZ23/'Finalterm OVPAA-F-INS-055A RAW '!AZ$17*100)</f>
        <v/>
      </c>
      <c r="BA23" s="126" t="str">
        <f>IF('Finalterm OVPAA-F-INS-055A RAW '!BA23="","",'Finalterm OVPAA-F-INS-055A RAW '!BA23/'Finalterm OVPAA-F-INS-055A RAW '!BA$17*100)</f>
        <v/>
      </c>
      <c r="BB23" s="126" t="str">
        <f>IF('Finalterm OVPAA-F-INS-055A RAW '!BB23="","",'Finalterm OVPAA-F-INS-055A RAW '!BB23/'Finalterm OVPAA-F-INS-055A RAW '!BB$17*100)</f>
        <v/>
      </c>
      <c r="BC23" s="126" t="str">
        <f>IF('Finalterm OVPAA-F-INS-055A RAW '!BC23="","",'Finalterm OVPAA-F-INS-055A RAW '!BC23/'Finalterm OVPAA-F-INS-055A RAW '!BC$17*100)</f>
        <v/>
      </c>
      <c r="BD23" s="126" t="str">
        <f>IF('Finalterm OVPAA-F-INS-055A RAW '!BD23="","",'Finalterm OVPAA-F-INS-055A RAW '!BD23/'Finalterm OVPAA-F-INS-055A RAW '!BD$17*100)</f>
        <v/>
      </c>
      <c r="BE23" s="126" t="str">
        <f>IF('Finalterm OVPAA-F-INS-055A RAW '!BE23="","",'Finalterm OVPAA-F-INS-055A RAW '!BE23/'Finalterm OVPAA-F-INS-055A RAW '!BE$17*100)</f>
        <v/>
      </c>
      <c r="BF23" s="126" t="str">
        <f>IF('Finalterm OVPAA-F-INS-055A RAW '!BF23="","",'Finalterm OVPAA-F-INS-055A RAW '!BF23/'Finalterm OVPAA-F-INS-055A RAW '!BF$17*100)</f>
        <v/>
      </c>
      <c r="BG23" s="126" t="str">
        <f>IF('Finalterm OVPAA-F-INS-055A RAW '!BG23="","",'Finalterm OVPAA-F-INS-055A RAW '!BG23/'Finalterm OVPAA-F-INS-055A RAW '!BG$17*100)</f>
        <v/>
      </c>
      <c r="BH23" s="126" t="str">
        <f>IF('Finalterm OVPAA-F-INS-055A RAW '!BH23="","",'Finalterm OVPAA-F-INS-055A RAW '!BH23/'Finalterm OVPAA-F-INS-055A RAW '!BH$17*100)</f>
        <v/>
      </c>
      <c r="BI23" s="126" t="str">
        <f>IF('Finalterm OVPAA-F-INS-055A RAW '!BI23="","",'Finalterm OVPAA-F-INS-055A RAW '!BI23/'Finalterm OVPAA-F-INS-055A RAW '!BI$17*100)</f>
        <v/>
      </c>
      <c r="BJ23" s="126" t="str">
        <f>IF('Finalterm OVPAA-F-INS-055A RAW '!BJ23="","",'Finalterm OVPAA-F-INS-055A RAW '!BJ23/'Finalterm OVPAA-F-INS-055A RAW '!BJ$17*100)</f>
        <v/>
      </c>
      <c r="BK23" s="126" t="str">
        <f>IF('Finalterm OVPAA-F-INS-055A RAW '!BK23="","",'Finalterm OVPAA-F-INS-055A RAW '!BK23/'Finalterm OVPAA-F-INS-055A RAW '!BK$17*100)</f>
        <v/>
      </c>
      <c r="BL23" s="126" t="str">
        <f>IF('Finalterm OVPAA-F-INS-055A RAW '!BL23="","",'Finalterm OVPAA-F-INS-055A RAW '!BL23/'Finalterm OVPAA-F-INS-055A RAW '!BL$17*100)</f>
        <v/>
      </c>
      <c r="BM23" s="126" t="str">
        <f>IF('Finalterm OVPAA-F-INS-055A RAW '!BM23="","",'Finalterm OVPAA-F-INS-055A RAW '!BM23/'Finalterm OVPAA-F-INS-055A RAW '!BM$17*100)</f>
        <v/>
      </c>
      <c r="BN23" s="126" t="str">
        <f>IF('Finalterm OVPAA-F-INS-055A RAW '!BN23="","",'Finalterm OVPAA-F-INS-055A RAW '!BN23/'Finalterm OVPAA-F-INS-055A RAW '!BN$17*100)</f>
        <v/>
      </c>
      <c r="BO23" s="126" t="str">
        <f>IF('Finalterm OVPAA-F-INS-055A RAW '!BO23="","",'Finalterm OVPAA-F-INS-055A RAW '!BO23/'Finalterm OVPAA-F-INS-055A RAW '!BO$17*100)</f>
        <v/>
      </c>
      <c r="BP23" s="126" t="str">
        <f>IF('Finalterm OVPAA-F-INS-055A RAW '!BP23="","",'Finalterm OVPAA-F-INS-055A RAW '!BP23/'Finalterm OVPAA-F-INS-055A RAW '!BP$17*100)</f>
        <v/>
      </c>
      <c r="BQ23" s="126" t="str">
        <f>IF('Finalterm OVPAA-F-INS-055A RAW '!BQ23="","",'Finalterm OVPAA-F-INS-055A RAW '!BQ23/'Finalterm OVPAA-F-INS-055A RAW '!BQ$17*100)</f>
        <v/>
      </c>
      <c r="BR23" s="126" t="str">
        <f>IF('Finalterm OVPAA-F-INS-055A RAW '!BR23="","",'Finalterm OVPAA-F-INS-055A RAW '!BR23/'Finalterm OVPAA-F-INS-055A RAW '!BR$17*100)</f>
        <v/>
      </c>
      <c r="BS23" s="126" t="str">
        <f>IF('Finalterm OVPAA-F-INS-055A RAW '!BS23="","",'Finalterm OVPAA-F-INS-055A RAW '!BS23/'Finalterm OVPAA-F-INS-055A RAW '!BS$17*100)</f>
        <v/>
      </c>
      <c r="BT23" s="126" t="str">
        <f>IF('Finalterm OVPAA-F-INS-055A RAW '!BT23="","",'Finalterm OVPAA-F-INS-055A RAW '!BT23/'Finalterm OVPAA-F-INS-055A RAW '!BT$17*100)</f>
        <v/>
      </c>
      <c r="BU23" s="127">
        <f t="array" ref="BU23">IF('Finalterm OVPAA-F-INS-055A RAW '!$G23="","",IF((SUMPRODUCT(--ISBLANK('Finalterm OVPAA-F-INS-055A RAW '!H23:BT23))=COLUMNS('Finalterm OVPAA-F-INS-055A RAW '!H23:BT23))=TRUE,"",(((COUNTA('Finalterm OVPAA-F-INS-055A RAW '!$H$17:$BT$17)+COUNTBLANK('Finalterm OVPAA-F-INS-055A RAW '!H23:BT23))-COLUMNS('Finalterm OVPAA-F-INS-055A RAW '!H23:BT23))*5+SUM(H23:BT23))/COUNTA('Finalterm OVPAA-F-INS-055A RAW '!$H$17:$BT$17)))</f>
        <v>72</v>
      </c>
      <c r="BV23" s="165">
        <f>IF(BU23="","",VLOOKUP(BU23,IF('Midterm OVPAA-F-INS-055A RAW SC'!$V$12=0.5,TRANSMUTATION!$C$4:$D$17,TRANSMUTATION!$G$4:$H$17),2,TRUE))</f>
        <v>2.25</v>
      </c>
      <c r="BW23" s="129">
        <f>IF('Finalterm OVPAA-F-INS-055A RAW '!BU23="","",'Finalterm OVPAA-F-INS-055A RAW '!BU23/'Finalterm OVPAA-F-INS-055A RAW '!BU$17*100)</f>
        <v>50</v>
      </c>
      <c r="BX23" s="130">
        <f>IF('Finalterm OVPAA-F-INS-055A RAW '!BV23="","",'Finalterm OVPAA-F-INS-055A RAW '!BV23/'Finalterm OVPAA-F-INS-055A RAW '!BV$17*100)</f>
        <v>0</v>
      </c>
      <c r="BY23" s="130">
        <f>IF('Finalterm OVPAA-F-INS-055A RAW '!BW23="","",'Finalterm OVPAA-F-INS-055A RAW '!BW23/'Finalterm OVPAA-F-INS-055A RAW '!BW$17*100)</f>
        <v>0</v>
      </c>
      <c r="BZ23" s="130" t="str">
        <f>IF('Finalterm OVPAA-F-INS-055A RAW '!BX23="","",'Finalterm OVPAA-F-INS-055A RAW '!BX23/'Finalterm OVPAA-F-INS-055A RAW '!BX$17*100)</f>
        <v/>
      </c>
      <c r="CA23" s="130" t="str">
        <f>IF('Finalterm OVPAA-F-INS-055A RAW '!BY23="","",'Finalterm OVPAA-F-INS-055A RAW '!BY23/'Finalterm OVPAA-F-INS-055A RAW '!BY$17*100)</f>
        <v/>
      </c>
      <c r="CB23" s="130" t="str">
        <f>IF('Finalterm OVPAA-F-INS-055A RAW '!BZ23="","",'Finalterm OVPAA-F-INS-055A RAW '!BZ23/'Finalterm OVPAA-F-INS-055A RAW '!BZ$17*100)</f>
        <v/>
      </c>
      <c r="CC23" s="130" t="str">
        <f>IF('Finalterm OVPAA-F-INS-055A RAW '!CA23="","",'Finalterm OVPAA-F-INS-055A RAW '!CA23/'Finalterm OVPAA-F-INS-055A RAW '!CA$17*100)</f>
        <v/>
      </c>
      <c r="CD23" s="130" t="str">
        <f>IF('Finalterm OVPAA-F-INS-055A RAW '!CB23="","",'Finalterm OVPAA-F-INS-055A RAW '!CB23/'Finalterm OVPAA-F-INS-055A RAW '!CB$17*100)</f>
        <v/>
      </c>
      <c r="CE23" s="130" t="str">
        <f>IF('Finalterm OVPAA-F-INS-055A RAW '!CC23="","",'Finalterm OVPAA-F-INS-055A RAW '!CC23/'Finalterm OVPAA-F-INS-055A RAW '!CC$17*100)</f>
        <v/>
      </c>
      <c r="CF23" s="130" t="str">
        <f>IF('Finalterm OVPAA-F-INS-055A RAW '!CD23="","",'Finalterm OVPAA-F-INS-055A RAW '!CD23/'Finalterm OVPAA-F-INS-055A RAW '!CD$17*100)</f>
        <v/>
      </c>
      <c r="CG23" s="130" t="str">
        <f>IF('Finalterm OVPAA-F-INS-055A RAW '!CE23="","",'Finalterm OVPAA-F-INS-055A RAW '!CE23/'Finalterm OVPAA-F-INS-055A RAW '!CE$17*100)</f>
        <v/>
      </c>
      <c r="CH23" s="130" t="str">
        <f>IF('Finalterm OVPAA-F-INS-055A RAW '!CF23="","",'Finalterm OVPAA-F-INS-055A RAW '!CF23/'Finalterm OVPAA-F-INS-055A RAW '!CF$17*100)</f>
        <v/>
      </c>
      <c r="CI23" s="130" t="str">
        <f>IF('Finalterm OVPAA-F-INS-055A RAW '!CG23="","",'Finalterm OVPAA-F-INS-055A RAW '!CG23/'Finalterm OVPAA-F-INS-055A RAW '!CG$17*100)</f>
        <v/>
      </c>
      <c r="CJ23" s="130" t="str">
        <f>IF('Finalterm OVPAA-F-INS-055A RAW '!CH23="","",'Finalterm OVPAA-F-INS-055A RAW '!CH23/'Finalterm OVPAA-F-INS-055A RAW '!CH$17*100)</f>
        <v/>
      </c>
      <c r="CK23" s="130" t="str">
        <f>IF('Finalterm OVPAA-F-INS-055A RAW '!CI23="","",'Finalterm OVPAA-F-INS-055A RAW '!CI23/'Finalterm OVPAA-F-INS-055A RAW '!CI$17*100)</f>
        <v/>
      </c>
      <c r="CL23" s="130" t="str">
        <f>IF('Finalterm OVPAA-F-INS-055A RAW '!CJ23="","",'Finalterm OVPAA-F-INS-055A RAW '!CJ23/'Finalterm OVPAA-F-INS-055A RAW '!CJ$17*100)</f>
        <v/>
      </c>
      <c r="CM23" s="130" t="str">
        <f>IF('Finalterm OVPAA-F-INS-055A RAW '!CK23="","",'Finalterm OVPAA-F-INS-055A RAW '!CK23/'Finalterm OVPAA-F-INS-055A RAW '!CK$17*100)</f>
        <v/>
      </c>
      <c r="CN23" s="130" t="str">
        <f>IF('Finalterm OVPAA-F-INS-055A RAW '!CL23="","",'Finalterm OVPAA-F-INS-055A RAW '!CL23/'Finalterm OVPAA-F-INS-055A RAW '!CL$17*100)</f>
        <v/>
      </c>
      <c r="CO23" s="130" t="str">
        <f>IF('Finalterm OVPAA-F-INS-055A RAW '!CM23="","",'Finalterm OVPAA-F-INS-055A RAW '!CM23/'Finalterm OVPAA-F-INS-055A RAW '!CM$17*100)</f>
        <v/>
      </c>
      <c r="CP23" s="130" t="str">
        <f>IF('Finalterm OVPAA-F-INS-055A RAW '!CN23="","",'Finalterm OVPAA-F-INS-055A RAW '!CN23/'Finalterm OVPAA-F-INS-055A RAW '!CN$17*100)</f>
        <v/>
      </c>
      <c r="CQ23" s="131">
        <f t="array" ref="CQ23">IF('Midterm OVPAA-F-INS-055A RAW SC'!G23="","",IF((SUMPRODUCT(--ISBLANK('Finalterm OVPAA-F-INS-055A RAW '!BU23:CN23))=COLUMNS('Finalterm OVPAA-F-INS-055A RAW '!BU23:CN23))=TRUE,"",(((COUNTA('Finalterm OVPAA-F-INS-055A RAW '!$BU$17:$CN$17)+COUNTBLANK('Finalterm OVPAA-F-INS-055A RAW '!BU23:CN23))-COLUMNS('Finalterm OVPAA-F-INS-055A RAW '!BU23:CN23))*5+SUM(BW23:CP23))/COUNTA('Finalterm OVPAA-F-INS-055A RAW '!$BU$17:$CN$17)))</f>
        <v>16.666666666666668</v>
      </c>
      <c r="CR23" s="132">
        <f>IF(CQ23="","",VLOOKUP(CQ23,IF('Midterm OVPAA-F-INS-055A RAW SC'!$V$12=0.5,TRANSMUTATION!$C$4:$D$17,TRANSMUTATION!$G$4:$H$17),2,TRUE))</f>
        <v>5</v>
      </c>
      <c r="CS23" s="133">
        <f>IF('Finalterm OVPAA-F-INS-055A RAW '!CO23="","",'Finalterm OVPAA-F-INS-055A RAW '!CO23/'Finalterm OVPAA-F-INS-055A RAW '!CO$17*100)</f>
        <v>100</v>
      </c>
      <c r="CT23" s="133">
        <f>IF('Finalterm OVPAA-F-INS-055A RAW '!CP23="","",'Finalterm OVPAA-F-INS-055A RAW '!CP23/'Finalterm OVPAA-F-INS-055A RAW '!CP$17*100)</f>
        <v>91.25</v>
      </c>
      <c r="CU23" s="133" t="str">
        <f>IF('Finalterm OVPAA-F-INS-055A RAW '!CQ23="","",'Finalterm OVPAA-F-INS-055A RAW '!CQ23/'Finalterm OVPAA-F-INS-055A RAW '!CQ$17*100)</f>
        <v/>
      </c>
      <c r="CV23" s="133" t="str">
        <f>IF('Finalterm OVPAA-F-INS-055A RAW '!CR23="","",'Finalterm OVPAA-F-INS-055A RAW '!CR23/'Finalterm OVPAA-F-INS-055A RAW '!CR$17*100)</f>
        <v/>
      </c>
      <c r="CW23" s="133" t="str">
        <f>IF('Finalterm OVPAA-F-INS-055A RAW '!CS23="","",'Finalterm OVPAA-F-INS-055A RAW '!CS23/'Finalterm OVPAA-F-INS-055A RAW '!CS$17*100)</f>
        <v/>
      </c>
      <c r="CX23" s="133" t="str">
        <f>IF('Finalterm OVPAA-F-INS-055A RAW '!CT23="","",'Finalterm OVPAA-F-INS-055A RAW '!CT23/'Finalterm OVPAA-F-INS-055A RAW '!CT$17*100)</f>
        <v/>
      </c>
      <c r="CY23" s="133" t="str">
        <f>IF('Finalterm OVPAA-F-INS-055A RAW '!CU23="","",'Finalterm OVPAA-F-INS-055A RAW '!CU23/'Finalterm OVPAA-F-INS-055A RAW '!CU$17*100)</f>
        <v/>
      </c>
      <c r="CZ23" s="133" t="str">
        <f>IF('Finalterm OVPAA-F-INS-055A RAW '!CV23="","",'Finalterm OVPAA-F-INS-055A RAW '!CV23/'Finalterm OVPAA-F-INS-055A RAW '!CV$17*100)</f>
        <v/>
      </c>
      <c r="DA23" s="133" t="str">
        <f>IF('Finalterm OVPAA-F-INS-055A RAW '!CW23="","",'Finalterm OVPAA-F-INS-055A RAW '!CW23/'Finalterm OVPAA-F-INS-055A RAW '!CW$17*100)</f>
        <v/>
      </c>
      <c r="DB23" s="133" t="str">
        <f>IF('Finalterm OVPAA-F-INS-055A RAW '!CX23="","",'Finalterm OVPAA-F-INS-055A RAW '!CX23/'Finalterm OVPAA-F-INS-055A RAW '!CX$17*100)</f>
        <v/>
      </c>
      <c r="DC23" s="134">
        <f t="array" ref="DC23">IF('Midterm OVPAA-F-INS-055A RAW SC'!$G23="","",IF((SUMPRODUCT(--ISBLANK('Finalterm OVPAA-F-INS-055A RAW '!CO23:CX23))=COLUMNS('Finalterm OVPAA-F-INS-055A RAW '!CO23:CX23))=TRUE,"",(((COUNTA('Finalterm OVPAA-F-INS-055A RAW '!$CO$17:$CX$17)+COUNTBLANK('Finalterm OVPAA-F-INS-055A RAW '!CO23:CX23))-COLUMNS('Finalterm OVPAA-F-INS-055A RAW '!CO23:CX23))*5+SUM(CS23:DB23))/COUNTA('Finalterm OVPAA-F-INS-055A RAW '!$CO$17:$CX$17)))</f>
        <v>95.625</v>
      </c>
      <c r="DD23" s="135">
        <f>IF(DC23="","",VLOOKUP(DC23,IF('Midterm OVPAA-F-INS-055A RAW SC'!$V$12=0.5,TRANSMUTATION!$C$4:$D$17,TRANSMUTATION!$G$4:$H$17),2,TRUE))</f>
        <v>1.25</v>
      </c>
      <c r="DE23" s="136">
        <f t="shared" si="1"/>
        <v>0.67499999999999993</v>
      </c>
      <c r="DF23" s="166">
        <f t="shared" si="2"/>
        <v>1.5</v>
      </c>
      <c r="DG23" s="167">
        <f t="shared" si="3"/>
        <v>0.5</v>
      </c>
      <c r="DH23" s="168">
        <f t="shared" si="4"/>
        <v>2.6749999999999998</v>
      </c>
      <c r="DI23" s="169" t="str">
        <f t="shared" si="5"/>
        <v>2.75</v>
      </c>
    </row>
    <row r="24" spans="5:113" ht="15.75" customHeight="1">
      <c r="E24" s="59">
        <v>7</v>
      </c>
      <c r="F24" s="124">
        <f>IF(NOT(ISBLANK('Midterm OVPAA-F-INS-055A RAW SC'!F24)),'Midterm OVPAA-F-INS-055A RAW SC'!F24,"")</f>
        <v>15</v>
      </c>
      <c r="G24" s="125" t="str">
        <f>IF(NOT(ISBLANK('Midterm OVPAA-F-INS-055A RAW SC'!G24)),'Midterm OVPAA-F-INS-055A RAW SC'!G24,"")</f>
        <v>Gumapac, Jannerie</v>
      </c>
      <c r="H24" s="126">
        <f>IF('Finalterm OVPAA-F-INS-055A RAW '!H24="","",'Finalterm OVPAA-F-INS-055A RAW '!H24/'Finalterm OVPAA-F-INS-055A RAW '!H$17*100)</f>
        <v>100</v>
      </c>
      <c r="I24" s="126">
        <f>IF('Finalterm OVPAA-F-INS-055A RAW '!I24="","",'Finalterm OVPAA-F-INS-055A RAW '!I24/'Finalterm OVPAA-F-INS-055A RAW '!I$17*100)</f>
        <v>100</v>
      </c>
      <c r="J24" s="126">
        <f>IF('Finalterm OVPAA-F-INS-055A RAW '!J24="","",'Finalterm OVPAA-F-INS-055A RAW '!J24/'Finalterm OVPAA-F-INS-055A RAW '!J$17*100)</f>
        <v>60</v>
      </c>
      <c r="K24" s="126">
        <f>IF('Finalterm OVPAA-F-INS-055A RAW '!K24="","",'Finalterm OVPAA-F-INS-055A RAW '!K24/'Finalterm OVPAA-F-INS-055A RAW '!K$17*100)</f>
        <v>100</v>
      </c>
      <c r="L24" s="126">
        <f>IF('Finalterm OVPAA-F-INS-055A RAW '!L24="","",'Finalterm OVPAA-F-INS-055A RAW '!L24/'Finalterm OVPAA-F-INS-055A RAW '!L$17*100)</f>
        <v>0</v>
      </c>
      <c r="M24" s="126" t="str">
        <f>IF('Finalterm OVPAA-F-INS-055A RAW '!M24="","",'Finalterm OVPAA-F-INS-055A RAW '!M24/'Finalterm OVPAA-F-INS-055A RAW '!M$17*100)</f>
        <v/>
      </c>
      <c r="N24" s="126" t="str">
        <f>IF('Finalterm OVPAA-F-INS-055A RAW '!N24="","",'Finalterm OVPAA-F-INS-055A RAW '!N24/'Finalterm OVPAA-F-INS-055A RAW '!N$17*100)</f>
        <v/>
      </c>
      <c r="O24" s="126" t="str">
        <f>IF('Finalterm OVPAA-F-INS-055A RAW '!O24="","",'Finalterm OVPAA-F-INS-055A RAW '!O24/'Finalterm OVPAA-F-INS-055A RAW '!O$17*100)</f>
        <v/>
      </c>
      <c r="P24" s="126" t="str">
        <f>IF('Finalterm OVPAA-F-INS-055A RAW '!P24="","",'Finalterm OVPAA-F-INS-055A RAW '!P24/'Finalterm OVPAA-F-INS-055A RAW '!P$17*100)</f>
        <v/>
      </c>
      <c r="Q24" s="126" t="str">
        <f>IF('Finalterm OVPAA-F-INS-055A RAW '!Q24="","",'Finalterm OVPAA-F-INS-055A RAW '!Q24/'Finalterm OVPAA-F-INS-055A RAW '!Q$17*100)</f>
        <v/>
      </c>
      <c r="R24" s="126" t="str">
        <f>IF('Finalterm OVPAA-F-INS-055A RAW '!R24="","",'Finalterm OVPAA-F-INS-055A RAW '!R24/'Finalterm OVPAA-F-INS-055A RAW '!R$17*100)</f>
        <v/>
      </c>
      <c r="S24" s="126" t="str">
        <f>IF('Finalterm OVPAA-F-INS-055A RAW '!S24="","",'Finalterm OVPAA-F-INS-055A RAW '!S24/'Finalterm OVPAA-F-INS-055A RAW '!S$17*100)</f>
        <v/>
      </c>
      <c r="T24" s="126" t="str">
        <f>IF('Finalterm OVPAA-F-INS-055A RAW '!T24="","",'Finalterm OVPAA-F-INS-055A RAW '!T24/'Finalterm OVPAA-F-INS-055A RAW '!T$17*100)</f>
        <v/>
      </c>
      <c r="U24" s="126" t="str">
        <f>IF('Finalterm OVPAA-F-INS-055A RAW '!U24="","",'Finalterm OVPAA-F-INS-055A RAW '!U24/'Finalterm OVPAA-F-INS-055A RAW '!U$17*100)</f>
        <v/>
      </c>
      <c r="V24" s="126" t="str">
        <f>IF('Finalterm OVPAA-F-INS-055A RAW '!V24="","",'Finalterm OVPAA-F-INS-055A RAW '!V24/'Finalterm OVPAA-F-INS-055A RAW '!V$17*100)</f>
        <v/>
      </c>
      <c r="W24" s="126" t="str">
        <f>IF('Finalterm OVPAA-F-INS-055A RAW '!W24="","",'Finalterm OVPAA-F-INS-055A RAW '!W24/'Finalterm OVPAA-F-INS-055A RAW '!W$17*100)</f>
        <v/>
      </c>
      <c r="X24" s="126" t="str">
        <f>IF('Finalterm OVPAA-F-INS-055A RAW '!X24="","",'Finalterm OVPAA-F-INS-055A RAW '!X24/'Finalterm OVPAA-F-INS-055A RAW '!X$17*100)</f>
        <v/>
      </c>
      <c r="Y24" s="126" t="str">
        <f>IF('Finalterm OVPAA-F-INS-055A RAW '!Y24="","",'Finalterm OVPAA-F-INS-055A RAW '!Y24/'Finalterm OVPAA-F-INS-055A RAW '!Y$17*100)</f>
        <v/>
      </c>
      <c r="Z24" s="126" t="str">
        <f>IF('Finalterm OVPAA-F-INS-055A RAW '!Z24="","",'Finalterm OVPAA-F-INS-055A RAW '!Z24/'Finalterm OVPAA-F-INS-055A RAW '!Z$17*100)</f>
        <v/>
      </c>
      <c r="AA24" s="126" t="str">
        <f>IF('Finalterm OVPAA-F-INS-055A RAW '!AA24="","",'Finalterm OVPAA-F-INS-055A RAW '!AA24/'Finalterm OVPAA-F-INS-055A RAW '!AA$17*100)</f>
        <v/>
      </c>
      <c r="AB24" s="126" t="str">
        <f>IF('Finalterm OVPAA-F-INS-055A RAW '!AB24="","",'Finalterm OVPAA-F-INS-055A RAW '!AB24/'Finalterm OVPAA-F-INS-055A RAW '!AB$17*100)</f>
        <v/>
      </c>
      <c r="AC24" s="126" t="str">
        <f>IF('Finalterm OVPAA-F-INS-055A RAW '!AC24="","",'Finalterm OVPAA-F-INS-055A RAW '!AC24/'Finalterm OVPAA-F-INS-055A RAW '!AC$17*100)</f>
        <v/>
      </c>
      <c r="AD24" s="126" t="str">
        <f>IF('Finalterm OVPAA-F-INS-055A RAW '!AD24="","",'Finalterm OVPAA-F-INS-055A RAW '!AD24/'Finalterm OVPAA-F-INS-055A RAW '!AD$17*100)</f>
        <v/>
      </c>
      <c r="AE24" s="126" t="str">
        <f>IF('Finalterm OVPAA-F-INS-055A RAW '!AE24="","",'Finalterm OVPAA-F-INS-055A RAW '!AE24/'Finalterm OVPAA-F-INS-055A RAW '!AE$17*100)</f>
        <v/>
      </c>
      <c r="AF24" s="126" t="str">
        <f>IF('Finalterm OVPAA-F-INS-055A RAW '!AF24="","",'Finalterm OVPAA-F-INS-055A RAW '!AF24/'Finalterm OVPAA-F-INS-055A RAW '!AF$17*100)</f>
        <v/>
      </c>
      <c r="AG24" s="126" t="str">
        <f>IF('Finalterm OVPAA-F-INS-055A RAW '!AG24="","",'Finalterm OVPAA-F-INS-055A RAW '!AG24/'Finalterm OVPAA-F-INS-055A RAW '!AG$17*100)</f>
        <v/>
      </c>
      <c r="AH24" s="126" t="str">
        <f>IF('Finalterm OVPAA-F-INS-055A RAW '!AH24="","",'Finalterm OVPAA-F-INS-055A RAW '!AH24/'Finalterm OVPAA-F-INS-055A RAW '!AH$17*100)</f>
        <v/>
      </c>
      <c r="AI24" s="126" t="str">
        <f>IF('Finalterm OVPAA-F-INS-055A RAW '!AI24="","",'Finalterm OVPAA-F-INS-055A RAW '!AI24/'Finalterm OVPAA-F-INS-055A RAW '!AI$17*100)</f>
        <v/>
      </c>
      <c r="AJ24" s="126" t="str">
        <f>IF('Finalterm OVPAA-F-INS-055A RAW '!AJ24="","",'Finalterm OVPAA-F-INS-055A RAW '!AJ24/'Finalterm OVPAA-F-INS-055A RAW '!AJ$17*100)</f>
        <v/>
      </c>
      <c r="AK24" s="126" t="str">
        <f>IF('Finalterm OVPAA-F-INS-055A RAW '!AK24="","",'Finalterm OVPAA-F-INS-055A RAW '!AK24/'Finalterm OVPAA-F-INS-055A RAW '!AK$17*100)</f>
        <v/>
      </c>
      <c r="AL24" s="126" t="str">
        <f>IF('Finalterm OVPAA-F-INS-055A RAW '!AL24="","",'Finalterm OVPAA-F-INS-055A RAW '!AL24/'Finalterm OVPAA-F-INS-055A RAW '!AL$17*100)</f>
        <v/>
      </c>
      <c r="AM24" s="126" t="str">
        <f>IF('Finalterm OVPAA-F-INS-055A RAW '!AM24="","",'Finalterm OVPAA-F-INS-055A RAW '!AM24/'Finalterm OVPAA-F-INS-055A RAW '!AM$17*100)</f>
        <v/>
      </c>
      <c r="AN24" s="126" t="str">
        <f>IF('Finalterm OVPAA-F-INS-055A RAW '!AN24="","",'Finalterm OVPAA-F-INS-055A RAW '!AN24/'Finalterm OVPAA-F-INS-055A RAW '!AN$17*100)</f>
        <v/>
      </c>
      <c r="AO24" s="126" t="str">
        <f>IF('Finalterm OVPAA-F-INS-055A RAW '!AO24="","",'Finalterm OVPAA-F-INS-055A RAW '!AO24/'Finalterm OVPAA-F-INS-055A RAW '!AO$17*100)</f>
        <v/>
      </c>
      <c r="AP24" s="126" t="str">
        <f>IF('Finalterm OVPAA-F-INS-055A RAW '!AP24="","",'Finalterm OVPAA-F-INS-055A RAW '!AP24/'Finalterm OVPAA-F-INS-055A RAW '!AP$17*100)</f>
        <v/>
      </c>
      <c r="AQ24" s="126" t="str">
        <f>IF('Finalterm OVPAA-F-INS-055A RAW '!AQ24="","",'Finalterm OVPAA-F-INS-055A RAW '!AQ24/'Finalterm OVPAA-F-INS-055A RAW '!AQ$17*100)</f>
        <v/>
      </c>
      <c r="AR24" s="126" t="str">
        <f>IF('Finalterm OVPAA-F-INS-055A RAW '!AR24="","",'Finalterm OVPAA-F-INS-055A RAW '!AR24/'Finalterm OVPAA-F-INS-055A RAW '!AR$17*100)</f>
        <v/>
      </c>
      <c r="AS24" s="126" t="str">
        <f>IF('Finalterm OVPAA-F-INS-055A RAW '!AS24="","",'Finalterm OVPAA-F-INS-055A RAW '!AS24/'Finalterm OVPAA-F-INS-055A RAW '!AS$17*100)</f>
        <v/>
      </c>
      <c r="AT24" s="126" t="str">
        <f>IF('Finalterm OVPAA-F-INS-055A RAW '!AT24="","",'Finalterm OVPAA-F-INS-055A RAW '!AT24/'Finalterm OVPAA-F-INS-055A RAW '!AT$17*100)</f>
        <v/>
      </c>
      <c r="AU24" s="126" t="str">
        <f>IF('Finalterm OVPAA-F-INS-055A RAW '!AU24="","",'Finalterm OVPAA-F-INS-055A RAW '!AU24/'Finalterm OVPAA-F-INS-055A RAW '!AU$17*100)</f>
        <v/>
      </c>
      <c r="AV24" s="126" t="str">
        <f>IF('Finalterm OVPAA-F-INS-055A RAW '!AV24="","",'Finalterm OVPAA-F-INS-055A RAW '!AV24/'Finalterm OVPAA-F-INS-055A RAW '!AV$17*100)</f>
        <v/>
      </c>
      <c r="AW24" s="126" t="str">
        <f>IF('Finalterm OVPAA-F-INS-055A RAW '!AW24="","",'Finalterm OVPAA-F-INS-055A RAW '!AW24/'Finalterm OVPAA-F-INS-055A RAW '!AW$17*100)</f>
        <v/>
      </c>
      <c r="AX24" s="126" t="str">
        <f>IF('Finalterm OVPAA-F-INS-055A RAW '!AX24="","",'Finalterm OVPAA-F-INS-055A RAW '!AX24/'Finalterm OVPAA-F-INS-055A RAW '!AX$17*100)</f>
        <v/>
      </c>
      <c r="AY24" s="126" t="str">
        <f>IF('Finalterm OVPAA-F-INS-055A RAW '!AY24="","",'Finalterm OVPAA-F-INS-055A RAW '!AY24/'Finalterm OVPAA-F-INS-055A RAW '!AY$17*100)</f>
        <v/>
      </c>
      <c r="AZ24" s="126" t="str">
        <f>IF('Finalterm OVPAA-F-INS-055A RAW '!AZ24="","",'Finalterm OVPAA-F-INS-055A RAW '!AZ24/'Finalterm OVPAA-F-INS-055A RAW '!AZ$17*100)</f>
        <v/>
      </c>
      <c r="BA24" s="126" t="str">
        <f>IF('Finalterm OVPAA-F-INS-055A RAW '!BA24="","",'Finalterm OVPAA-F-INS-055A RAW '!BA24/'Finalterm OVPAA-F-INS-055A RAW '!BA$17*100)</f>
        <v/>
      </c>
      <c r="BB24" s="126" t="str">
        <f>IF('Finalterm OVPAA-F-INS-055A RAW '!BB24="","",'Finalterm OVPAA-F-INS-055A RAW '!BB24/'Finalterm OVPAA-F-INS-055A RAW '!BB$17*100)</f>
        <v/>
      </c>
      <c r="BC24" s="126" t="str">
        <f>IF('Finalterm OVPAA-F-INS-055A RAW '!BC24="","",'Finalterm OVPAA-F-INS-055A RAW '!BC24/'Finalterm OVPAA-F-INS-055A RAW '!BC$17*100)</f>
        <v/>
      </c>
      <c r="BD24" s="126" t="str">
        <f>IF('Finalterm OVPAA-F-INS-055A RAW '!BD24="","",'Finalterm OVPAA-F-INS-055A RAW '!BD24/'Finalterm OVPAA-F-INS-055A RAW '!BD$17*100)</f>
        <v/>
      </c>
      <c r="BE24" s="126" t="str">
        <f>IF('Finalterm OVPAA-F-INS-055A RAW '!BE24="","",'Finalterm OVPAA-F-INS-055A RAW '!BE24/'Finalterm OVPAA-F-INS-055A RAW '!BE$17*100)</f>
        <v/>
      </c>
      <c r="BF24" s="126" t="str">
        <f>IF('Finalterm OVPAA-F-INS-055A RAW '!BF24="","",'Finalterm OVPAA-F-INS-055A RAW '!BF24/'Finalterm OVPAA-F-INS-055A RAW '!BF$17*100)</f>
        <v/>
      </c>
      <c r="BG24" s="126" t="str">
        <f>IF('Finalterm OVPAA-F-INS-055A RAW '!BG24="","",'Finalterm OVPAA-F-INS-055A RAW '!BG24/'Finalterm OVPAA-F-INS-055A RAW '!BG$17*100)</f>
        <v/>
      </c>
      <c r="BH24" s="126" t="str">
        <f>IF('Finalterm OVPAA-F-INS-055A RAW '!BH24="","",'Finalterm OVPAA-F-INS-055A RAW '!BH24/'Finalterm OVPAA-F-INS-055A RAW '!BH$17*100)</f>
        <v/>
      </c>
      <c r="BI24" s="126" t="str">
        <f>IF('Finalterm OVPAA-F-INS-055A RAW '!BI24="","",'Finalterm OVPAA-F-INS-055A RAW '!BI24/'Finalterm OVPAA-F-INS-055A RAW '!BI$17*100)</f>
        <v/>
      </c>
      <c r="BJ24" s="126" t="str">
        <f>IF('Finalterm OVPAA-F-INS-055A RAW '!BJ24="","",'Finalterm OVPAA-F-INS-055A RAW '!BJ24/'Finalterm OVPAA-F-INS-055A RAW '!BJ$17*100)</f>
        <v/>
      </c>
      <c r="BK24" s="126" t="str">
        <f>IF('Finalterm OVPAA-F-INS-055A RAW '!BK24="","",'Finalterm OVPAA-F-INS-055A RAW '!BK24/'Finalterm OVPAA-F-INS-055A RAW '!BK$17*100)</f>
        <v/>
      </c>
      <c r="BL24" s="126" t="str">
        <f>IF('Finalterm OVPAA-F-INS-055A RAW '!BL24="","",'Finalterm OVPAA-F-INS-055A RAW '!BL24/'Finalterm OVPAA-F-INS-055A RAW '!BL$17*100)</f>
        <v/>
      </c>
      <c r="BM24" s="126" t="str">
        <f>IF('Finalterm OVPAA-F-INS-055A RAW '!BM24="","",'Finalterm OVPAA-F-INS-055A RAW '!BM24/'Finalterm OVPAA-F-INS-055A RAW '!BM$17*100)</f>
        <v/>
      </c>
      <c r="BN24" s="126" t="str">
        <f>IF('Finalterm OVPAA-F-INS-055A RAW '!BN24="","",'Finalterm OVPAA-F-INS-055A RAW '!BN24/'Finalterm OVPAA-F-INS-055A RAW '!BN$17*100)</f>
        <v/>
      </c>
      <c r="BO24" s="126" t="str">
        <f>IF('Finalterm OVPAA-F-INS-055A RAW '!BO24="","",'Finalterm OVPAA-F-INS-055A RAW '!BO24/'Finalterm OVPAA-F-INS-055A RAW '!BO$17*100)</f>
        <v/>
      </c>
      <c r="BP24" s="126" t="str">
        <f>IF('Finalterm OVPAA-F-INS-055A RAW '!BP24="","",'Finalterm OVPAA-F-INS-055A RAW '!BP24/'Finalterm OVPAA-F-INS-055A RAW '!BP$17*100)</f>
        <v/>
      </c>
      <c r="BQ24" s="126" t="str">
        <f>IF('Finalterm OVPAA-F-INS-055A RAW '!BQ24="","",'Finalterm OVPAA-F-INS-055A RAW '!BQ24/'Finalterm OVPAA-F-INS-055A RAW '!BQ$17*100)</f>
        <v/>
      </c>
      <c r="BR24" s="126" t="str">
        <f>IF('Finalterm OVPAA-F-INS-055A RAW '!BR24="","",'Finalterm OVPAA-F-INS-055A RAW '!BR24/'Finalterm OVPAA-F-INS-055A RAW '!BR$17*100)</f>
        <v/>
      </c>
      <c r="BS24" s="126" t="str">
        <f>IF('Finalterm OVPAA-F-INS-055A RAW '!BS24="","",'Finalterm OVPAA-F-INS-055A RAW '!BS24/'Finalterm OVPAA-F-INS-055A RAW '!BS$17*100)</f>
        <v/>
      </c>
      <c r="BT24" s="126" t="str">
        <f>IF('Finalterm OVPAA-F-INS-055A RAW '!BT24="","",'Finalterm OVPAA-F-INS-055A RAW '!BT24/'Finalterm OVPAA-F-INS-055A RAW '!BT$17*100)</f>
        <v/>
      </c>
      <c r="BU24" s="127">
        <f t="array" ref="BU24">IF('Finalterm OVPAA-F-INS-055A RAW '!$G24="","",IF((SUMPRODUCT(--ISBLANK('Finalterm OVPAA-F-INS-055A RAW '!H24:BT24))=COLUMNS('Finalterm OVPAA-F-INS-055A RAW '!H24:BT24))=TRUE,"",(((COUNTA('Finalterm OVPAA-F-INS-055A RAW '!$H$17:$BT$17)+COUNTBLANK('Finalterm OVPAA-F-INS-055A RAW '!H24:BT24))-COLUMNS('Finalterm OVPAA-F-INS-055A RAW '!H24:BT24))*5+SUM(H24:BT24))/COUNTA('Finalterm OVPAA-F-INS-055A RAW '!$H$17:$BT$17)))</f>
        <v>72</v>
      </c>
      <c r="BV24" s="165">
        <f>IF(BU24="","",VLOOKUP(BU24,IF('Midterm OVPAA-F-INS-055A RAW SC'!$V$12=0.5,TRANSMUTATION!$C$4:$D$17,TRANSMUTATION!$G$4:$H$17),2,TRUE))</f>
        <v>2.25</v>
      </c>
      <c r="BW24" s="129">
        <f>IF('Finalterm OVPAA-F-INS-055A RAW '!BU24="","",'Finalterm OVPAA-F-INS-055A RAW '!BU24/'Finalterm OVPAA-F-INS-055A RAW '!BU$17*100)</f>
        <v>74</v>
      </c>
      <c r="BX24" s="130">
        <f>IF('Finalterm OVPAA-F-INS-055A RAW '!BV24="","",'Finalterm OVPAA-F-INS-055A RAW '!BV24/'Finalterm OVPAA-F-INS-055A RAW '!BV$17*100)</f>
        <v>0</v>
      </c>
      <c r="BY24" s="130">
        <f>IF('Finalterm OVPAA-F-INS-055A RAW '!BW24="","",'Finalterm OVPAA-F-INS-055A RAW '!BW24/'Finalterm OVPAA-F-INS-055A RAW '!BW$17*100)</f>
        <v>0</v>
      </c>
      <c r="BZ24" s="130" t="str">
        <f>IF('Finalterm OVPAA-F-INS-055A RAW '!BX24="","",'Finalterm OVPAA-F-INS-055A RAW '!BX24/'Finalterm OVPAA-F-INS-055A RAW '!BX$17*100)</f>
        <v/>
      </c>
      <c r="CA24" s="130" t="str">
        <f>IF('Finalterm OVPAA-F-INS-055A RAW '!BY24="","",'Finalterm OVPAA-F-INS-055A RAW '!BY24/'Finalterm OVPAA-F-INS-055A RAW '!BY$17*100)</f>
        <v/>
      </c>
      <c r="CB24" s="130" t="str">
        <f>IF('Finalterm OVPAA-F-INS-055A RAW '!BZ24="","",'Finalterm OVPAA-F-INS-055A RAW '!BZ24/'Finalterm OVPAA-F-INS-055A RAW '!BZ$17*100)</f>
        <v/>
      </c>
      <c r="CC24" s="130" t="str">
        <f>IF('Finalterm OVPAA-F-INS-055A RAW '!CA24="","",'Finalterm OVPAA-F-INS-055A RAW '!CA24/'Finalterm OVPAA-F-INS-055A RAW '!CA$17*100)</f>
        <v/>
      </c>
      <c r="CD24" s="130" t="str">
        <f>IF('Finalterm OVPAA-F-INS-055A RAW '!CB24="","",'Finalterm OVPAA-F-INS-055A RAW '!CB24/'Finalterm OVPAA-F-INS-055A RAW '!CB$17*100)</f>
        <v/>
      </c>
      <c r="CE24" s="130" t="str">
        <f>IF('Finalterm OVPAA-F-INS-055A RAW '!CC24="","",'Finalterm OVPAA-F-INS-055A RAW '!CC24/'Finalterm OVPAA-F-INS-055A RAW '!CC$17*100)</f>
        <v/>
      </c>
      <c r="CF24" s="130" t="str">
        <f>IF('Finalterm OVPAA-F-INS-055A RAW '!CD24="","",'Finalterm OVPAA-F-INS-055A RAW '!CD24/'Finalterm OVPAA-F-INS-055A RAW '!CD$17*100)</f>
        <v/>
      </c>
      <c r="CG24" s="130" t="str">
        <f>IF('Finalterm OVPAA-F-INS-055A RAW '!CE24="","",'Finalterm OVPAA-F-INS-055A RAW '!CE24/'Finalterm OVPAA-F-INS-055A RAW '!CE$17*100)</f>
        <v/>
      </c>
      <c r="CH24" s="130" t="str">
        <f>IF('Finalterm OVPAA-F-INS-055A RAW '!CF24="","",'Finalterm OVPAA-F-INS-055A RAW '!CF24/'Finalterm OVPAA-F-INS-055A RAW '!CF$17*100)</f>
        <v/>
      </c>
      <c r="CI24" s="130" t="str">
        <f>IF('Finalterm OVPAA-F-INS-055A RAW '!CG24="","",'Finalterm OVPAA-F-INS-055A RAW '!CG24/'Finalterm OVPAA-F-INS-055A RAW '!CG$17*100)</f>
        <v/>
      </c>
      <c r="CJ24" s="130" t="str">
        <f>IF('Finalterm OVPAA-F-INS-055A RAW '!CH24="","",'Finalterm OVPAA-F-INS-055A RAW '!CH24/'Finalterm OVPAA-F-INS-055A RAW '!CH$17*100)</f>
        <v/>
      </c>
      <c r="CK24" s="130" t="str">
        <f>IF('Finalterm OVPAA-F-INS-055A RAW '!CI24="","",'Finalterm OVPAA-F-INS-055A RAW '!CI24/'Finalterm OVPAA-F-INS-055A RAW '!CI$17*100)</f>
        <v/>
      </c>
      <c r="CL24" s="130" t="str">
        <f>IF('Finalterm OVPAA-F-INS-055A RAW '!CJ24="","",'Finalterm OVPAA-F-INS-055A RAW '!CJ24/'Finalterm OVPAA-F-INS-055A RAW '!CJ$17*100)</f>
        <v/>
      </c>
      <c r="CM24" s="130" t="str">
        <f>IF('Finalterm OVPAA-F-INS-055A RAW '!CK24="","",'Finalterm OVPAA-F-INS-055A RAW '!CK24/'Finalterm OVPAA-F-INS-055A RAW '!CK$17*100)</f>
        <v/>
      </c>
      <c r="CN24" s="130" t="str">
        <f>IF('Finalterm OVPAA-F-INS-055A RAW '!CL24="","",'Finalterm OVPAA-F-INS-055A RAW '!CL24/'Finalterm OVPAA-F-INS-055A RAW '!CL$17*100)</f>
        <v/>
      </c>
      <c r="CO24" s="130" t="str">
        <f>IF('Finalterm OVPAA-F-INS-055A RAW '!CM24="","",'Finalterm OVPAA-F-INS-055A RAW '!CM24/'Finalterm OVPAA-F-INS-055A RAW '!CM$17*100)</f>
        <v/>
      </c>
      <c r="CP24" s="130" t="str">
        <f>IF('Finalterm OVPAA-F-INS-055A RAW '!CN24="","",'Finalterm OVPAA-F-INS-055A RAW '!CN24/'Finalterm OVPAA-F-INS-055A RAW '!CN$17*100)</f>
        <v/>
      </c>
      <c r="CQ24" s="131">
        <f t="array" ref="CQ24">IF('Midterm OVPAA-F-INS-055A RAW SC'!G24="","",IF((SUMPRODUCT(--ISBLANK('Finalterm OVPAA-F-INS-055A RAW '!BU24:CN24))=COLUMNS('Finalterm OVPAA-F-INS-055A RAW '!BU24:CN24))=TRUE,"",(((COUNTA('Finalterm OVPAA-F-INS-055A RAW '!$BU$17:$CN$17)+COUNTBLANK('Finalterm OVPAA-F-INS-055A RAW '!BU24:CN24))-COLUMNS('Finalterm OVPAA-F-INS-055A RAW '!BU24:CN24))*5+SUM(BW24:CP24))/COUNTA('Finalterm OVPAA-F-INS-055A RAW '!$BU$17:$CN$17)))</f>
        <v>24.666666666666668</v>
      </c>
      <c r="CR24" s="132">
        <f>IF(CQ24="","",VLOOKUP(CQ24,IF('Midterm OVPAA-F-INS-055A RAW SC'!$V$12=0.5,TRANSMUTATION!$C$4:$D$17,TRANSMUTATION!$G$4:$H$17),2,TRUE))</f>
        <v>5</v>
      </c>
      <c r="CS24" s="133">
        <f>IF('Finalterm OVPAA-F-INS-055A RAW '!CO24="","",'Finalterm OVPAA-F-INS-055A RAW '!CO24/'Finalterm OVPAA-F-INS-055A RAW '!CO$17*100)</f>
        <v>80</v>
      </c>
      <c r="CT24" s="133">
        <f>IF('Finalterm OVPAA-F-INS-055A RAW '!CP24="","",'Finalterm OVPAA-F-INS-055A RAW '!CP24/'Finalterm OVPAA-F-INS-055A RAW '!CP$17*100)</f>
        <v>72</v>
      </c>
      <c r="CU24" s="133" t="str">
        <f>IF('Finalterm OVPAA-F-INS-055A RAW '!CQ24="","",'Finalterm OVPAA-F-INS-055A RAW '!CQ24/'Finalterm OVPAA-F-INS-055A RAW '!CQ$17*100)</f>
        <v/>
      </c>
      <c r="CV24" s="133" t="str">
        <f>IF('Finalterm OVPAA-F-INS-055A RAW '!CR24="","",'Finalterm OVPAA-F-INS-055A RAW '!CR24/'Finalterm OVPAA-F-INS-055A RAW '!CR$17*100)</f>
        <v/>
      </c>
      <c r="CW24" s="133" t="str">
        <f>IF('Finalterm OVPAA-F-INS-055A RAW '!CS24="","",'Finalterm OVPAA-F-INS-055A RAW '!CS24/'Finalterm OVPAA-F-INS-055A RAW '!CS$17*100)</f>
        <v/>
      </c>
      <c r="CX24" s="133" t="str">
        <f>IF('Finalterm OVPAA-F-INS-055A RAW '!CT24="","",'Finalterm OVPAA-F-INS-055A RAW '!CT24/'Finalterm OVPAA-F-INS-055A RAW '!CT$17*100)</f>
        <v/>
      </c>
      <c r="CY24" s="133" t="str">
        <f>IF('Finalterm OVPAA-F-INS-055A RAW '!CU24="","",'Finalterm OVPAA-F-INS-055A RAW '!CU24/'Finalterm OVPAA-F-INS-055A RAW '!CU$17*100)</f>
        <v/>
      </c>
      <c r="CZ24" s="133" t="str">
        <f>IF('Finalterm OVPAA-F-INS-055A RAW '!CV24="","",'Finalterm OVPAA-F-INS-055A RAW '!CV24/'Finalterm OVPAA-F-INS-055A RAW '!CV$17*100)</f>
        <v/>
      </c>
      <c r="DA24" s="133" t="str">
        <f>IF('Finalterm OVPAA-F-INS-055A RAW '!CW24="","",'Finalterm OVPAA-F-INS-055A RAW '!CW24/'Finalterm OVPAA-F-INS-055A RAW '!CW$17*100)</f>
        <v/>
      </c>
      <c r="DB24" s="133" t="str">
        <f>IF('Finalterm OVPAA-F-INS-055A RAW '!CX24="","",'Finalterm OVPAA-F-INS-055A RAW '!CX24/'Finalterm OVPAA-F-INS-055A RAW '!CX$17*100)</f>
        <v/>
      </c>
      <c r="DC24" s="134">
        <f t="array" ref="DC24">IF('Midterm OVPAA-F-INS-055A RAW SC'!$G24="","",IF((SUMPRODUCT(--ISBLANK('Finalterm OVPAA-F-INS-055A RAW '!CO24:CX24))=COLUMNS('Finalterm OVPAA-F-INS-055A RAW '!CO24:CX24))=TRUE,"",(((COUNTA('Finalterm OVPAA-F-INS-055A RAW '!$CO$17:$CX$17)+COUNTBLANK('Finalterm OVPAA-F-INS-055A RAW '!CO24:CX24))-COLUMNS('Finalterm OVPAA-F-INS-055A RAW '!CO24:CX24))*5+SUM(CS24:DB24))/COUNTA('Finalterm OVPAA-F-INS-055A RAW '!$CO$17:$CX$17)))</f>
        <v>76</v>
      </c>
      <c r="DD24" s="135">
        <f>IF(DC24="","",VLOOKUP(DC24,IF('Midterm OVPAA-F-INS-055A RAW SC'!$V$12=0.5,TRANSMUTATION!$C$4:$D$17,TRANSMUTATION!$G$4:$H$17),2,TRUE))</f>
        <v>2</v>
      </c>
      <c r="DE24" s="136">
        <f t="shared" si="1"/>
        <v>0.67499999999999993</v>
      </c>
      <c r="DF24" s="166">
        <f t="shared" si="2"/>
        <v>1.5</v>
      </c>
      <c r="DG24" s="167">
        <f t="shared" si="3"/>
        <v>0.8</v>
      </c>
      <c r="DH24" s="168">
        <f t="shared" si="4"/>
        <v>2.9749999999999996</v>
      </c>
      <c r="DI24" s="169" t="str">
        <f t="shared" si="5"/>
        <v>3.00</v>
      </c>
    </row>
    <row r="25" spans="5:113" ht="15.75" customHeight="1">
      <c r="E25" s="59">
        <v>8</v>
      </c>
      <c r="F25" s="124">
        <f>IF(NOT(ISBLANK('Midterm OVPAA-F-INS-055A RAW SC'!F25)),'Midterm OVPAA-F-INS-055A RAW SC'!F25,"")</f>
        <v>16</v>
      </c>
      <c r="G25" s="125" t="str">
        <f>IF(NOT(ISBLANK('Midterm OVPAA-F-INS-055A RAW SC'!G25)),'Midterm OVPAA-F-INS-055A RAW SC'!G25,"")</f>
        <v>Lantinay, Pol Edison</v>
      </c>
      <c r="H25" s="126">
        <f>IF('Finalterm OVPAA-F-INS-055A RAW '!H25="","",'Finalterm OVPAA-F-INS-055A RAW '!H25/'Finalterm OVPAA-F-INS-055A RAW '!H$17*100)</f>
        <v>100</v>
      </c>
      <c r="I25" s="126">
        <f>IF('Finalterm OVPAA-F-INS-055A RAW '!I25="","",'Finalterm OVPAA-F-INS-055A RAW '!I25/'Finalterm OVPAA-F-INS-055A RAW '!I$17*100)</f>
        <v>100</v>
      </c>
      <c r="J25" s="126">
        <f>IF('Finalterm OVPAA-F-INS-055A RAW '!J25="","",'Finalterm OVPAA-F-INS-055A RAW '!J25/'Finalterm OVPAA-F-INS-055A RAW '!J$17*100)</f>
        <v>60</v>
      </c>
      <c r="K25" s="126">
        <f>IF('Finalterm OVPAA-F-INS-055A RAW '!K25="","",'Finalterm OVPAA-F-INS-055A RAW '!K25/'Finalterm OVPAA-F-INS-055A RAW '!K$17*100)</f>
        <v>100</v>
      </c>
      <c r="L25" s="126">
        <f>IF('Finalterm OVPAA-F-INS-055A RAW '!L25="","",'Finalterm OVPAA-F-INS-055A RAW '!L25/'Finalterm OVPAA-F-INS-055A RAW '!L$17*100)</f>
        <v>0</v>
      </c>
      <c r="M25" s="126" t="str">
        <f>IF('Finalterm OVPAA-F-INS-055A RAW '!M25="","",'Finalterm OVPAA-F-INS-055A RAW '!M25/'Finalterm OVPAA-F-INS-055A RAW '!M$17*100)</f>
        <v/>
      </c>
      <c r="N25" s="126" t="str">
        <f>IF('Finalterm OVPAA-F-INS-055A RAW '!N25="","",'Finalterm OVPAA-F-INS-055A RAW '!N25/'Finalterm OVPAA-F-INS-055A RAW '!N$17*100)</f>
        <v/>
      </c>
      <c r="O25" s="126" t="str">
        <f>IF('Finalterm OVPAA-F-INS-055A RAW '!O25="","",'Finalterm OVPAA-F-INS-055A RAW '!O25/'Finalterm OVPAA-F-INS-055A RAW '!O$17*100)</f>
        <v/>
      </c>
      <c r="P25" s="126" t="str">
        <f>IF('Finalterm OVPAA-F-INS-055A RAW '!P25="","",'Finalterm OVPAA-F-INS-055A RAW '!P25/'Finalterm OVPAA-F-INS-055A RAW '!P$17*100)</f>
        <v/>
      </c>
      <c r="Q25" s="126" t="str">
        <f>IF('Finalterm OVPAA-F-INS-055A RAW '!Q25="","",'Finalterm OVPAA-F-INS-055A RAW '!Q25/'Finalterm OVPAA-F-INS-055A RAW '!Q$17*100)</f>
        <v/>
      </c>
      <c r="R25" s="126" t="str">
        <f>IF('Finalterm OVPAA-F-INS-055A RAW '!R25="","",'Finalterm OVPAA-F-INS-055A RAW '!R25/'Finalterm OVPAA-F-INS-055A RAW '!R$17*100)</f>
        <v/>
      </c>
      <c r="S25" s="126" t="str">
        <f>IF('Finalterm OVPAA-F-INS-055A RAW '!S25="","",'Finalterm OVPAA-F-INS-055A RAW '!S25/'Finalterm OVPAA-F-INS-055A RAW '!S$17*100)</f>
        <v/>
      </c>
      <c r="T25" s="126" t="str">
        <f>IF('Finalterm OVPAA-F-INS-055A RAW '!T25="","",'Finalterm OVPAA-F-INS-055A RAW '!T25/'Finalterm OVPAA-F-INS-055A RAW '!T$17*100)</f>
        <v/>
      </c>
      <c r="U25" s="126" t="str">
        <f>IF('Finalterm OVPAA-F-INS-055A RAW '!U25="","",'Finalterm OVPAA-F-INS-055A RAW '!U25/'Finalterm OVPAA-F-INS-055A RAW '!U$17*100)</f>
        <v/>
      </c>
      <c r="V25" s="126" t="str">
        <f>IF('Finalterm OVPAA-F-INS-055A RAW '!V25="","",'Finalterm OVPAA-F-INS-055A RAW '!V25/'Finalterm OVPAA-F-INS-055A RAW '!V$17*100)</f>
        <v/>
      </c>
      <c r="W25" s="126" t="str">
        <f>IF('Finalterm OVPAA-F-INS-055A RAW '!W25="","",'Finalterm OVPAA-F-INS-055A RAW '!W25/'Finalterm OVPAA-F-INS-055A RAW '!W$17*100)</f>
        <v/>
      </c>
      <c r="X25" s="126" t="str">
        <f>IF('Finalterm OVPAA-F-INS-055A RAW '!X25="","",'Finalterm OVPAA-F-INS-055A RAW '!X25/'Finalterm OVPAA-F-INS-055A RAW '!X$17*100)</f>
        <v/>
      </c>
      <c r="Y25" s="126" t="str">
        <f>IF('Finalterm OVPAA-F-INS-055A RAW '!Y25="","",'Finalterm OVPAA-F-INS-055A RAW '!Y25/'Finalterm OVPAA-F-INS-055A RAW '!Y$17*100)</f>
        <v/>
      </c>
      <c r="Z25" s="126" t="str">
        <f>IF('Finalterm OVPAA-F-INS-055A RAW '!Z25="","",'Finalterm OVPAA-F-INS-055A RAW '!Z25/'Finalterm OVPAA-F-INS-055A RAW '!Z$17*100)</f>
        <v/>
      </c>
      <c r="AA25" s="126" t="str">
        <f>IF('Finalterm OVPAA-F-INS-055A RAW '!AA25="","",'Finalterm OVPAA-F-INS-055A RAW '!AA25/'Finalterm OVPAA-F-INS-055A RAW '!AA$17*100)</f>
        <v/>
      </c>
      <c r="AB25" s="126" t="str">
        <f>IF('Finalterm OVPAA-F-INS-055A RAW '!AB25="","",'Finalterm OVPAA-F-INS-055A RAW '!AB25/'Finalterm OVPAA-F-INS-055A RAW '!AB$17*100)</f>
        <v/>
      </c>
      <c r="AC25" s="126" t="str">
        <f>IF('Finalterm OVPAA-F-INS-055A RAW '!AC25="","",'Finalterm OVPAA-F-INS-055A RAW '!AC25/'Finalterm OVPAA-F-INS-055A RAW '!AC$17*100)</f>
        <v/>
      </c>
      <c r="AD25" s="126" t="str">
        <f>IF('Finalterm OVPAA-F-INS-055A RAW '!AD25="","",'Finalterm OVPAA-F-INS-055A RAW '!AD25/'Finalterm OVPAA-F-INS-055A RAW '!AD$17*100)</f>
        <v/>
      </c>
      <c r="AE25" s="126" t="str">
        <f>IF('Finalterm OVPAA-F-INS-055A RAW '!AE25="","",'Finalterm OVPAA-F-INS-055A RAW '!AE25/'Finalterm OVPAA-F-INS-055A RAW '!AE$17*100)</f>
        <v/>
      </c>
      <c r="AF25" s="126" t="str">
        <f>IF('Finalterm OVPAA-F-INS-055A RAW '!AF25="","",'Finalterm OVPAA-F-INS-055A RAW '!AF25/'Finalterm OVPAA-F-INS-055A RAW '!AF$17*100)</f>
        <v/>
      </c>
      <c r="AG25" s="126" t="str">
        <f>IF('Finalterm OVPAA-F-INS-055A RAW '!AG25="","",'Finalterm OVPAA-F-INS-055A RAW '!AG25/'Finalterm OVPAA-F-INS-055A RAW '!AG$17*100)</f>
        <v/>
      </c>
      <c r="AH25" s="126" t="str">
        <f>IF('Finalterm OVPAA-F-INS-055A RAW '!AH25="","",'Finalterm OVPAA-F-INS-055A RAW '!AH25/'Finalterm OVPAA-F-INS-055A RAW '!AH$17*100)</f>
        <v/>
      </c>
      <c r="AI25" s="126" t="str">
        <f>IF('Finalterm OVPAA-F-INS-055A RAW '!AI25="","",'Finalterm OVPAA-F-INS-055A RAW '!AI25/'Finalterm OVPAA-F-INS-055A RAW '!AI$17*100)</f>
        <v/>
      </c>
      <c r="AJ25" s="126" t="str">
        <f>IF('Finalterm OVPAA-F-INS-055A RAW '!AJ25="","",'Finalterm OVPAA-F-INS-055A RAW '!AJ25/'Finalterm OVPAA-F-INS-055A RAW '!AJ$17*100)</f>
        <v/>
      </c>
      <c r="AK25" s="126" t="str">
        <f>IF('Finalterm OVPAA-F-INS-055A RAW '!AK25="","",'Finalterm OVPAA-F-INS-055A RAW '!AK25/'Finalterm OVPAA-F-INS-055A RAW '!AK$17*100)</f>
        <v/>
      </c>
      <c r="AL25" s="126" t="str">
        <f>IF('Finalterm OVPAA-F-INS-055A RAW '!AL25="","",'Finalterm OVPAA-F-INS-055A RAW '!AL25/'Finalterm OVPAA-F-INS-055A RAW '!AL$17*100)</f>
        <v/>
      </c>
      <c r="AM25" s="126" t="str">
        <f>IF('Finalterm OVPAA-F-INS-055A RAW '!AM25="","",'Finalterm OVPAA-F-INS-055A RAW '!AM25/'Finalterm OVPAA-F-INS-055A RAW '!AM$17*100)</f>
        <v/>
      </c>
      <c r="AN25" s="126" t="str">
        <f>IF('Finalterm OVPAA-F-INS-055A RAW '!AN25="","",'Finalterm OVPAA-F-INS-055A RAW '!AN25/'Finalterm OVPAA-F-INS-055A RAW '!AN$17*100)</f>
        <v/>
      </c>
      <c r="AO25" s="126" t="str">
        <f>IF('Finalterm OVPAA-F-INS-055A RAW '!AO25="","",'Finalterm OVPAA-F-INS-055A RAW '!AO25/'Finalterm OVPAA-F-INS-055A RAW '!AO$17*100)</f>
        <v/>
      </c>
      <c r="AP25" s="126" t="str">
        <f>IF('Finalterm OVPAA-F-INS-055A RAW '!AP25="","",'Finalterm OVPAA-F-INS-055A RAW '!AP25/'Finalterm OVPAA-F-INS-055A RAW '!AP$17*100)</f>
        <v/>
      </c>
      <c r="AQ25" s="126" t="str">
        <f>IF('Finalterm OVPAA-F-INS-055A RAW '!AQ25="","",'Finalterm OVPAA-F-INS-055A RAW '!AQ25/'Finalterm OVPAA-F-INS-055A RAW '!AQ$17*100)</f>
        <v/>
      </c>
      <c r="AR25" s="126" t="str">
        <f>IF('Finalterm OVPAA-F-INS-055A RAW '!AR25="","",'Finalterm OVPAA-F-INS-055A RAW '!AR25/'Finalterm OVPAA-F-INS-055A RAW '!AR$17*100)</f>
        <v/>
      </c>
      <c r="AS25" s="126" t="str">
        <f>IF('Finalterm OVPAA-F-INS-055A RAW '!AS25="","",'Finalterm OVPAA-F-INS-055A RAW '!AS25/'Finalterm OVPAA-F-INS-055A RAW '!AS$17*100)</f>
        <v/>
      </c>
      <c r="AT25" s="126" t="str">
        <f>IF('Finalterm OVPAA-F-INS-055A RAW '!AT25="","",'Finalterm OVPAA-F-INS-055A RAW '!AT25/'Finalterm OVPAA-F-INS-055A RAW '!AT$17*100)</f>
        <v/>
      </c>
      <c r="AU25" s="126" t="str">
        <f>IF('Finalterm OVPAA-F-INS-055A RAW '!AU25="","",'Finalterm OVPAA-F-INS-055A RAW '!AU25/'Finalterm OVPAA-F-INS-055A RAW '!AU$17*100)</f>
        <v/>
      </c>
      <c r="AV25" s="126" t="str">
        <f>IF('Finalterm OVPAA-F-INS-055A RAW '!AV25="","",'Finalterm OVPAA-F-INS-055A RAW '!AV25/'Finalterm OVPAA-F-INS-055A RAW '!AV$17*100)</f>
        <v/>
      </c>
      <c r="AW25" s="126" t="str">
        <f>IF('Finalterm OVPAA-F-INS-055A RAW '!AW25="","",'Finalterm OVPAA-F-INS-055A RAW '!AW25/'Finalterm OVPAA-F-INS-055A RAW '!AW$17*100)</f>
        <v/>
      </c>
      <c r="AX25" s="126" t="str">
        <f>IF('Finalterm OVPAA-F-INS-055A RAW '!AX25="","",'Finalterm OVPAA-F-INS-055A RAW '!AX25/'Finalterm OVPAA-F-INS-055A RAW '!AX$17*100)</f>
        <v/>
      </c>
      <c r="AY25" s="126" t="str">
        <f>IF('Finalterm OVPAA-F-INS-055A RAW '!AY25="","",'Finalterm OVPAA-F-INS-055A RAW '!AY25/'Finalterm OVPAA-F-INS-055A RAW '!AY$17*100)</f>
        <v/>
      </c>
      <c r="AZ25" s="126" t="str">
        <f>IF('Finalterm OVPAA-F-INS-055A RAW '!AZ25="","",'Finalterm OVPAA-F-INS-055A RAW '!AZ25/'Finalterm OVPAA-F-INS-055A RAW '!AZ$17*100)</f>
        <v/>
      </c>
      <c r="BA25" s="126" t="str">
        <f>IF('Finalterm OVPAA-F-INS-055A RAW '!BA25="","",'Finalterm OVPAA-F-INS-055A RAW '!BA25/'Finalterm OVPAA-F-INS-055A RAW '!BA$17*100)</f>
        <v/>
      </c>
      <c r="BB25" s="126" t="str">
        <f>IF('Finalterm OVPAA-F-INS-055A RAW '!BB25="","",'Finalterm OVPAA-F-INS-055A RAW '!BB25/'Finalterm OVPAA-F-INS-055A RAW '!BB$17*100)</f>
        <v/>
      </c>
      <c r="BC25" s="126" t="str">
        <f>IF('Finalterm OVPAA-F-INS-055A RAW '!BC25="","",'Finalterm OVPAA-F-INS-055A RAW '!BC25/'Finalterm OVPAA-F-INS-055A RAW '!BC$17*100)</f>
        <v/>
      </c>
      <c r="BD25" s="126" t="str">
        <f>IF('Finalterm OVPAA-F-INS-055A RAW '!BD25="","",'Finalterm OVPAA-F-INS-055A RAW '!BD25/'Finalterm OVPAA-F-INS-055A RAW '!BD$17*100)</f>
        <v/>
      </c>
      <c r="BE25" s="126" t="str">
        <f>IF('Finalterm OVPAA-F-INS-055A RAW '!BE25="","",'Finalterm OVPAA-F-INS-055A RAW '!BE25/'Finalterm OVPAA-F-INS-055A RAW '!BE$17*100)</f>
        <v/>
      </c>
      <c r="BF25" s="126" t="str">
        <f>IF('Finalterm OVPAA-F-INS-055A RAW '!BF25="","",'Finalterm OVPAA-F-INS-055A RAW '!BF25/'Finalterm OVPAA-F-INS-055A RAW '!BF$17*100)</f>
        <v/>
      </c>
      <c r="BG25" s="126" t="str">
        <f>IF('Finalterm OVPAA-F-INS-055A RAW '!BG25="","",'Finalterm OVPAA-F-INS-055A RAW '!BG25/'Finalterm OVPAA-F-INS-055A RAW '!BG$17*100)</f>
        <v/>
      </c>
      <c r="BH25" s="126" t="str">
        <f>IF('Finalterm OVPAA-F-INS-055A RAW '!BH25="","",'Finalterm OVPAA-F-INS-055A RAW '!BH25/'Finalterm OVPAA-F-INS-055A RAW '!BH$17*100)</f>
        <v/>
      </c>
      <c r="BI25" s="126" t="str">
        <f>IF('Finalterm OVPAA-F-INS-055A RAW '!BI25="","",'Finalterm OVPAA-F-INS-055A RAW '!BI25/'Finalterm OVPAA-F-INS-055A RAW '!BI$17*100)</f>
        <v/>
      </c>
      <c r="BJ25" s="126" t="str">
        <f>IF('Finalterm OVPAA-F-INS-055A RAW '!BJ25="","",'Finalterm OVPAA-F-INS-055A RAW '!BJ25/'Finalterm OVPAA-F-INS-055A RAW '!BJ$17*100)</f>
        <v/>
      </c>
      <c r="BK25" s="126" t="str">
        <f>IF('Finalterm OVPAA-F-INS-055A RAW '!BK25="","",'Finalterm OVPAA-F-INS-055A RAW '!BK25/'Finalterm OVPAA-F-INS-055A RAW '!BK$17*100)</f>
        <v/>
      </c>
      <c r="BL25" s="126" t="str">
        <f>IF('Finalterm OVPAA-F-INS-055A RAW '!BL25="","",'Finalterm OVPAA-F-INS-055A RAW '!BL25/'Finalterm OVPAA-F-INS-055A RAW '!BL$17*100)</f>
        <v/>
      </c>
      <c r="BM25" s="126" t="str">
        <f>IF('Finalterm OVPAA-F-INS-055A RAW '!BM25="","",'Finalterm OVPAA-F-INS-055A RAW '!BM25/'Finalterm OVPAA-F-INS-055A RAW '!BM$17*100)</f>
        <v/>
      </c>
      <c r="BN25" s="126" t="str">
        <f>IF('Finalterm OVPAA-F-INS-055A RAW '!BN25="","",'Finalterm OVPAA-F-INS-055A RAW '!BN25/'Finalterm OVPAA-F-INS-055A RAW '!BN$17*100)</f>
        <v/>
      </c>
      <c r="BO25" s="126" t="str">
        <f>IF('Finalterm OVPAA-F-INS-055A RAW '!BO25="","",'Finalterm OVPAA-F-INS-055A RAW '!BO25/'Finalterm OVPAA-F-INS-055A RAW '!BO$17*100)</f>
        <v/>
      </c>
      <c r="BP25" s="126" t="str">
        <f>IF('Finalterm OVPAA-F-INS-055A RAW '!BP25="","",'Finalterm OVPAA-F-INS-055A RAW '!BP25/'Finalterm OVPAA-F-INS-055A RAW '!BP$17*100)</f>
        <v/>
      </c>
      <c r="BQ25" s="126" t="str">
        <f>IF('Finalterm OVPAA-F-INS-055A RAW '!BQ25="","",'Finalterm OVPAA-F-INS-055A RAW '!BQ25/'Finalterm OVPAA-F-INS-055A RAW '!BQ$17*100)</f>
        <v/>
      </c>
      <c r="BR25" s="126" t="str">
        <f>IF('Finalterm OVPAA-F-INS-055A RAW '!BR25="","",'Finalterm OVPAA-F-INS-055A RAW '!BR25/'Finalterm OVPAA-F-INS-055A RAW '!BR$17*100)</f>
        <v/>
      </c>
      <c r="BS25" s="126" t="str">
        <f>IF('Finalterm OVPAA-F-INS-055A RAW '!BS25="","",'Finalterm OVPAA-F-INS-055A RAW '!BS25/'Finalterm OVPAA-F-INS-055A RAW '!BS$17*100)</f>
        <v/>
      </c>
      <c r="BT25" s="126" t="str">
        <f>IF('Finalterm OVPAA-F-INS-055A RAW '!BT25="","",'Finalterm OVPAA-F-INS-055A RAW '!BT25/'Finalterm OVPAA-F-INS-055A RAW '!BT$17*100)</f>
        <v/>
      </c>
      <c r="BU25" s="127">
        <f t="array" ref="BU25">IF('Finalterm OVPAA-F-INS-055A RAW '!$G25="","",IF((SUMPRODUCT(--ISBLANK('Finalterm OVPAA-F-INS-055A RAW '!H25:BT25))=COLUMNS('Finalterm OVPAA-F-INS-055A RAW '!H25:BT25))=TRUE,"",(((COUNTA('Finalterm OVPAA-F-INS-055A RAW '!$H$17:$BT$17)+COUNTBLANK('Finalterm OVPAA-F-INS-055A RAW '!H25:BT25))-COLUMNS('Finalterm OVPAA-F-INS-055A RAW '!H25:BT25))*5+SUM(H25:BT25))/COUNTA('Finalterm OVPAA-F-INS-055A RAW '!$H$17:$BT$17)))</f>
        <v>72</v>
      </c>
      <c r="BV25" s="165">
        <f>IF(BU25="","",VLOOKUP(BU25,IF('Midterm OVPAA-F-INS-055A RAW SC'!$V$12=0.5,TRANSMUTATION!$C$4:$D$17,TRANSMUTATION!$G$4:$H$17),2,TRUE))</f>
        <v>2.25</v>
      </c>
      <c r="BW25" s="129">
        <f>IF('Finalterm OVPAA-F-INS-055A RAW '!BU25="","",'Finalterm OVPAA-F-INS-055A RAW '!BU25/'Finalterm OVPAA-F-INS-055A RAW '!BU$17*100)</f>
        <v>95</v>
      </c>
      <c r="BX25" s="130">
        <f>IF('Finalterm OVPAA-F-INS-055A RAW '!BV25="","",'Finalterm OVPAA-F-INS-055A RAW '!BV25/'Finalterm OVPAA-F-INS-055A RAW '!BV$17*100)</f>
        <v>0</v>
      </c>
      <c r="BY25" s="130">
        <f>IF('Finalterm OVPAA-F-INS-055A RAW '!BW25="","",'Finalterm OVPAA-F-INS-055A RAW '!BW25/'Finalterm OVPAA-F-INS-055A RAW '!BW$17*100)</f>
        <v>0</v>
      </c>
      <c r="BZ25" s="130" t="str">
        <f>IF('Finalterm OVPAA-F-INS-055A RAW '!BX25="","",'Finalterm OVPAA-F-INS-055A RAW '!BX25/'Finalterm OVPAA-F-INS-055A RAW '!BX$17*100)</f>
        <v/>
      </c>
      <c r="CA25" s="130" t="str">
        <f>IF('Finalterm OVPAA-F-INS-055A RAW '!BY25="","",'Finalterm OVPAA-F-INS-055A RAW '!BY25/'Finalterm OVPAA-F-INS-055A RAW '!BY$17*100)</f>
        <v/>
      </c>
      <c r="CB25" s="130" t="str">
        <f>IF('Finalterm OVPAA-F-INS-055A RAW '!BZ25="","",'Finalterm OVPAA-F-INS-055A RAW '!BZ25/'Finalterm OVPAA-F-INS-055A RAW '!BZ$17*100)</f>
        <v/>
      </c>
      <c r="CC25" s="130" t="str">
        <f>IF('Finalterm OVPAA-F-INS-055A RAW '!CA25="","",'Finalterm OVPAA-F-INS-055A RAW '!CA25/'Finalterm OVPAA-F-INS-055A RAW '!CA$17*100)</f>
        <v/>
      </c>
      <c r="CD25" s="130" t="str">
        <f>IF('Finalterm OVPAA-F-INS-055A RAW '!CB25="","",'Finalterm OVPAA-F-INS-055A RAW '!CB25/'Finalterm OVPAA-F-INS-055A RAW '!CB$17*100)</f>
        <v/>
      </c>
      <c r="CE25" s="130" t="str">
        <f>IF('Finalterm OVPAA-F-INS-055A RAW '!CC25="","",'Finalterm OVPAA-F-INS-055A RAW '!CC25/'Finalterm OVPAA-F-INS-055A RAW '!CC$17*100)</f>
        <v/>
      </c>
      <c r="CF25" s="130" t="str">
        <f>IF('Finalterm OVPAA-F-INS-055A RAW '!CD25="","",'Finalterm OVPAA-F-INS-055A RAW '!CD25/'Finalterm OVPAA-F-INS-055A RAW '!CD$17*100)</f>
        <v/>
      </c>
      <c r="CG25" s="130" t="str">
        <f>IF('Finalterm OVPAA-F-INS-055A RAW '!CE25="","",'Finalterm OVPAA-F-INS-055A RAW '!CE25/'Finalterm OVPAA-F-INS-055A RAW '!CE$17*100)</f>
        <v/>
      </c>
      <c r="CH25" s="130" t="str">
        <f>IF('Finalterm OVPAA-F-INS-055A RAW '!CF25="","",'Finalterm OVPAA-F-INS-055A RAW '!CF25/'Finalterm OVPAA-F-INS-055A RAW '!CF$17*100)</f>
        <v/>
      </c>
      <c r="CI25" s="130" t="str">
        <f>IF('Finalterm OVPAA-F-INS-055A RAW '!CG25="","",'Finalterm OVPAA-F-INS-055A RAW '!CG25/'Finalterm OVPAA-F-INS-055A RAW '!CG$17*100)</f>
        <v/>
      </c>
      <c r="CJ25" s="130" t="str">
        <f>IF('Finalterm OVPAA-F-INS-055A RAW '!CH25="","",'Finalterm OVPAA-F-INS-055A RAW '!CH25/'Finalterm OVPAA-F-INS-055A RAW '!CH$17*100)</f>
        <v/>
      </c>
      <c r="CK25" s="130" t="str">
        <f>IF('Finalterm OVPAA-F-INS-055A RAW '!CI25="","",'Finalterm OVPAA-F-INS-055A RAW '!CI25/'Finalterm OVPAA-F-INS-055A RAW '!CI$17*100)</f>
        <v/>
      </c>
      <c r="CL25" s="130" t="str">
        <f>IF('Finalterm OVPAA-F-INS-055A RAW '!CJ25="","",'Finalterm OVPAA-F-INS-055A RAW '!CJ25/'Finalterm OVPAA-F-INS-055A RAW '!CJ$17*100)</f>
        <v/>
      </c>
      <c r="CM25" s="130" t="str">
        <f>IF('Finalterm OVPAA-F-INS-055A RAW '!CK25="","",'Finalterm OVPAA-F-INS-055A RAW '!CK25/'Finalterm OVPAA-F-INS-055A RAW '!CK$17*100)</f>
        <v/>
      </c>
      <c r="CN25" s="130" t="str">
        <f>IF('Finalterm OVPAA-F-INS-055A RAW '!CL25="","",'Finalterm OVPAA-F-INS-055A RAW '!CL25/'Finalterm OVPAA-F-INS-055A RAW '!CL$17*100)</f>
        <v/>
      </c>
      <c r="CO25" s="130" t="str">
        <f>IF('Finalterm OVPAA-F-INS-055A RAW '!CM25="","",'Finalterm OVPAA-F-INS-055A RAW '!CM25/'Finalterm OVPAA-F-INS-055A RAW '!CM$17*100)</f>
        <v/>
      </c>
      <c r="CP25" s="130" t="str">
        <f>IF('Finalterm OVPAA-F-INS-055A RAW '!CN25="","",'Finalterm OVPAA-F-INS-055A RAW '!CN25/'Finalterm OVPAA-F-INS-055A RAW '!CN$17*100)</f>
        <v/>
      </c>
      <c r="CQ25" s="131">
        <f t="array" ref="CQ25">IF('Midterm OVPAA-F-INS-055A RAW SC'!G25="","",IF((SUMPRODUCT(--ISBLANK('Finalterm OVPAA-F-INS-055A RAW '!BU25:CN25))=COLUMNS('Finalterm OVPAA-F-INS-055A RAW '!BU25:CN25))=TRUE,"",(((COUNTA('Finalterm OVPAA-F-INS-055A RAW '!$BU$17:$CN$17)+COUNTBLANK('Finalterm OVPAA-F-INS-055A RAW '!BU25:CN25))-COLUMNS('Finalterm OVPAA-F-INS-055A RAW '!BU25:CN25))*5+SUM(BW25:CP25))/COUNTA('Finalterm OVPAA-F-INS-055A RAW '!$BU$17:$CN$17)))</f>
        <v>31.666666666666668</v>
      </c>
      <c r="CR25" s="132">
        <f>IF(CQ25="","",VLOOKUP(CQ25,IF('Midterm OVPAA-F-INS-055A RAW SC'!$V$12=0.5,TRANSMUTATION!$C$4:$D$17,TRANSMUTATION!$G$4:$H$17),2,TRUE))</f>
        <v>4</v>
      </c>
      <c r="CS25" s="133">
        <f>IF('Finalterm OVPAA-F-INS-055A RAW '!CO25="","",'Finalterm OVPAA-F-INS-055A RAW '!CO25/'Finalterm OVPAA-F-INS-055A RAW '!CO$17*100)</f>
        <v>100</v>
      </c>
      <c r="CT25" s="133">
        <f>IF('Finalterm OVPAA-F-INS-055A RAW '!CP25="","",'Finalterm OVPAA-F-INS-055A RAW '!CP25/'Finalterm OVPAA-F-INS-055A RAW '!CP$17*100)</f>
        <v>91.25</v>
      </c>
      <c r="CU25" s="133" t="str">
        <f>IF('Finalterm OVPAA-F-INS-055A RAW '!CQ25="","",'Finalterm OVPAA-F-INS-055A RAW '!CQ25/'Finalterm OVPAA-F-INS-055A RAW '!CQ$17*100)</f>
        <v/>
      </c>
      <c r="CV25" s="133" t="str">
        <f>IF('Finalterm OVPAA-F-INS-055A RAW '!CR25="","",'Finalterm OVPAA-F-INS-055A RAW '!CR25/'Finalterm OVPAA-F-INS-055A RAW '!CR$17*100)</f>
        <v/>
      </c>
      <c r="CW25" s="133" t="str">
        <f>IF('Finalterm OVPAA-F-INS-055A RAW '!CS25="","",'Finalterm OVPAA-F-INS-055A RAW '!CS25/'Finalterm OVPAA-F-INS-055A RAW '!CS$17*100)</f>
        <v/>
      </c>
      <c r="CX25" s="133" t="str">
        <f>IF('Finalterm OVPAA-F-INS-055A RAW '!CT25="","",'Finalterm OVPAA-F-INS-055A RAW '!CT25/'Finalterm OVPAA-F-INS-055A RAW '!CT$17*100)</f>
        <v/>
      </c>
      <c r="CY25" s="133" t="str">
        <f>IF('Finalterm OVPAA-F-INS-055A RAW '!CU25="","",'Finalterm OVPAA-F-INS-055A RAW '!CU25/'Finalterm OVPAA-F-INS-055A RAW '!CU$17*100)</f>
        <v/>
      </c>
      <c r="CZ25" s="133" t="str">
        <f>IF('Finalterm OVPAA-F-INS-055A RAW '!CV25="","",'Finalterm OVPAA-F-INS-055A RAW '!CV25/'Finalterm OVPAA-F-INS-055A RAW '!CV$17*100)</f>
        <v/>
      </c>
      <c r="DA25" s="133" t="str">
        <f>IF('Finalterm OVPAA-F-INS-055A RAW '!CW25="","",'Finalterm OVPAA-F-INS-055A RAW '!CW25/'Finalterm OVPAA-F-INS-055A RAW '!CW$17*100)</f>
        <v/>
      </c>
      <c r="DB25" s="133" t="str">
        <f>IF('Finalterm OVPAA-F-INS-055A RAW '!CX25="","",'Finalterm OVPAA-F-INS-055A RAW '!CX25/'Finalterm OVPAA-F-INS-055A RAW '!CX$17*100)</f>
        <v/>
      </c>
      <c r="DC25" s="134">
        <f t="array" ref="DC25">IF('Midterm OVPAA-F-INS-055A RAW SC'!$G25="","",IF((SUMPRODUCT(--ISBLANK('Finalterm OVPAA-F-INS-055A RAW '!CO25:CX25))=COLUMNS('Finalterm OVPAA-F-INS-055A RAW '!CO25:CX25))=TRUE,"",(((COUNTA('Finalterm OVPAA-F-INS-055A RAW '!$CO$17:$CX$17)+COUNTBLANK('Finalterm OVPAA-F-INS-055A RAW '!CO25:CX25))-COLUMNS('Finalterm OVPAA-F-INS-055A RAW '!CO25:CX25))*5+SUM(CS25:DB25))/COUNTA('Finalterm OVPAA-F-INS-055A RAW '!$CO$17:$CX$17)))</f>
        <v>95.625</v>
      </c>
      <c r="DD25" s="135">
        <f>IF(DC25="","",VLOOKUP(DC25,IF('Midterm OVPAA-F-INS-055A RAW SC'!$V$12=0.5,TRANSMUTATION!$C$4:$D$17,TRANSMUTATION!$G$4:$H$17),2,TRUE))</f>
        <v>1.25</v>
      </c>
      <c r="DE25" s="136">
        <f t="shared" si="1"/>
        <v>0.67499999999999993</v>
      </c>
      <c r="DF25" s="166">
        <f t="shared" si="2"/>
        <v>1.2</v>
      </c>
      <c r="DG25" s="167">
        <f t="shared" si="3"/>
        <v>0.5</v>
      </c>
      <c r="DH25" s="168">
        <f t="shared" si="4"/>
        <v>2.375</v>
      </c>
      <c r="DI25" s="169" t="str">
        <f t="shared" si="5"/>
        <v>2.25</v>
      </c>
    </row>
    <row r="26" spans="5:113" ht="15.75" customHeight="1">
      <c r="E26" s="59">
        <v>9</v>
      </c>
      <c r="F26" s="124">
        <f>IF(NOT(ISBLANK('Midterm OVPAA-F-INS-055A RAW SC'!F26)),'Midterm OVPAA-F-INS-055A RAW SC'!F26,"")</f>
        <v>17</v>
      </c>
      <c r="G26" s="125" t="str">
        <f>IF(NOT(ISBLANK('Midterm OVPAA-F-INS-055A RAW SC'!G26)),'Midterm OVPAA-F-INS-055A RAW SC'!G26,"")</f>
        <v>Lintawahan, Maria Elisabeth</v>
      </c>
      <c r="H26" s="126">
        <f>IF('Finalterm OVPAA-F-INS-055A RAW '!H26="","",'Finalterm OVPAA-F-INS-055A RAW '!H26/'Finalterm OVPAA-F-INS-055A RAW '!H$17*100)</f>
        <v>0</v>
      </c>
      <c r="I26" s="126">
        <f>IF('Finalterm OVPAA-F-INS-055A RAW '!I26="","",'Finalterm OVPAA-F-INS-055A RAW '!I26/'Finalterm OVPAA-F-INS-055A RAW '!I$17*100)</f>
        <v>0</v>
      </c>
      <c r="J26" s="126">
        <f>IF('Finalterm OVPAA-F-INS-055A RAW '!J26="","",'Finalterm OVPAA-F-INS-055A RAW '!J26/'Finalterm OVPAA-F-INS-055A RAW '!J$17*100)</f>
        <v>0</v>
      </c>
      <c r="K26" s="126">
        <f>IF('Finalterm OVPAA-F-INS-055A RAW '!K26="","",'Finalterm OVPAA-F-INS-055A RAW '!K26/'Finalterm OVPAA-F-INS-055A RAW '!K$17*100)</f>
        <v>0</v>
      </c>
      <c r="L26" s="126">
        <f>IF('Finalterm OVPAA-F-INS-055A RAW '!L26="","",'Finalterm OVPAA-F-INS-055A RAW '!L26/'Finalterm OVPAA-F-INS-055A RAW '!L$17*100)</f>
        <v>0</v>
      </c>
      <c r="M26" s="126" t="str">
        <f>IF('Finalterm OVPAA-F-INS-055A RAW '!M26="","",'Finalterm OVPAA-F-INS-055A RAW '!M26/'Finalterm OVPAA-F-INS-055A RAW '!M$17*100)</f>
        <v/>
      </c>
      <c r="N26" s="126" t="str">
        <f>IF('Finalterm OVPAA-F-INS-055A RAW '!N26="","",'Finalterm OVPAA-F-INS-055A RAW '!N26/'Finalterm OVPAA-F-INS-055A RAW '!N$17*100)</f>
        <v/>
      </c>
      <c r="O26" s="126" t="str">
        <f>IF('Finalterm OVPAA-F-INS-055A RAW '!O26="","",'Finalterm OVPAA-F-INS-055A RAW '!O26/'Finalterm OVPAA-F-INS-055A RAW '!O$17*100)</f>
        <v/>
      </c>
      <c r="P26" s="126" t="str">
        <f>IF('Finalterm OVPAA-F-INS-055A RAW '!P26="","",'Finalterm OVPAA-F-INS-055A RAW '!P26/'Finalterm OVPAA-F-INS-055A RAW '!P$17*100)</f>
        <v/>
      </c>
      <c r="Q26" s="126" t="str">
        <f>IF('Finalterm OVPAA-F-INS-055A RAW '!Q26="","",'Finalterm OVPAA-F-INS-055A RAW '!Q26/'Finalterm OVPAA-F-INS-055A RAW '!Q$17*100)</f>
        <v/>
      </c>
      <c r="R26" s="126" t="str">
        <f>IF('Finalterm OVPAA-F-INS-055A RAW '!R26="","",'Finalterm OVPAA-F-INS-055A RAW '!R26/'Finalterm OVPAA-F-INS-055A RAW '!R$17*100)</f>
        <v/>
      </c>
      <c r="S26" s="126" t="str">
        <f>IF('Finalterm OVPAA-F-INS-055A RAW '!S26="","",'Finalterm OVPAA-F-INS-055A RAW '!S26/'Finalterm OVPAA-F-INS-055A RAW '!S$17*100)</f>
        <v/>
      </c>
      <c r="T26" s="126" t="str">
        <f>IF('Finalterm OVPAA-F-INS-055A RAW '!T26="","",'Finalterm OVPAA-F-INS-055A RAW '!T26/'Finalterm OVPAA-F-INS-055A RAW '!T$17*100)</f>
        <v/>
      </c>
      <c r="U26" s="126" t="str">
        <f>IF('Finalterm OVPAA-F-INS-055A RAW '!U26="","",'Finalterm OVPAA-F-INS-055A RAW '!U26/'Finalterm OVPAA-F-INS-055A RAW '!U$17*100)</f>
        <v/>
      </c>
      <c r="V26" s="126" t="str">
        <f>IF('Finalterm OVPAA-F-INS-055A RAW '!V26="","",'Finalterm OVPAA-F-INS-055A RAW '!V26/'Finalterm OVPAA-F-INS-055A RAW '!V$17*100)</f>
        <v/>
      </c>
      <c r="W26" s="126" t="str">
        <f>IF('Finalterm OVPAA-F-INS-055A RAW '!W26="","",'Finalterm OVPAA-F-INS-055A RAW '!W26/'Finalterm OVPAA-F-INS-055A RAW '!W$17*100)</f>
        <v/>
      </c>
      <c r="X26" s="126" t="str">
        <f>IF('Finalterm OVPAA-F-INS-055A RAW '!X26="","",'Finalterm OVPAA-F-INS-055A RAW '!X26/'Finalterm OVPAA-F-INS-055A RAW '!X$17*100)</f>
        <v/>
      </c>
      <c r="Y26" s="126" t="str">
        <f>IF('Finalterm OVPAA-F-INS-055A RAW '!Y26="","",'Finalterm OVPAA-F-INS-055A RAW '!Y26/'Finalterm OVPAA-F-INS-055A RAW '!Y$17*100)</f>
        <v/>
      </c>
      <c r="Z26" s="126" t="str">
        <f>IF('Finalterm OVPAA-F-INS-055A RAW '!Z26="","",'Finalterm OVPAA-F-INS-055A RAW '!Z26/'Finalterm OVPAA-F-INS-055A RAW '!Z$17*100)</f>
        <v/>
      </c>
      <c r="AA26" s="126" t="str">
        <f>IF('Finalterm OVPAA-F-INS-055A RAW '!AA26="","",'Finalterm OVPAA-F-INS-055A RAW '!AA26/'Finalterm OVPAA-F-INS-055A RAW '!AA$17*100)</f>
        <v/>
      </c>
      <c r="AB26" s="126" t="str">
        <f>IF('Finalterm OVPAA-F-INS-055A RAW '!AB26="","",'Finalterm OVPAA-F-INS-055A RAW '!AB26/'Finalterm OVPAA-F-INS-055A RAW '!AB$17*100)</f>
        <v/>
      </c>
      <c r="AC26" s="126" t="str">
        <f>IF('Finalterm OVPAA-F-INS-055A RAW '!AC26="","",'Finalterm OVPAA-F-INS-055A RAW '!AC26/'Finalterm OVPAA-F-INS-055A RAW '!AC$17*100)</f>
        <v/>
      </c>
      <c r="AD26" s="126" t="str">
        <f>IF('Finalterm OVPAA-F-INS-055A RAW '!AD26="","",'Finalterm OVPAA-F-INS-055A RAW '!AD26/'Finalterm OVPAA-F-INS-055A RAW '!AD$17*100)</f>
        <v/>
      </c>
      <c r="AE26" s="126" t="str">
        <f>IF('Finalterm OVPAA-F-INS-055A RAW '!AE26="","",'Finalterm OVPAA-F-INS-055A RAW '!AE26/'Finalterm OVPAA-F-INS-055A RAW '!AE$17*100)</f>
        <v/>
      </c>
      <c r="AF26" s="126" t="str">
        <f>IF('Finalterm OVPAA-F-INS-055A RAW '!AF26="","",'Finalterm OVPAA-F-INS-055A RAW '!AF26/'Finalterm OVPAA-F-INS-055A RAW '!AF$17*100)</f>
        <v/>
      </c>
      <c r="AG26" s="126" t="str">
        <f>IF('Finalterm OVPAA-F-INS-055A RAW '!AG26="","",'Finalterm OVPAA-F-INS-055A RAW '!AG26/'Finalterm OVPAA-F-INS-055A RAW '!AG$17*100)</f>
        <v/>
      </c>
      <c r="AH26" s="126" t="str">
        <f>IF('Finalterm OVPAA-F-INS-055A RAW '!AH26="","",'Finalterm OVPAA-F-INS-055A RAW '!AH26/'Finalterm OVPAA-F-INS-055A RAW '!AH$17*100)</f>
        <v/>
      </c>
      <c r="AI26" s="126" t="str">
        <f>IF('Finalterm OVPAA-F-INS-055A RAW '!AI26="","",'Finalterm OVPAA-F-INS-055A RAW '!AI26/'Finalterm OVPAA-F-INS-055A RAW '!AI$17*100)</f>
        <v/>
      </c>
      <c r="AJ26" s="126" t="str">
        <f>IF('Finalterm OVPAA-F-INS-055A RAW '!AJ26="","",'Finalterm OVPAA-F-INS-055A RAW '!AJ26/'Finalterm OVPAA-F-INS-055A RAW '!AJ$17*100)</f>
        <v/>
      </c>
      <c r="AK26" s="126" t="str">
        <f>IF('Finalterm OVPAA-F-INS-055A RAW '!AK26="","",'Finalterm OVPAA-F-INS-055A RAW '!AK26/'Finalterm OVPAA-F-INS-055A RAW '!AK$17*100)</f>
        <v/>
      </c>
      <c r="AL26" s="126" t="str">
        <f>IF('Finalterm OVPAA-F-INS-055A RAW '!AL26="","",'Finalterm OVPAA-F-INS-055A RAW '!AL26/'Finalterm OVPAA-F-INS-055A RAW '!AL$17*100)</f>
        <v/>
      </c>
      <c r="AM26" s="126" t="str">
        <f>IF('Finalterm OVPAA-F-INS-055A RAW '!AM26="","",'Finalterm OVPAA-F-INS-055A RAW '!AM26/'Finalterm OVPAA-F-INS-055A RAW '!AM$17*100)</f>
        <v/>
      </c>
      <c r="AN26" s="126" t="str">
        <f>IF('Finalterm OVPAA-F-INS-055A RAW '!AN26="","",'Finalterm OVPAA-F-INS-055A RAW '!AN26/'Finalterm OVPAA-F-INS-055A RAW '!AN$17*100)</f>
        <v/>
      </c>
      <c r="AO26" s="126" t="str">
        <f>IF('Finalterm OVPAA-F-INS-055A RAW '!AO26="","",'Finalterm OVPAA-F-INS-055A RAW '!AO26/'Finalterm OVPAA-F-INS-055A RAW '!AO$17*100)</f>
        <v/>
      </c>
      <c r="AP26" s="126" t="str">
        <f>IF('Finalterm OVPAA-F-INS-055A RAW '!AP26="","",'Finalterm OVPAA-F-INS-055A RAW '!AP26/'Finalterm OVPAA-F-INS-055A RAW '!AP$17*100)</f>
        <v/>
      </c>
      <c r="AQ26" s="126" t="str">
        <f>IF('Finalterm OVPAA-F-INS-055A RAW '!AQ26="","",'Finalterm OVPAA-F-INS-055A RAW '!AQ26/'Finalterm OVPAA-F-INS-055A RAW '!AQ$17*100)</f>
        <v/>
      </c>
      <c r="AR26" s="126" t="str">
        <f>IF('Finalterm OVPAA-F-INS-055A RAW '!AR26="","",'Finalterm OVPAA-F-INS-055A RAW '!AR26/'Finalterm OVPAA-F-INS-055A RAW '!AR$17*100)</f>
        <v/>
      </c>
      <c r="AS26" s="126" t="str">
        <f>IF('Finalterm OVPAA-F-INS-055A RAW '!AS26="","",'Finalterm OVPAA-F-INS-055A RAW '!AS26/'Finalterm OVPAA-F-INS-055A RAW '!AS$17*100)</f>
        <v/>
      </c>
      <c r="AT26" s="126" t="str">
        <f>IF('Finalterm OVPAA-F-INS-055A RAW '!AT26="","",'Finalterm OVPAA-F-INS-055A RAW '!AT26/'Finalterm OVPAA-F-INS-055A RAW '!AT$17*100)</f>
        <v/>
      </c>
      <c r="AU26" s="126" t="str">
        <f>IF('Finalterm OVPAA-F-INS-055A RAW '!AU26="","",'Finalterm OVPAA-F-INS-055A RAW '!AU26/'Finalterm OVPAA-F-INS-055A RAW '!AU$17*100)</f>
        <v/>
      </c>
      <c r="AV26" s="126" t="str">
        <f>IF('Finalterm OVPAA-F-INS-055A RAW '!AV26="","",'Finalterm OVPAA-F-INS-055A RAW '!AV26/'Finalterm OVPAA-F-INS-055A RAW '!AV$17*100)</f>
        <v/>
      </c>
      <c r="AW26" s="126" t="str">
        <f>IF('Finalterm OVPAA-F-INS-055A RAW '!AW26="","",'Finalterm OVPAA-F-INS-055A RAW '!AW26/'Finalterm OVPAA-F-INS-055A RAW '!AW$17*100)</f>
        <v/>
      </c>
      <c r="AX26" s="126" t="str">
        <f>IF('Finalterm OVPAA-F-INS-055A RAW '!AX26="","",'Finalterm OVPAA-F-INS-055A RAW '!AX26/'Finalterm OVPAA-F-INS-055A RAW '!AX$17*100)</f>
        <v/>
      </c>
      <c r="AY26" s="126" t="str">
        <f>IF('Finalterm OVPAA-F-INS-055A RAW '!AY26="","",'Finalterm OVPAA-F-INS-055A RAW '!AY26/'Finalterm OVPAA-F-INS-055A RAW '!AY$17*100)</f>
        <v/>
      </c>
      <c r="AZ26" s="126" t="str">
        <f>IF('Finalterm OVPAA-F-INS-055A RAW '!AZ26="","",'Finalterm OVPAA-F-INS-055A RAW '!AZ26/'Finalterm OVPAA-F-INS-055A RAW '!AZ$17*100)</f>
        <v/>
      </c>
      <c r="BA26" s="126" t="str">
        <f>IF('Finalterm OVPAA-F-INS-055A RAW '!BA26="","",'Finalterm OVPAA-F-INS-055A RAW '!BA26/'Finalterm OVPAA-F-INS-055A RAW '!BA$17*100)</f>
        <v/>
      </c>
      <c r="BB26" s="126" t="str">
        <f>IF('Finalterm OVPAA-F-INS-055A RAW '!BB26="","",'Finalterm OVPAA-F-INS-055A RAW '!BB26/'Finalterm OVPAA-F-INS-055A RAW '!BB$17*100)</f>
        <v/>
      </c>
      <c r="BC26" s="126" t="str">
        <f>IF('Finalterm OVPAA-F-INS-055A RAW '!BC26="","",'Finalterm OVPAA-F-INS-055A RAW '!BC26/'Finalterm OVPAA-F-INS-055A RAW '!BC$17*100)</f>
        <v/>
      </c>
      <c r="BD26" s="126" t="str">
        <f>IF('Finalterm OVPAA-F-INS-055A RAW '!BD26="","",'Finalterm OVPAA-F-INS-055A RAW '!BD26/'Finalterm OVPAA-F-INS-055A RAW '!BD$17*100)</f>
        <v/>
      </c>
      <c r="BE26" s="126" t="str">
        <f>IF('Finalterm OVPAA-F-INS-055A RAW '!BE26="","",'Finalterm OVPAA-F-INS-055A RAW '!BE26/'Finalterm OVPAA-F-INS-055A RAW '!BE$17*100)</f>
        <v/>
      </c>
      <c r="BF26" s="126" t="str">
        <f>IF('Finalterm OVPAA-F-INS-055A RAW '!BF26="","",'Finalterm OVPAA-F-INS-055A RAW '!BF26/'Finalterm OVPAA-F-INS-055A RAW '!BF$17*100)</f>
        <v/>
      </c>
      <c r="BG26" s="126" t="str">
        <f>IF('Finalterm OVPAA-F-INS-055A RAW '!BG26="","",'Finalterm OVPAA-F-INS-055A RAW '!BG26/'Finalterm OVPAA-F-INS-055A RAW '!BG$17*100)</f>
        <v/>
      </c>
      <c r="BH26" s="126" t="str">
        <f>IF('Finalterm OVPAA-F-INS-055A RAW '!BH26="","",'Finalterm OVPAA-F-INS-055A RAW '!BH26/'Finalterm OVPAA-F-INS-055A RAW '!BH$17*100)</f>
        <v/>
      </c>
      <c r="BI26" s="126" t="str">
        <f>IF('Finalterm OVPAA-F-INS-055A RAW '!BI26="","",'Finalterm OVPAA-F-INS-055A RAW '!BI26/'Finalterm OVPAA-F-INS-055A RAW '!BI$17*100)</f>
        <v/>
      </c>
      <c r="BJ26" s="126" t="str">
        <f>IF('Finalterm OVPAA-F-INS-055A RAW '!BJ26="","",'Finalterm OVPAA-F-INS-055A RAW '!BJ26/'Finalterm OVPAA-F-INS-055A RAW '!BJ$17*100)</f>
        <v/>
      </c>
      <c r="BK26" s="126" t="str">
        <f>IF('Finalterm OVPAA-F-INS-055A RAW '!BK26="","",'Finalterm OVPAA-F-INS-055A RAW '!BK26/'Finalterm OVPAA-F-INS-055A RAW '!BK$17*100)</f>
        <v/>
      </c>
      <c r="BL26" s="126" t="str">
        <f>IF('Finalterm OVPAA-F-INS-055A RAW '!BL26="","",'Finalterm OVPAA-F-INS-055A RAW '!BL26/'Finalterm OVPAA-F-INS-055A RAW '!BL$17*100)</f>
        <v/>
      </c>
      <c r="BM26" s="126" t="str">
        <f>IF('Finalterm OVPAA-F-INS-055A RAW '!BM26="","",'Finalterm OVPAA-F-INS-055A RAW '!BM26/'Finalterm OVPAA-F-INS-055A RAW '!BM$17*100)</f>
        <v/>
      </c>
      <c r="BN26" s="126" t="str">
        <f>IF('Finalterm OVPAA-F-INS-055A RAW '!BN26="","",'Finalterm OVPAA-F-INS-055A RAW '!BN26/'Finalterm OVPAA-F-INS-055A RAW '!BN$17*100)</f>
        <v/>
      </c>
      <c r="BO26" s="126" t="str">
        <f>IF('Finalterm OVPAA-F-INS-055A RAW '!BO26="","",'Finalterm OVPAA-F-INS-055A RAW '!BO26/'Finalterm OVPAA-F-INS-055A RAW '!BO$17*100)</f>
        <v/>
      </c>
      <c r="BP26" s="126" t="str">
        <f>IF('Finalterm OVPAA-F-INS-055A RAW '!BP26="","",'Finalterm OVPAA-F-INS-055A RAW '!BP26/'Finalterm OVPAA-F-INS-055A RAW '!BP$17*100)</f>
        <v/>
      </c>
      <c r="BQ26" s="126" t="str">
        <f>IF('Finalterm OVPAA-F-INS-055A RAW '!BQ26="","",'Finalterm OVPAA-F-INS-055A RAW '!BQ26/'Finalterm OVPAA-F-INS-055A RAW '!BQ$17*100)</f>
        <v/>
      </c>
      <c r="BR26" s="126" t="str">
        <f>IF('Finalterm OVPAA-F-INS-055A RAW '!BR26="","",'Finalterm OVPAA-F-INS-055A RAW '!BR26/'Finalterm OVPAA-F-INS-055A RAW '!BR$17*100)</f>
        <v/>
      </c>
      <c r="BS26" s="126" t="str">
        <f>IF('Finalterm OVPAA-F-INS-055A RAW '!BS26="","",'Finalterm OVPAA-F-INS-055A RAW '!BS26/'Finalterm OVPAA-F-INS-055A RAW '!BS$17*100)</f>
        <v/>
      </c>
      <c r="BT26" s="126" t="str">
        <f>IF('Finalterm OVPAA-F-INS-055A RAW '!BT26="","",'Finalterm OVPAA-F-INS-055A RAW '!BT26/'Finalterm OVPAA-F-INS-055A RAW '!BT$17*100)</f>
        <v/>
      </c>
      <c r="BU26" s="127">
        <f t="array" ref="BU26">IF('Finalterm OVPAA-F-INS-055A RAW '!$G26="","",IF((SUMPRODUCT(--ISBLANK('Finalterm OVPAA-F-INS-055A RAW '!H26:BT26))=COLUMNS('Finalterm OVPAA-F-INS-055A RAW '!H26:BT26))=TRUE,"",(((COUNTA('Finalterm OVPAA-F-INS-055A RAW '!$H$17:$BT$17)+COUNTBLANK('Finalterm OVPAA-F-INS-055A RAW '!H26:BT26))-COLUMNS('Finalterm OVPAA-F-INS-055A RAW '!H26:BT26))*5+SUM(H26:BT26))/COUNTA('Finalterm OVPAA-F-INS-055A RAW '!$H$17:$BT$17)))</f>
        <v>0</v>
      </c>
      <c r="BV26" s="165">
        <f>IF(BU26="","",VLOOKUP(BU26,IF('Midterm OVPAA-F-INS-055A RAW SC'!$V$12=0.5,TRANSMUTATION!$C$4:$D$17,TRANSMUTATION!$G$4:$H$17),2,TRUE))</f>
        <v>5</v>
      </c>
      <c r="BW26" s="129">
        <f>IF('Finalterm OVPAA-F-INS-055A RAW '!BU26="","",'Finalterm OVPAA-F-INS-055A RAW '!BU26/'Finalterm OVPAA-F-INS-055A RAW '!BU$17*100)</f>
        <v>20</v>
      </c>
      <c r="BX26" s="130">
        <f>IF('Finalterm OVPAA-F-INS-055A RAW '!BV26="","",'Finalterm OVPAA-F-INS-055A RAW '!BV26/'Finalterm OVPAA-F-INS-055A RAW '!BV$17*100)</f>
        <v>50</v>
      </c>
      <c r="BY26" s="130">
        <f>IF('Finalterm OVPAA-F-INS-055A RAW '!BW26="","",'Finalterm OVPAA-F-INS-055A RAW '!BW26/'Finalterm OVPAA-F-INS-055A RAW '!BW$17*100)</f>
        <v>0</v>
      </c>
      <c r="BZ26" s="130" t="str">
        <f>IF('Finalterm OVPAA-F-INS-055A RAW '!BX26="","",'Finalterm OVPAA-F-INS-055A RAW '!BX26/'Finalterm OVPAA-F-INS-055A RAW '!BX$17*100)</f>
        <v/>
      </c>
      <c r="CA26" s="130" t="str">
        <f>IF('Finalterm OVPAA-F-INS-055A RAW '!BY26="","",'Finalterm OVPAA-F-INS-055A RAW '!BY26/'Finalterm OVPAA-F-INS-055A RAW '!BY$17*100)</f>
        <v/>
      </c>
      <c r="CB26" s="130" t="str">
        <f>IF('Finalterm OVPAA-F-INS-055A RAW '!BZ26="","",'Finalterm OVPAA-F-INS-055A RAW '!BZ26/'Finalterm OVPAA-F-INS-055A RAW '!BZ$17*100)</f>
        <v/>
      </c>
      <c r="CC26" s="130" t="str">
        <f>IF('Finalterm OVPAA-F-INS-055A RAW '!CA26="","",'Finalterm OVPAA-F-INS-055A RAW '!CA26/'Finalterm OVPAA-F-INS-055A RAW '!CA$17*100)</f>
        <v/>
      </c>
      <c r="CD26" s="130" t="str">
        <f>IF('Finalterm OVPAA-F-INS-055A RAW '!CB26="","",'Finalterm OVPAA-F-INS-055A RAW '!CB26/'Finalterm OVPAA-F-INS-055A RAW '!CB$17*100)</f>
        <v/>
      </c>
      <c r="CE26" s="130" t="str">
        <f>IF('Finalterm OVPAA-F-INS-055A RAW '!CC26="","",'Finalterm OVPAA-F-INS-055A RAW '!CC26/'Finalterm OVPAA-F-INS-055A RAW '!CC$17*100)</f>
        <v/>
      </c>
      <c r="CF26" s="130" t="str">
        <f>IF('Finalterm OVPAA-F-INS-055A RAW '!CD26="","",'Finalterm OVPAA-F-INS-055A RAW '!CD26/'Finalterm OVPAA-F-INS-055A RAW '!CD$17*100)</f>
        <v/>
      </c>
      <c r="CG26" s="130" t="str">
        <f>IF('Finalterm OVPAA-F-INS-055A RAW '!CE26="","",'Finalterm OVPAA-F-INS-055A RAW '!CE26/'Finalterm OVPAA-F-INS-055A RAW '!CE$17*100)</f>
        <v/>
      </c>
      <c r="CH26" s="130" t="str">
        <f>IF('Finalterm OVPAA-F-INS-055A RAW '!CF26="","",'Finalterm OVPAA-F-INS-055A RAW '!CF26/'Finalterm OVPAA-F-INS-055A RAW '!CF$17*100)</f>
        <v/>
      </c>
      <c r="CI26" s="130" t="str">
        <f>IF('Finalterm OVPAA-F-INS-055A RAW '!CG26="","",'Finalterm OVPAA-F-INS-055A RAW '!CG26/'Finalterm OVPAA-F-INS-055A RAW '!CG$17*100)</f>
        <v/>
      </c>
      <c r="CJ26" s="130" t="str">
        <f>IF('Finalterm OVPAA-F-INS-055A RAW '!CH26="","",'Finalterm OVPAA-F-INS-055A RAW '!CH26/'Finalterm OVPAA-F-INS-055A RAW '!CH$17*100)</f>
        <v/>
      </c>
      <c r="CK26" s="130" t="str">
        <f>IF('Finalterm OVPAA-F-INS-055A RAW '!CI26="","",'Finalterm OVPAA-F-INS-055A RAW '!CI26/'Finalterm OVPAA-F-INS-055A RAW '!CI$17*100)</f>
        <v/>
      </c>
      <c r="CL26" s="130" t="str">
        <f>IF('Finalterm OVPAA-F-INS-055A RAW '!CJ26="","",'Finalterm OVPAA-F-INS-055A RAW '!CJ26/'Finalterm OVPAA-F-INS-055A RAW '!CJ$17*100)</f>
        <v/>
      </c>
      <c r="CM26" s="130" t="str">
        <f>IF('Finalterm OVPAA-F-INS-055A RAW '!CK26="","",'Finalterm OVPAA-F-INS-055A RAW '!CK26/'Finalterm OVPAA-F-INS-055A RAW '!CK$17*100)</f>
        <v/>
      </c>
      <c r="CN26" s="130" t="str">
        <f>IF('Finalterm OVPAA-F-INS-055A RAW '!CL26="","",'Finalterm OVPAA-F-INS-055A RAW '!CL26/'Finalterm OVPAA-F-INS-055A RAW '!CL$17*100)</f>
        <v/>
      </c>
      <c r="CO26" s="130" t="str">
        <f>IF('Finalterm OVPAA-F-INS-055A RAW '!CM26="","",'Finalterm OVPAA-F-INS-055A RAW '!CM26/'Finalterm OVPAA-F-INS-055A RAW '!CM$17*100)</f>
        <v/>
      </c>
      <c r="CP26" s="130" t="str">
        <f>IF('Finalterm OVPAA-F-INS-055A RAW '!CN26="","",'Finalterm OVPAA-F-INS-055A RAW '!CN26/'Finalterm OVPAA-F-INS-055A RAW '!CN$17*100)</f>
        <v/>
      </c>
      <c r="CQ26" s="131">
        <f t="array" ref="CQ26">IF('Midterm OVPAA-F-INS-055A RAW SC'!G26="","",IF((SUMPRODUCT(--ISBLANK('Finalterm OVPAA-F-INS-055A RAW '!BU26:CN26))=COLUMNS('Finalterm OVPAA-F-INS-055A RAW '!BU26:CN26))=TRUE,"",(((COUNTA('Finalterm OVPAA-F-INS-055A RAW '!$BU$17:$CN$17)+COUNTBLANK('Finalterm OVPAA-F-INS-055A RAW '!BU26:CN26))-COLUMNS('Finalterm OVPAA-F-INS-055A RAW '!BU26:CN26))*5+SUM(BW26:CP26))/COUNTA('Finalterm OVPAA-F-INS-055A RAW '!$BU$17:$CN$17)))</f>
        <v>23.333333333333332</v>
      </c>
      <c r="CR26" s="132">
        <f>IF(CQ26="","",VLOOKUP(CQ26,IF('Midterm OVPAA-F-INS-055A RAW SC'!$V$12=0.5,TRANSMUTATION!$C$4:$D$17,TRANSMUTATION!$G$4:$H$17),2,TRUE))</f>
        <v>5</v>
      </c>
      <c r="CS26" s="133">
        <f>IF('Finalterm OVPAA-F-INS-055A RAW '!CO26="","",'Finalterm OVPAA-F-INS-055A RAW '!CO26/'Finalterm OVPAA-F-INS-055A RAW '!CO$17*100)</f>
        <v>80</v>
      </c>
      <c r="CT26" s="133">
        <f>IF('Finalterm OVPAA-F-INS-055A RAW '!CP26="","",'Finalterm OVPAA-F-INS-055A RAW '!CP26/'Finalterm OVPAA-F-INS-055A RAW '!CP$17*100)</f>
        <v>54.500000000000007</v>
      </c>
      <c r="CU26" s="133" t="str">
        <f>IF('Finalterm OVPAA-F-INS-055A RAW '!CQ26="","",'Finalterm OVPAA-F-INS-055A RAW '!CQ26/'Finalterm OVPAA-F-INS-055A RAW '!CQ$17*100)</f>
        <v/>
      </c>
      <c r="CV26" s="133" t="str">
        <f>IF('Finalterm OVPAA-F-INS-055A RAW '!CR26="","",'Finalterm OVPAA-F-INS-055A RAW '!CR26/'Finalterm OVPAA-F-INS-055A RAW '!CR$17*100)</f>
        <v/>
      </c>
      <c r="CW26" s="133" t="str">
        <f>IF('Finalterm OVPAA-F-INS-055A RAW '!CS26="","",'Finalterm OVPAA-F-INS-055A RAW '!CS26/'Finalterm OVPAA-F-INS-055A RAW '!CS$17*100)</f>
        <v/>
      </c>
      <c r="CX26" s="133" t="str">
        <f>IF('Finalterm OVPAA-F-INS-055A RAW '!CT26="","",'Finalterm OVPAA-F-INS-055A RAW '!CT26/'Finalterm OVPAA-F-INS-055A RAW '!CT$17*100)</f>
        <v/>
      </c>
      <c r="CY26" s="133" t="str">
        <f>IF('Finalterm OVPAA-F-INS-055A RAW '!CU26="","",'Finalterm OVPAA-F-INS-055A RAW '!CU26/'Finalterm OVPAA-F-INS-055A RAW '!CU$17*100)</f>
        <v/>
      </c>
      <c r="CZ26" s="133" t="str">
        <f>IF('Finalterm OVPAA-F-INS-055A RAW '!CV26="","",'Finalterm OVPAA-F-INS-055A RAW '!CV26/'Finalterm OVPAA-F-INS-055A RAW '!CV$17*100)</f>
        <v/>
      </c>
      <c r="DA26" s="133" t="str">
        <f>IF('Finalterm OVPAA-F-INS-055A RAW '!CW26="","",'Finalterm OVPAA-F-INS-055A RAW '!CW26/'Finalterm OVPAA-F-INS-055A RAW '!CW$17*100)</f>
        <v/>
      </c>
      <c r="DB26" s="133" t="str">
        <f>IF('Finalterm OVPAA-F-INS-055A RAW '!CX26="","",'Finalterm OVPAA-F-INS-055A RAW '!CX26/'Finalterm OVPAA-F-INS-055A RAW '!CX$17*100)</f>
        <v/>
      </c>
      <c r="DC26" s="134">
        <f t="array" ref="DC26">IF('Midterm OVPAA-F-INS-055A RAW SC'!$G26="","",IF((SUMPRODUCT(--ISBLANK('Finalterm OVPAA-F-INS-055A RAW '!CO26:CX26))=COLUMNS('Finalterm OVPAA-F-INS-055A RAW '!CO26:CX26))=TRUE,"",(((COUNTA('Finalterm OVPAA-F-INS-055A RAW '!$CO$17:$CX$17)+COUNTBLANK('Finalterm OVPAA-F-INS-055A RAW '!CO26:CX26))-COLUMNS('Finalterm OVPAA-F-INS-055A RAW '!CO26:CX26))*5+SUM(CS26:DB26))/COUNTA('Finalterm OVPAA-F-INS-055A RAW '!$CO$17:$CX$17)))</f>
        <v>67.25</v>
      </c>
      <c r="DD26" s="135">
        <f>IF(DC26="","",VLOOKUP(DC26,IF('Midterm OVPAA-F-INS-055A RAW SC'!$V$12=0.5,TRANSMUTATION!$C$4:$D$17,TRANSMUTATION!$G$4:$H$17),2,TRUE))</f>
        <v>2.5</v>
      </c>
      <c r="DE26" s="136">
        <f t="shared" si="1"/>
        <v>1.5</v>
      </c>
      <c r="DF26" s="166">
        <f t="shared" si="2"/>
        <v>1.5</v>
      </c>
      <c r="DG26" s="167">
        <f t="shared" si="3"/>
        <v>1</v>
      </c>
      <c r="DH26" s="168">
        <f t="shared" si="4"/>
        <v>4</v>
      </c>
      <c r="DI26" s="169" t="str">
        <f t="shared" si="5"/>
        <v>5.00</v>
      </c>
    </row>
    <row r="27" spans="5:113" ht="15.75" customHeight="1">
      <c r="E27" s="59">
        <v>10</v>
      </c>
      <c r="F27" s="124">
        <f>IF(NOT(ISBLANK('Midterm OVPAA-F-INS-055A RAW SC'!F27)),'Midterm OVPAA-F-INS-055A RAW SC'!F27,"")</f>
        <v>18</v>
      </c>
      <c r="G27" s="125" t="str">
        <f>IF(NOT(ISBLANK('Midterm OVPAA-F-INS-055A RAW SC'!G27)),'Midterm OVPAA-F-INS-055A RAW SC'!G27,"")</f>
        <v>Lisondra, Christian Earl</v>
      </c>
      <c r="H27" s="126">
        <f>IF('Finalterm OVPAA-F-INS-055A RAW '!H27="","",'Finalterm OVPAA-F-INS-055A RAW '!H27/'Finalterm OVPAA-F-INS-055A RAW '!H$17*100)</f>
        <v>100</v>
      </c>
      <c r="I27" s="126">
        <f>IF('Finalterm OVPAA-F-INS-055A RAW '!I27="","",'Finalterm OVPAA-F-INS-055A RAW '!I27/'Finalterm OVPAA-F-INS-055A RAW '!I$17*100)</f>
        <v>100</v>
      </c>
      <c r="J27" s="126">
        <f>IF('Finalterm OVPAA-F-INS-055A RAW '!J27="","",'Finalterm OVPAA-F-INS-055A RAW '!J27/'Finalterm OVPAA-F-INS-055A RAW '!J$17*100)</f>
        <v>60</v>
      </c>
      <c r="K27" s="126">
        <f>IF('Finalterm OVPAA-F-INS-055A RAW '!K27="","",'Finalterm OVPAA-F-INS-055A RAW '!K27/'Finalterm OVPAA-F-INS-055A RAW '!K$17*100)</f>
        <v>100</v>
      </c>
      <c r="L27" s="126">
        <f>IF('Finalterm OVPAA-F-INS-055A RAW '!L27="","",'Finalterm OVPAA-F-INS-055A RAW '!L27/'Finalterm OVPAA-F-INS-055A RAW '!L$17*100)</f>
        <v>100</v>
      </c>
      <c r="M27" s="126" t="str">
        <f>IF('Finalterm OVPAA-F-INS-055A RAW '!M27="","",'Finalterm OVPAA-F-INS-055A RAW '!M27/'Finalterm OVPAA-F-INS-055A RAW '!M$17*100)</f>
        <v/>
      </c>
      <c r="N27" s="126" t="str">
        <f>IF('Finalterm OVPAA-F-INS-055A RAW '!N27="","",'Finalterm OVPAA-F-INS-055A RAW '!N27/'Finalterm OVPAA-F-INS-055A RAW '!N$17*100)</f>
        <v/>
      </c>
      <c r="O27" s="126" t="str">
        <f>IF('Finalterm OVPAA-F-INS-055A RAW '!O27="","",'Finalterm OVPAA-F-INS-055A RAW '!O27/'Finalterm OVPAA-F-INS-055A RAW '!O$17*100)</f>
        <v/>
      </c>
      <c r="P27" s="126" t="str">
        <f>IF('Finalterm OVPAA-F-INS-055A RAW '!P27="","",'Finalterm OVPAA-F-INS-055A RAW '!P27/'Finalterm OVPAA-F-INS-055A RAW '!P$17*100)</f>
        <v/>
      </c>
      <c r="Q27" s="126" t="str">
        <f>IF('Finalterm OVPAA-F-INS-055A RAW '!Q27="","",'Finalterm OVPAA-F-INS-055A RAW '!Q27/'Finalterm OVPAA-F-INS-055A RAW '!Q$17*100)</f>
        <v/>
      </c>
      <c r="R27" s="126" t="str">
        <f>IF('Finalterm OVPAA-F-INS-055A RAW '!R27="","",'Finalterm OVPAA-F-INS-055A RAW '!R27/'Finalterm OVPAA-F-INS-055A RAW '!R$17*100)</f>
        <v/>
      </c>
      <c r="S27" s="126" t="str">
        <f>IF('Finalterm OVPAA-F-INS-055A RAW '!S27="","",'Finalterm OVPAA-F-INS-055A RAW '!S27/'Finalterm OVPAA-F-INS-055A RAW '!S$17*100)</f>
        <v/>
      </c>
      <c r="T27" s="126" t="str">
        <f>IF('Finalterm OVPAA-F-INS-055A RAW '!T27="","",'Finalterm OVPAA-F-INS-055A RAW '!T27/'Finalterm OVPAA-F-INS-055A RAW '!T$17*100)</f>
        <v/>
      </c>
      <c r="U27" s="126" t="str">
        <f>IF('Finalterm OVPAA-F-INS-055A RAW '!U27="","",'Finalterm OVPAA-F-INS-055A RAW '!U27/'Finalterm OVPAA-F-INS-055A RAW '!U$17*100)</f>
        <v/>
      </c>
      <c r="V27" s="126" t="str">
        <f>IF('Finalterm OVPAA-F-INS-055A RAW '!V27="","",'Finalterm OVPAA-F-INS-055A RAW '!V27/'Finalterm OVPAA-F-INS-055A RAW '!V$17*100)</f>
        <v/>
      </c>
      <c r="W27" s="126" t="str">
        <f>IF('Finalterm OVPAA-F-INS-055A RAW '!W27="","",'Finalterm OVPAA-F-INS-055A RAW '!W27/'Finalterm OVPAA-F-INS-055A RAW '!W$17*100)</f>
        <v/>
      </c>
      <c r="X27" s="126" t="str">
        <f>IF('Finalterm OVPAA-F-INS-055A RAW '!X27="","",'Finalterm OVPAA-F-INS-055A RAW '!X27/'Finalterm OVPAA-F-INS-055A RAW '!X$17*100)</f>
        <v/>
      </c>
      <c r="Y27" s="126" t="str">
        <f>IF('Finalterm OVPAA-F-INS-055A RAW '!Y27="","",'Finalterm OVPAA-F-INS-055A RAW '!Y27/'Finalterm OVPAA-F-INS-055A RAW '!Y$17*100)</f>
        <v/>
      </c>
      <c r="Z27" s="126" t="str">
        <f>IF('Finalterm OVPAA-F-INS-055A RAW '!Z27="","",'Finalterm OVPAA-F-INS-055A RAW '!Z27/'Finalterm OVPAA-F-INS-055A RAW '!Z$17*100)</f>
        <v/>
      </c>
      <c r="AA27" s="126" t="str">
        <f>IF('Finalterm OVPAA-F-INS-055A RAW '!AA27="","",'Finalterm OVPAA-F-INS-055A RAW '!AA27/'Finalterm OVPAA-F-INS-055A RAW '!AA$17*100)</f>
        <v/>
      </c>
      <c r="AB27" s="126" t="str">
        <f>IF('Finalterm OVPAA-F-INS-055A RAW '!AB27="","",'Finalterm OVPAA-F-INS-055A RAW '!AB27/'Finalterm OVPAA-F-INS-055A RAW '!AB$17*100)</f>
        <v/>
      </c>
      <c r="AC27" s="126" t="str">
        <f>IF('Finalterm OVPAA-F-INS-055A RAW '!AC27="","",'Finalterm OVPAA-F-INS-055A RAW '!AC27/'Finalterm OVPAA-F-INS-055A RAW '!AC$17*100)</f>
        <v/>
      </c>
      <c r="AD27" s="126" t="str">
        <f>IF('Finalterm OVPAA-F-INS-055A RAW '!AD27="","",'Finalterm OVPAA-F-INS-055A RAW '!AD27/'Finalterm OVPAA-F-INS-055A RAW '!AD$17*100)</f>
        <v/>
      </c>
      <c r="AE27" s="126" t="str">
        <f>IF('Finalterm OVPAA-F-INS-055A RAW '!AE27="","",'Finalterm OVPAA-F-INS-055A RAW '!AE27/'Finalterm OVPAA-F-INS-055A RAW '!AE$17*100)</f>
        <v/>
      </c>
      <c r="AF27" s="126" t="str">
        <f>IF('Finalterm OVPAA-F-INS-055A RAW '!AF27="","",'Finalterm OVPAA-F-INS-055A RAW '!AF27/'Finalterm OVPAA-F-INS-055A RAW '!AF$17*100)</f>
        <v/>
      </c>
      <c r="AG27" s="126" t="str">
        <f>IF('Finalterm OVPAA-F-INS-055A RAW '!AG27="","",'Finalterm OVPAA-F-INS-055A RAW '!AG27/'Finalterm OVPAA-F-INS-055A RAW '!AG$17*100)</f>
        <v/>
      </c>
      <c r="AH27" s="126" t="str">
        <f>IF('Finalterm OVPAA-F-INS-055A RAW '!AH27="","",'Finalterm OVPAA-F-INS-055A RAW '!AH27/'Finalterm OVPAA-F-INS-055A RAW '!AH$17*100)</f>
        <v/>
      </c>
      <c r="AI27" s="126" t="str">
        <f>IF('Finalterm OVPAA-F-INS-055A RAW '!AI27="","",'Finalterm OVPAA-F-INS-055A RAW '!AI27/'Finalterm OVPAA-F-INS-055A RAW '!AI$17*100)</f>
        <v/>
      </c>
      <c r="AJ27" s="126" t="str">
        <f>IF('Finalterm OVPAA-F-INS-055A RAW '!AJ27="","",'Finalterm OVPAA-F-INS-055A RAW '!AJ27/'Finalterm OVPAA-F-INS-055A RAW '!AJ$17*100)</f>
        <v/>
      </c>
      <c r="AK27" s="126" t="str">
        <f>IF('Finalterm OVPAA-F-INS-055A RAW '!AK27="","",'Finalterm OVPAA-F-INS-055A RAW '!AK27/'Finalterm OVPAA-F-INS-055A RAW '!AK$17*100)</f>
        <v/>
      </c>
      <c r="AL27" s="126" t="str">
        <f>IF('Finalterm OVPAA-F-INS-055A RAW '!AL27="","",'Finalterm OVPAA-F-INS-055A RAW '!AL27/'Finalterm OVPAA-F-INS-055A RAW '!AL$17*100)</f>
        <v/>
      </c>
      <c r="AM27" s="126" t="str">
        <f>IF('Finalterm OVPAA-F-INS-055A RAW '!AM27="","",'Finalterm OVPAA-F-INS-055A RAW '!AM27/'Finalterm OVPAA-F-INS-055A RAW '!AM$17*100)</f>
        <v/>
      </c>
      <c r="AN27" s="126" t="str">
        <f>IF('Finalterm OVPAA-F-INS-055A RAW '!AN27="","",'Finalterm OVPAA-F-INS-055A RAW '!AN27/'Finalterm OVPAA-F-INS-055A RAW '!AN$17*100)</f>
        <v/>
      </c>
      <c r="AO27" s="126" t="str">
        <f>IF('Finalterm OVPAA-F-INS-055A RAW '!AO27="","",'Finalterm OVPAA-F-INS-055A RAW '!AO27/'Finalterm OVPAA-F-INS-055A RAW '!AO$17*100)</f>
        <v/>
      </c>
      <c r="AP27" s="126" t="str">
        <f>IF('Finalterm OVPAA-F-INS-055A RAW '!AP27="","",'Finalterm OVPAA-F-INS-055A RAW '!AP27/'Finalterm OVPAA-F-INS-055A RAW '!AP$17*100)</f>
        <v/>
      </c>
      <c r="AQ27" s="126" t="str">
        <f>IF('Finalterm OVPAA-F-INS-055A RAW '!AQ27="","",'Finalterm OVPAA-F-INS-055A RAW '!AQ27/'Finalterm OVPAA-F-INS-055A RAW '!AQ$17*100)</f>
        <v/>
      </c>
      <c r="AR27" s="126" t="str">
        <f>IF('Finalterm OVPAA-F-INS-055A RAW '!AR27="","",'Finalterm OVPAA-F-INS-055A RAW '!AR27/'Finalterm OVPAA-F-INS-055A RAW '!AR$17*100)</f>
        <v/>
      </c>
      <c r="AS27" s="126" t="str">
        <f>IF('Finalterm OVPAA-F-INS-055A RAW '!AS27="","",'Finalterm OVPAA-F-INS-055A RAW '!AS27/'Finalterm OVPAA-F-INS-055A RAW '!AS$17*100)</f>
        <v/>
      </c>
      <c r="AT27" s="126" t="str">
        <f>IF('Finalterm OVPAA-F-INS-055A RAW '!AT27="","",'Finalterm OVPAA-F-INS-055A RAW '!AT27/'Finalterm OVPAA-F-INS-055A RAW '!AT$17*100)</f>
        <v/>
      </c>
      <c r="AU27" s="126" t="str">
        <f>IF('Finalterm OVPAA-F-INS-055A RAW '!AU27="","",'Finalterm OVPAA-F-INS-055A RAW '!AU27/'Finalterm OVPAA-F-INS-055A RAW '!AU$17*100)</f>
        <v/>
      </c>
      <c r="AV27" s="126" t="str">
        <f>IF('Finalterm OVPAA-F-INS-055A RAW '!AV27="","",'Finalterm OVPAA-F-INS-055A RAW '!AV27/'Finalterm OVPAA-F-INS-055A RAW '!AV$17*100)</f>
        <v/>
      </c>
      <c r="AW27" s="126" t="str">
        <f>IF('Finalterm OVPAA-F-INS-055A RAW '!AW27="","",'Finalterm OVPAA-F-INS-055A RAW '!AW27/'Finalterm OVPAA-F-INS-055A RAW '!AW$17*100)</f>
        <v/>
      </c>
      <c r="AX27" s="126" t="str">
        <f>IF('Finalterm OVPAA-F-INS-055A RAW '!AX27="","",'Finalterm OVPAA-F-INS-055A RAW '!AX27/'Finalterm OVPAA-F-INS-055A RAW '!AX$17*100)</f>
        <v/>
      </c>
      <c r="AY27" s="126" t="str">
        <f>IF('Finalterm OVPAA-F-INS-055A RAW '!AY27="","",'Finalterm OVPAA-F-INS-055A RAW '!AY27/'Finalterm OVPAA-F-INS-055A RAW '!AY$17*100)</f>
        <v/>
      </c>
      <c r="AZ27" s="126" t="str">
        <f>IF('Finalterm OVPAA-F-INS-055A RAW '!AZ27="","",'Finalterm OVPAA-F-INS-055A RAW '!AZ27/'Finalterm OVPAA-F-INS-055A RAW '!AZ$17*100)</f>
        <v/>
      </c>
      <c r="BA27" s="126" t="str">
        <f>IF('Finalterm OVPAA-F-INS-055A RAW '!BA27="","",'Finalterm OVPAA-F-INS-055A RAW '!BA27/'Finalterm OVPAA-F-INS-055A RAW '!BA$17*100)</f>
        <v/>
      </c>
      <c r="BB27" s="126" t="str">
        <f>IF('Finalterm OVPAA-F-INS-055A RAW '!BB27="","",'Finalterm OVPAA-F-INS-055A RAW '!BB27/'Finalterm OVPAA-F-INS-055A RAW '!BB$17*100)</f>
        <v/>
      </c>
      <c r="BC27" s="126" t="str">
        <f>IF('Finalterm OVPAA-F-INS-055A RAW '!BC27="","",'Finalterm OVPAA-F-INS-055A RAW '!BC27/'Finalterm OVPAA-F-INS-055A RAW '!BC$17*100)</f>
        <v/>
      </c>
      <c r="BD27" s="126" t="str">
        <f>IF('Finalterm OVPAA-F-INS-055A RAW '!BD27="","",'Finalterm OVPAA-F-INS-055A RAW '!BD27/'Finalterm OVPAA-F-INS-055A RAW '!BD$17*100)</f>
        <v/>
      </c>
      <c r="BE27" s="126" t="str">
        <f>IF('Finalterm OVPAA-F-INS-055A RAW '!BE27="","",'Finalterm OVPAA-F-INS-055A RAW '!BE27/'Finalterm OVPAA-F-INS-055A RAW '!BE$17*100)</f>
        <v/>
      </c>
      <c r="BF27" s="126" t="str">
        <f>IF('Finalterm OVPAA-F-INS-055A RAW '!BF27="","",'Finalterm OVPAA-F-INS-055A RAW '!BF27/'Finalterm OVPAA-F-INS-055A RAW '!BF$17*100)</f>
        <v/>
      </c>
      <c r="BG27" s="126" t="str">
        <f>IF('Finalterm OVPAA-F-INS-055A RAW '!BG27="","",'Finalterm OVPAA-F-INS-055A RAW '!BG27/'Finalterm OVPAA-F-INS-055A RAW '!BG$17*100)</f>
        <v/>
      </c>
      <c r="BH27" s="126" t="str">
        <f>IF('Finalterm OVPAA-F-INS-055A RAW '!BH27="","",'Finalterm OVPAA-F-INS-055A RAW '!BH27/'Finalterm OVPAA-F-INS-055A RAW '!BH$17*100)</f>
        <v/>
      </c>
      <c r="BI27" s="126" t="str">
        <f>IF('Finalterm OVPAA-F-INS-055A RAW '!BI27="","",'Finalterm OVPAA-F-INS-055A RAW '!BI27/'Finalterm OVPAA-F-INS-055A RAW '!BI$17*100)</f>
        <v/>
      </c>
      <c r="BJ27" s="126" t="str">
        <f>IF('Finalterm OVPAA-F-INS-055A RAW '!BJ27="","",'Finalterm OVPAA-F-INS-055A RAW '!BJ27/'Finalterm OVPAA-F-INS-055A RAW '!BJ$17*100)</f>
        <v/>
      </c>
      <c r="BK27" s="126" t="str">
        <f>IF('Finalterm OVPAA-F-INS-055A RAW '!BK27="","",'Finalterm OVPAA-F-INS-055A RAW '!BK27/'Finalterm OVPAA-F-INS-055A RAW '!BK$17*100)</f>
        <v/>
      </c>
      <c r="BL27" s="126" t="str">
        <f>IF('Finalterm OVPAA-F-INS-055A RAW '!BL27="","",'Finalterm OVPAA-F-INS-055A RAW '!BL27/'Finalterm OVPAA-F-INS-055A RAW '!BL$17*100)</f>
        <v/>
      </c>
      <c r="BM27" s="126" t="str">
        <f>IF('Finalterm OVPAA-F-INS-055A RAW '!BM27="","",'Finalterm OVPAA-F-INS-055A RAW '!BM27/'Finalterm OVPAA-F-INS-055A RAW '!BM$17*100)</f>
        <v/>
      </c>
      <c r="BN27" s="126" t="str">
        <f>IF('Finalterm OVPAA-F-INS-055A RAW '!BN27="","",'Finalterm OVPAA-F-INS-055A RAW '!BN27/'Finalterm OVPAA-F-INS-055A RAW '!BN$17*100)</f>
        <v/>
      </c>
      <c r="BO27" s="126" t="str">
        <f>IF('Finalterm OVPAA-F-INS-055A RAW '!BO27="","",'Finalterm OVPAA-F-INS-055A RAW '!BO27/'Finalterm OVPAA-F-INS-055A RAW '!BO$17*100)</f>
        <v/>
      </c>
      <c r="BP27" s="126" t="str">
        <f>IF('Finalterm OVPAA-F-INS-055A RAW '!BP27="","",'Finalterm OVPAA-F-INS-055A RAW '!BP27/'Finalterm OVPAA-F-INS-055A RAW '!BP$17*100)</f>
        <v/>
      </c>
      <c r="BQ27" s="126" t="str">
        <f>IF('Finalterm OVPAA-F-INS-055A RAW '!BQ27="","",'Finalterm OVPAA-F-INS-055A RAW '!BQ27/'Finalterm OVPAA-F-INS-055A RAW '!BQ$17*100)</f>
        <v/>
      </c>
      <c r="BR27" s="126" t="str">
        <f>IF('Finalterm OVPAA-F-INS-055A RAW '!BR27="","",'Finalterm OVPAA-F-INS-055A RAW '!BR27/'Finalterm OVPAA-F-INS-055A RAW '!BR$17*100)</f>
        <v/>
      </c>
      <c r="BS27" s="126" t="str">
        <f>IF('Finalterm OVPAA-F-INS-055A RAW '!BS27="","",'Finalterm OVPAA-F-INS-055A RAW '!BS27/'Finalterm OVPAA-F-INS-055A RAW '!BS$17*100)</f>
        <v/>
      </c>
      <c r="BT27" s="126" t="str">
        <f>IF('Finalterm OVPAA-F-INS-055A RAW '!BT27="","",'Finalterm OVPAA-F-INS-055A RAW '!BT27/'Finalterm OVPAA-F-INS-055A RAW '!BT$17*100)</f>
        <v/>
      </c>
      <c r="BU27" s="127">
        <f t="array" ref="BU27">IF('Finalterm OVPAA-F-INS-055A RAW '!$G27="","",IF((SUMPRODUCT(--ISBLANK('Finalterm OVPAA-F-INS-055A RAW '!H27:BT27))=COLUMNS('Finalterm OVPAA-F-INS-055A RAW '!H27:BT27))=TRUE,"",(((COUNTA('Finalterm OVPAA-F-INS-055A RAW '!$H$17:$BT$17)+COUNTBLANK('Finalterm OVPAA-F-INS-055A RAW '!H27:BT27))-COLUMNS('Finalterm OVPAA-F-INS-055A RAW '!H27:BT27))*5+SUM(H27:BT27))/COUNTA('Finalterm OVPAA-F-INS-055A RAW '!$H$17:$BT$17)))</f>
        <v>92</v>
      </c>
      <c r="BV27" s="165">
        <f>IF(BU27="","",VLOOKUP(BU27,IF('Midterm OVPAA-F-INS-055A RAW SC'!$V$12=0.5,TRANSMUTATION!$C$4:$D$17,TRANSMUTATION!$G$4:$H$17),2,TRUE))</f>
        <v>1.25</v>
      </c>
      <c r="BW27" s="129">
        <f>IF('Finalterm OVPAA-F-INS-055A RAW '!BU27="","",'Finalterm OVPAA-F-INS-055A RAW '!BU27/'Finalterm OVPAA-F-INS-055A RAW '!BU$17*100)</f>
        <v>74</v>
      </c>
      <c r="BX27" s="130">
        <f>IF('Finalterm OVPAA-F-INS-055A RAW '!BV27="","",'Finalterm OVPAA-F-INS-055A RAW '!BV27/'Finalterm OVPAA-F-INS-055A RAW '!BV$17*100)</f>
        <v>70</v>
      </c>
      <c r="BY27" s="130">
        <f>IF('Finalterm OVPAA-F-INS-055A RAW '!BW27="","",'Finalterm OVPAA-F-INS-055A RAW '!BW27/'Finalterm OVPAA-F-INS-055A RAW '!BW$17*100)</f>
        <v>100</v>
      </c>
      <c r="BZ27" s="130" t="str">
        <f>IF('Finalterm OVPAA-F-INS-055A RAW '!BX27="","",'Finalterm OVPAA-F-INS-055A RAW '!BX27/'Finalterm OVPAA-F-INS-055A RAW '!BX$17*100)</f>
        <v/>
      </c>
      <c r="CA27" s="130" t="str">
        <f>IF('Finalterm OVPAA-F-INS-055A RAW '!BY27="","",'Finalterm OVPAA-F-INS-055A RAW '!BY27/'Finalterm OVPAA-F-INS-055A RAW '!BY$17*100)</f>
        <v/>
      </c>
      <c r="CB27" s="130" t="str">
        <f>IF('Finalterm OVPAA-F-INS-055A RAW '!BZ27="","",'Finalterm OVPAA-F-INS-055A RAW '!BZ27/'Finalterm OVPAA-F-INS-055A RAW '!BZ$17*100)</f>
        <v/>
      </c>
      <c r="CC27" s="130" t="str">
        <f>IF('Finalterm OVPAA-F-INS-055A RAW '!CA27="","",'Finalterm OVPAA-F-INS-055A RAW '!CA27/'Finalterm OVPAA-F-INS-055A RAW '!CA$17*100)</f>
        <v/>
      </c>
      <c r="CD27" s="130" t="str">
        <f>IF('Finalterm OVPAA-F-INS-055A RAW '!CB27="","",'Finalterm OVPAA-F-INS-055A RAW '!CB27/'Finalterm OVPAA-F-INS-055A RAW '!CB$17*100)</f>
        <v/>
      </c>
      <c r="CE27" s="130" t="str">
        <f>IF('Finalterm OVPAA-F-INS-055A RAW '!CC27="","",'Finalterm OVPAA-F-INS-055A RAW '!CC27/'Finalterm OVPAA-F-INS-055A RAW '!CC$17*100)</f>
        <v/>
      </c>
      <c r="CF27" s="130" t="str">
        <f>IF('Finalterm OVPAA-F-INS-055A RAW '!CD27="","",'Finalterm OVPAA-F-INS-055A RAW '!CD27/'Finalterm OVPAA-F-INS-055A RAW '!CD$17*100)</f>
        <v/>
      </c>
      <c r="CG27" s="130" t="str">
        <f>IF('Finalterm OVPAA-F-INS-055A RAW '!CE27="","",'Finalterm OVPAA-F-INS-055A RAW '!CE27/'Finalterm OVPAA-F-INS-055A RAW '!CE$17*100)</f>
        <v/>
      </c>
      <c r="CH27" s="130" t="str">
        <f>IF('Finalterm OVPAA-F-INS-055A RAW '!CF27="","",'Finalterm OVPAA-F-INS-055A RAW '!CF27/'Finalterm OVPAA-F-INS-055A RAW '!CF$17*100)</f>
        <v/>
      </c>
      <c r="CI27" s="130" t="str">
        <f>IF('Finalterm OVPAA-F-INS-055A RAW '!CG27="","",'Finalterm OVPAA-F-INS-055A RAW '!CG27/'Finalterm OVPAA-F-INS-055A RAW '!CG$17*100)</f>
        <v/>
      </c>
      <c r="CJ27" s="130" t="str">
        <f>IF('Finalterm OVPAA-F-INS-055A RAW '!CH27="","",'Finalterm OVPAA-F-INS-055A RAW '!CH27/'Finalterm OVPAA-F-INS-055A RAW '!CH$17*100)</f>
        <v/>
      </c>
      <c r="CK27" s="130" t="str">
        <f>IF('Finalterm OVPAA-F-INS-055A RAW '!CI27="","",'Finalterm OVPAA-F-INS-055A RAW '!CI27/'Finalterm OVPAA-F-INS-055A RAW '!CI$17*100)</f>
        <v/>
      </c>
      <c r="CL27" s="130" t="str">
        <f>IF('Finalterm OVPAA-F-INS-055A RAW '!CJ27="","",'Finalterm OVPAA-F-INS-055A RAW '!CJ27/'Finalterm OVPAA-F-INS-055A RAW '!CJ$17*100)</f>
        <v/>
      </c>
      <c r="CM27" s="130" t="str">
        <f>IF('Finalterm OVPAA-F-INS-055A RAW '!CK27="","",'Finalterm OVPAA-F-INS-055A RAW '!CK27/'Finalterm OVPAA-F-INS-055A RAW '!CK$17*100)</f>
        <v/>
      </c>
      <c r="CN27" s="130" t="str">
        <f>IF('Finalterm OVPAA-F-INS-055A RAW '!CL27="","",'Finalterm OVPAA-F-INS-055A RAW '!CL27/'Finalterm OVPAA-F-INS-055A RAW '!CL$17*100)</f>
        <v/>
      </c>
      <c r="CO27" s="130" t="str">
        <f>IF('Finalterm OVPAA-F-INS-055A RAW '!CM27="","",'Finalterm OVPAA-F-INS-055A RAW '!CM27/'Finalterm OVPAA-F-INS-055A RAW '!CM$17*100)</f>
        <v/>
      </c>
      <c r="CP27" s="130" t="str">
        <f>IF('Finalterm OVPAA-F-INS-055A RAW '!CN27="","",'Finalterm OVPAA-F-INS-055A RAW '!CN27/'Finalterm OVPAA-F-INS-055A RAW '!CN$17*100)</f>
        <v/>
      </c>
      <c r="CQ27" s="131">
        <f t="array" ref="CQ27">IF('Midterm OVPAA-F-INS-055A RAW SC'!G27="","",IF((SUMPRODUCT(--ISBLANK('Finalterm OVPAA-F-INS-055A RAW '!BU27:CN27))=COLUMNS('Finalterm OVPAA-F-INS-055A RAW '!BU27:CN27))=TRUE,"",(((COUNTA('Finalterm OVPAA-F-INS-055A RAW '!$BU$17:$CN$17)+COUNTBLANK('Finalterm OVPAA-F-INS-055A RAW '!BU27:CN27))-COLUMNS('Finalterm OVPAA-F-INS-055A RAW '!BU27:CN27))*5+SUM(BW27:CP27))/COUNTA('Finalterm OVPAA-F-INS-055A RAW '!$BU$17:$CN$17)))</f>
        <v>81.333333333333329</v>
      </c>
      <c r="CR27" s="132">
        <f>IF(CQ27="","",VLOOKUP(CQ27,IF('Midterm OVPAA-F-INS-055A RAW SC'!$V$12=0.5,TRANSMUTATION!$C$4:$D$17,TRANSMUTATION!$G$4:$H$17),2,TRUE))</f>
        <v>1.75</v>
      </c>
      <c r="CS27" s="133">
        <f>IF('Finalterm OVPAA-F-INS-055A RAW '!CO27="","",'Finalterm OVPAA-F-INS-055A RAW '!CO27/'Finalterm OVPAA-F-INS-055A RAW '!CO$17*100)</f>
        <v>80</v>
      </c>
      <c r="CT27" s="133">
        <f>IF('Finalterm OVPAA-F-INS-055A RAW '!CP27="","",'Finalterm OVPAA-F-INS-055A RAW '!CP27/'Finalterm OVPAA-F-INS-055A RAW '!CP$17*100)</f>
        <v>72</v>
      </c>
      <c r="CU27" s="133" t="str">
        <f>IF('Finalterm OVPAA-F-INS-055A RAW '!CQ27="","",'Finalterm OVPAA-F-INS-055A RAW '!CQ27/'Finalterm OVPAA-F-INS-055A RAW '!CQ$17*100)</f>
        <v/>
      </c>
      <c r="CV27" s="133" t="str">
        <f>IF('Finalterm OVPAA-F-INS-055A RAW '!CR27="","",'Finalterm OVPAA-F-INS-055A RAW '!CR27/'Finalterm OVPAA-F-INS-055A RAW '!CR$17*100)</f>
        <v/>
      </c>
      <c r="CW27" s="133" t="str">
        <f>IF('Finalterm OVPAA-F-INS-055A RAW '!CS27="","",'Finalterm OVPAA-F-INS-055A RAW '!CS27/'Finalterm OVPAA-F-INS-055A RAW '!CS$17*100)</f>
        <v/>
      </c>
      <c r="CX27" s="133" t="str">
        <f>IF('Finalterm OVPAA-F-INS-055A RAW '!CT27="","",'Finalterm OVPAA-F-INS-055A RAW '!CT27/'Finalterm OVPAA-F-INS-055A RAW '!CT$17*100)</f>
        <v/>
      </c>
      <c r="CY27" s="133" t="str">
        <f>IF('Finalterm OVPAA-F-INS-055A RAW '!CU27="","",'Finalterm OVPAA-F-INS-055A RAW '!CU27/'Finalterm OVPAA-F-INS-055A RAW '!CU$17*100)</f>
        <v/>
      </c>
      <c r="CZ27" s="133" t="str">
        <f>IF('Finalterm OVPAA-F-INS-055A RAW '!CV27="","",'Finalterm OVPAA-F-INS-055A RAW '!CV27/'Finalterm OVPAA-F-INS-055A RAW '!CV$17*100)</f>
        <v/>
      </c>
      <c r="DA27" s="133" t="str">
        <f>IF('Finalterm OVPAA-F-INS-055A RAW '!CW27="","",'Finalterm OVPAA-F-INS-055A RAW '!CW27/'Finalterm OVPAA-F-INS-055A RAW '!CW$17*100)</f>
        <v/>
      </c>
      <c r="DB27" s="133" t="str">
        <f>IF('Finalterm OVPAA-F-INS-055A RAW '!CX27="","",'Finalterm OVPAA-F-INS-055A RAW '!CX27/'Finalterm OVPAA-F-INS-055A RAW '!CX$17*100)</f>
        <v/>
      </c>
      <c r="DC27" s="134">
        <f t="array" ref="DC27">IF('Midterm OVPAA-F-INS-055A RAW SC'!$G27="","",IF((SUMPRODUCT(--ISBLANK('Finalterm OVPAA-F-INS-055A RAW '!CO27:CX27))=COLUMNS('Finalterm OVPAA-F-INS-055A RAW '!CO27:CX27))=TRUE,"",(((COUNTA('Finalterm OVPAA-F-INS-055A RAW '!$CO$17:$CX$17)+COUNTBLANK('Finalterm OVPAA-F-INS-055A RAW '!CO27:CX27))-COLUMNS('Finalterm OVPAA-F-INS-055A RAW '!CO27:CX27))*5+SUM(CS27:DB27))/COUNTA('Finalterm OVPAA-F-INS-055A RAW '!$CO$17:$CX$17)))</f>
        <v>76</v>
      </c>
      <c r="DD27" s="135">
        <f>IF(DC27="","",VLOOKUP(DC27,IF('Midterm OVPAA-F-INS-055A RAW SC'!$V$12=0.5,TRANSMUTATION!$C$4:$D$17,TRANSMUTATION!$G$4:$H$17),2,TRUE))</f>
        <v>2</v>
      </c>
      <c r="DE27" s="136">
        <f t="shared" si="1"/>
        <v>0.375</v>
      </c>
      <c r="DF27" s="166">
        <f t="shared" si="2"/>
        <v>0.52500000000000002</v>
      </c>
      <c r="DG27" s="167">
        <f t="shared" si="3"/>
        <v>0.8</v>
      </c>
      <c r="DH27" s="168">
        <f t="shared" si="4"/>
        <v>1.7000000000000002</v>
      </c>
      <c r="DI27" s="169" t="str">
        <f t="shared" si="5"/>
        <v>1.75</v>
      </c>
    </row>
    <row r="28" spans="5:113" ht="15.75" customHeight="1">
      <c r="E28" s="59">
        <v>11</v>
      </c>
      <c r="F28" s="124">
        <f>IF(NOT(ISBLANK('Midterm OVPAA-F-INS-055A RAW SC'!F28)),'Midterm OVPAA-F-INS-055A RAW SC'!F28,"")</f>
        <v>19</v>
      </c>
      <c r="G28" s="125" t="str">
        <f>IF(NOT(ISBLANK('Midterm OVPAA-F-INS-055A RAW SC'!G28)),'Midterm OVPAA-F-INS-055A RAW SC'!G28,"")</f>
        <v>Magante, Jerson</v>
      </c>
      <c r="H28" s="126">
        <f>IF('Finalterm OVPAA-F-INS-055A RAW '!H28="","",'Finalterm OVPAA-F-INS-055A RAW '!H28/'Finalterm OVPAA-F-INS-055A RAW '!H$17*100)</f>
        <v>100</v>
      </c>
      <c r="I28" s="126">
        <f>IF('Finalterm OVPAA-F-INS-055A RAW '!I28="","",'Finalterm OVPAA-F-INS-055A RAW '!I28/'Finalterm OVPAA-F-INS-055A RAW '!I$17*100)</f>
        <v>100</v>
      </c>
      <c r="J28" s="126">
        <f>IF('Finalterm OVPAA-F-INS-055A RAW '!J28="","",'Finalterm OVPAA-F-INS-055A RAW '!J28/'Finalterm OVPAA-F-INS-055A RAW '!J$17*100)</f>
        <v>60</v>
      </c>
      <c r="K28" s="126">
        <f>IF('Finalterm OVPAA-F-INS-055A RAW '!K28="","",'Finalterm OVPAA-F-INS-055A RAW '!K28/'Finalterm OVPAA-F-INS-055A RAW '!K$17*100)</f>
        <v>100</v>
      </c>
      <c r="L28" s="126">
        <f>IF('Finalterm OVPAA-F-INS-055A RAW '!L28="","",'Finalterm OVPAA-F-INS-055A RAW '!L28/'Finalterm OVPAA-F-INS-055A RAW '!L$17*100)</f>
        <v>100</v>
      </c>
      <c r="M28" s="126" t="str">
        <f>IF('Finalterm OVPAA-F-INS-055A RAW '!M28="","",'Finalterm OVPAA-F-INS-055A RAW '!M28/'Finalterm OVPAA-F-INS-055A RAW '!M$17*100)</f>
        <v/>
      </c>
      <c r="N28" s="126" t="str">
        <f>IF('Finalterm OVPAA-F-INS-055A RAW '!N28="","",'Finalterm OVPAA-F-INS-055A RAW '!N28/'Finalterm OVPAA-F-INS-055A RAW '!N$17*100)</f>
        <v/>
      </c>
      <c r="O28" s="126" t="str">
        <f>IF('Finalterm OVPAA-F-INS-055A RAW '!O28="","",'Finalterm OVPAA-F-INS-055A RAW '!O28/'Finalterm OVPAA-F-INS-055A RAW '!O$17*100)</f>
        <v/>
      </c>
      <c r="P28" s="126" t="str">
        <f>IF('Finalterm OVPAA-F-INS-055A RAW '!P28="","",'Finalterm OVPAA-F-INS-055A RAW '!P28/'Finalterm OVPAA-F-INS-055A RAW '!P$17*100)</f>
        <v/>
      </c>
      <c r="Q28" s="126" t="str">
        <f>IF('Finalterm OVPAA-F-INS-055A RAW '!Q28="","",'Finalterm OVPAA-F-INS-055A RAW '!Q28/'Finalterm OVPAA-F-INS-055A RAW '!Q$17*100)</f>
        <v/>
      </c>
      <c r="R28" s="126" t="str">
        <f>IF('Finalterm OVPAA-F-INS-055A RAW '!R28="","",'Finalterm OVPAA-F-INS-055A RAW '!R28/'Finalterm OVPAA-F-INS-055A RAW '!R$17*100)</f>
        <v/>
      </c>
      <c r="S28" s="126" t="str">
        <f>IF('Finalterm OVPAA-F-INS-055A RAW '!S28="","",'Finalterm OVPAA-F-INS-055A RAW '!S28/'Finalterm OVPAA-F-INS-055A RAW '!S$17*100)</f>
        <v/>
      </c>
      <c r="T28" s="126" t="str">
        <f>IF('Finalterm OVPAA-F-INS-055A RAW '!T28="","",'Finalterm OVPAA-F-INS-055A RAW '!T28/'Finalterm OVPAA-F-INS-055A RAW '!T$17*100)</f>
        <v/>
      </c>
      <c r="U28" s="126" t="str">
        <f>IF('Finalterm OVPAA-F-INS-055A RAW '!U28="","",'Finalterm OVPAA-F-INS-055A RAW '!U28/'Finalterm OVPAA-F-INS-055A RAW '!U$17*100)</f>
        <v/>
      </c>
      <c r="V28" s="126" t="str">
        <f>IF('Finalterm OVPAA-F-INS-055A RAW '!V28="","",'Finalterm OVPAA-F-INS-055A RAW '!V28/'Finalterm OVPAA-F-INS-055A RAW '!V$17*100)</f>
        <v/>
      </c>
      <c r="W28" s="126" t="str">
        <f>IF('Finalterm OVPAA-F-INS-055A RAW '!W28="","",'Finalterm OVPAA-F-INS-055A RAW '!W28/'Finalterm OVPAA-F-INS-055A RAW '!W$17*100)</f>
        <v/>
      </c>
      <c r="X28" s="126" t="str">
        <f>IF('Finalterm OVPAA-F-INS-055A RAW '!X28="","",'Finalterm OVPAA-F-INS-055A RAW '!X28/'Finalterm OVPAA-F-INS-055A RAW '!X$17*100)</f>
        <v/>
      </c>
      <c r="Y28" s="126" t="str">
        <f>IF('Finalterm OVPAA-F-INS-055A RAW '!Y28="","",'Finalterm OVPAA-F-INS-055A RAW '!Y28/'Finalterm OVPAA-F-INS-055A RAW '!Y$17*100)</f>
        <v/>
      </c>
      <c r="Z28" s="126" t="str">
        <f>IF('Finalterm OVPAA-F-INS-055A RAW '!Z28="","",'Finalterm OVPAA-F-INS-055A RAW '!Z28/'Finalterm OVPAA-F-INS-055A RAW '!Z$17*100)</f>
        <v/>
      </c>
      <c r="AA28" s="126" t="str">
        <f>IF('Finalterm OVPAA-F-INS-055A RAW '!AA28="","",'Finalterm OVPAA-F-INS-055A RAW '!AA28/'Finalterm OVPAA-F-INS-055A RAW '!AA$17*100)</f>
        <v/>
      </c>
      <c r="AB28" s="126" t="str">
        <f>IF('Finalterm OVPAA-F-INS-055A RAW '!AB28="","",'Finalterm OVPAA-F-INS-055A RAW '!AB28/'Finalterm OVPAA-F-INS-055A RAW '!AB$17*100)</f>
        <v/>
      </c>
      <c r="AC28" s="126" t="str">
        <f>IF('Finalterm OVPAA-F-INS-055A RAW '!AC28="","",'Finalterm OVPAA-F-INS-055A RAW '!AC28/'Finalterm OVPAA-F-INS-055A RAW '!AC$17*100)</f>
        <v/>
      </c>
      <c r="AD28" s="126" t="str">
        <f>IF('Finalterm OVPAA-F-INS-055A RAW '!AD28="","",'Finalterm OVPAA-F-INS-055A RAW '!AD28/'Finalterm OVPAA-F-INS-055A RAW '!AD$17*100)</f>
        <v/>
      </c>
      <c r="AE28" s="126" t="str">
        <f>IF('Finalterm OVPAA-F-INS-055A RAW '!AE28="","",'Finalterm OVPAA-F-INS-055A RAW '!AE28/'Finalterm OVPAA-F-INS-055A RAW '!AE$17*100)</f>
        <v/>
      </c>
      <c r="AF28" s="126" t="str">
        <f>IF('Finalterm OVPAA-F-INS-055A RAW '!AF28="","",'Finalterm OVPAA-F-INS-055A RAW '!AF28/'Finalterm OVPAA-F-INS-055A RAW '!AF$17*100)</f>
        <v/>
      </c>
      <c r="AG28" s="126" t="str">
        <f>IF('Finalterm OVPAA-F-INS-055A RAW '!AG28="","",'Finalterm OVPAA-F-INS-055A RAW '!AG28/'Finalterm OVPAA-F-INS-055A RAW '!AG$17*100)</f>
        <v/>
      </c>
      <c r="AH28" s="126" t="str">
        <f>IF('Finalterm OVPAA-F-INS-055A RAW '!AH28="","",'Finalterm OVPAA-F-INS-055A RAW '!AH28/'Finalterm OVPAA-F-INS-055A RAW '!AH$17*100)</f>
        <v/>
      </c>
      <c r="AI28" s="126" t="str">
        <f>IF('Finalterm OVPAA-F-INS-055A RAW '!AI28="","",'Finalterm OVPAA-F-INS-055A RAW '!AI28/'Finalterm OVPAA-F-INS-055A RAW '!AI$17*100)</f>
        <v/>
      </c>
      <c r="AJ28" s="126" t="str">
        <f>IF('Finalterm OVPAA-F-INS-055A RAW '!AJ28="","",'Finalterm OVPAA-F-INS-055A RAW '!AJ28/'Finalterm OVPAA-F-INS-055A RAW '!AJ$17*100)</f>
        <v/>
      </c>
      <c r="AK28" s="126" t="str">
        <f>IF('Finalterm OVPAA-F-INS-055A RAW '!AK28="","",'Finalterm OVPAA-F-INS-055A RAW '!AK28/'Finalterm OVPAA-F-INS-055A RAW '!AK$17*100)</f>
        <v/>
      </c>
      <c r="AL28" s="126" t="str">
        <f>IF('Finalterm OVPAA-F-INS-055A RAW '!AL28="","",'Finalterm OVPAA-F-INS-055A RAW '!AL28/'Finalterm OVPAA-F-INS-055A RAW '!AL$17*100)</f>
        <v/>
      </c>
      <c r="AM28" s="126" t="str">
        <f>IF('Finalterm OVPAA-F-INS-055A RAW '!AM28="","",'Finalterm OVPAA-F-INS-055A RAW '!AM28/'Finalterm OVPAA-F-INS-055A RAW '!AM$17*100)</f>
        <v/>
      </c>
      <c r="AN28" s="126" t="str">
        <f>IF('Finalterm OVPAA-F-INS-055A RAW '!AN28="","",'Finalterm OVPAA-F-INS-055A RAW '!AN28/'Finalterm OVPAA-F-INS-055A RAW '!AN$17*100)</f>
        <v/>
      </c>
      <c r="AO28" s="126" t="str">
        <f>IF('Finalterm OVPAA-F-INS-055A RAW '!AO28="","",'Finalterm OVPAA-F-INS-055A RAW '!AO28/'Finalterm OVPAA-F-INS-055A RAW '!AO$17*100)</f>
        <v/>
      </c>
      <c r="AP28" s="126" t="str">
        <f>IF('Finalterm OVPAA-F-INS-055A RAW '!AP28="","",'Finalterm OVPAA-F-INS-055A RAW '!AP28/'Finalterm OVPAA-F-INS-055A RAW '!AP$17*100)</f>
        <v/>
      </c>
      <c r="AQ28" s="126" t="str">
        <f>IF('Finalterm OVPAA-F-INS-055A RAW '!AQ28="","",'Finalterm OVPAA-F-INS-055A RAW '!AQ28/'Finalterm OVPAA-F-INS-055A RAW '!AQ$17*100)</f>
        <v/>
      </c>
      <c r="AR28" s="126" t="str">
        <f>IF('Finalterm OVPAA-F-INS-055A RAW '!AR28="","",'Finalterm OVPAA-F-INS-055A RAW '!AR28/'Finalterm OVPAA-F-INS-055A RAW '!AR$17*100)</f>
        <v/>
      </c>
      <c r="AS28" s="126" t="str">
        <f>IF('Finalterm OVPAA-F-INS-055A RAW '!AS28="","",'Finalterm OVPAA-F-INS-055A RAW '!AS28/'Finalterm OVPAA-F-INS-055A RAW '!AS$17*100)</f>
        <v/>
      </c>
      <c r="AT28" s="126" t="str">
        <f>IF('Finalterm OVPAA-F-INS-055A RAW '!AT28="","",'Finalterm OVPAA-F-INS-055A RAW '!AT28/'Finalterm OVPAA-F-INS-055A RAW '!AT$17*100)</f>
        <v/>
      </c>
      <c r="AU28" s="126" t="str">
        <f>IF('Finalterm OVPAA-F-INS-055A RAW '!AU28="","",'Finalterm OVPAA-F-INS-055A RAW '!AU28/'Finalterm OVPAA-F-INS-055A RAW '!AU$17*100)</f>
        <v/>
      </c>
      <c r="AV28" s="126" t="str">
        <f>IF('Finalterm OVPAA-F-INS-055A RAW '!AV28="","",'Finalterm OVPAA-F-INS-055A RAW '!AV28/'Finalterm OVPAA-F-INS-055A RAW '!AV$17*100)</f>
        <v/>
      </c>
      <c r="AW28" s="126" t="str">
        <f>IF('Finalterm OVPAA-F-INS-055A RAW '!AW28="","",'Finalterm OVPAA-F-INS-055A RAW '!AW28/'Finalterm OVPAA-F-INS-055A RAW '!AW$17*100)</f>
        <v/>
      </c>
      <c r="AX28" s="126" t="str">
        <f>IF('Finalterm OVPAA-F-INS-055A RAW '!AX28="","",'Finalterm OVPAA-F-INS-055A RAW '!AX28/'Finalterm OVPAA-F-INS-055A RAW '!AX$17*100)</f>
        <v/>
      </c>
      <c r="AY28" s="126" t="str">
        <f>IF('Finalterm OVPAA-F-INS-055A RAW '!AY28="","",'Finalterm OVPAA-F-INS-055A RAW '!AY28/'Finalterm OVPAA-F-INS-055A RAW '!AY$17*100)</f>
        <v/>
      </c>
      <c r="AZ28" s="126" t="str">
        <f>IF('Finalterm OVPAA-F-INS-055A RAW '!AZ28="","",'Finalterm OVPAA-F-INS-055A RAW '!AZ28/'Finalterm OVPAA-F-INS-055A RAW '!AZ$17*100)</f>
        <v/>
      </c>
      <c r="BA28" s="126" t="str">
        <f>IF('Finalterm OVPAA-F-INS-055A RAW '!BA28="","",'Finalterm OVPAA-F-INS-055A RAW '!BA28/'Finalterm OVPAA-F-INS-055A RAW '!BA$17*100)</f>
        <v/>
      </c>
      <c r="BB28" s="126" t="str">
        <f>IF('Finalterm OVPAA-F-INS-055A RAW '!BB28="","",'Finalterm OVPAA-F-INS-055A RAW '!BB28/'Finalterm OVPAA-F-INS-055A RAW '!BB$17*100)</f>
        <v/>
      </c>
      <c r="BC28" s="126" t="str">
        <f>IF('Finalterm OVPAA-F-INS-055A RAW '!BC28="","",'Finalterm OVPAA-F-INS-055A RAW '!BC28/'Finalterm OVPAA-F-INS-055A RAW '!BC$17*100)</f>
        <v/>
      </c>
      <c r="BD28" s="126" t="str">
        <f>IF('Finalterm OVPAA-F-INS-055A RAW '!BD28="","",'Finalterm OVPAA-F-INS-055A RAW '!BD28/'Finalterm OVPAA-F-INS-055A RAW '!BD$17*100)</f>
        <v/>
      </c>
      <c r="BE28" s="126" t="str">
        <f>IF('Finalterm OVPAA-F-INS-055A RAW '!BE28="","",'Finalterm OVPAA-F-INS-055A RAW '!BE28/'Finalterm OVPAA-F-INS-055A RAW '!BE$17*100)</f>
        <v/>
      </c>
      <c r="BF28" s="126" t="str">
        <f>IF('Finalterm OVPAA-F-INS-055A RAW '!BF28="","",'Finalterm OVPAA-F-INS-055A RAW '!BF28/'Finalterm OVPAA-F-INS-055A RAW '!BF$17*100)</f>
        <v/>
      </c>
      <c r="BG28" s="126" t="str">
        <f>IF('Finalterm OVPAA-F-INS-055A RAW '!BG28="","",'Finalterm OVPAA-F-INS-055A RAW '!BG28/'Finalterm OVPAA-F-INS-055A RAW '!BG$17*100)</f>
        <v/>
      </c>
      <c r="BH28" s="126" t="str">
        <f>IF('Finalterm OVPAA-F-INS-055A RAW '!BH28="","",'Finalterm OVPAA-F-INS-055A RAW '!BH28/'Finalterm OVPAA-F-INS-055A RAW '!BH$17*100)</f>
        <v/>
      </c>
      <c r="BI28" s="126" t="str">
        <f>IF('Finalterm OVPAA-F-INS-055A RAW '!BI28="","",'Finalterm OVPAA-F-INS-055A RAW '!BI28/'Finalterm OVPAA-F-INS-055A RAW '!BI$17*100)</f>
        <v/>
      </c>
      <c r="BJ28" s="126" t="str">
        <f>IF('Finalterm OVPAA-F-INS-055A RAW '!BJ28="","",'Finalterm OVPAA-F-INS-055A RAW '!BJ28/'Finalterm OVPAA-F-INS-055A RAW '!BJ$17*100)</f>
        <v/>
      </c>
      <c r="BK28" s="126" t="str">
        <f>IF('Finalterm OVPAA-F-INS-055A RAW '!BK28="","",'Finalterm OVPAA-F-INS-055A RAW '!BK28/'Finalterm OVPAA-F-INS-055A RAW '!BK$17*100)</f>
        <v/>
      </c>
      <c r="BL28" s="126" t="str">
        <f>IF('Finalterm OVPAA-F-INS-055A RAW '!BL28="","",'Finalterm OVPAA-F-INS-055A RAW '!BL28/'Finalterm OVPAA-F-INS-055A RAW '!BL$17*100)</f>
        <v/>
      </c>
      <c r="BM28" s="126" t="str">
        <f>IF('Finalterm OVPAA-F-INS-055A RAW '!BM28="","",'Finalterm OVPAA-F-INS-055A RAW '!BM28/'Finalterm OVPAA-F-INS-055A RAW '!BM$17*100)</f>
        <v/>
      </c>
      <c r="BN28" s="126" t="str">
        <f>IF('Finalterm OVPAA-F-INS-055A RAW '!BN28="","",'Finalterm OVPAA-F-INS-055A RAW '!BN28/'Finalterm OVPAA-F-INS-055A RAW '!BN$17*100)</f>
        <v/>
      </c>
      <c r="BO28" s="126" t="str">
        <f>IF('Finalterm OVPAA-F-INS-055A RAW '!BO28="","",'Finalterm OVPAA-F-INS-055A RAW '!BO28/'Finalterm OVPAA-F-INS-055A RAW '!BO$17*100)</f>
        <v/>
      </c>
      <c r="BP28" s="126" t="str">
        <f>IF('Finalterm OVPAA-F-INS-055A RAW '!BP28="","",'Finalterm OVPAA-F-INS-055A RAW '!BP28/'Finalterm OVPAA-F-INS-055A RAW '!BP$17*100)</f>
        <v/>
      </c>
      <c r="BQ28" s="126" t="str">
        <f>IF('Finalterm OVPAA-F-INS-055A RAW '!BQ28="","",'Finalterm OVPAA-F-INS-055A RAW '!BQ28/'Finalterm OVPAA-F-INS-055A RAW '!BQ$17*100)</f>
        <v/>
      </c>
      <c r="BR28" s="126" t="str">
        <f>IF('Finalterm OVPAA-F-INS-055A RAW '!BR28="","",'Finalterm OVPAA-F-INS-055A RAW '!BR28/'Finalterm OVPAA-F-INS-055A RAW '!BR$17*100)</f>
        <v/>
      </c>
      <c r="BS28" s="126" t="str">
        <f>IF('Finalterm OVPAA-F-INS-055A RAW '!BS28="","",'Finalterm OVPAA-F-INS-055A RAW '!BS28/'Finalterm OVPAA-F-INS-055A RAW '!BS$17*100)</f>
        <v/>
      </c>
      <c r="BT28" s="126" t="str">
        <f>IF('Finalterm OVPAA-F-INS-055A RAW '!BT28="","",'Finalterm OVPAA-F-INS-055A RAW '!BT28/'Finalterm OVPAA-F-INS-055A RAW '!BT$17*100)</f>
        <v/>
      </c>
      <c r="BU28" s="127">
        <f t="array" ref="BU28">IF('Finalterm OVPAA-F-INS-055A RAW '!$G28="","",IF((SUMPRODUCT(--ISBLANK('Finalterm OVPAA-F-INS-055A RAW '!H28:BT28))=COLUMNS('Finalterm OVPAA-F-INS-055A RAW '!H28:BT28))=TRUE,"",(((COUNTA('Finalterm OVPAA-F-INS-055A RAW '!$H$17:$BT$17)+COUNTBLANK('Finalterm OVPAA-F-INS-055A RAW '!H28:BT28))-COLUMNS('Finalterm OVPAA-F-INS-055A RAW '!H28:BT28))*5+SUM(H28:BT28))/COUNTA('Finalterm OVPAA-F-INS-055A RAW '!$H$17:$BT$17)))</f>
        <v>92</v>
      </c>
      <c r="BV28" s="165">
        <f>IF(BU28="","",VLOOKUP(BU28,IF('Midterm OVPAA-F-INS-055A RAW SC'!$V$12=0.5,TRANSMUTATION!$C$4:$D$17,TRANSMUTATION!$G$4:$H$17),2,TRUE))</f>
        <v>1.25</v>
      </c>
      <c r="BW28" s="129">
        <f>IF('Finalterm OVPAA-F-INS-055A RAW '!BU28="","",'Finalterm OVPAA-F-INS-055A RAW '!BU28/'Finalterm OVPAA-F-INS-055A RAW '!BU$17*100)</f>
        <v>84</v>
      </c>
      <c r="BX28" s="130">
        <f>IF('Finalterm OVPAA-F-INS-055A RAW '!BV28="","",'Finalterm OVPAA-F-INS-055A RAW '!BV28/'Finalterm OVPAA-F-INS-055A RAW '!BV$17*100)</f>
        <v>92</v>
      </c>
      <c r="BY28" s="130">
        <f>IF('Finalterm OVPAA-F-INS-055A RAW '!BW28="","",'Finalterm OVPAA-F-INS-055A RAW '!BW28/'Finalterm OVPAA-F-INS-055A RAW '!BW$17*100)</f>
        <v>100</v>
      </c>
      <c r="BZ28" s="130" t="str">
        <f>IF('Finalterm OVPAA-F-INS-055A RAW '!BX28="","",'Finalterm OVPAA-F-INS-055A RAW '!BX28/'Finalterm OVPAA-F-INS-055A RAW '!BX$17*100)</f>
        <v/>
      </c>
      <c r="CA28" s="130" t="str">
        <f>IF('Finalterm OVPAA-F-INS-055A RAW '!BY28="","",'Finalterm OVPAA-F-INS-055A RAW '!BY28/'Finalterm OVPAA-F-INS-055A RAW '!BY$17*100)</f>
        <v/>
      </c>
      <c r="CB28" s="130" t="str">
        <f>IF('Finalterm OVPAA-F-INS-055A RAW '!BZ28="","",'Finalterm OVPAA-F-INS-055A RAW '!BZ28/'Finalterm OVPAA-F-INS-055A RAW '!BZ$17*100)</f>
        <v/>
      </c>
      <c r="CC28" s="130" t="str">
        <f>IF('Finalterm OVPAA-F-INS-055A RAW '!CA28="","",'Finalterm OVPAA-F-INS-055A RAW '!CA28/'Finalterm OVPAA-F-INS-055A RAW '!CA$17*100)</f>
        <v/>
      </c>
      <c r="CD28" s="130" t="str">
        <f>IF('Finalterm OVPAA-F-INS-055A RAW '!CB28="","",'Finalterm OVPAA-F-INS-055A RAW '!CB28/'Finalterm OVPAA-F-INS-055A RAW '!CB$17*100)</f>
        <v/>
      </c>
      <c r="CE28" s="130" t="str">
        <f>IF('Finalterm OVPAA-F-INS-055A RAW '!CC28="","",'Finalterm OVPAA-F-INS-055A RAW '!CC28/'Finalterm OVPAA-F-INS-055A RAW '!CC$17*100)</f>
        <v/>
      </c>
      <c r="CF28" s="130" t="str">
        <f>IF('Finalterm OVPAA-F-INS-055A RAW '!CD28="","",'Finalterm OVPAA-F-INS-055A RAW '!CD28/'Finalterm OVPAA-F-INS-055A RAW '!CD$17*100)</f>
        <v/>
      </c>
      <c r="CG28" s="130" t="str">
        <f>IF('Finalterm OVPAA-F-INS-055A RAW '!CE28="","",'Finalterm OVPAA-F-INS-055A RAW '!CE28/'Finalterm OVPAA-F-INS-055A RAW '!CE$17*100)</f>
        <v/>
      </c>
      <c r="CH28" s="130" t="str">
        <f>IF('Finalterm OVPAA-F-INS-055A RAW '!CF28="","",'Finalterm OVPAA-F-INS-055A RAW '!CF28/'Finalterm OVPAA-F-INS-055A RAW '!CF$17*100)</f>
        <v/>
      </c>
      <c r="CI28" s="130" t="str">
        <f>IF('Finalterm OVPAA-F-INS-055A RAW '!CG28="","",'Finalterm OVPAA-F-INS-055A RAW '!CG28/'Finalterm OVPAA-F-INS-055A RAW '!CG$17*100)</f>
        <v/>
      </c>
      <c r="CJ28" s="130" t="str">
        <f>IF('Finalterm OVPAA-F-INS-055A RAW '!CH28="","",'Finalterm OVPAA-F-INS-055A RAW '!CH28/'Finalterm OVPAA-F-INS-055A RAW '!CH$17*100)</f>
        <v/>
      </c>
      <c r="CK28" s="130" t="str">
        <f>IF('Finalterm OVPAA-F-INS-055A RAW '!CI28="","",'Finalterm OVPAA-F-INS-055A RAW '!CI28/'Finalterm OVPAA-F-INS-055A RAW '!CI$17*100)</f>
        <v/>
      </c>
      <c r="CL28" s="130" t="str">
        <f>IF('Finalterm OVPAA-F-INS-055A RAW '!CJ28="","",'Finalterm OVPAA-F-INS-055A RAW '!CJ28/'Finalterm OVPAA-F-INS-055A RAW '!CJ$17*100)</f>
        <v/>
      </c>
      <c r="CM28" s="130" t="str">
        <f>IF('Finalterm OVPAA-F-INS-055A RAW '!CK28="","",'Finalterm OVPAA-F-INS-055A RAW '!CK28/'Finalterm OVPAA-F-INS-055A RAW '!CK$17*100)</f>
        <v/>
      </c>
      <c r="CN28" s="130" t="str">
        <f>IF('Finalterm OVPAA-F-INS-055A RAW '!CL28="","",'Finalterm OVPAA-F-INS-055A RAW '!CL28/'Finalterm OVPAA-F-INS-055A RAW '!CL$17*100)</f>
        <v/>
      </c>
      <c r="CO28" s="130" t="str">
        <f>IF('Finalterm OVPAA-F-INS-055A RAW '!CM28="","",'Finalterm OVPAA-F-INS-055A RAW '!CM28/'Finalterm OVPAA-F-INS-055A RAW '!CM$17*100)</f>
        <v/>
      </c>
      <c r="CP28" s="130" t="str">
        <f>IF('Finalterm OVPAA-F-INS-055A RAW '!CN28="","",'Finalterm OVPAA-F-INS-055A RAW '!CN28/'Finalterm OVPAA-F-INS-055A RAW '!CN$17*100)</f>
        <v/>
      </c>
      <c r="CQ28" s="131">
        <f t="array" ref="CQ28">IF('Midterm OVPAA-F-INS-055A RAW SC'!G28="","",IF((SUMPRODUCT(--ISBLANK('Finalterm OVPAA-F-INS-055A RAW '!BU28:CN28))=COLUMNS('Finalterm OVPAA-F-INS-055A RAW '!BU28:CN28))=TRUE,"",(((COUNTA('Finalterm OVPAA-F-INS-055A RAW '!$BU$17:$CN$17)+COUNTBLANK('Finalterm OVPAA-F-INS-055A RAW '!BU28:CN28))-COLUMNS('Finalterm OVPAA-F-INS-055A RAW '!BU28:CN28))*5+SUM(BW28:CP28))/COUNTA('Finalterm OVPAA-F-INS-055A RAW '!$BU$17:$CN$17)))</f>
        <v>92</v>
      </c>
      <c r="CR28" s="132">
        <f>IF(CQ28="","",VLOOKUP(CQ28,IF('Midterm OVPAA-F-INS-055A RAW SC'!$V$12=0.5,TRANSMUTATION!$C$4:$D$17,TRANSMUTATION!$G$4:$H$17),2,TRUE))</f>
        <v>1.25</v>
      </c>
      <c r="CS28" s="133">
        <f>IF('Finalterm OVPAA-F-INS-055A RAW '!CO28="","",'Finalterm OVPAA-F-INS-055A RAW '!CO28/'Finalterm OVPAA-F-INS-055A RAW '!CO$17*100)</f>
        <v>80</v>
      </c>
      <c r="CT28" s="133">
        <f>IF('Finalterm OVPAA-F-INS-055A RAW '!CP28="","",'Finalterm OVPAA-F-INS-055A RAW '!CP28/'Finalterm OVPAA-F-INS-055A RAW '!CP$17*100)</f>
        <v>54.500000000000007</v>
      </c>
      <c r="CU28" s="133" t="str">
        <f>IF('Finalterm OVPAA-F-INS-055A RAW '!CQ28="","",'Finalterm OVPAA-F-INS-055A RAW '!CQ28/'Finalterm OVPAA-F-INS-055A RAW '!CQ$17*100)</f>
        <v/>
      </c>
      <c r="CV28" s="133" t="str">
        <f>IF('Finalterm OVPAA-F-INS-055A RAW '!CR28="","",'Finalterm OVPAA-F-INS-055A RAW '!CR28/'Finalterm OVPAA-F-INS-055A RAW '!CR$17*100)</f>
        <v/>
      </c>
      <c r="CW28" s="133" t="str">
        <f>IF('Finalterm OVPAA-F-INS-055A RAW '!CS28="","",'Finalterm OVPAA-F-INS-055A RAW '!CS28/'Finalterm OVPAA-F-INS-055A RAW '!CS$17*100)</f>
        <v/>
      </c>
      <c r="CX28" s="133" t="str">
        <f>IF('Finalterm OVPAA-F-INS-055A RAW '!CT28="","",'Finalterm OVPAA-F-INS-055A RAW '!CT28/'Finalterm OVPAA-F-INS-055A RAW '!CT$17*100)</f>
        <v/>
      </c>
      <c r="CY28" s="133" t="str">
        <f>IF('Finalterm OVPAA-F-INS-055A RAW '!CU28="","",'Finalterm OVPAA-F-INS-055A RAW '!CU28/'Finalterm OVPAA-F-INS-055A RAW '!CU$17*100)</f>
        <v/>
      </c>
      <c r="CZ28" s="133" t="str">
        <f>IF('Finalterm OVPAA-F-INS-055A RAW '!CV28="","",'Finalterm OVPAA-F-INS-055A RAW '!CV28/'Finalterm OVPAA-F-INS-055A RAW '!CV$17*100)</f>
        <v/>
      </c>
      <c r="DA28" s="133" t="str">
        <f>IF('Finalterm OVPAA-F-INS-055A RAW '!CW28="","",'Finalterm OVPAA-F-INS-055A RAW '!CW28/'Finalterm OVPAA-F-INS-055A RAW '!CW$17*100)</f>
        <v/>
      </c>
      <c r="DB28" s="133" t="str">
        <f>IF('Finalterm OVPAA-F-INS-055A RAW '!CX28="","",'Finalterm OVPAA-F-INS-055A RAW '!CX28/'Finalterm OVPAA-F-INS-055A RAW '!CX$17*100)</f>
        <v/>
      </c>
      <c r="DC28" s="134">
        <f t="array" ref="DC28">IF('Midterm OVPAA-F-INS-055A RAW SC'!$G28="","",IF((SUMPRODUCT(--ISBLANK('Finalterm OVPAA-F-INS-055A RAW '!CO28:CX28))=COLUMNS('Finalterm OVPAA-F-INS-055A RAW '!CO28:CX28))=TRUE,"",(((COUNTA('Finalterm OVPAA-F-INS-055A RAW '!$CO$17:$CX$17)+COUNTBLANK('Finalterm OVPAA-F-INS-055A RAW '!CO28:CX28))-COLUMNS('Finalterm OVPAA-F-INS-055A RAW '!CO28:CX28))*5+SUM(CS28:DB28))/COUNTA('Finalterm OVPAA-F-INS-055A RAW '!$CO$17:$CX$17)))</f>
        <v>67.25</v>
      </c>
      <c r="DD28" s="135">
        <f>IF(DC28="","",VLOOKUP(DC28,IF('Midterm OVPAA-F-INS-055A RAW SC'!$V$12=0.5,TRANSMUTATION!$C$4:$D$17,TRANSMUTATION!$G$4:$H$17),2,TRUE))</f>
        <v>2.5</v>
      </c>
      <c r="DE28" s="136">
        <f t="shared" si="1"/>
        <v>0.375</v>
      </c>
      <c r="DF28" s="166">
        <f t="shared" si="2"/>
        <v>0.375</v>
      </c>
      <c r="DG28" s="167">
        <f t="shared" si="3"/>
        <v>1</v>
      </c>
      <c r="DH28" s="168">
        <f t="shared" si="4"/>
        <v>1.75</v>
      </c>
      <c r="DI28" s="169" t="str">
        <f t="shared" si="5"/>
        <v>1.75</v>
      </c>
    </row>
    <row r="29" spans="5:113" ht="15.75" customHeight="1">
      <c r="E29" s="59">
        <v>12</v>
      </c>
      <c r="F29" s="124">
        <f>IF(NOT(ISBLANK('Midterm OVPAA-F-INS-055A RAW SC'!F29)),'Midterm OVPAA-F-INS-055A RAW SC'!F29,"")</f>
        <v>20</v>
      </c>
      <c r="G29" s="125" t="str">
        <f>IF(NOT(ISBLANK('Midterm OVPAA-F-INS-055A RAW SC'!G29)),'Midterm OVPAA-F-INS-055A RAW SC'!G29,"")</f>
        <v>Maraon, EJ Kate</v>
      </c>
      <c r="H29" s="126">
        <f>IF('Finalterm OVPAA-F-INS-055A RAW '!H29="","",'Finalterm OVPAA-F-INS-055A RAW '!H29/'Finalterm OVPAA-F-INS-055A RAW '!H$17*100)</f>
        <v>100</v>
      </c>
      <c r="I29" s="126">
        <f>IF('Finalterm OVPAA-F-INS-055A RAW '!I29="","",'Finalterm OVPAA-F-INS-055A RAW '!I29/'Finalterm OVPAA-F-INS-055A RAW '!I$17*100)</f>
        <v>100</v>
      </c>
      <c r="J29" s="126">
        <f>IF('Finalterm OVPAA-F-INS-055A RAW '!J29="","",'Finalterm OVPAA-F-INS-055A RAW '!J29/'Finalterm OVPAA-F-INS-055A RAW '!J$17*100)</f>
        <v>60</v>
      </c>
      <c r="K29" s="126">
        <f>IF('Finalterm OVPAA-F-INS-055A RAW '!K29="","",'Finalterm OVPAA-F-INS-055A RAW '!K29/'Finalterm OVPAA-F-INS-055A RAW '!K$17*100)</f>
        <v>100</v>
      </c>
      <c r="L29" s="126">
        <f>IF('Finalterm OVPAA-F-INS-055A RAW '!L29="","",'Finalterm OVPAA-F-INS-055A RAW '!L29/'Finalterm OVPAA-F-INS-055A RAW '!L$17*100)</f>
        <v>100</v>
      </c>
      <c r="M29" s="126" t="str">
        <f>IF('Finalterm OVPAA-F-INS-055A RAW '!M29="","",'Finalterm OVPAA-F-INS-055A RAW '!M29/'Finalterm OVPAA-F-INS-055A RAW '!M$17*100)</f>
        <v/>
      </c>
      <c r="N29" s="126" t="str">
        <f>IF('Finalterm OVPAA-F-INS-055A RAW '!N29="","",'Finalterm OVPAA-F-INS-055A RAW '!N29/'Finalterm OVPAA-F-INS-055A RAW '!N$17*100)</f>
        <v/>
      </c>
      <c r="O29" s="126" t="str">
        <f>IF('Finalterm OVPAA-F-INS-055A RAW '!O29="","",'Finalterm OVPAA-F-INS-055A RAW '!O29/'Finalterm OVPAA-F-INS-055A RAW '!O$17*100)</f>
        <v/>
      </c>
      <c r="P29" s="126" t="str">
        <f>IF('Finalterm OVPAA-F-INS-055A RAW '!P29="","",'Finalterm OVPAA-F-INS-055A RAW '!P29/'Finalterm OVPAA-F-INS-055A RAW '!P$17*100)</f>
        <v/>
      </c>
      <c r="Q29" s="126" t="str">
        <f>IF('Finalterm OVPAA-F-INS-055A RAW '!Q29="","",'Finalterm OVPAA-F-INS-055A RAW '!Q29/'Finalterm OVPAA-F-INS-055A RAW '!Q$17*100)</f>
        <v/>
      </c>
      <c r="R29" s="126" t="str">
        <f>IF('Finalterm OVPAA-F-INS-055A RAW '!R29="","",'Finalterm OVPAA-F-INS-055A RAW '!R29/'Finalterm OVPAA-F-INS-055A RAW '!R$17*100)</f>
        <v/>
      </c>
      <c r="S29" s="126" t="str">
        <f>IF('Finalterm OVPAA-F-INS-055A RAW '!S29="","",'Finalterm OVPAA-F-INS-055A RAW '!S29/'Finalterm OVPAA-F-INS-055A RAW '!S$17*100)</f>
        <v/>
      </c>
      <c r="T29" s="126" t="str">
        <f>IF('Finalterm OVPAA-F-INS-055A RAW '!T29="","",'Finalterm OVPAA-F-INS-055A RAW '!T29/'Finalterm OVPAA-F-INS-055A RAW '!T$17*100)</f>
        <v/>
      </c>
      <c r="U29" s="126" t="str">
        <f>IF('Finalterm OVPAA-F-INS-055A RAW '!U29="","",'Finalterm OVPAA-F-INS-055A RAW '!U29/'Finalterm OVPAA-F-INS-055A RAW '!U$17*100)</f>
        <v/>
      </c>
      <c r="V29" s="126" t="str">
        <f>IF('Finalterm OVPAA-F-INS-055A RAW '!V29="","",'Finalterm OVPAA-F-INS-055A RAW '!V29/'Finalterm OVPAA-F-INS-055A RAW '!V$17*100)</f>
        <v/>
      </c>
      <c r="W29" s="126" t="str">
        <f>IF('Finalterm OVPAA-F-INS-055A RAW '!W29="","",'Finalterm OVPAA-F-INS-055A RAW '!W29/'Finalterm OVPAA-F-INS-055A RAW '!W$17*100)</f>
        <v/>
      </c>
      <c r="X29" s="126" t="str">
        <f>IF('Finalterm OVPAA-F-INS-055A RAW '!X29="","",'Finalterm OVPAA-F-INS-055A RAW '!X29/'Finalterm OVPAA-F-INS-055A RAW '!X$17*100)</f>
        <v/>
      </c>
      <c r="Y29" s="126" t="str">
        <f>IF('Finalterm OVPAA-F-INS-055A RAW '!Y29="","",'Finalterm OVPAA-F-INS-055A RAW '!Y29/'Finalterm OVPAA-F-INS-055A RAW '!Y$17*100)</f>
        <v/>
      </c>
      <c r="Z29" s="126" t="str">
        <f>IF('Finalterm OVPAA-F-INS-055A RAW '!Z29="","",'Finalterm OVPAA-F-INS-055A RAW '!Z29/'Finalterm OVPAA-F-INS-055A RAW '!Z$17*100)</f>
        <v/>
      </c>
      <c r="AA29" s="126" t="str">
        <f>IF('Finalterm OVPAA-F-INS-055A RAW '!AA29="","",'Finalterm OVPAA-F-INS-055A RAW '!AA29/'Finalterm OVPAA-F-INS-055A RAW '!AA$17*100)</f>
        <v/>
      </c>
      <c r="AB29" s="126" t="str">
        <f>IF('Finalterm OVPAA-F-INS-055A RAW '!AB29="","",'Finalterm OVPAA-F-INS-055A RAW '!AB29/'Finalterm OVPAA-F-INS-055A RAW '!AB$17*100)</f>
        <v/>
      </c>
      <c r="AC29" s="126" t="str">
        <f>IF('Finalterm OVPAA-F-INS-055A RAW '!AC29="","",'Finalterm OVPAA-F-INS-055A RAW '!AC29/'Finalterm OVPAA-F-INS-055A RAW '!AC$17*100)</f>
        <v/>
      </c>
      <c r="AD29" s="126" t="str">
        <f>IF('Finalterm OVPAA-F-INS-055A RAW '!AD29="","",'Finalterm OVPAA-F-INS-055A RAW '!AD29/'Finalterm OVPAA-F-INS-055A RAW '!AD$17*100)</f>
        <v/>
      </c>
      <c r="AE29" s="126" t="str">
        <f>IF('Finalterm OVPAA-F-INS-055A RAW '!AE29="","",'Finalterm OVPAA-F-INS-055A RAW '!AE29/'Finalterm OVPAA-F-INS-055A RAW '!AE$17*100)</f>
        <v/>
      </c>
      <c r="AF29" s="126" t="str">
        <f>IF('Finalterm OVPAA-F-INS-055A RAW '!AF29="","",'Finalterm OVPAA-F-INS-055A RAW '!AF29/'Finalterm OVPAA-F-INS-055A RAW '!AF$17*100)</f>
        <v/>
      </c>
      <c r="AG29" s="126" t="str">
        <f>IF('Finalterm OVPAA-F-INS-055A RAW '!AG29="","",'Finalterm OVPAA-F-INS-055A RAW '!AG29/'Finalterm OVPAA-F-INS-055A RAW '!AG$17*100)</f>
        <v/>
      </c>
      <c r="AH29" s="126" t="str">
        <f>IF('Finalterm OVPAA-F-INS-055A RAW '!AH29="","",'Finalterm OVPAA-F-INS-055A RAW '!AH29/'Finalterm OVPAA-F-INS-055A RAW '!AH$17*100)</f>
        <v/>
      </c>
      <c r="AI29" s="126" t="str">
        <f>IF('Finalterm OVPAA-F-INS-055A RAW '!AI29="","",'Finalterm OVPAA-F-INS-055A RAW '!AI29/'Finalterm OVPAA-F-INS-055A RAW '!AI$17*100)</f>
        <v/>
      </c>
      <c r="AJ29" s="126" t="str">
        <f>IF('Finalterm OVPAA-F-INS-055A RAW '!AJ29="","",'Finalterm OVPAA-F-INS-055A RAW '!AJ29/'Finalterm OVPAA-F-INS-055A RAW '!AJ$17*100)</f>
        <v/>
      </c>
      <c r="AK29" s="126" t="str">
        <f>IF('Finalterm OVPAA-F-INS-055A RAW '!AK29="","",'Finalterm OVPAA-F-INS-055A RAW '!AK29/'Finalterm OVPAA-F-INS-055A RAW '!AK$17*100)</f>
        <v/>
      </c>
      <c r="AL29" s="126" t="str">
        <f>IF('Finalterm OVPAA-F-INS-055A RAW '!AL29="","",'Finalterm OVPAA-F-INS-055A RAW '!AL29/'Finalterm OVPAA-F-INS-055A RAW '!AL$17*100)</f>
        <v/>
      </c>
      <c r="AM29" s="126" t="str">
        <f>IF('Finalterm OVPAA-F-INS-055A RAW '!AM29="","",'Finalterm OVPAA-F-INS-055A RAW '!AM29/'Finalterm OVPAA-F-INS-055A RAW '!AM$17*100)</f>
        <v/>
      </c>
      <c r="AN29" s="126" t="str">
        <f>IF('Finalterm OVPAA-F-INS-055A RAW '!AN29="","",'Finalterm OVPAA-F-INS-055A RAW '!AN29/'Finalterm OVPAA-F-INS-055A RAW '!AN$17*100)</f>
        <v/>
      </c>
      <c r="AO29" s="126" t="str">
        <f>IF('Finalterm OVPAA-F-INS-055A RAW '!AO29="","",'Finalterm OVPAA-F-INS-055A RAW '!AO29/'Finalterm OVPAA-F-INS-055A RAW '!AO$17*100)</f>
        <v/>
      </c>
      <c r="AP29" s="126" t="str">
        <f>IF('Finalterm OVPAA-F-INS-055A RAW '!AP29="","",'Finalterm OVPAA-F-INS-055A RAW '!AP29/'Finalterm OVPAA-F-INS-055A RAW '!AP$17*100)</f>
        <v/>
      </c>
      <c r="AQ29" s="126" t="str">
        <f>IF('Finalterm OVPAA-F-INS-055A RAW '!AQ29="","",'Finalterm OVPAA-F-INS-055A RAW '!AQ29/'Finalterm OVPAA-F-INS-055A RAW '!AQ$17*100)</f>
        <v/>
      </c>
      <c r="AR29" s="126" t="str">
        <f>IF('Finalterm OVPAA-F-INS-055A RAW '!AR29="","",'Finalterm OVPAA-F-INS-055A RAW '!AR29/'Finalterm OVPAA-F-INS-055A RAW '!AR$17*100)</f>
        <v/>
      </c>
      <c r="AS29" s="126" t="str">
        <f>IF('Finalterm OVPAA-F-INS-055A RAW '!AS29="","",'Finalterm OVPAA-F-INS-055A RAW '!AS29/'Finalterm OVPAA-F-INS-055A RAW '!AS$17*100)</f>
        <v/>
      </c>
      <c r="AT29" s="126" t="str">
        <f>IF('Finalterm OVPAA-F-INS-055A RAW '!AT29="","",'Finalterm OVPAA-F-INS-055A RAW '!AT29/'Finalterm OVPAA-F-INS-055A RAW '!AT$17*100)</f>
        <v/>
      </c>
      <c r="AU29" s="126" t="str">
        <f>IF('Finalterm OVPAA-F-INS-055A RAW '!AU29="","",'Finalterm OVPAA-F-INS-055A RAW '!AU29/'Finalterm OVPAA-F-INS-055A RAW '!AU$17*100)</f>
        <v/>
      </c>
      <c r="AV29" s="126" t="str">
        <f>IF('Finalterm OVPAA-F-INS-055A RAW '!AV29="","",'Finalterm OVPAA-F-INS-055A RAW '!AV29/'Finalterm OVPAA-F-INS-055A RAW '!AV$17*100)</f>
        <v/>
      </c>
      <c r="AW29" s="126" t="str">
        <f>IF('Finalterm OVPAA-F-INS-055A RAW '!AW29="","",'Finalterm OVPAA-F-INS-055A RAW '!AW29/'Finalterm OVPAA-F-INS-055A RAW '!AW$17*100)</f>
        <v/>
      </c>
      <c r="AX29" s="126" t="str">
        <f>IF('Finalterm OVPAA-F-INS-055A RAW '!AX29="","",'Finalterm OVPAA-F-INS-055A RAW '!AX29/'Finalterm OVPAA-F-INS-055A RAW '!AX$17*100)</f>
        <v/>
      </c>
      <c r="AY29" s="126" t="str">
        <f>IF('Finalterm OVPAA-F-INS-055A RAW '!AY29="","",'Finalterm OVPAA-F-INS-055A RAW '!AY29/'Finalterm OVPAA-F-INS-055A RAW '!AY$17*100)</f>
        <v/>
      </c>
      <c r="AZ29" s="126" t="str">
        <f>IF('Finalterm OVPAA-F-INS-055A RAW '!AZ29="","",'Finalterm OVPAA-F-INS-055A RAW '!AZ29/'Finalterm OVPAA-F-INS-055A RAW '!AZ$17*100)</f>
        <v/>
      </c>
      <c r="BA29" s="126" t="str">
        <f>IF('Finalterm OVPAA-F-INS-055A RAW '!BA29="","",'Finalterm OVPAA-F-INS-055A RAW '!BA29/'Finalterm OVPAA-F-INS-055A RAW '!BA$17*100)</f>
        <v/>
      </c>
      <c r="BB29" s="126" t="str">
        <f>IF('Finalterm OVPAA-F-INS-055A RAW '!BB29="","",'Finalterm OVPAA-F-INS-055A RAW '!BB29/'Finalterm OVPAA-F-INS-055A RAW '!BB$17*100)</f>
        <v/>
      </c>
      <c r="BC29" s="126" t="str">
        <f>IF('Finalterm OVPAA-F-INS-055A RAW '!BC29="","",'Finalterm OVPAA-F-INS-055A RAW '!BC29/'Finalterm OVPAA-F-INS-055A RAW '!BC$17*100)</f>
        <v/>
      </c>
      <c r="BD29" s="126" t="str">
        <f>IF('Finalterm OVPAA-F-INS-055A RAW '!BD29="","",'Finalterm OVPAA-F-INS-055A RAW '!BD29/'Finalterm OVPAA-F-INS-055A RAW '!BD$17*100)</f>
        <v/>
      </c>
      <c r="BE29" s="126" t="str">
        <f>IF('Finalterm OVPAA-F-INS-055A RAW '!BE29="","",'Finalterm OVPAA-F-INS-055A RAW '!BE29/'Finalterm OVPAA-F-INS-055A RAW '!BE$17*100)</f>
        <v/>
      </c>
      <c r="BF29" s="126" t="str">
        <f>IF('Finalterm OVPAA-F-INS-055A RAW '!BF29="","",'Finalterm OVPAA-F-INS-055A RAW '!BF29/'Finalterm OVPAA-F-INS-055A RAW '!BF$17*100)</f>
        <v/>
      </c>
      <c r="BG29" s="126" t="str">
        <f>IF('Finalterm OVPAA-F-INS-055A RAW '!BG29="","",'Finalterm OVPAA-F-INS-055A RAW '!BG29/'Finalterm OVPAA-F-INS-055A RAW '!BG$17*100)</f>
        <v/>
      </c>
      <c r="BH29" s="126" t="str">
        <f>IF('Finalterm OVPAA-F-INS-055A RAW '!BH29="","",'Finalterm OVPAA-F-INS-055A RAW '!BH29/'Finalterm OVPAA-F-INS-055A RAW '!BH$17*100)</f>
        <v/>
      </c>
      <c r="BI29" s="126" t="str">
        <f>IF('Finalterm OVPAA-F-INS-055A RAW '!BI29="","",'Finalterm OVPAA-F-INS-055A RAW '!BI29/'Finalterm OVPAA-F-INS-055A RAW '!BI$17*100)</f>
        <v/>
      </c>
      <c r="BJ29" s="126" t="str">
        <f>IF('Finalterm OVPAA-F-INS-055A RAW '!BJ29="","",'Finalterm OVPAA-F-INS-055A RAW '!BJ29/'Finalterm OVPAA-F-INS-055A RAW '!BJ$17*100)</f>
        <v/>
      </c>
      <c r="BK29" s="126" t="str">
        <f>IF('Finalterm OVPAA-F-INS-055A RAW '!BK29="","",'Finalterm OVPAA-F-INS-055A RAW '!BK29/'Finalterm OVPAA-F-INS-055A RAW '!BK$17*100)</f>
        <v/>
      </c>
      <c r="BL29" s="126" t="str">
        <f>IF('Finalterm OVPAA-F-INS-055A RAW '!BL29="","",'Finalterm OVPAA-F-INS-055A RAW '!BL29/'Finalterm OVPAA-F-INS-055A RAW '!BL$17*100)</f>
        <v/>
      </c>
      <c r="BM29" s="126" t="str">
        <f>IF('Finalterm OVPAA-F-INS-055A RAW '!BM29="","",'Finalterm OVPAA-F-INS-055A RAW '!BM29/'Finalterm OVPAA-F-INS-055A RAW '!BM$17*100)</f>
        <v/>
      </c>
      <c r="BN29" s="126" t="str">
        <f>IF('Finalterm OVPAA-F-INS-055A RAW '!BN29="","",'Finalterm OVPAA-F-INS-055A RAW '!BN29/'Finalterm OVPAA-F-INS-055A RAW '!BN$17*100)</f>
        <v/>
      </c>
      <c r="BO29" s="126" t="str">
        <f>IF('Finalterm OVPAA-F-INS-055A RAW '!BO29="","",'Finalterm OVPAA-F-INS-055A RAW '!BO29/'Finalterm OVPAA-F-INS-055A RAW '!BO$17*100)</f>
        <v/>
      </c>
      <c r="BP29" s="126" t="str">
        <f>IF('Finalterm OVPAA-F-INS-055A RAW '!BP29="","",'Finalterm OVPAA-F-INS-055A RAW '!BP29/'Finalterm OVPAA-F-INS-055A RAW '!BP$17*100)</f>
        <v/>
      </c>
      <c r="BQ29" s="126" t="str">
        <f>IF('Finalterm OVPAA-F-INS-055A RAW '!BQ29="","",'Finalterm OVPAA-F-INS-055A RAW '!BQ29/'Finalterm OVPAA-F-INS-055A RAW '!BQ$17*100)</f>
        <v/>
      </c>
      <c r="BR29" s="126" t="str">
        <f>IF('Finalterm OVPAA-F-INS-055A RAW '!BR29="","",'Finalterm OVPAA-F-INS-055A RAW '!BR29/'Finalterm OVPAA-F-INS-055A RAW '!BR$17*100)</f>
        <v/>
      </c>
      <c r="BS29" s="126" t="str">
        <f>IF('Finalterm OVPAA-F-INS-055A RAW '!BS29="","",'Finalterm OVPAA-F-INS-055A RAW '!BS29/'Finalterm OVPAA-F-INS-055A RAW '!BS$17*100)</f>
        <v/>
      </c>
      <c r="BT29" s="126" t="str">
        <f>IF('Finalterm OVPAA-F-INS-055A RAW '!BT29="","",'Finalterm OVPAA-F-INS-055A RAW '!BT29/'Finalterm OVPAA-F-INS-055A RAW '!BT$17*100)</f>
        <v/>
      </c>
      <c r="BU29" s="127">
        <f t="array" ref="BU29">IF('Finalterm OVPAA-F-INS-055A RAW '!$G29="","",IF((SUMPRODUCT(--ISBLANK('Finalterm OVPAA-F-INS-055A RAW '!H29:BT29))=COLUMNS('Finalterm OVPAA-F-INS-055A RAW '!H29:BT29))=TRUE,"",(((COUNTA('Finalterm OVPAA-F-INS-055A RAW '!$H$17:$BT$17)+COUNTBLANK('Finalterm OVPAA-F-INS-055A RAW '!H29:BT29))-COLUMNS('Finalterm OVPAA-F-INS-055A RAW '!H29:BT29))*5+SUM(H29:BT29))/COUNTA('Finalterm OVPAA-F-INS-055A RAW '!$H$17:$BT$17)))</f>
        <v>92</v>
      </c>
      <c r="BV29" s="165">
        <f>IF(BU29="","",VLOOKUP(BU29,IF('Midterm OVPAA-F-INS-055A RAW SC'!$V$12=0.5,TRANSMUTATION!$C$4:$D$17,TRANSMUTATION!$G$4:$H$17),2,TRUE))</f>
        <v>1.25</v>
      </c>
      <c r="BW29" s="129">
        <f>IF('Finalterm OVPAA-F-INS-055A RAW '!BU29="","",'Finalterm OVPAA-F-INS-055A RAW '!BU29/'Finalterm OVPAA-F-INS-055A RAW '!BU$17*100)</f>
        <v>74</v>
      </c>
      <c r="BX29" s="130">
        <f>IF('Finalterm OVPAA-F-INS-055A RAW '!BV29="","",'Finalterm OVPAA-F-INS-055A RAW '!BV29/'Finalterm OVPAA-F-INS-055A RAW '!BV$17*100)</f>
        <v>70</v>
      </c>
      <c r="BY29" s="130">
        <f>IF('Finalterm OVPAA-F-INS-055A RAW '!BW29="","",'Finalterm OVPAA-F-INS-055A RAW '!BW29/'Finalterm OVPAA-F-INS-055A RAW '!BW$17*100)</f>
        <v>100</v>
      </c>
      <c r="BZ29" s="130" t="str">
        <f>IF('Finalterm OVPAA-F-INS-055A RAW '!BX29="","",'Finalterm OVPAA-F-INS-055A RAW '!BX29/'Finalterm OVPAA-F-INS-055A RAW '!BX$17*100)</f>
        <v/>
      </c>
      <c r="CA29" s="130" t="str">
        <f>IF('Finalterm OVPAA-F-INS-055A RAW '!BY29="","",'Finalterm OVPAA-F-INS-055A RAW '!BY29/'Finalterm OVPAA-F-INS-055A RAW '!BY$17*100)</f>
        <v/>
      </c>
      <c r="CB29" s="130" t="str">
        <f>IF('Finalterm OVPAA-F-INS-055A RAW '!BZ29="","",'Finalterm OVPAA-F-INS-055A RAW '!BZ29/'Finalterm OVPAA-F-INS-055A RAW '!BZ$17*100)</f>
        <v/>
      </c>
      <c r="CC29" s="130" t="str">
        <f>IF('Finalterm OVPAA-F-INS-055A RAW '!CA29="","",'Finalterm OVPAA-F-INS-055A RAW '!CA29/'Finalterm OVPAA-F-INS-055A RAW '!CA$17*100)</f>
        <v/>
      </c>
      <c r="CD29" s="130" t="str">
        <f>IF('Finalterm OVPAA-F-INS-055A RAW '!CB29="","",'Finalterm OVPAA-F-INS-055A RAW '!CB29/'Finalterm OVPAA-F-INS-055A RAW '!CB$17*100)</f>
        <v/>
      </c>
      <c r="CE29" s="130" t="str">
        <f>IF('Finalterm OVPAA-F-INS-055A RAW '!CC29="","",'Finalterm OVPAA-F-INS-055A RAW '!CC29/'Finalterm OVPAA-F-INS-055A RAW '!CC$17*100)</f>
        <v/>
      </c>
      <c r="CF29" s="130" t="str">
        <f>IF('Finalterm OVPAA-F-INS-055A RAW '!CD29="","",'Finalterm OVPAA-F-INS-055A RAW '!CD29/'Finalterm OVPAA-F-INS-055A RAW '!CD$17*100)</f>
        <v/>
      </c>
      <c r="CG29" s="130" t="str">
        <f>IF('Finalterm OVPAA-F-INS-055A RAW '!CE29="","",'Finalterm OVPAA-F-INS-055A RAW '!CE29/'Finalterm OVPAA-F-INS-055A RAW '!CE$17*100)</f>
        <v/>
      </c>
      <c r="CH29" s="130" t="str">
        <f>IF('Finalterm OVPAA-F-INS-055A RAW '!CF29="","",'Finalterm OVPAA-F-INS-055A RAW '!CF29/'Finalterm OVPAA-F-INS-055A RAW '!CF$17*100)</f>
        <v/>
      </c>
      <c r="CI29" s="130" t="str">
        <f>IF('Finalterm OVPAA-F-INS-055A RAW '!CG29="","",'Finalterm OVPAA-F-INS-055A RAW '!CG29/'Finalterm OVPAA-F-INS-055A RAW '!CG$17*100)</f>
        <v/>
      </c>
      <c r="CJ29" s="130" t="str">
        <f>IF('Finalterm OVPAA-F-INS-055A RAW '!CH29="","",'Finalterm OVPAA-F-INS-055A RAW '!CH29/'Finalterm OVPAA-F-INS-055A RAW '!CH$17*100)</f>
        <v/>
      </c>
      <c r="CK29" s="130" t="str">
        <f>IF('Finalterm OVPAA-F-INS-055A RAW '!CI29="","",'Finalterm OVPAA-F-INS-055A RAW '!CI29/'Finalterm OVPAA-F-INS-055A RAW '!CI$17*100)</f>
        <v/>
      </c>
      <c r="CL29" s="130" t="str">
        <f>IF('Finalterm OVPAA-F-INS-055A RAW '!CJ29="","",'Finalterm OVPAA-F-INS-055A RAW '!CJ29/'Finalterm OVPAA-F-INS-055A RAW '!CJ$17*100)</f>
        <v/>
      </c>
      <c r="CM29" s="130" t="str">
        <f>IF('Finalterm OVPAA-F-INS-055A RAW '!CK29="","",'Finalterm OVPAA-F-INS-055A RAW '!CK29/'Finalterm OVPAA-F-INS-055A RAW '!CK$17*100)</f>
        <v/>
      </c>
      <c r="CN29" s="130" t="str">
        <f>IF('Finalterm OVPAA-F-INS-055A RAW '!CL29="","",'Finalterm OVPAA-F-INS-055A RAW '!CL29/'Finalterm OVPAA-F-INS-055A RAW '!CL$17*100)</f>
        <v/>
      </c>
      <c r="CO29" s="130" t="str">
        <f>IF('Finalterm OVPAA-F-INS-055A RAW '!CM29="","",'Finalterm OVPAA-F-INS-055A RAW '!CM29/'Finalterm OVPAA-F-INS-055A RAW '!CM$17*100)</f>
        <v/>
      </c>
      <c r="CP29" s="130" t="str">
        <f>IF('Finalterm OVPAA-F-INS-055A RAW '!CN29="","",'Finalterm OVPAA-F-INS-055A RAW '!CN29/'Finalterm OVPAA-F-INS-055A RAW '!CN$17*100)</f>
        <v/>
      </c>
      <c r="CQ29" s="131">
        <f t="array" ref="CQ29">IF('Midterm OVPAA-F-INS-055A RAW SC'!G29="","",IF((SUMPRODUCT(--ISBLANK('Finalterm OVPAA-F-INS-055A RAW '!BU29:CN29))=COLUMNS('Finalterm OVPAA-F-INS-055A RAW '!BU29:CN29))=TRUE,"",(((COUNTA('Finalterm OVPAA-F-INS-055A RAW '!$BU$17:$CN$17)+COUNTBLANK('Finalterm OVPAA-F-INS-055A RAW '!BU29:CN29))-COLUMNS('Finalterm OVPAA-F-INS-055A RAW '!BU29:CN29))*5+SUM(BW29:CP29))/COUNTA('Finalterm OVPAA-F-INS-055A RAW '!$BU$17:$CN$17)))</f>
        <v>81.333333333333329</v>
      </c>
      <c r="CR29" s="132">
        <f>IF(CQ29="","",VLOOKUP(CQ29,IF('Midterm OVPAA-F-INS-055A RAW SC'!$V$12=0.5,TRANSMUTATION!$C$4:$D$17,TRANSMUTATION!$G$4:$H$17),2,TRUE))</f>
        <v>1.75</v>
      </c>
      <c r="CS29" s="133">
        <f>IF('Finalterm OVPAA-F-INS-055A RAW '!CO29="","",'Finalterm OVPAA-F-INS-055A RAW '!CO29/'Finalterm OVPAA-F-INS-055A RAW '!CO$17*100)</f>
        <v>80</v>
      </c>
      <c r="CT29" s="133">
        <f>IF('Finalterm OVPAA-F-INS-055A RAW '!CP29="","",'Finalterm OVPAA-F-INS-055A RAW '!CP29/'Finalterm OVPAA-F-INS-055A RAW '!CP$17*100)</f>
        <v>72</v>
      </c>
      <c r="CU29" s="133" t="str">
        <f>IF('Finalterm OVPAA-F-INS-055A RAW '!CQ29="","",'Finalterm OVPAA-F-INS-055A RAW '!CQ29/'Finalterm OVPAA-F-INS-055A RAW '!CQ$17*100)</f>
        <v/>
      </c>
      <c r="CV29" s="133" t="str">
        <f>IF('Finalterm OVPAA-F-INS-055A RAW '!CR29="","",'Finalterm OVPAA-F-INS-055A RAW '!CR29/'Finalterm OVPAA-F-INS-055A RAW '!CR$17*100)</f>
        <v/>
      </c>
      <c r="CW29" s="133" t="str">
        <f>IF('Finalterm OVPAA-F-INS-055A RAW '!CS29="","",'Finalterm OVPAA-F-INS-055A RAW '!CS29/'Finalterm OVPAA-F-INS-055A RAW '!CS$17*100)</f>
        <v/>
      </c>
      <c r="CX29" s="133" t="str">
        <f>IF('Finalterm OVPAA-F-INS-055A RAW '!CT29="","",'Finalterm OVPAA-F-INS-055A RAW '!CT29/'Finalterm OVPAA-F-INS-055A RAW '!CT$17*100)</f>
        <v/>
      </c>
      <c r="CY29" s="133" t="str">
        <f>IF('Finalterm OVPAA-F-INS-055A RAW '!CU29="","",'Finalterm OVPAA-F-INS-055A RAW '!CU29/'Finalterm OVPAA-F-INS-055A RAW '!CU$17*100)</f>
        <v/>
      </c>
      <c r="CZ29" s="133" t="str">
        <f>IF('Finalterm OVPAA-F-INS-055A RAW '!CV29="","",'Finalterm OVPAA-F-INS-055A RAW '!CV29/'Finalterm OVPAA-F-INS-055A RAW '!CV$17*100)</f>
        <v/>
      </c>
      <c r="DA29" s="133" t="str">
        <f>IF('Finalterm OVPAA-F-INS-055A RAW '!CW29="","",'Finalterm OVPAA-F-INS-055A RAW '!CW29/'Finalterm OVPAA-F-INS-055A RAW '!CW$17*100)</f>
        <v/>
      </c>
      <c r="DB29" s="133" t="str">
        <f>IF('Finalterm OVPAA-F-INS-055A RAW '!CX29="","",'Finalterm OVPAA-F-INS-055A RAW '!CX29/'Finalterm OVPAA-F-INS-055A RAW '!CX$17*100)</f>
        <v/>
      </c>
      <c r="DC29" s="134">
        <f t="array" ref="DC29">IF('Midterm OVPAA-F-INS-055A RAW SC'!$G29="","",IF((SUMPRODUCT(--ISBLANK('Finalterm OVPAA-F-INS-055A RAW '!CO29:CX29))=COLUMNS('Finalterm OVPAA-F-INS-055A RAW '!CO29:CX29))=TRUE,"",(((COUNTA('Finalterm OVPAA-F-INS-055A RAW '!$CO$17:$CX$17)+COUNTBLANK('Finalterm OVPAA-F-INS-055A RAW '!CO29:CX29))-COLUMNS('Finalterm OVPAA-F-INS-055A RAW '!CO29:CX29))*5+SUM(CS29:DB29))/COUNTA('Finalterm OVPAA-F-INS-055A RAW '!$CO$17:$CX$17)))</f>
        <v>76</v>
      </c>
      <c r="DD29" s="135">
        <f>IF(DC29="","",VLOOKUP(DC29,IF('Midterm OVPAA-F-INS-055A RAW SC'!$V$12=0.5,TRANSMUTATION!$C$4:$D$17,TRANSMUTATION!$G$4:$H$17),2,TRUE))</f>
        <v>2</v>
      </c>
      <c r="DE29" s="136">
        <f t="shared" si="1"/>
        <v>0.375</v>
      </c>
      <c r="DF29" s="166">
        <f t="shared" si="2"/>
        <v>0.52500000000000002</v>
      </c>
      <c r="DG29" s="167">
        <f t="shared" si="3"/>
        <v>0.8</v>
      </c>
      <c r="DH29" s="168">
        <f t="shared" si="4"/>
        <v>1.7000000000000002</v>
      </c>
      <c r="DI29" s="169" t="str">
        <f t="shared" si="5"/>
        <v>1.75</v>
      </c>
    </row>
    <row r="30" spans="5:113" ht="15.75" customHeight="1">
      <c r="E30" s="59">
        <v>13</v>
      </c>
      <c r="F30" s="124">
        <f>IF(NOT(ISBLANK('Midterm OVPAA-F-INS-055A RAW SC'!F30)),'Midterm OVPAA-F-INS-055A RAW SC'!F30,"")</f>
        <v>21</v>
      </c>
      <c r="G30" s="125" t="str">
        <f>IF(NOT(ISBLANK('Midterm OVPAA-F-INS-055A RAW SC'!G30)),'Midterm OVPAA-F-INS-055A RAW SC'!G30,"")</f>
        <v>Melendez, Jeter Giambi</v>
      </c>
      <c r="H30" s="126">
        <f>IF('Finalterm OVPAA-F-INS-055A RAW '!H30="","",'Finalterm OVPAA-F-INS-055A RAW '!H30/'Finalterm OVPAA-F-INS-055A RAW '!H$17*100)</f>
        <v>100</v>
      </c>
      <c r="I30" s="126">
        <f>IF('Finalterm OVPAA-F-INS-055A RAW '!I30="","",'Finalterm OVPAA-F-INS-055A RAW '!I30/'Finalterm OVPAA-F-INS-055A RAW '!I$17*100)</f>
        <v>100</v>
      </c>
      <c r="J30" s="126">
        <f>IF('Finalterm OVPAA-F-INS-055A RAW '!J30="","",'Finalterm OVPAA-F-INS-055A RAW '!J30/'Finalterm OVPAA-F-INS-055A RAW '!J$17*100)</f>
        <v>60</v>
      </c>
      <c r="K30" s="126">
        <f>IF('Finalterm OVPAA-F-INS-055A RAW '!K30="","",'Finalterm OVPAA-F-INS-055A RAW '!K30/'Finalterm OVPAA-F-INS-055A RAW '!K$17*100)</f>
        <v>100</v>
      </c>
      <c r="L30" s="126">
        <f>IF('Finalterm OVPAA-F-INS-055A RAW '!L30="","",'Finalterm OVPAA-F-INS-055A RAW '!L30/'Finalterm OVPAA-F-INS-055A RAW '!L$17*100)</f>
        <v>100</v>
      </c>
      <c r="M30" s="126" t="str">
        <f>IF('Finalterm OVPAA-F-INS-055A RAW '!M30="","",'Finalterm OVPAA-F-INS-055A RAW '!M30/'Finalterm OVPAA-F-INS-055A RAW '!M$17*100)</f>
        <v/>
      </c>
      <c r="N30" s="126" t="str">
        <f>IF('Finalterm OVPAA-F-INS-055A RAW '!N30="","",'Finalterm OVPAA-F-INS-055A RAW '!N30/'Finalterm OVPAA-F-INS-055A RAW '!N$17*100)</f>
        <v/>
      </c>
      <c r="O30" s="126" t="str">
        <f>IF('Finalterm OVPAA-F-INS-055A RAW '!O30="","",'Finalterm OVPAA-F-INS-055A RAW '!O30/'Finalterm OVPAA-F-INS-055A RAW '!O$17*100)</f>
        <v/>
      </c>
      <c r="P30" s="126" t="str">
        <f>IF('Finalterm OVPAA-F-INS-055A RAW '!P30="","",'Finalterm OVPAA-F-INS-055A RAW '!P30/'Finalterm OVPAA-F-INS-055A RAW '!P$17*100)</f>
        <v/>
      </c>
      <c r="Q30" s="126" t="str">
        <f>IF('Finalterm OVPAA-F-INS-055A RAW '!Q30="","",'Finalterm OVPAA-F-INS-055A RAW '!Q30/'Finalterm OVPAA-F-INS-055A RAW '!Q$17*100)</f>
        <v/>
      </c>
      <c r="R30" s="126" t="str">
        <f>IF('Finalterm OVPAA-F-INS-055A RAW '!R30="","",'Finalterm OVPAA-F-INS-055A RAW '!R30/'Finalterm OVPAA-F-INS-055A RAW '!R$17*100)</f>
        <v/>
      </c>
      <c r="S30" s="126" t="str">
        <f>IF('Finalterm OVPAA-F-INS-055A RAW '!S30="","",'Finalterm OVPAA-F-INS-055A RAW '!S30/'Finalterm OVPAA-F-INS-055A RAW '!S$17*100)</f>
        <v/>
      </c>
      <c r="T30" s="126" t="str">
        <f>IF('Finalterm OVPAA-F-INS-055A RAW '!T30="","",'Finalterm OVPAA-F-INS-055A RAW '!T30/'Finalterm OVPAA-F-INS-055A RAW '!T$17*100)</f>
        <v/>
      </c>
      <c r="U30" s="126" t="str">
        <f>IF('Finalterm OVPAA-F-INS-055A RAW '!U30="","",'Finalterm OVPAA-F-INS-055A RAW '!U30/'Finalterm OVPAA-F-INS-055A RAW '!U$17*100)</f>
        <v/>
      </c>
      <c r="V30" s="126" t="str">
        <f>IF('Finalterm OVPAA-F-INS-055A RAW '!V30="","",'Finalterm OVPAA-F-INS-055A RAW '!V30/'Finalterm OVPAA-F-INS-055A RAW '!V$17*100)</f>
        <v/>
      </c>
      <c r="W30" s="126" t="str">
        <f>IF('Finalterm OVPAA-F-INS-055A RAW '!W30="","",'Finalterm OVPAA-F-INS-055A RAW '!W30/'Finalterm OVPAA-F-INS-055A RAW '!W$17*100)</f>
        <v/>
      </c>
      <c r="X30" s="126" t="str">
        <f>IF('Finalterm OVPAA-F-INS-055A RAW '!X30="","",'Finalterm OVPAA-F-INS-055A RAW '!X30/'Finalterm OVPAA-F-INS-055A RAW '!X$17*100)</f>
        <v/>
      </c>
      <c r="Y30" s="126" t="str">
        <f>IF('Finalterm OVPAA-F-INS-055A RAW '!Y30="","",'Finalterm OVPAA-F-INS-055A RAW '!Y30/'Finalterm OVPAA-F-INS-055A RAW '!Y$17*100)</f>
        <v/>
      </c>
      <c r="Z30" s="126" t="str">
        <f>IF('Finalterm OVPAA-F-INS-055A RAW '!Z30="","",'Finalterm OVPAA-F-INS-055A RAW '!Z30/'Finalterm OVPAA-F-INS-055A RAW '!Z$17*100)</f>
        <v/>
      </c>
      <c r="AA30" s="126" t="str">
        <f>IF('Finalterm OVPAA-F-INS-055A RAW '!AA30="","",'Finalterm OVPAA-F-INS-055A RAW '!AA30/'Finalterm OVPAA-F-INS-055A RAW '!AA$17*100)</f>
        <v/>
      </c>
      <c r="AB30" s="126" t="str">
        <f>IF('Finalterm OVPAA-F-INS-055A RAW '!AB30="","",'Finalterm OVPAA-F-INS-055A RAW '!AB30/'Finalterm OVPAA-F-INS-055A RAW '!AB$17*100)</f>
        <v/>
      </c>
      <c r="AC30" s="126" t="str">
        <f>IF('Finalterm OVPAA-F-INS-055A RAW '!AC30="","",'Finalterm OVPAA-F-INS-055A RAW '!AC30/'Finalterm OVPAA-F-INS-055A RAW '!AC$17*100)</f>
        <v/>
      </c>
      <c r="AD30" s="126" t="str">
        <f>IF('Finalterm OVPAA-F-INS-055A RAW '!AD30="","",'Finalterm OVPAA-F-INS-055A RAW '!AD30/'Finalterm OVPAA-F-INS-055A RAW '!AD$17*100)</f>
        <v/>
      </c>
      <c r="AE30" s="126" t="str">
        <f>IF('Finalterm OVPAA-F-INS-055A RAW '!AE30="","",'Finalterm OVPAA-F-INS-055A RAW '!AE30/'Finalterm OVPAA-F-INS-055A RAW '!AE$17*100)</f>
        <v/>
      </c>
      <c r="AF30" s="126" t="str">
        <f>IF('Finalterm OVPAA-F-INS-055A RAW '!AF30="","",'Finalterm OVPAA-F-INS-055A RAW '!AF30/'Finalterm OVPAA-F-INS-055A RAW '!AF$17*100)</f>
        <v/>
      </c>
      <c r="AG30" s="126" t="str">
        <f>IF('Finalterm OVPAA-F-INS-055A RAW '!AG30="","",'Finalterm OVPAA-F-INS-055A RAW '!AG30/'Finalterm OVPAA-F-INS-055A RAW '!AG$17*100)</f>
        <v/>
      </c>
      <c r="AH30" s="126" t="str">
        <f>IF('Finalterm OVPAA-F-INS-055A RAW '!AH30="","",'Finalterm OVPAA-F-INS-055A RAW '!AH30/'Finalterm OVPAA-F-INS-055A RAW '!AH$17*100)</f>
        <v/>
      </c>
      <c r="AI30" s="126" t="str">
        <f>IF('Finalterm OVPAA-F-INS-055A RAW '!AI30="","",'Finalterm OVPAA-F-INS-055A RAW '!AI30/'Finalterm OVPAA-F-INS-055A RAW '!AI$17*100)</f>
        <v/>
      </c>
      <c r="AJ30" s="126" t="str">
        <f>IF('Finalterm OVPAA-F-INS-055A RAW '!AJ30="","",'Finalterm OVPAA-F-INS-055A RAW '!AJ30/'Finalterm OVPAA-F-INS-055A RAW '!AJ$17*100)</f>
        <v/>
      </c>
      <c r="AK30" s="126" t="str">
        <f>IF('Finalterm OVPAA-F-INS-055A RAW '!AK30="","",'Finalterm OVPAA-F-INS-055A RAW '!AK30/'Finalterm OVPAA-F-INS-055A RAW '!AK$17*100)</f>
        <v/>
      </c>
      <c r="AL30" s="126" t="str">
        <f>IF('Finalterm OVPAA-F-INS-055A RAW '!AL30="","",'Finalterm OVPAA-F-INS-055A RAW '!AL30/'Finalterm OVPAA-F-INS-055A RAW '!AL$17*100)</f>
        <v/>
      </c>
      <c r="AM30" s="126" t="str">
        <f>IF('Finalterm OVPAA-F-INS-055A RAW '!AM30="","",'Finalterm OVPAA-F-INS-055A RAW '!AM30/'Finalterm OVPAA-F-INS-055A RAW '!AM$17*100)</f>
        <v/>
      </c>
      <c r="AN30" s="126" t="str">
        <f>IF('Finalterm OVPAA-F-INS-055A RAW '!AN30="","",'Finalterm OVPAA-F-INS-055A RAW '!AN30/'Finalterm OVPAA-F-INS-055A RAW '!AN$17*100)</f>
        <v/>
      </c>
      <c r="AO30" s="126" t="str">
        <f>IF('Finalterm OVPAA-F-INS-055A RAW '!AO30="","",'Finalterm OVPAA-F-INS-055A RAW '!AO30/'Finalterm OVPAA-F-INS-055A RAW '!AO$17*100)</f>
        <v/>
      </c>
      <c r="AP30" s="126" t="str">
        <f>IF('Finalterm OVPAA-F-INS-055A RAW '!AP30="","",'Finalterm OVPAA-F-INS-055A RAW '!AP30/'Finalterm OVPAA-F-INS-055A RAW '!AP$17*100)</f>
        <v/>
      </c>
      <c r="AQ30" s="126" t="str">
        <f>IF('Finalterm OVPAA-F-INS-055A RAW '!AQ30="","",'Finalterm OVPAA-F-INS-055A RAW '!AQ30/'Finalterm OVPAA-F-INS-055A RAW '!AQ$17*100)</f>
        <v/>
      </c>
      <c r="AR30" s="126" t="str">
        <f>IF('Finalterm OVPAA-F-INS-055A RAW '!AR30="","",'Finalterm OVPAA-F-INS-055A RAW '!AR30/'Finalterm OVPAA-F-INS-055A RAW '!AR$17*100)</f>
        <v/>
      </c>
      <c r="AS30" s="126" t="str">
        <f>IF('Finalterm OVPAA-F-INS-055A RAW '!AS30="","",'Finalterm OVPAA-F-INS-055A RAW '!AS30/'Finalterm OVPAA-F-INS-055A RAW '!AS$17*100)</f>
        <v/>
      </c>
      <c r="AT30" s="126" t="str">
        <f>IF('Finalterm OVPAA-F-INS-055A RAW '!AT30="","",'Finalterm OVPAA-F-INS-055A RAW '!AT30/'Finalterm OVPAA-F-INS-055A RAW '!AT$17*100)</f>
        <v/>
      </c>
      <c r="AU30" s="126" t="str">
        <f>IF('Finalterm OVPAA-F-INS-055A RAW '!AU30="","",'Finalterm OVPAA-F-INS-055A RAW '!AU30/'Finalterm OVPAA-F-INS-055A RAW '!AU$17*100)</f>
        <v/>
      </c>
      <c r="AV30" s="126" t="str">
        <f>IF('Finalterm OVPAA-F-INS-055A RAW '!AV30="","",'Finalterm OVPAA-F-INS-055A RAW '!AV30/'Finalterm OVPAA-F-INS-055A RAW '!AV$17*100)</f>
        <v/>
      </c>
      <c r="AW30" s="126" t="str">
        <f>IF('Finalterm OVPAA-F-INS-055A RAW '!AW30="","",'Finalterm OVPAA-F-INS-055A RAW '!AW30/'Finalterm OVPAA-F-INS-055A RAW '!AW$17*100)</f>
        <v/>
      </c>
      <c r="AX30" s="126" t="str">
        <f>IF('Finalterm OVPAA-F-INS-055A RAW '!AX30="","",'Finalterm OVPAA-F-INS-055A RAW '!AX30/'Finalterm OVPAA-F-INS-055A RAW '!AX$17*100)</f>
        <v/>
      </c>
      <c r="AY30" s="126" t="str">
        <f>IF('Finalterm OVPAA-F-INS-055A RAW '!AY30="","",'Finalterm OVPAA-F-INS-055A RAW '!AY30/'Finalterm OVPAA-F-INS-055A RAW '!AY$17*100)</f>
        <v/>
      </c>
      <c r="AZ30" s="126" t="str">
        <f>IF('Finalterm OVPAA-F-INS-055A RAW '!AZ30="","",'Finalterm OVPAA-F-INS-055A RAW '!AZ30/'Finalterm OVPAA-F-INS-055A RAW '!AZ$17*100)</f>
        <v/>
      </c>
      <c r="BA30" s="126" t="str">
        <f>IF('Finalterm OVPAA-F-INS-055A RAW '!BA30="","",'Finalterm OVPAA-F-INS-055A RAW '!BA30/'Finalterm OVPAA-F-INS-055A RAW '!BA$17*100)</f>
        <v/>
      </c>
      <c r="BB30" s="126" t="str">
        <f>IF('Finalterm OVPAA-F-INS-055A RAW '!BB30="","",'Finalterm OVPAA-F-INS-055A RAW '!BB30/'Finalterm OVPAA-F-INS-055A RAW '!BB$17*100)</f>
        <v/>
      </c>
      <c r="BC30" s="126" t="str">
        <f>IF('Finalterm OVPAA-F-INS-055A RAW '!BC30="","",'Finalterm OVPAA-F-INS-055A RAW '!BC30/'Finalterm OVPAA-F-INS-055A RAW '!BC$17*100)</f>
        <v/>
      </c>
      <c r="BD30" s="126" t="str">
        <f>IF('Finalterm OVPAA-F-INS-055A RAW '!BD30="","",'Finalterm OVPAA-F-INS-055A RAW '!BD30/'Finalterm OVPAA-F-INS-055A RAW '!BD$17*100)</f>
        <v/>
      </c>
      <c r="BE30" s="126" t="str">
        <f>IF('Finalterm OVPAA-F-INS-055A RAW '!BE30="","",'Finalterm OVPAA-F-INS-055A RAW '!BE30/'Finalterm OVPAA-F-INS-055A RAW '!BE$17*100)</f>
        <v/>
      </c>
      <c r="BF30" s="126" t="str">
        <f>IF('Finalterm OVPAA-F-INS-055A RAW '!BF30="","",'Finalterm OVPAA-F-INS-055A RAW '!BF30/'Finalterm OVPAA-F-INS-055A RAW '!BF$17*100)</f>
        <v/>
      </c>
      <c r="BG30" s="126" t="str">
        <f>IF('Finalterm OVPAA-F-INS-055A RAW '!BG30="","",'Finalterm OVPAA-F-INS-055A RAW '!BG30/'Finalterm OVPAA-F-INS-055A RAW '!BG$17*100)</f>
        <v/>
      </c>
      <c r="BH30" s="126" t="str">
        <f>IF('Finalterm OVPAA-F-INS-055A RAW '!BH30="","",'Finalterm OVPAA-F-INS-055A RAW '!BH30/'Finalterm OVPAA-F-INS-055A RAW '!BH$17*100)</f>
        <v/>
      </c>
      <c r="BI30" s="126" t="str">
        <f>IF('Finalterm OVPAA-F-INS-055A RAW '!BI30="","",'Finalterm OVPAA-F-INS-055A RAW '!BI30/'Finalterm OVPAA-F-INS-055A RAW '!BI$17*100)</f>
        <v/>
      </c>
      <c r="BJ30" s="126" t="str">
        <f>IF('Finalterm OVPAA-F-INS-055A RAW '!BJ30="","",'Finalterm OVPAA-F-INS-055A RAW '!BJ30/'Finalterm OVPAA-F-INS-055A RAW '!BJ$17*100)</f>
        <v/>
      </c>
      <c r="BK30" s="126" t="str">
        <f>IF('Finalterm OVPAA-F-INS-055A RAW '!BK30="","",'Finalterm OVPAA-F-INS-055A RAW '!BK30/'Finalterm OVPAA-F-INS-055A RAW '!BK$17*100)</f>
        <v/>
      </c>
      <c r="BL30" s="126" t="str">
        <f>IF('Finalterm OVPAA-F-INS-055A RAW '!BL30="","",'Finalterm OVPAA-F-INS-055A RAW '!BL30/'Finalterm OVPAA-F-INS-055A RAW '!BL$17*100)</f>
        <v/>
      </c>
      <c r="BM30" s="126" t="str">
        <f>IF('Finalterm OVPAA-F-INS-055A RAW '!BM30="","",'Finalterm OVPAA-F-INS-055A RAW '!BM30/'Finalterm OVPAA-F-INS-055A RAW '!BM$17*100)</f>
        <v/>
      </c>
      <c r="BN30" s="126" t="str">
        <f>IF('Finalterm OVPAA-F-INS-055A RAW '!BN30="","",'Finalterm OVPAA-F-INS-055A RAW '!BN30/'Finalterm OVPAA-F-INS-055A RAW '!BN$17*100)</f>
        <v/>
      </c>
      <c r="BO30" s="126" t="str">
        <f>IF('Finalterm OVPAA-F-INS-055A RAW '!BO30="","",'Finalterm OVPAA-F-INS-055A RAW '!BO30/'Finalterm OVPAA-F-INS-055A RAW '!BO$17*100)</f>
        <v/>
      </c>
      <c r="BP30" s="126" t="str">
        <f>IF('Finalterm OVPAA-F-INS-055A RAW '!BP30="","",'Finalterm OVPAA-F-INS-055A RAW '!BP30/'Finalterm OVPAA-F-INS-055A RAW '!BP$17*100)</f>
        <v/>
      </c>
      <c r="BQ30" s="126" t="str">
        <f>IF('Finalterm OVPAA-F-INS-055A RAW '!BQ30="","",'Finalterm OVPAA-F-INS-055A RAW '!BQ30/'Finalterm OVPAA-F-INS-055A RAW '!BQ$17*100)</f>
        <v/>
      </c>
      <c r="BR30" s="126" t="str">
        <f>IF('Finalterm OVPAA-F-INS-055A RAW '!BR30="","",'Finalterm OVPAA-F-INS-055A RAW '!BR30/'Finalterm OVPAA-F-INS-055A RAW '!BR$17*100)</f>
        <v/>
      </c>
      <c r="BS30" s="126" t="str">
        <f>IF('Finalterm OVPAA-F-INS-055A RAW '!BS30="","",'Finalterm OVPAA-F-INS-055A RAW '!BS30/'Finalterm OVPAA-F-INS-055A RAW '!BS$17*100)</f>
        <v/>
      </c>
      <c r="BT30" s="126" t="str">
        <f>IF('Finalterm OVPAA-F-INS-055A RAW '!BT30="","",'Finalterm OVPAA-F-INS-055A RAW '!BT30/'Finalterm OVPAA-F-INS-055A RAW '!BT$17*100)</f>
        <v/>
      </c>
      <c r="BU30" s="127">
        <f t="array" ref="BU30">IF('Finalterm OVPAA-F-INS-055A RAW '!$G30="","",IF((SUMPRODUCT(--ISBLANK('Finalterm OVPAA-F-INS-055A RAW '!H30:BT30))=COLUMNS('Finalterm OVPAA-F-INS-055A RAW '!H30:BT30))=TRUE,"",(((COUNTA('Finalterm OVPAA-F-INS-055A RAW '!$H$17:$BT$17)+COUNTBLANK('Finalterm OVPAA-F-INS-055A RAW '!H30:BT30))-COLUMNS('Finalterm OVPAA-F-INS-055A RAW '!H30:BT30))*5+SUM(H30:BT30))/COUNTA('Finalterm OVPAA-F-INS-055A RAW '!$H$17:$BT$17)))</f>
        <v>92</v>
      </c>
      <c r="BV30" s="165">
        <f>IF(BU30="","",VLOOKUP(BU30,IF('Midterm OVPAA-F-INS-055A RAW SC'!$V$12=0.5,TRANSMUTATION!$C$4:$D$17,TRANSMUTATION!$G$4:$H$17),2,TRUE))</f>
        <v>1.25</v>
      </c>
      <c r="BW30" s="129">
        <f>IF('Finalterm OVPAA-F-INS-055A RAW '!BU30="","",'Finalterm OVPAA-F-INS-055A RAW '!BU30/'Finalterm OVPAA-F-INS-055A RAW '!BU$17*100)</f>
        <v>92</v>
      </c>
      <c r="BX30" s="130">
        <f>IF('Finalterm OVPAA-F-INS-055A RAW '!BV30="","",'Finalterm OVPAA-F-INS-055A RAW '!BV30/'Finalterm OVPAA-F-INS-055A RAW '!BV$17*100)</f>
        <v>100</v>
      </c>
      <c r="BY30" s="130">
        <f>IF('Finalterm OVPAA-F-INS-055A RAW '!BW30="","",'Finalterm OVPAA-F-INS-055A RAW '!BW30/'Finalterm OVPAA-F-INS-055A RAW '!BW$17*100)</f>
        <v>100</v>
      </c>
      <c r="BZ30" s="130" t="str">
        <f>IF('Finalterm OVPAA-F-INS-055A RAW '!BX30="","",'Finalterm OVPAA-F-INS-055A RAW '!BX30/'Finalterm OVPAA-F-INS-055A RAW '!BX$17*100)</f>
        <v/>
      </c>
      <c r="CA30" s="130" t="str">
        <f>IF('Finalterm OVPAA-F-INS-055A RAW '!BY30="","",'Finalterm OVPAA-F-INS-055A RAW '!BY30/'Finalterm OVPAA-F-INS-055A RAW '!BY$17*100)</f>
        <v/>
      </c>
      <c r="CB30" s="130" t="str">
        <f>IF('Finalterm OVPAA-F-INS-055A RAW '!BZ30="","",'Finalterm OVPAA-F-INS-055A RAW '!BZ30/'Finalterm OVPAA-F-INS-055A RAW '!BZ$17*100)</f>
        <v/>
      </c>
      <c r="CC30" s="130" t="str">
        <f>IF('Finalterm OVPAA-F-INS-055A RAW '!CA30="","",'Finalterm OVPAA-F-INS-055A RAW '!CA30/'Finalterm OVPAA-F-INS-055A RAW '!CA$17*100)</f>
        <v/>
      </c>
      <c r="CD30" s="130" t="str">
        <f>IF('Finalterm OVPAA-F-INS-055A RAW '!CB30="","",'Finalterm OVPAA-F-INS-055A RAW '!CB30/'Finalterm OVPAA-F-INS-055A RAW '!CB$17*100)</f>
        <v/>
      </c>
      <c r="CE30" s="130" t="str">
        <f>IF('Finalterm OVPAA-F-INS-055A RAW '!CC30="","",'Finalterm OVPAA-F-INS-055A RAW '!CC30/'Finalterm OVPAA-F-INS-055A RAW '!CC$17*100)</f>
        <v/>
      </c>
      <c r="CF30" s="130" t="str">
        <f>IF('Finalterm OVPAA-F-INS-055A RAW '!CD30="","",'Finalterm OVPAA-F-INS-055A RAW '!CD30/'Finalterm OVPAA-F-INS-055A RAW '!CD$17*100)</f>
        <v/>
      </c>
      <c r="CG30" s="130" t="str">
        <f>IF('Finalterm OVPAA-F-INS-055A RAW '!CE30="","",'Finalterm OVPAA-F-INS-055A RAW '!CE30/'Finalterm OVPAA-F-INS-055A RAW '!CE$17*100)</f>
        <v/>
      </c>
      <c r="CH30" s="130" t="str">
        <f>IF('Finalterm OVPAA-F-INS-055A RAW '!CF30="","",'Finalterm OVPAA-F-INS-055A RAW '!CF30/'Finalterm OVPAA-F-INS-055A RAW '!CF$17*100)</f>
        <v/>
      </c>
      <c r="CI30" s="130" t="str">
        <f>IF('Finalterm OVPAA-F-INS-055A RAW '!CG30="","",'Finalterm OVPAA-F-INS-055A RAW '!CG30/'Finalterm OVPAA-F-INS-055A RAW '!CG$17*100)</f>
        <v/>
      </c>
      <c r="CJ30" s="130" t="str">
        <f>IF('Finalterm OVPAA-F-INS-055A RAW '!CH30="","",'Finalterm OVPAA-F-INS-055A RAW '!CH30/'Finalterm OVPAA-F-INS-055A RAW '!CH$17*100)</f>
        <v/>
      </c>
      <c r="CK30" s="130" t="str">
        <f>IF('Finalterm OVPAA-F-INS-055A RAW '!CI30="","",'Finalterm OVPAA-F-INS-055A RAW '!CI30/'Finalterm OVPAA-F-INS-055A RAW '!CI$17*100)</f>
        <v/>
      </c>
      <c r="CL30" s="130" t="str">
        <f>IF('Finalterm OVPAA-F-INS-055A RAW '!CJ30="","",'Finalterm OVPAA-F-INS-055A RAW '!CJ30/'Finalterm OVPAA-F-INS-055A RAW '!CJ$17*100)</f>
        <v/>
      </c>
      <c r="CM30" s="130" t="str">
        <f>IF('Finalterm OVPAA-F-INS-055A RAW '!CK30="","",'Finalterm OVPAA-F-INS-055A RAW '!CK30/'Finalterm OVPAA-F-INS-055A RAW '!CK$17*100)</f>
        <v/>
      </c>
      <c r="CN30" s="130" t="str">
        <f>IF('Finalterm OVPAA-F-INS-055A RAW '!CL30="","",'Finalterm OVPAA-F-INS-055A RAW '!CL30/'Finalterm OVPAA-F-INS-055A RAW '!CL$17*100)</f>
        <v/>
      </c>
      <c r="CO30" s="130" t="str">
        <f>IF('Finalterm OVPAA-F-INS-055A RAW '!CM30="","",'Finalterm OVPAA-F-INS-055A RAW '!CM30/'Finalterm OVPAA-F-INS-055A RAW '!CM$17*100)</f>
        <v/>
      </c>
      <c r="CP30" s="130" t="str">
        <f>IF('Finalterm OVPAA-F-INS-055A RAW '!CN30="","",'Finalterm OVPAA-F-INS-055A RAW '!CN30/'Finalterm OVPAA-F-INS-055A RAW '!CN$17*100)</f>
        <v/>
      </c>
      <c r="CQ30" s="131">
        <f t="array" ref="CQ30">IF('Midterm OVPAA-F-INS-055A RAW SC'!G30="","",IF((SUMPRODUCT(--ISBLANK('Finalterm OVPAA-F-INS-055A RAW '!BU30:CN30))=COLUMNS('Finalterm OVPAA-F-INS-055A RAW '!BU30:CN30))=TRUE,"",(((COUNTA('Finalterm OVPAA-F-INS-055A RAW '!$BU$17:$CN$17)+COUNTBLANK('Finalterm OVPAA-F-INS-055A RAW '!BU30:CN30))-COLUMNS('Finalterm OVPAA-F-INS-055A RAW '!BU30:CN30))*5+SUM(BW30:CP30))/COUNTA('Finalterm OVPAA-F-INS-055A RAW '!$BU$17:$CN$17)))</f>
        <v>97.333333333333329</v>
      </c>
      <c r="CR30" s="132">
        <f>IF(CQ30="","",VLOOKUP(CQ30,IF('Midterm OVPAA-F-INS-055A RAW SC'!$V$12=0.5,TRANSMUTATION!$C$4:$D$17,TRANSMUTATION!$G$4:$H$17),2,TRUE))</f>
        <v>1</v>
      </c>
      <c r="CS30" s="133">
        <f>IF('Finalterm OVPAA-F-INS-055A RAW '!CO30="","",'Finalterm OVPAA-F-INS-055A RAW '!CO30/'Finalterm OVPAA-F-INS-055A RAW '!CO$17*100)</f>
        <v>100</v>
      </c>
      <c r="CT30" s="133">
        <f>IF('Finalterm OVPAA-F-INS-055A RAW '!CP30="","",'Finalterm OVPAA-F-INS-055A RAW '!CP30/'Finalterm OVPAA-F-INS-055A RAW '!CP$17*100)</f>
        <v>72.5</v>
      </c>
      <c r="CU30" s="133" t="str">
        <f>IF('Finalterm OVPAA-F-INS-055A RAW '!CQ30="","",'Finalterm OVPAA-F-INS-055A RAW '!CQ30/'Finalterm OVPAA-F-INS-055A RAW '!CQ$17*100)</f>
        <v/>
      </c>
      <c r="CV30" s="133" t="str">
        <f>IF('Finalterm OVPAA-F-INS-055A RAW '!CR30="","",'Finalterm OVPAA-F-INS-055A RAW '!CR30/'Finalterm OVPAA-F-INS-055A RAW '!CR$17*100)</f>
        <v/>
      </c>
      <c r="CW30" s="133" t="str">
        <f>IF('Finalterm OVPAA-F-INS-055A RAW '!CS30="","",'Finalterm OVPAA-F-INS-055A RAW '!CS30/'Finalterm OVPAA-F-INS-055A RAW '!CS$17*100)</f>
        <v/>
      </c>
      <c r="CX30" s="133" t="str">
        <f>IF('Finalterm OVPAA-F-INS-055A RAW '!CT30="","",'Finalterm OVPAA-F-INS-055A RAW '!CT30/'Finalterm OVPAA-F-INS-055A RAW '!CT$17*100)</f>
        <v/>
      </c>
      <c r="CY30" s="133" t="str">
        <f>IF('Finalterm OVPAA-F-INS-055A RAW '!CU30="","",'Finalterm OVPAA-F-INS-055A RAW '!CU30/'Finalterm OVPAA-F-INS-055A RAW '!CU$17*100)</f>
        <v/>
      </c>
      <c r="CZ30" s="133" t="str">
        <f>IF('Finalterm OVPAA-F-INS-055A RAW '!CV30="","",'Finalterm OVPAA-F-INS-055A RAW '!CV30/'Finalterm OVPAA-F-INS-055A RAW '!CV$17*100)</f>
        <v/>
      </c>
      <c r="DA30" s="133" t="str">
        <f>IF('Finalterm OVPAA-F-INS-055A RAW '!CW30="","",'Finalterm OVPAA-F-INS-055A RAW '!CW30/'Finalterm OVPAA-F-INS-055A RAW '!CW$17*100)</f>
        <v/>
      </c>
      <c r="DB30" s="133" t="str">
        <f>IF('Finalterm OVPAA-F-INS-055A RAW '!CX30="","",'Finalterm OVPAA-F-INS-055A RAW '!CX30/'Finalterm OVPAA-F-INS-055A RAW '!CX$17*100)</f>
        <v/>
      </c>
      <c r="DC30" s="134">
        <f t="array" ref="DC30">IF('Midterm OVPAA-F-INS-055A RAW SC'!$G30="","",IF((SUMPRODUCT(--ISBLANK('Finalterm OVPAA-F-INS-055A RAW '!CO30:CX30))=COLUMNS('Finalterm OVPAA-F-INS-055A RAW '!CO30:CX30))=TRUE,"",(((COUNTA('Finalterm OVPAA-F-INS-055A RAW '!$CO$17:$CX$17)+COUNTBLANK('Finalterm OVPAA-F-INS-055A RAW '!CO30:CX30))-COLUMNS('Finalterm OVPAA-F-INS-055A RAW '!CO30:CX30))*5+SUM(CS30:DB30))/COUNTA('Finalterm OVPAA-F-INS-055A RAW '!$CO$17:$CX$17)))</f>
        <v>86.25</v>
      </c>
      <c r="DD30" s="135">
        <f>IF(DC30="","",VLOOKUP(DC30,IF('Midterm OVPAA-F-INS-055A RAW SC'!$V$12=0.5,TRANSMUTATION!$C$4:$D$17,TRANSMUTATION!$G$4:$H$17),2,TRUE))</f>
        <v>1.5</v>
      </c>
      <c r="DE30" s="136">
        <f t="shared" si="1"/>
        <v>0.375</v>
      </c>
      <c r="DF30" s="166">
        <f t="shared" si="2"/>
        <v>0.3</v>
      </c>
      <c r="DG30" s="167">
        <f t="shared" si="3"/>
        <v>0.60000000000000009</v>
      </c>
      <c r="DH30" s="168">
        <f t="shared" si="4"/>
        <v>1.2750000000000001</v>
      </c>
      <c r="DI30" s="169" t="str">
        <f t="shared" si="5"/>
        <v>1.25</v>
      </c>
    </row>
    <row r="31" spans="5:113" ht="15.75" customHeight="1">
      <c r="E31" s="59">
        <v>14</v>
      </c>
      <c r="F31" s="124">
        <f>IF(NOT(ISBLANK('Midterm OVPAA-F-INS-055A RAW SC'!F31)),'Midterm OVPAA-F-INS-055A RAW SC'!F31,"")</f>
        <v>22</v>
      </c>
      <c r="G31" s="125" t="str">
        <f>IF(NOT(ISBLANK('Midterm OVPAA-F-INS-055A RAW SC'!G31)),'Midterm OVPAA-F-INS-055A RAW SC'!G31,"")</f>
        <v>Merina, Meljon G.</v>
      </c>
      <c r="H31" s="126">
        <f>IF('Finalterm OVPAA-F-INS-055A RAW '!H31="","",'Finalterm OVPAA-F-INS-055A RAW '!H31/'Finalterm OVPAA-F-INS-055A RAW '!H$17*100)</f>
        <v>100</v>
      </c>
      <c r="I31" s="126">
        <f>IF('Finalterm OVPAA-F-INS-055A RAW '!I31="","",'Finalterm OVPAA-F-INS-055A RAW '!I31/'Finalterm OVPAA-F-INS-055A RAW '!I$17*100)</f>
        <v>100</v>
      </c>
      <c r="J31" s="126">
        <f>IF('Finalterm OVPAA-F-INS-055A RAW '!J31="","",'Finalterm OVPAA-F-INS-055A RAW '!J31/'Finalterm OVPAA-F-INS-055A RAW '!J$17*100)</f>
        <v>60</v>
      </c>
      <c r="K31" s="126">
        <f>IF('Finalterm OVPAA-F-INS-055A RAW '!K31="","",'Finalterm OVPAA-F-INS-055A RAW '!K31/'Finalterm OVPAA-F-INS-055A RAW '!K$17*100)</f>
        <v>100</v>
      </c>
      <c r="L31" s="126">
        <f>IF('Finalterm OVPAA-F-INS-055A RAW '!L31="","",'Finalterm OVPAA-F-INS-055A RAW '!L31/'Finalterm OVPAA-F-INS-055A RAW '!L$17*100)</f>
        <v>100</v>
      </c>
      <c r="M31" s="126" t="str">
        <f>IF('Finalterm OVPAA-F-INS-055A RAW '!M31="","",'Finalterm OVPAA-F-INS-055A RAW '!M31/'Finalterm OVPAA-F-INS-055A RAW '!M$17*100)</f>
        <v/>
      </c>
      <c r="N31" s="126" t="str">
        <f>IF('Finalterm OVPAA-F-INS-055A RAW '!N31="","",'Finalterm OVPAA-F-INS-055A RAW '!N31/'Finalterm OVPAA-F-INS-055A RAW '!N$17*100)</f>
        <v/>
      </c>
      <c r="O31" s="126" t="str">
        <f>IF('Finalterm OVPAA-F-INS-055A RAW '!O31="","",'Finalterm OVPAA-F-INS-055A RAW '!O31/'Finalterm OVPAA-F-INS-055A RAW '!O$17*100)</f>
        <v/>
      </c>
      <c r="P31" s="126" t="str">
        <f>IF('Finalterm OVPAA-F-INS-055A RAW '!P31="","",'Finalterm OVPAA-F-INS-055A RAW '!P31/'Finalterm OVPAA-F-INS-055A RAW '!P$17*100)</f>
        <v/>
      </c>
      <c r="Q31" s="126" t="str">
        <f>IF('Finalterm OVPAA-F-INS-055A RAW '!Q31="","",'Finalterm OVPAA-F-INS-055A RAW '!Q31/'Finalterm OVPAA-F-INS-055A RAW '!Q$17*100)</f>
        <v/>
      </c>
      <c r="R31" s="126" t="str">
        <f>IF('Finalterm OVPAA-F-INS-055A RAW '!R31="","",'Finalterm OVPAA-F-INS-055A RAW '!R31/'Finalterm OVPAA-F-INS-055A RAW '!R$17*100)</f>
        <v/>
      </c>
      <c r="S31" s="126" t="str">
        <f>IF('Finalterm OVPAA-F-INS-055A RAW '!S31="","",'Finalterm OVPAA-F-INS-055A RAW '!S31/'Finalterm OVPAA-F-INS-055A RAW '!S$17*100)</f>
        <v/>
      </c>
      <c r="T31" s="126" t="str">
        <f>IF('Finalterm OVPAA-F-INS-055A RAW '!T31="","",'Finalterm OVPAA-F-INS-055A RAW '!T31/'Finalterm OVPAA-F-INS-055A RAW '!T$17*100)</f>
        <v/>
      </c>
      <c r="U31" s="126" t="str">
        <f>IF('Finalterm OVPAA-F-INS-055A RAW '!U31="","",'Finalterm OVPAA-F-INS-055A RAW '!U31/'Finalterm OVPAA-F-INS-055A RAW '!U$17*100)</f>
        <v/>
      </c>
      <c r="V31" s="126" t="str">
        <f>IF('Finalterm OVPAA-F-INS-055A RAW '!V31="","",'Finalterm OVPAA-F-INS-055A RAW '!V31/'Finalterm OVPAA-F-INS-055A RAW '!V$17*100)</f>
        <v/>
      </c>
      <c r="W31" s="126" t="str">
        <f>IF('Finalterm OVPAA-F-INS-055A RAW '!W31="","",'Finalterm OVPAA-F-INS-055A RAW '!W31/'Finalterm OVPAA-F-INS-055A RAW '!W$17*100)</f>
        <v/>
      </c>
      <c r="X31" s="126" t="str">
        <f>IF('Finalterm OVPAA-F-INS-055A RAW '!X31="","",'Finalterm OVPAA-F-INS-055A RAW '!X31/'Finalterm OVPAA-F-INS-055A RAW '!X$17*100)</f>
        <v/>
      </c>
      <c r="Y31" s="126" t="str">
        <f>IF('Finalterm OVPAA-F-INS-055A RAW '!Y31="","",'Finalterm OVPAA-F-INS-055A RAW '!Y31/'Finalterm OVPAA-F-INS-055A RAW '!Y$17*100)</f>
        <v/>
      </c>
      <c r="Z31" s="126" t="str">
        <f>IF('Finalterm OVPAA-F-INS-055A RAW '!Z31="","",'Finalterm OVPAA-F-INS-055A RAW '!Z31/'Finalterm OVPAA-F-INS-055A RAW '!Z$17*100)</f>
        <v/>
      </c>
      <c r="AA31" s="126" t="str">
        <f>IF('Finalterm OVPAA-F-INS-055A RAW '!AA31="","",'Finalterm OVPAA-F-INS-055A RAW '!AA31/'Finalterm OVPAA-F-INS-055A RAW '!AA$17*100)</f>
        <v/>
      </c>
      <c r="AB31" s="126" t="str">
        <f>IF('Finalterm OVPAA-F-INS-055A RAW '!AB31="","",'Finalterm OVPAA-F-INS-055A RAW '!AB31/'Finalterm OVPAA-F-INS-055A RAW '!AB$17*100)</f>
        <v/>
      </c>
      <c r="AC31" s="126" t="str">
        <f>IF('Finalterm OVPAA-F-INS-055A RAW '!AC31="","",'Finalterm OVPAA-F-INS-055A RAW '!AC31/'Finalterm OVPAA-F-INS-055A RAW '!AC$17*100)</f>
        <v/>
      </c>
      <c r="AD31" s="126" t="str">
        <f>IF('Finalterm OVPAA-F-INS-055A RAW '!AD31="","",'Finalterm OVPAA-F-INS-055A RAW '!AD31/'Finalterm OVPAA-F-INS-055A RAW '!AD$17*100)</f>
        <v/>
      </c>
      <c r="AE31" s="126" t="str">
        <f>IF('Finalterm OVPAA-F-INS-055A RAW '!AE31="","",'Finalterm OVPAA-F-INS-055A RAW '!AE31/'Finalterm OVPAA-F-INS-055A RAW '!AE$17*100)</f>
        <v/>
      </c>
      <c r="AF31" s="126" t="str">
        <f>IF('Finalterm OVPAA-F-INS-055A RAW '!AF31="","",'Finalterm OVPAA-F-INS-055A RAW '!AF31/'Finalterm OVPAA-F-INS-055A RAW '!AF$17*100)</f>
        <v/>
      </c>
      <c r="AG31" s="126" t="str">
        <f>IF('Finalterm OVPAA-F-INS-055A RAW '!AG31="","",'Finalterm OVPAA-F-INS-055A RAW '!AG31/'Finalterm OVPAA-F-INS-055A RAW '!AG$17*100)</f>
        <v/>
      </c>
      <c r="AH31" s="126" t="str">
        <f>IF('Finalterm OVPAA-F-INS-055A RAW '!AH31="","",'Finalterm OVPAA-F-INS-055A RAW '!AH31/'Finalterm OVPAA-F-INS-055A RAW '!AH$17*100)</f>
        <v/>
      </c>
      <c r="AI31" s="126" t="str">
        <f>IF('Finalterm OVPAA-F-INS-055A RAW '!AI31="","",'Finalterm OVPAA-F-INS-055A RAW '!AI31/'Finalterm OVPAA-F-INS-055A RAW '!AI$17*100)</f>
        <v/>
      </c>
      <c r="AJ31" s="126" t="str">
        <f>IF('Finalterm OVPAA-F-INS-055A RAW '!AJ31="","",'Finalterm OVPAA-F-INS-055A RAW '!AJ31/'Finalterm OVPAA-F-INS-055A RAW '!AJ$17*100)</f>
        <v/>
      </c>
      <c r="AK31" s="126" t="str">
        <f>IF('Finalterm OVPAA-F-INS-055A RAW '!AK31="","",'Finalterm OVPAA-F-INS-055A RAW '!AK31/'Finalterm OVPAA-F-INS-055A RAW '!AK$17*100)</f>
        <v/>
      </c>
      <c r="AL31" s="126" t="str">
        <f>IF('Finalterm OVPAA-F-INS-055A RAW '!AL31="","",'Finalterm OVPAA-F-INS-055A RAW '!AL31/'Finalterm OVPAA-F-INS-055A RAW '!AL$17*100)</f>
        <v/>
      </c>
      <c r="AM31" s="126" t="str">
        <f>IF('Finalterm OVPAA-F-INS-055A RAW '!AM31="","",'Finalterm OVPAA-F-INS-055A RAW '!AM31/'Finalterm OVPAA-F-INS-055A RAW '!AM$17*100)</f>
        <v/>
      </c>
      <c r="AN31" s="126" t="str">
        <f>IF('Finalterm OVPAA-F-INS-055A RAW '!AN31="","",'Finalterm OVPAA-F-INS-055A RAW '!AN31/'Finalterm OVPAA-F-INS-055A RAW '!AN$17*100)</f>
        <v/>
      </c>
      <c r="AO31" s="126" t="str">
        <f>IF('Finalterm OVPAA-F-INS-055A RAW '!AO31="","",'Finalterm OVPAA-F-INS-055A RAW '!AO31/'Finalterm OVPAA-F-INS-055A RAW '!AO$17*100)</f>
        <v/>
      </c>
      <c r="AP31" s="126" t="str">
        <f>IF('Finalterm OVPAA-F-INS-055A RAW '!AP31="","",'Finalterm OVPAA-F-INS-055A RAW '!AP31/'Finalterm OVPAA-F-INS-055A RAW '!AP$17*100)</f>
        <v/>
      </c>
      <c r="AQ31" s="126" t="str">
        <f>IF('Finalterm OVPAA-F-INS-055A RAW '!AQ31="","",'Finalterm OVPAA-F-INS-055A RAW '!AQ31/'Finalterm OVPAA-F-INS-055A RAW '!AQ$17*100)</f>
        <v/>
      </c>
      <c r="AR31" s="126" t="str">
        <f>IF('Finalterm OVPAA-F-INS-055A RAW '!AR31="","",'Finalterm OVPAA-F-INS-055A RAW '!AR31/'Finalterm OVPAA-F-INS-055A RAW '!AR$17*100)</f>
        <v/>
      </c>
      <c r="AS31" s="126" t="str">
        <f>IF('Finalterm OVPAA-F-INS-055A RAW '!AS31="","",'Finalterm OVPAA-F-INS-055A RAW '!AS31/'Finalterm OVPAA-F-INS-055A RAW '!AS$17*100)</f>
        <v/>
      </c>
      <c r="AT31" s="126" t="str">
        <f>IF('Finalterm OVPAA-F-INS-055A RAW '!AT31="","",'Finalterm OVPAA-F-INS-055A RAW '!AT31/'Finalterm OVPAA-F-INS-055A RAW '!AT$17*100)</f>
        <v/>
      </c>
      <c r="AU31" s="126" t="str">
        <f>IF('Finalterm OVPAA-F-INS-055A RAW '!AU31="","",'Finalterm OVPAA-F-INS-055A RAW '!AU31/'Finalterm OVPAA-F-INS-055A RAW '!AU$17*100)</f>
        <v/>
      </c>
      <c r="AV31" s="126" t="str">
        <f>IF('Finalterm OVPAA-F-INS-055A RAW '!AV31="","",'Finalterm OVPAA-F-INS-055A RAW '!AV31/'Finalterm OVPAA-F-INS-055A RAW '!AV$17*100)</f>
        <v/>
      </c>
      <c r="AW31" s="126" t="str">
        <f>IF('Finalterm OVPAA-F-INS-055A RAW '!AW31="","",'Finalterm OVPAA-F-INS-055A RAW '!AW31/'Finalterm OVPAA-F-INS-055A RAW '!AW$17*100)</f>
        <v/>
      </c>
      <c r="AX31" s="126" t="str">
        <f>IF('Finalterm OVPAA-F-INS-055A RAW '!AX31="","",'Finalterm OVPAA-F-INS-055A RAW '!AX31/'Finalterm OVPAA-F-INS-055A RAW '!AX$17*100)</f>
        <v/>
      </c>
      <c r="AY31" s="126" t="str">
        <f>IF('Finalterm OVPAA-F-INS-055A RAW '!AY31="","",'Finalterm OVPAA-F-INS-055A RAW '!AY31/'Finalterm OVPAA-F-INS-055A RAW '!AY$17*100)</f>
        <v/>
      </c>
      <c r="AZ31" s="126" t="str">
        <f>IF('Finalterm OVPAA-F-INS-055A RAW '!AZ31="","",'Finalterm OVPAA-F-INS-055A RAW '!AZ31/'Finalterm OVPAA-F-INS-055A RAW '!AZ$17*100)</f>
        <v/>
      </c>
      <c r="BA31" s="126" t="str">
        <f>IF('Finalterm OVPAA-F-INS-055A RAW '!BA31="","",'Finalterm OVPAA-F-INS-055A RAW '!BA31/'Finalterm OVPAA-F-INS-055A RAW '!BA$17*100)</f>
        <v/>
      </c>
      <c r="BB31" s="126" t="str">
        <f>IF('Finalterm OVPAA-F-INS-055A RAW '!BB31="","",'Finalterm OVPAA-F-INS-055A RAW '!BB31/'Finalterm OVPAA-F-INS-055A RAW '!BB$17*100)</f>
        <v/>
      </c>
      <c r="BC31" s="126" t="str">
        <f>IF('Finalterm OVPAA-F-INS-055A RAW '!BC31="","",'Finalterm OVPAA-F-INS-055A RAW '!BC31/'Finalterm OVPAA-F-INS-055A RAW '!BC$17*100)</f>
        <v/>
      </c>
      <c r="BD31" s="126" t="str">
        <f>IF('Finalterm OVPAA-F-INS-055A RAW '!BD31="","",'Finalterm OVPAA-F-INS-055A RAW '!BD31/'Finalterm OVPAA-F-INS-055A RAW '!BD$17*100)</f>
        <v/>
      </c>
      <c r="BE31" s="126" t="str">
        <f>IF('Finalterm OVPAA-F-INS-055A RAW '!BE31="","",'Finalterm OVPAA-F-INS-055A RAW '!BE31/'Finalterm OVPAA-F-INS-055A RAW '!BE$17*100)</f>
        <v/>
      </c>
      <c r="BF31" s="126" t="str">
        <f>IF('Finalterm OVPAA-F-INS-055A RAW '!BF31="","",'Finalterm OVPAA-F-INS-055A RAW '!BF31/'Finalterm OVPAA-F-INS-055A RAW '!BF$17*100)</f>
        <v/>
      </c>
      <c r="BG31" s="126" t="str">
        <f>IF('Finalterm OVPAA-F-INS-055A RAW '!BG31="","",'Finalterm OVPAA-F-INS-055A RAW '!BG31/'Finalterm OVPAA-F-INS-055A RAW '!BG$17*100)</f>
        <v/>
      </c>
      <c r="BH31" s="126" t="str">
        <f>IF('Finalterm OVPAA-F-INS-055A RAW '!BH31="","",'Finalterm OVPAA-F-INS-055A RAW '!BH31/'Finalterm OVPAA-F-INS-055A RAW '!BH$17*100)</f>
        <v/>
      </c>
      <c r="BI31" s="126" t="str">
        <f>IF('Finalterm OVPAA-F-INS-055A RAW '!BI31="","",'Finalterm OVPAA-F-INS-055A RAW '!BI31/'Finalterm OVPAA-F-INS-055A RAW '!BI$17*100)</f>
        <v/>
      </c>
      <c r="BJ31" s="126" t="str">
        <f>IF('Finalterm OVPAA-F-INS-055A RAW '!BJ31="","",'Finalterm OVPAA-F-INS-055A RAW '!BJ31/'Finalterm OVPAA-F-INS-055A RAW '!BJ$17*100)</f>
        <v/>
      </c>
      <c r="BK31" s="126" t="str">
        <f>IF('Finalterm OVPAA-F-INS-055A RAW '!BK31="","",'Finalterm OVPAA-F-INS-055A RAW '!BK31/'Finalterm OVPAA-F-INS-055A RAW '!BK$17*100)</f>
        <v/>
      </c>
      <c r="BL31" s="126" t="str">
        <f>IF('Finalterm OVPAA-F-INS-055A RAW '!BL31="","",'Finalterm OVPAA-F-INS-055A RAW '!BL31/'Finalterm OVPAA-F-INS-055A RAW '!BL$17*100)</f>
        <v/>
      </c>
      <c r="BM31" s="126" t="str">
        <f>IF('Finalterm OVPAA-F-INS-055A RAW '!BM31="","",'Finalterm OVPAA-F-INS-055A RAW '!BM31/'Finalterm OVPAA-F-INS-055A RAW '!BM$17*100)</f>
        <v/>
      </c>
      <c r="BN31" s="126" t="str">
        <f>IF('Finalterm OVPAA-F-INS-055A RAW '!BN31="","",'Finalterm OVPAA-F-INS-055A RAW '!BN31/'Finalterm OVPAA-F-INS-055A RAW '!BN$17*100)</f>
        <v/>
      </c>
      <c r="BO31" s="126" t="str">
        <f>IF('Finalterm OVPAA-F-INS-055A RAW '!BO31="","",'Finalterm OVPAA-F-INS-055A RAW '!BO31/'Finalterm OVPAA-F-INS-055A RAW '!BO$17*100)</f>
        <v/>
      </c>
      <c r="BP31" s="126" t="str">
        <f>IF('Finalterm OVPAA-F-INS-055A RAW '!BP31="","",'Finalterm OVPAA-F-INS-055A RAW '!BP31/'Finalterm OVPAA-F-INS-055A RAW '!BP$17*100)</f>
        <v/>
      </c>
      <c r="BQ31" s="126" t="str">
        <f>IF('Finalterm OVPAA-F-INS-055A RAW '!BQ31="","",'Finalterm OVPAA-F-INS-055A RAW '!BQ31/'Finalterm OVPAA-F-INS-055A RAW '!BQ$17*100)</f>
        <v/>
      </c>
      <c r="BR31" s="126" t="str">
        <f>IF('Finalterm OVPAA-F-INS-055A RAW '!BR31="","",'Finalterm OVPAA-F-INS-055A RAW '!BR31/'Finalterm OVPAA-F-INS-055A RAW '!BR$17*100)</f>
        <v/>
      </c>
      <c r="BS31" s="126" t="str">
        <f>IF('Finalterm OVPAA-F-INS-055A RAW '!BS31="","",'Finalterm OVPAA-F-INS-055A RAW '!BS31/'Finalterm OVPAA-F-INS-055A RAW '!BS$17*100)</f>
        <v/>
      </c>
      <c r="BT31" s="126" t="str">
        <f>IF('Finalterm OVPAA-F-INS-055A RAW '!BT31="","",'Finalterm OVPAA-F-INS-055A RAW '!BT31/'Finalterm OVPAA-F-INS-055A RAW '!BT$17*100)</f>
        <v/>
      </c>
      <c r="BU31" s="127">
        <f t="array" ref="BU31">IF('Finalterm OVPAA-F-INS-055A RAW '!$G31="","",IF((SUMPRODUCT(--ISBLANK('Finalterm OVPAA-F-INS-055A RAW '!H31:BT31))=COLUMNS('Finalterm OVPAA-F-INS-055A RAW '!H31:BT31))=TRUE,"",(((COUNTA('Finalterm OVPAA-F-INS-055A RAW '!$H$17:$BT$17)+COUNTBLANK('Finalterm OVPAA-F-INS-055A RAW '!H31:BT31))-COLUMNS('Finalterm OVPAA-F-INS-055A RAW '!H31:BT31))*5+SUM(H31:BT31))/COUNTA('Finalterm OVPAA-F-INS-055A RAW '!$H$17:$BT$17)))</f>
        <v>92</v>
      </c>
      <c r="BV31" s="165">
        <f>IF(BU31="","",VLOOKUP(BU31,IF('Midterm OVPAA-F-INS-055A RAW SC'!$V$12=0.5,TRANSMUTATION!$C$4:$D$17,TRANSMUTATION!$G$4:$H$17),2,TRUE))</f>
        <v>1.25</v>
      </c>
      <c r="BW31" s="129">
        <f>IF('Finalterm OVPAA-F-INS-055A RAW '!BU31="","",'Finalterm OVPAA-F-INS-055A RAW '!BU31/'Finalterm OVPAA-F-INS-055A RAW '!BU$17*100)</f>
        <v>87</v>
      </c>
      <c r="BX31" s="130">
        <f>IF('Finalterm OVPAA-F-INS-055A RAW '!BV31="","",'Finalterm OVPAA-F-INS-055A RAW '!BV31/'Finalterm OVPAA-F-INS-055A RAW '!BV$17*100)</f>
        <v>70</v>
      </c>
      <c r="BY31" s="130">
        <f>IF('Finalterm OVPAA-F-INS-055A RAW '!BW31="","",'Finalterm OVPAA-F-INS-055A RAW '!BW31/'Finalterm OVPAA-F-INS-055A RAW '!BW$17*100)</f>
        <v>100</v>
      </c>
      <c r="BZ31" s="130" t="str">
        <f>IF('Finalterm OVPAA-F-INS-055A RAW '!BX31="","",'Finalterm OVPAA-F-INS-055A RAW '!BX31/'Finalterm OVPAA-F-INS-055A RAW '!BX$17*100)</f>
        <v/>
      </c>
      <c r="CA31" s="130" t="str">
        <f>IF('Finalterm OVPAA-F-INS-055A RAW '!BY31="","",'Finalterm OVPAA-F-INS-055A RAW '!BY31/'Finalterm OVPAA-F-INS-055A RAW '!BY$17*100)</f>
        <v/>
      </c>
      <c r="CB31" s="130" t="str">
        <f>IF('Finalterm OVPAA-F-INS-055A RAW '!BZ31="","",'Finalterm OVPAA-F-INS-055A RAW '!BZ31/'Finalterm OVPAA-F-INS-055A RAW '!BZ$17*100)</f>
        <v/>
      </c>
      <c r="CC31" s="130" t="str">
        <f>IF('Finalterm OVPAA-F-INS-055A RAW '!CA31="","",'Finalterm OVPAA-F-INS-055A RAW '!CA31/'Finalterm OVPAA-F-INS-055A RAW '!CA$17*100)</f>
        <v/>
      </c>
      <c r="CD31" s="130" t="str">
        <f>IF('Finalterm OVPAA-F-INS-055A RAW '!CB31="","",'Finalterm OVPAA-F-INS-055A RAW '!CB31/'Finalterm OVPAA-F-INS-055A RAW '!CB$17*100)</f>
        <v/>
      </c>
      <c r="CE31" s="130" t="str">
        <f>IF('Finalterm OVPAA-F-INS-055A RAW '!CC31="","",'Finalterm OVPAA-F-INS-055A RAW '!CC31/'Finalterm OVPAA-F-INS-055A RAW '!CC$17*100)</f>
        <v/>
      </c>
      <c r="CF31" s="130" t="str">
        <f>IF('Finalterm OVPAA-F-INS-055A RAW '!CD31="","",'Finalterm OVPAA-F-INS-055A RAW '!CD31/'Finalterm OVPAA-F-INS-055A RAW '!CD$17*100)</f>
        <v/>
      </c>
      <c r="CG31" s="130" t="str">
        <f>IF('Finalterm OVPAA-F-INS-055A RAW '!CE31="","",'Finalterm OVPAA-F-INS-055A RAW '!CE31/'Finalterm OVPAA-F-INS-055A RAW '!CE$17*100)</f>
        <v/>
      </c>
      <c r="CH31" s="130" t="str">
        <f>IF('Finalterm OVPAA-F-INS-055A RAW '!CF31="","",'Finalterm OVPAA-F-INS-055A RAW '!CF31/'Finalterm OVPAA-F-INS-055A RAW '!CF$17*100)</f>
        <v/>
      </c>
      <c r="CI31" s="130" t="str">
        <f>IF('Finalterm OVPAA-F-INS-055A RAW '!CG31="","",'Finalterm OVPAA-F-INS-055A RAW '!CG31/'Finalterm OVPAA-F-INS-055A RAW '!CG$17*100)</f>
        <v/>
      </c>
      <c r="CJ31" s="130" t="str">
        <f>IF('Finalterm OVPAA-F-INS-055A RAW '!CH31="","",'Finalterm OVPAA-F-INS-055A RAW '!CH31/'Finalterm OVPAA-F-INS-055A RAW '!CH$17*100)</f>
        <v/>
      </c>
      <c r="CK31" s="130" t="str">
        <f>IF('Finalterm OVPAA-F-INS-055A RAW '!CI31="","",'Finalterm OVPAA-F-INS-055A RAW '!CI31/'Finalterm OVPAA-F-INS-055A RAW '!CI$17*100)</f>
        <v/>
      </c>
      <c r="CL31" s="130" t="str">
        <f>IF('Finalterm OVPAA-F-INS-055A RAW '!CJ31="","",'Finalterm OVPAA-F-INS-055A RAW '!CJ31/'Finalterm OVPAA-F-INS-055A RAW '!CJ$17*100)</f>
        <v/>
      </c>
      <c r="CM31" s="130" t="str">
        <f>IF('Finalterm OVPAA-F-INS-055A RAW '!CK31="","",'Finalterm OVPAA-F-INS-055A RAW '!CK31/'Finalterm OVPAA-F-INS-055A RAW '!CK$17*100)</f>
        <v/>
      </c>
      <c r="CN31" s="130" t="str">
        <f>IF('Finalterm OVPAA-F-INS-055A RAW '!CL31="","",'Finalterm OVPAA-F-INS-055A RAW '!CL31/'Finalterm OVPAA-F-INS-055A RAW '!CL$17*100)</f>
        <v/>
      </c>
      <c r="CO31" s="130" t="str">
        <f>IF('Finalterm OVPAA-F-INS-055A RAW '!CM31="","",'Finalterm OVPAA-F-INS-055A RAW '!CM31/'Finalterm OVPAA-F-INS-055A RAW '!CM$17*100)</f>
        <v/>
      </c>
      <c r="CP31" s="130" t="str">
        <f>IF('Finalterm OVPAA-F-INS-055A RAW '!CN31="","",'Finalterm OVPAA-F-INS-055A RAW '!CN31/'Finalterm OVPAA-F-INS-055A RAW '!CN$17*100)</f>
        <v/>
      </c>
      <c r="CQ31" s="131">
        <f t="array" ref="CQ31">IF('Midterm OVPAA-F-INS-055A RAW SC'!G31="","",IF((SUMPRODUCT(--ISBLANK('Finalterm OVPAA-F-INS-055A RAW '!BU31:CN31))=COLUMNS('Finalterm OVPAA-F-INS-055A RAW '!BU31:CN31))=TRUE,"",(((COUNTA('Finalterm OVPAA-F-INS-055A RAW '!$BU$17:$CN$17)+COUNTBLANK('Finalterm OVPAA-F-INS-055A RAW '!BU31:CN31))-COLUMNS('Finalterm OVPAA-F-INS-055A RAW '!BU31:CN31))*5+SUM(BW31:CP31))/COUNTA('Finalterm OVPAA-F-INS-055A RAW '!$BU$17:$CN$17)))</f>
        <v>85.666666666666671</v>
      </c>
      <c r="CR31" s="132">
        <f>IF(CQ31="","",VLOOKUP(CQ31,IF('Midterm OVPAA-F-INS-055A RAW SC'!$V$12=0.5,TRANSMUTATION!$C$4:$D$17,TRANSMUTATION!$G$4:$H$17),2,TRUE))</f>
        <v>1.75</v>
      </c>
      <c r="CS31" s="133">
        <f>IF('Finalterm OVPAA-F-INS-055A RAW '!CO31="","",'Finalterm OVPAA-F-INS-055A RAW '!CO31/'Finalterm OVPAA-F-INS-055A RAW '!CO$17*100)</f>
        <v>80</v>
      </c>
      <c r="CT31" s="133">
        <f>IF('Finalterm OVPAA-F-INS-055A RAW '!CP31="","",'Finalterm OVPAA-F-INS-055A RAW '!CP31/'Finalterm OVPAA-F-INS-055A RAW '!CP$17*100)</f>
        <v>80.25</v>
      </c>
      <c r="CU31" s="133" t="str">
        <f>IF('Finalterm OVPAA-F-INS-055A RAW '!CQ31="","",'Finalterm OVPAA-F-INS-055A RAW '!CQ31/'Finalterm OVPAA-F-INS-055A RAW '!CQ$17*100)</f>
        <v/>
      </c>
      <c r="CV31" s="133" t="str">
        <f>IF('Finalterm OVPAA-F-INS-055A RAW '!CR31="","",'Finalterm OVPAA-F-INS-055A RAW '!CR31/'Finalterm OVPAA-F-INS-055A RAW '!CR$17*100)</f>
        <v/>
      </c>
      <c r="CW31" s="133" t="str">
        <f>IF('Finalterm OVPAA-F-INS-055A RAW '!CS31="","",'Finalterm OVPAA-F-INS-055A RAW '!CS31/'Finalterm OVPAA-F-INS-055A RAW '!CS$17*100)</f>
        <v/>
      </c>
      <c r="CX31" s="133" t="str">
        <f>IF('Finalterm OVPAA-F-INS-055A RAW '!CT31="","",'Finalterm OVPAA-F-INS-055A RAW '!CT31/'Finalterm OVPAA-F-INS-055A RAW '!CT$17*100)</f>
        <v/>
      </c>
      <c r="CY31" s="133" t="str">
        <f>IF('Finalterm OVPAA-F-INS-055A RAW '!CU31="","",'Finalterm OVPAA-F-INS-055A RAW '!CU31/'Finalterm OVPAA-F-INS-055A RAW '!CU$17*100)</f>
        <v/>
      </c>
      <c r="CZ31" s="133" t="str">
        <f>IF('Finalterm OVPAA-F-INS-055A RAW '!CV31="","",'Finalterm OVPAA-F-INS-055A RAW '!CV31/'Finalterm OVPAA-F-INS-055A RAW '!CV$17*100)</f>
        <v/>
      </c>
      <c r="DA31" s="133" t="str">
        <f>IF('Finalterm OVPAA-F-INS-055A RAW '!CW31="","",'Finalterm OVPAA-F-INS-055A RAW '!CW31/'Finalterm OVPAA-F-INS-055A RAW '!CW$17*100)</f>
        <v/>
      </c>
      <c r="DB31" s="133" t="str">
        <f>IF('Finalterm OVPAA-F-INS-055A RAW '!CX31="","",'Finalterm OVPAA-F-INS-055A RAW '!CX31/'Finalterm OVPAA-F-INS-055A RAW '!CX$17*100)</f>
        <v/>
      </c>
      <c r="DC31" s="134">
        <f t="array" ref="DC31">IF('Midterm OVPAA-F-INS-055A RAW SC'!$G31="","",IF((SUMPRODUCT(--ISBLANK('Finalterm OVPAA-F-INS-055A RAW '!CO31:CX31))=COLUMNS('Finalterm OVPAA-F-INS-055A RAW '!CO31:CX31))=TRUE,"",(((COUNTA('Finalterm OVPAA-F-INS-055A RAW '!$CO$17:$CX$17)+COUNTBLANK('Finalterm OVPAA-F-INS-055A RAW '!CO31:CX31))-COLUMNS('Finalterm OVPAA-F-INS-055A RAW '!CO31:CX31))*5+SUM(CS31:DB31))/COUNTA('Finalterm OVPAA-F-INS-055A RAW '!$CO$17:$CX$17)))</f>
        <v>80.125</v>
      </c>
      <c r="DD31" s="135">
        <f>IF(DC31="","",VLOOKUP(DC31,IF('Midterm OVPAA-F-INS-055A RAW SC'!$V$12=0.5,TRANSMUTATION!$C$4:$D$17,TRANSMUTATION!$G$4:$H$17),2,TRUE))</f>
        <v>1.75</v>
      </c>
      <c r="DE31" s="136">
        <f t="shared" si="1"/>
        <v>0.375</v>
      </c>
      <c r="DF31" s="166">
        <f t="shared" si="2"/>
        <v>0.52500000000000002</v>
      </c>
      <c r="DG31" s="167">
        <f t="shared" si="3"/>
        <v>0.70000000000000007</v>
      </c>
      <c r="DH31" s="168">
        <f t="shared" si="4"/>
        <v>1.6</v>
      </c>
      <c r="DI31" s="169" t="str">
        <f t="shared" si="5"/>
        <v>1.50</v>
      </c>
    </row>
    <row r="32" spans="5:113" ht="15.75" customHeight="1">
      <c r="E32" s="59">
        <v>15</v>
      </c>
      <c r="F32" s="124">
        <f>IF(NOT(ISBLANK('Midterm OVPAA-F-INS-055A RAW SC'!F32)),'Midterm OVPAA-F-INS-055A RAW SC'!F32,"")</f>
        <v>23</v>
      </c>
      <c r="G32" s="125" t="str">
        <f>IF(NOT(ISBLANK('Midterm OVPAA-F-INS-055A RAW SC'!G32)),'Midterm OVPAA-F-INS-055A RAW SC'!G32,"")</f>
        <v>Neri, Jaira Greist</v>
      </c>
      <c r="H32" s="126">
        <f>IF('Finalterm OVPAA-F-INS-055A RAW '!H32="","",'Finalterm OVPAA-F-INS-055A RAW '!H32/'Finalterm OVPAA-F-INS-055A RAW '!H$17*100)</f>
        <v>100</v>
      </c>
      <c r="I32" s="126">
        <f>IF('Finalterm OVPAA-F-INS-055A RAW '!I32="","",'Finalterm OVPAA-F-INS-055A RAW '!I32/'Finalterm OVPAA-F-INS-055A RAW '!I$17*100)</f>
        <v>100</v>
      </c>
      <c r="J32" s="126">
        <f>IF('Finalterm OVPAA-F-INS-055A RAW '!J32="","",'Finalterm OVPAA-F-INS-055A RAW '!J32/'Finalterm OVPAA-F-INS-055A RAW '!J$17*100)</f>
        <v>60</v>
      </c>
      <c r="K32" s="126">
        <f>IF('Finalterm OVPAA-F-INS-055A RAW '!K32="","",'Finalterm OVPAA-F-INS-055A RAW '!K32/'Finalterm OVPAA-F-INS-055A RAW '!K$17*100)</f>
        <v>100</v>
      </c>
      <c r="L32" s="126">
        <f>IF('Finalterm OVPAA-F-INS-055A RAW '!L32="","",'Finalterm OVPAA-F-INS-055A RAW '!L32/'Finalterm OVPAA-F-INS-055A RAW '!L$17*100)</f>
        <v>100</v>
      </c>
      <c r="M32" s="126" t="str">
        <f>IF('Finalterm OVPAA-F-INS-055A RAW '!M32="","",'Finalterm OVPAA-F-INS-055A RAW '!M32/'Finalterm OVPAA-F-INS-055A RAW '!M$17*100)</f>
        <v/>
      </c>
      <c r="N32" s="126" t="str">
        <f>IF('Finalterm OVPAA-F-INS-055A RAW '!N32="","",'Finalterm OVPAA-F-INS-055A RAW '!N32/'Finalterm OVPAA-F-INS-055A RAW '!N$17*100)</f>
        <v/>
      </c>
      <c r="O32" s="126" t="str">
        <f>IF('Finalterm OVPAA-F-INS-055A RAW '!O32="","",'Finalterm OVPAA-F-INS-055A RAW '!O32/'Finalterm OVPAA-F-INS-055A RAW '!O$17*100)</f>
        <v/>
      </c>
      <c r="P32" s="126" t="str">
        <f>IF('Finalterm OVPAA-F-INS-055A RAW '!P32="","",'Finalterm OVPAA-F-INS-055A RAW '!P32/'Finalterm OVPAA-F-INS-055A RAW '!P$17*100)</f>
        <v/>
      </c>
      <c r="Q32" s="126" t="str">
        <f>IF('Finalterm OVPAA-F-INS-055A RAW '!Q32="","",'Finalterm OVPAA-F-INS-055A RAW '!Q32/'Finalterm OVPAA-F-INS-055A RAW '!Q$17*100)</f>
        <v/>
      </c>
      <c r="R32" s="126" t="str">
        <f>IF('Finalterm OVPAA-F-INS-055A RAW '!R32="","",'Finalterm OVPAA-F-INS-055A RAW '!R32/'Finalterm OVPAA-F-INS-055A RAW '!R$17*100)</f>
        <v/>
      </c>
      <c r="S32" s="126" t="str">
        <f>IF('Finalterm OVPAA-F-INS-055A RAW '!S32="","",'Finalterm OVPAA-F-INS-055A RAW '!S32/'Finalterm OVPAA-F-INS-055A RAW '!S$17*100)</f>
        <v/>
      </c>
      <c r="T32" s="126" t="str">
        <f>IF('Finalterm OVPAA-F-INS-055A RAW '!T32="","",'Finalterm OVPAA-F-INS-055A RAW '!T32/'Finalterm OVPAA-F-INS-055A RAW '!T$17*100)</f>
        <v/>
      </c>
      <c r="U32" s="126" t="str">
        <f>IF('Finalterm OVPAA-F-INS-055A RAW '!U32="","",'Finalterm OVPAA-F-INS-055A RAW '!U32/'Finalterm OVPAA-F-INS-055A RAW '!U$17*100)</f>
        <v/>
      </c>
      <c r="V32" s="126" t="str">
        <f>IF('Finalterm OVPAA-F-INS-055A RAW '!V32="","",'Finalterm OVPAA-F-INS-055A RAW '!V32/'Finalterm OVPAA-F-INS-055A RAW '!V$17*100)</f>
        <v/>
      </c>
      <c r="W32" s="126" t="str">
        <f>IF('Finalterm OVPAA-F-INS-055A RAW '!W32="","",'Finalterm OVPAA-F-INS-055A RAW '!W32/'Finalterm OVPAA-F-INS-055A RAW '!W$17*100)</f>
        <v/>
      </c>
      <c r="X32" s="126" t="str">
        <f>IF('Finalterm OVPAA-F-INS-055A RAW '!X32="","",'Finalterm OVPAA-F-INS-055A RAW '!X32/'Finalterm OVPAA-F-INS-055A RAW '!X$17*100)</f>
        <v/>
      </c>
      <c r="Y32" s="126" t="str">
        <f>IF('Finalterm OVPAA-F-INS-055A RAW '!Y32="","",'Finalterm OVPAA-F-INS-055A RAW '!Y32/'Finalterm OVPAA-F-INS-055A RAW '!Y$17*100)</f>
        <v/>
      </c>
      <c r="Z32" s="126" t="str">
        <f>IF('Finalterm OVPAA-F-INS-055A RAW '!Z32="","",'Finalterm OVPAA-F-INS-055A RAW '!Z32/'Finalterm OVPAA-F-INS-055A RAW '!Z$17*100)</f>
        <v/>
      </c>
      <c r="AA32" s="126" t="str">
        <f>IF('Finalterm OVPAA-F-INS-055A RAW '!AA32="","",'Finalterm OVPAA-F-INS-055A RAW '!AA32/'Finalterm OVPAA-F-INS-055A RAW '!AA$17*100)</f>
        <v/>
      </c>
      <c r="AB32" s="126" t="str">
        <f>IF('Finalterm OVPAA-F-INS-055A RAW '!AB32="","",'Finalterm OVPAA-F-INS-055A RAW '!AB32/'Finalterm OVPAA-F-INS-055A RAW '!AB$17*100)</f>
        <v/>
      </c>
      <c r="AC32" s="126" t="str">
        <f>IF('Finalterm OVPAA-F-INS-055A RAW '!AC32="","",'Finalterm OVPAA-F-INS-055A RAW '!AC32/'Finalterm OVPAA-F-INS-055A RAW '!AC$17*100)</f>
        <v/>
      </c>
      <c r="AD32" s="126" t="str">
        <f>IF('Finalterm OVPAA-F-INS-055A RAW '!AD32="","",'Finalterm OVPAA-F-INS-055A RAW '!AD32/'Finalterm OVPAA-F-INS-055A RAW '!AD$17*100)</f>
        <v/>
      </c>
      <c r="AE32" s="126" t="str">
        <f>IF('Finalterm OVPAA-F-INS-055A RAW '!AE32="","",'Finalterm OVPAA-F-INS-055A RAW '!AE32/'Finalterm OVPAA-F-INS-055A RAW '!AE$17*100)</f>
        <v/>
      </c>
      <c r="AF32" s="126" t="str">
        <f>IF('Finalterm OVPAA-F-INS-055A RAW '!AF32="","",'Finalterm OVPAA-F-INS-055A RAW '!AF32/'Finalterm OVPAA-F-INS-055A RAW '!AF$17*100)</f>
        <v/>
      </c>
      <c r="AG32" s="126" t="str">
        <f>IF('Finalterm OVPAA-F-INS-055A RAW '!AG32="","",'Finalterm OVPAA-F-INS-055A RAW '!AG32/'Finalterm OVPAA-F-INS-055A RAW '!AG$17*100)</f>
        <v/>
      </c>
      <c r="AH32" s="126" t="str">
        <f>IF('Finalterm OVPAA-F-INS-055A RAW '!AH32="","",'Finalterm OVPAA-F-INS-055A RAW '!AH32/'Finalterm OVPAA-F-INS-055A RAW '!AH$17*100)</f>
        <v/>
      </c>
      <c r="AI32" s="126" t="str">
        <f>IF('Finalterm OVPAA-F-INS-055A RAW '!AI32="","",'Finalterm OVPAA-F-INS-055A RAW '!AI32/'Finalterm OVPAA-F-INS-055A RAW '!AI$17*100)</f>
        <v/>
      </c>
      <c r="AJ32" s="126" t="str">
        <f>IF('Finalterm OVPAA-F-INS-055A RAW '!AJ32="","",'Finalterm OVPAA-F-INS-055A RAW '!AJ32/'Finalterm OVPAA-F-INS-055A RAW '!AJ$17*100)</f>
        <v/>
      </c>
      <c r="AK32" s="126" t="str">
        <f>IF('Finalterm OVPAA-F-INS-055A RAW '!AK32="","",'Finalterm OVPAA-F-INS-055A RAW '!AK32/'Finalterm OVPAA-F-INS-055A RAW '!AK$17*100)</f>
        <v/>
      </c>
      <c r="AL32" s="126" t="str">
        <f>IF('Finalterm OVPAA-F-INS-055A RAW '!AL32="","",'Finalterm OVPAA-F-INS-055A RAW '!AL32/'Finalterm OVPAA-F-INS-055A RAW '!AL$17*100)</f>
        <v/>
      </c>
      <c r="AM32" s="126" t="str">
        <f>IF('Finalterm OVPAA-F-INS-055A RAW '!AM32="","",'Finalterm OVPAA-F-INS-055A RAW '!AM32/'Finalterm OVPAA-F-INS-055A RAW '!AM$17*100)</f>
        <v/>
      </c>
      <c r="AN32" s="126" t="str">
        <f>IF('Finalterm OVPAA-F-INS-055A RAW '!AN32="","",'Finalterm OVPAA-F-INS-055A RAW '!AN32/'Finalterm OVPAA-F-INS-055A RAW '!AN$17*100)</f>
        <v/>
      </c>
      <c r="AO32" s="126" t="str">
        <f>IF('Finalterm OVPAA-F-INS-055A RAW '!AO32="","",'Finalterm OVPAA-F-INS-055A RAW '!AO32/'Finalterm OVPAA-F-INS-055A RAW '!AO$17*100)</f>
        <v/>
      </c>
      <c r="AP32" s="126" t="str">
        <f>IF('Finalterm OVPAA-F-INS-055A RAW '!AP32="","",'Finalterm OVPAA-F-INS-055A RAW '!AP32/'Finalterm OVPAA-F-INS-055A RAW '!AP$17*100)</f>
        <v/>
      </c>
      <c r="AQ32" s="126" t="str">
        <f>IF('Finalterm OVPAA-F-INS-055A RAW '!AQ32="","",'Finalterm OVPAA-F-INS-055A RAW '!AQ32/'Finalterm OVPAA-F-INS-055A RAW '!AQ$17*100)</f>
        <v/>
      </c>
      <c r="AR32" s="126" t="str">
        <f>IF('Finalterm OVPAA-F-INS-055A RAW '!AR32="","",'Finalterm OVPAA-F-INS-055A RAW '!AR32/'Finalterm OVPAA-F-INS-055A RAW '!AR$17*100)</f>
        <v/>
      </c>
      <c r="AS32" s="126" t="str">
        <f>IF('Finalterm OVPAA-F-INS-055A RAW '!AS32="","",'Finalterm OVPAA-F-INS-055A RAW '!AS32/'Finalterm OVPAA-F-INS-055A RAW '!AS$17*100)</f>
        <v/>
      </c>
      <c r="AT32" s="126" t="str">
        <f>IF('Finalterm OVPAA-F-INS-055A RAW '!AT32="","",'Finalterm OVPAA-F-INS-055A RAW '!AT32/'Finalterm OVPAA-F-INS-055A RAW '!AT$17*100)</f>
        <v/>
      </c>
      <c r="AU32" s="126" t="str">
        <f>IF('Finalterm OVPAA-F-INS-055A RAW '!AU32="","",'Finalterm OVPAA-F-INS-055A RAW '!AU32/'Finalterm OVPAA-F-INS-055A RAW '!AU$17*100)</f>
        <v/>
      </c>
      <c r="AV32" s="126" t="str">
        <f>IF('Finalterm OVPAA-F-INS-055A RAW '!AV32="","",'Finalterm OVPAA-F-INS-055A RAW '!AV32/'Finalterm OVPAA-F-INS-055A RAW '!AV$17*100)</f>
        <v/>
      </c>
      <c r="AW32" s="126" t="str">
        <f>IF('Finalterm OVPAA-F-INS-055A RAW '!AW32="","",'Finalterm OVPAA-F-INS-055A RAW '!AW32/'Finalterm OVPAA-F-INS-055A RAW '!AW$17*100)</f>
        <v/>
      </c>
      <c r="AX32" s="126" t="str">
        <f>IF('Finalterm OVPAA-F-INS-055A RAW '!AX32="","",'Finalterm OVPAA-F-INS-055A RAW '!AX32/'Finalterm OVPAA-F-INS-055A RAW '!AX$17*100)</f>
        <v/>
      </c>
      <c r="AY32" s="126" t="str">
        <f>IF('Finalterm OVPAA-F-INS-055A RAW '!AY32="","",'Finalterm OVPAA-F-INS-055A RAW '!AY32/'Finalterm OVPAA-F-INS-055A RAW '!AY$17*100)</f>
        <v/>
      </c>
      <c r="AZ32" s="126" t="str">
        <f>IF('Finalterm OVPAA-F-INS-055A RAW '!AZ32="","",'Finalterm OVPAA-F-INS-055A RAW '!AZ32/'Finalterm OVPAA-F-INS-055A RAW '!AZ$17*100)</f>
        <v/>
      </c>
      <c r="BA32" s="126" t="str">
        <f>IF('Finalterm OVPAA-F-INS-055A RAW '!BA32="","",'Finalterm OVPAA-F-INS-055A RAW '!BA32/'Finalterm OVPAA-F-INS-055A RAW '!BA$17*100)</f>
        <v/>
      </c>
      <c r="BB32" s="126" t="str">
        <f>IF('Finalterm OVPAA-F-INS-055A RAW '!BB32="","",'Finalterm OVPAA-F-INS-055A RAW '!BB32/'Finalterm OVPAA-F-INS-055A RAW '!BB$17*100)</f>
        <v/>
      </c>
      <c r="BC32" s="126" t="str">
        <f>IF('Finalterm OVPAA-F-INS-055A RAW '!BC32="","",'Finalterm OVPAA-F-INS-055A RAW '!BC32/'Finalterm OVPAA-F-INS-055A RAW '!BC$17*100)</f>
        <v/>
      </c>
      <c r="BD32" s="126" t="str">
        <f>IF('Finalterm OVPAA-F-INS-055A RAW '!BD32="","",'Finalterm OVPAA-F-INS-055A RAW '!BD32/'Finalterm OVPAA-F-INS-055A RAW '!BD$17*100)</f>
        <v/>
      </c>
      <c r="BE32" s="126" t="str">
        <f>IF('Finalterm OVPAA-F-INS-055A RAW '!BE32="","",'Finalterm OVPAA-F-INS-055A RAW '!BE32/'Finalterm OVPAA-F-INS-055A RAW '!BE$17*100)</f>
        <v/>
      </c>
      <c r="BF32" s="126" t="str">
        <f>IF('Finalterm OVPAA-F-INS-055A RAW '!BF32="","",'Finalterm OVPAA-F-INS-055A RAW '!BF32/'Finalterm OVPAA-F-INS-055A RAW '!BF$17*100)</f>
        <v/>
      </c>
      <c r="BG32" s="126" t="str">
        <f>IF('Finalterm OVPAA-F-INS-055A RAW '!BG32="","",'Finalterm OVPAA-F-INS-055A RAW '!BG32/'Finalterm OVPAA-F-INS-055A RAW '!BG$17*100)</f>
        <v/>
      </c>
      <c r="BH32" s="126" t="str">
        <f>IF('Finalterm OVPAA-F-INS-055A RAW '!BH32="","",'Finalterm OVPAA-F-INS-055A RAW '!BH32/'Finalterm OVPAA-F-INS-055A RAW '!BH$17*100)</f>
        <v/>
      </c>
      <c r="BI32" s="126" t="str">
        <f>IF('Finalterm OVPAA-F-INS-055A RAW '!BI32="","",'Finalterm OVPAA-F-INS-055A RAW '!BI32/'Finalterm OVPAA-F-INS-055A RAW '!BI$17*100)</f>
        <v/>
      </c>
      <c r="BJ32" s="126" t="str">
        <f>IF('Finalterm OVPAA-F-INS-055A RAW '!BJ32="","",'Finalterm OVPAA-F-INS-055A RAW '!BJ32/'Finalterm OVPAA-F-INS-055A RAW '!BJ$17*100)</f>
        <v/>
      </c>
      <c r="BK32" s="126" t="str">
        <f>IF('Finalterm OVPAA-F-INS-055A RAW '!BK32="","",'Finalterm OVPAA-F-INS-055A RAW '!BK32/'Finalterm OVPAA-F-INS-055A RAW '!BK$17*100)</f>
        <v/>
      </c>
      <c r="BL32" s="126" t="str">
        <f>IF('Finalterm OVPAA-F-INS-055A RAW '!BL32="","",'Finalterm OVPAA-F-INS-055A RAW '!BL32/'Finalterm OVPAA-F-INS-055A RAW '!BL$17*100)</f>
        <v/>
      </c>
      <c r="BM32" s="126" t="str">
        <f>IF('Finalterm OVPAA-F-INS-055A RAW '!BM32="","",'Finalterm OVPAA-F-INS-055A RAW '!BM32/'Finalterm OVPAA-F-INS-055A RAW '!BM$17*100)</f>
        <v/>
      </c>
      <c r="BN32" s="126" t="str">
        <f>IF('Finalterm OVPAA-F-INS-055A RAW '!BN32="","",'Finalterm OVPAA-F-INS-055A RAW '!BN32/'Finalterm OVPAA-F-INS-055A RAW '!BN$17*100)</f>
        <v/>
      </c>
      <c r="BO32" s="126" t="str">
        <f>IF('Finalterm OVPAA-F-INS-055A RAW '!BO32="","",'Finalterm OVPAA-F-INS-055A RAW '!BO32/'Finalterm OVPAA-F-INS-055A RAW '!BO$17*100)</f>
        <v/>
      </c>
      <c r="BP32" s="126" t="str">
        <f>IF('Finalterm OVPAA-F-INS-055A RAW '!BP32="","",'Finalterm OVPAA-F-INS-055A RAW '!BP32/'Finalterm OVPAA-F-INS-055A RAW '!BP$17*100)</f>
        <v/>
      </c>
      <c r="BQ32" s="126" t="str">
        <f>IF('Finalterm OVPAA-F-INS-055A RAW '!BQ32="","",'Finalterm OVPAA-F-INS-055A RAW '!BQ32/'Finalterm OVPAA-F-INS-055A RAW '!BQ$17*100)</f>
        <v/>
      </c>
      <c r="BR32" s="126" t="str">
        <f>IF('Finalterm OVPAA-F-INS-055A RAW '!BR32="","",'Finalterm OVPAA-F-INS-055A RAW '!BR32/'Finalterm OVPAA-F-INS-055A RAW '!BR$17*100)</f>
        <v/>
      </c>
      <c r="BS32" s="126" t="str">
        <f>IF('Finalterm OVPAA-F-INS-055A RAW '!BS32="","",'Finalterm OVPAA-F-INS-055A RAW '!BS32/'Finalterm OVPAA-F-INS-055A RAW '!BS$17*100)</f>
        <v/>
      </c>
      <c r="BT32" s="126" t="str">
        <f>IF('Finalterm OVPAA-F-INS-055A RAW '!BT32="","",'Finalterm OVPAA-F-INS-055A RAW '!BT32/'Finalterm OVPAA-F-INS-055A RAW '!BT$17*100)</f>
        <v/>
      </c>
      <c r="BU32" s="127">
        <f t="array" ref="BU32">IF('Finalterm OVPAA-F-INS-055A RAW '!$G32="","",IF((SUMPRODUCT(--ISBLANK('Finalterm OVPAA-F-INS-055A RAW '!H32:BT32))=COLUMNS('Finalterm OVPAA-F-INS-055A RAW '!H32:BT32))=TRUE,"",(((COUNTA('Finalterm OVPAA-F-INS-055A RAW '!$H$17:$BT$17)+COUNTBLANK('Finalterm OVPAA-F-INS-055A RAW '!H32:BT32))-COLUMNS('Finalterm OVPAA-F-INS-055A RAW '!H32:BT32))*5+SUM(H32:BT32))/COUNTA('Finalterm OVPAA-F-INS-055A RAW '!$H$17:$BT$17)))</f>
        <v>92</v>
      </c>
      <c r="BV32" s="165">
        <f>IF(BU32="","",VLOOKUP(BU32,IF('Midterm OVPAA-F-INS-055A RAW SC'!$V$12=0.5,TRANSMUTATION!$C$4:$D$17,TRANSMUTATION!$G$4:$H$17),2,TRUE))</f>
        <v>1.25</v>
      </c>
      <c r="BW32" s="129">
        <f>IF('Finalterm OVPAA-F-INS-055A RAW '!BU32="","",'Finalterm OVPAA-F-INS-055A RAW '!BU32/'Finalterm OVPAA-F-INS-055A RAW '!BU$17*100)</f>
        <v>87</v>
      </c>
      <c r="BX32" s="130">
        <f>IF('Finalterm OVPAA-F-INS-055A RAW '!BV32="","",'Finalterm OVPAA-F-INS-055A RAW '!BV32/'Finalterm OVPAA-F-INS-055A RAW '!BV$17*100)</f>
        <v>70</v>
      </c>
      <c r="BY32" s="130">
        <f>IF('Finalterm OVPAA-F-INS-055A RAW '!BW32="","",'Finalterm OVPAA-F-INS-055A RAW '!BW32/'Finalterm OVPAA-F-INS-055A RAW '!BW$17*100)</f>
        <v>100</v>
      </c>
      <c r="BZ32" s="130" t="str">
        <f>IF('Finalterm OVPAA-F-INS-055A RAW '!BX32="","",'Finalterm OVPAA-F-INS-055A RAW '!BX32/'Finalterm OVPAA-F-INS-055A RAW '!BX$17*100)</f>
        <v/>
      </c>
      <c r="CA32" s="130" t="str">
        <f>IF('Finalterm OVPAA-F-INS-055A RAW '!BY32="","",'Finalterm OVPAA-F-INS-055A RAW '!BY32/'Finalterm OVPAA-F-INS-055A RAW '!BY$17*100)</f>
        <v/>
      </c>
      <c r="CB32" s="130" t="str">
        <f>IF('Finalterm OVPAA-F-INS-055A RAW '!BZ32="","",'Finalterm OVPAA-F-INS-055A RAW '!BZ32/'Finalterm OVPAA-F-INS-055A RAW '!BZ$17*100)</f>
        <v/>
      </c>
      <c r="CC32" s="130" t="str">
        <f>IF('Finalterm OVPAA-F-INS-055A RAW '!CA32="","",'Finalterm OVPAA-F-INS-055A RAW '!CA32/'Finalterm OVPAA-F-INS-055A RAW '!CA$17*100)</f>
        <v/>
      </c>
      <c r="CD32" s="130" t="str">
        <f>IF('Finalterm OVPAA-F-INS-055A RAW '!CB32="","",'Finalterm OVPAA-F-INS-055A RAW '!CB32/'Finalterm OVPAA-F-INS-055A RAW '!CB$17*100)</f>
        <v/>
      </c>
      <c r="CE32" s="130" t="str">
        <f>IF('Finalterm OVPAA-F-INS-055A RAW '!CC32="","",'Finalterm OVPAA-F-INS-055A RAW '!CC32/'Finalterm OVPAA-F-INS-055A RAW '!CC$17*100)</f>
        <v/>
      </c>
      <c r="CF32" s="130" t="str">
        <f>IF('Finalterm OVPAA-F-INS-055A RAW '!CD32="","",'Finalterm OVPAA-F-INS-055A RAW '!CD32/'Finalterm OVPAA-F-INS-055A RAW '!CD$17*100)</f>
        <v/>
      </c>
      <c r="CG32" s="130" t="str">
        <f>IF('Finalterm OVPAA-F-INS-055A RAW '!CE32="","",'Finalterm OVPAA-F-INS-055A RAW '!CE32/'Finalterm OVPAA-F-INS-055A RAW '!CE$17*100)</f>
        <v/>
      </c>
      <c r="CH32" s="130" t="str">
        <f>IF('Finalterm OVPAA-F-INS-055A RAW '!CF32="","",'Finalterm OVPAA-F-INS-055A RAW '!CF32/'Finalterm OVPAA-F-INS-055A RAW '!CF$17*100)</f>
        <v/>
      </c>
      <c r="CI32" s="130" t="str">
        <f>IF('Finalterm OVPAA-F-INS-055A RAW '!CG32="","",'Finalterm OVPAA-F-INS-055A RAW '!CG32/'Finalterm OVPAA-F-INS-055A RAW '!CG$17*100)</f>
        <v/>
      </c>
      <c r="CJ32" s="130" t="str">
        <f>IF('Finalterm OVPAA-F-INS-055A RAW '!CH32="","",'Finalterm OVPAA-F-INS-055A RAW '!CH32/'Finalterm OVPAA-F-INS-055A RAW '!CH$17*100)</f>
        <v/>
      </c>
      <c r="CK32" s="130" t="str">
        <f>IF('Finalterm OVPAA-F-INS-055A RAW '!CI32="","",'Finalterm OVPAA-F-INS-055A RAW '!CI32/'Finalterm OVPAA-F-INS-055A RAW '!CI$17*100)</f>
        <v/>
      </c>
      <c r="CL32" s="130" t="str">
        <f>IF('Finalterm OVPAA-F-INS-055A RAW '!CJ32="","",'Finalterm OVPAA-F-INS-055A RAW '!CJ32/'Finalterm OVPAA-F-INS-055A RAW '!CJ$17*100)</f>
        <v/>
      </c>
      <c r="CM32" s="130" t="str">
        <f>IF('Finalterm OVPAA-F-INS-055A RAW '!CK32="","",'Finalterm OVPAA-F-INS-055A RAW '!CK32/'Finalterm OVPAA-F-INS-055A RAW '!CK$17*100)</f>
        <v/>
      </c>
      <c r="CN32" s="130" t="str">
        <f>IF('Finalterm OVPAA-F-INS-055A RAW '!CL32="","",'Finalterm OVPAA-F-INS-055A RAW '!CL32/'Finalterm OVPAA-F-INS-055A RAW '!CL$17*100)</f>
        <v/>
      </c>
      <c r="CO32" s="130" t="str">
        <f>IF('Finalterm OVPAA-F-INS-055A RAW '!CM32="","",'Finalterm OVPAA-F-INS-055A RAW '!CM32/'Finalterm OVPAA-F-INS-055A RAW '!CM$17*100)</f>
        <v/>
      </c>
      <c r="CP32" s="130" t="str">
        <f>IF('Finalterm OVPAA-F-INS-055A RAW '!CN32="","",'Finalterm OVPAA-F-INS-055A RAW '!CN32/'Finalterm OVPAA-F-INS-055A RAW '!CN$17*100)</f>
        <v/>
      </c>
      <c r="CQ32" s="131">
        <f t="array" ref="CQ32">IF('Midterm OVPAA-F-INS-055A RAW SC'!G32="","",IF((SUMPRODUCT(--ISBLANK('Finalterm OVPAA-F-INS-055A RAW '!BU32:CN32))=COLUMNS('Finalterm OVPAA-F-INS-055A RAW '!BU32:CN32))=TRUE,"",(((COUNTA('Finalterm OVPAA-F-INS-055A RAW '!$BU$17:$CN$17)+COUNTBLANK('Finalterm OVPAA-F-INS-055A RAW '!BU32:CN32))-COLUMNS('Finalterm OVPAA-F-INS-055A RAW '!BU32:CN32))*5+SUM(BW32:CP32))/COUNTA('Finalterm OVPAA-F-INS-055A RAW '!$BU$17:$CN$17)))</f>
        <v>85.666666666666671</v>
      </c>
      <c r="CR32" s="132">
        <f>IF(CQ32="","",VLOOKUP(CQ32,IF('Midterm OVPAA-F-INS-055A RAW SC'!$V$12=0.5,TRANSMUTATION!$C$4:$D$17,TRANSMUTATION!$G$4:$H$17),2,TRUE))</f>
        <v>1.75</v>
      </c>
      <c r="CS32" s="133">
        <f>IF('Finalterm OVPAA-F-INS-055A RAW '!CO32="","",'Finalterm OVPAA-F-INS-055A RAW '!CO32/'Finalterm OVPAA-F-INS-055A RAW '!CO$17*100)</f>
        <v>80</v>
      </c>
      <c r="CT32" s="133">
        <f>IF('Finalterm OVPAA-F-INS-055A RAW '!CP32="","",'Finalterm OVPAA-F-INS-055A RAW '!CP32/'Finalterm OVPAA-F-INS-055A RAW '!CP$17*100)</f>
        <v>80.25</v>
      </c>
      <c r="CU32" s="133" t="str">
        <f>IF('Finalterm OVPAA-F-INS-055A RAW '!CQ32="","",'Finalterm OVPAA-F-INS-055A RAW '!CQ32/'Finalterm OVPAA-F-INS-055A RAW '!CQ$17*100)</f>
        <v/>
      </c>
      <c r="CV32" s="133" t="str">
        <f>IF('Finalterm OVPAA-F-INS-055A RAW '!CR32="","",'Finalterm OVPAA-F-INS-055A RAW '!CR32/'Finalterm OVPAA-F-INS-055A RAW '!CR$17*100)</f>
        <v/>
      </c>
      <c r="CW32" s="133" t="str">
        <f>IF('Finalterm OVPAA-F-INS-055A RAW '!CS32="","",'Finalterm OVPAA-F-INS-055A RAW '!CS32/'Finalterm OVPAA-F-INS-055A RAW '!CS$17*100)</f>
        <v/>
      </c>
      <c r="CX32" s="133" t="str">
        <f>IF('Finalterm OVPAA-F-INS-055A RAW '!CT32="","",'Finalterm OVPAA-F-INS-055A RAW '!CT32/'Finalterm OVPAA-F-INS-055A RAW '!CT$17*100)</f>
        <v/>
      </c>
      <c r="CY32" s="133" t="str">
        <f>IF('Finalterm OVPAA-F-INS-055A RAW '!CU32="","",'Finalterm OVPAA-F-INS-055A RAW '!CU32/'Finalterm OVPAA-F-INS-055A RAW '!CU$17*100)</f>
        <v/>
      </c>
      <c r="CZ32" s="133" t="str">
        <f>IF('Finalterm OVPAA-F-INS-055A RAW '!CV32="","",'Finalterm OVPAA-F-INS-055A RAW '!CV32/'Finalterm OVPAA-F-INS-055A RAW '!CV$17*100)</f>
        <v/>
      </c>
      <c r="DA32" s="133" t="str">
        <f>IF('Finalterm OVPAA-F-INS-055A RAW '!CW32="","",'Finalterm OVPAA-F-INS-055A RAW '!CW32/'Finalterm OVPAA-F-INS-055A RAW '!CW$17*100)</f>
        <v/>
      </c>
      <c r="DB32" s="133" t="str">
        <f>IF('Finalterm OVPAA-F-INS-055A RAW '!CX32="","",'Finalterm OVPAA-F-INS-055A RAW '!CX32/'Finalterm OVPAA-F-INS-055A RAW '!CX$17*100)</f>
        <v/>
      </c>
      <c r="DC32" s="134">
        <f t="array" ref="DC32">IF('Midterm OVPAA-F-INS-055A RAW SC'!$G32="","",IF((SUMPRODUCT(--ISBLANK('Finalterm OVPAA-F-INS-055A RAW '!CO32:CX32))=COLUMNS('Finalterm OVPAA-F-INS-055A RAW '!CO32:CX32))=TRUE,"",(((COUNTA('Finalterm OVPAA-F-INS-055A RAW '!$CO$17:$CX$17)+COUNTBLANK('Finalterm OVPAA-F-INS-055A RAW '!CO32:CX32))-COLUMNS('Finalterm OVPAA-F-INS-055A RAW '!CO32:CX32))*5+SUM(CS32:DB32))/COUNTA('Finalterm OVPAA-F-INS-055A RAW '!$CO$17:$CX$17)))</f>
        <v>80.125</v>
      </c>
      <c r="DD32" s="135">
        <f>IF(DC32="","",VLOOKUP(DC32,IF('Midterm OVPAA-F-INS-055A RAW SC'!$V$12=0.5,TRANSMUTATION!$C$4:$D$17,TRANSMUTATION!$G$4:$H$17),2,TRUE))</f>
        <v>1.75</v>
      </c>
      <c r="DE32" s="136">
        <f t="shared" si="1"/>
        <v>0.375</v>
      </c>
      <c r="DF32" s="166">
        <f t="shared" si="2"/>
        <v>0.52500000000000002</v>
      </c>
      <c r="DG32" s="167">
        <f t="shared" si="3"/>
        <v>0.70000000000000007</v>
      </c>
      <c r="DH32" s="168">
        <f t="shared" si="4"/>
        <v>1.6</v>
      </c>
      <c r="DI32" s="169" t="str">
        <f t="shared" si="5"/>
        <v>1.50</v>
      </c>
    </row>
    <row r="33" spans="5:113" ht="15.75" customHeight="1">
      <c r="E33" s="59">
        <v>16</v>
      </c>
      <c r="F33" s="124">
        <f>IF(NOT(ISBLANK('Midterm OVPAA-F-INS-055A RAW SC'!F33)),'Midterm OVPAA-F-INS-055A RAW SC'!F33,"")</f>
        <v>24</v>
      </c>
      <c r="G33" s="125" t="str">
        <f>IF(NOT(ISBLANK('Midterm OVPAA-F-INS-055A RAW SC'!G33)),'Midterm OVPAA-F-INS-055A RAW SC'!G33,"")</f>
        <v>Noval, Miky</v>
      </c>
      <c r="H33" s="126">
        <f>IF('Finalterm OVPAA-F-INS-055A RAW '!H33="","",'Finalterm OVPAA-F-INS-055A RAW '!H33/'Finalterm OVPAA-F-INS-055A RAW '!H$17*100)</f>
        <v>100</v>
      </c>
      <c r="I33" s="126">
        <f>IF('Finalterm OVPAA-F-INS-055A RAW '!I33="","",'Finalterm OVPAA-F-INS-055A RAW '!I33/'Finalterm OVPAA-F-INS-055A RAW '!I$17*100)</f>
        <v>100</v>
      </c>
      <c r="J33" s="126">
        <f>IF('Finalterm OVPAA-F-INS-055A RAW '!J33="","",'Finalterm OVPAA-F-INS-055A RAW '!J33/'Finalterm OVPAA-F-INS-055A RAW '!J$17*100)</f>
        <v>60</v>
      </c>
      <c r="K33" s="126">
        <f>IF('Finalterm OVPAA-F-INS-055A RAW '!K33="","",'Finalterm OVPAA-F-INS-055A RAW '!K33/'Finalterm OVPAA-F-INS-055A RAW '!K$17*100)</f>
        <v>100</v>
      </c>
      <c r="L33" s="126">
        <f>IF('Finalterm OVPAA-F-INS-055A RAW '!L33="","",'Finalterm OVPAA-F-INS-055A RAW '!L33/'Finalterm OVPAA-F-INS-055A RAW '!L$17*100)</f>
        <v>100</v>
      </c>
      <c r="M33" s="126" t="str">
        <f>IF('Finalterm OVPAA-F-INS-055A RAW '!M33="","",'Finalterm OVPAA-F-INS-055A RAW '!M33/'Finalterm OVPAA-F-INS-055A RAW '!M$17*100)</f>
        <v/>
      </c>
      <c r="N33" s="126" t="str">
        <f>IF('Finalterm OVPAA-F-INS-055A RAW '!N33="","",'Finalterm OVPAA-F-INS-055A RAW '!N33/'Finalterm OVPAA-F-INS-055A RAW '!N$17*100)</f>
        <v/>
      </c>
      <c r="O33" s="126" t="str">
        <f>IF('Finalterm OVPAA-F-INS-055A RAW '!O33="","",'Finalterm OVPAA-F-INS-055A RAW '!O33/'Finalterm OVPAA-F-INS-055A RAW '!O$17*100)</f>
        <v/>
      </c>
      <c r="P33" s="126" t="str">
        <f>IF('Finalterm OVPAA-F-INS-055A RAW '!P33="","",'Finalterm OVPAA-F-INS-055A RAW '!P33/'Finalterm OVPAA-F-INS-055A RAW '!P$17*100)</f>
        <v/>
      </c>
      <c r="Q33" s="126" t="str">
        <f>IF('Finalterm OVPAA-F-INS-055A RAW '!Q33="","",'Finalterm OVPAA-F-INS-055A RAW '!Q33/'Finalterm OVPAA-F-INS-055A RAW '!Q$17*100)</f>
        <v/>
      </c>
      <c r="R33" s="126" t="str">
        <f>IF('Finalterm OVPAA-F-INS-055A RAW '!R33="","",'Finalterm OVPAA-F-INS-055A RAW '!R33/'Finalterm OVPAA-F-INS-055A RAW '!R$17*100)</f>
        <v/>
      </c>
      <c r="S33" s="126" t="str">
        <f>IF('Finalterm OVPAA-F-INS-055A RAW '!S33="","",'Finalterm OVPAA-F-INS-055A RAW '!S33/'Finalterm OVPAA-F-INS-055A RAW '!S$17*100)</f>
        <v/>
      </c>
      <c r="T33" s="126" t="str">
        <f>IF('Finalterm OVPAA-F-INS-055A RAW '!T33="","",'Finalterm OVPAA-F-INS-055A RAW '!T33/'Finalterm OVPAA-F-INS-055A RAW '!T$17*100)</f>
        <v/>
      </c>
      <c r="U33" s="126" t="str">
        <f>IF('Finalterm OVPAA-F-INS-055A RAW '!U33="","",'Finalterm OVPAA-F-INS-055A RAW '!U33/'Finalterm OVPAA-F-INS-055A RAW '!U$17*100)</f>
        <v/>
      </c>
      <c r="V33" s="126" t="str">
        <f>IF('Finalterm OVPAA-F-INS-055A RAW '!V33="","",'Finalterm OVPAA-F-INS-055A RAW '!V33/'Finalterm OVPAA-F-INS-055A RAW '!V$17*100)</f>
        <v/>
      </c>
      <c r="W33" s="126" t="str">
        <f>IF('Finalterm OVPAA-F-INS-055A RAW '!W33="","",'Finalterm OVPAA-F-INS-055A RAW '!W33/'Finalterm OVPAA-F-INS-055A RAW '!W$17*100)</f>
        <v/>
      </c>
      <c r="X33" s="126" t="str">
        <f>IF('Finalterm OVPAA-F-INS-055A RAW '!X33="","",'Finalterm OVPAA-F-INS-055A RAW '!X33/'Finalterm OVPAA-F-INS-055A RAW '!X$17*100)</f>
        <v/>
      </c>
      <c r="Y33" s="126" t="str">
        <f>IF('Finalterm OVPAA-F-INS-055A RAW '!Y33="","",'Finalterm OVPAA-F-INS-055A RAW '!Y33/'Finalterm OVPAA-F-INS-055A RAW '!Y$17*100)</f>
        <v/>
      </c>
      <c r="Z33" s="126" t="str">
        <f>IF('Finalterm OVPAA-F-INS-055A RAW '!Z33="","",'Finalterm OVPAA-F-INS-055A RAW '!Z33/'Finalterm OVPAA-F-INS-055A RAW '!Z$17*100)</f>
        <v/>
      </c>
      <c r="AA33" s="126" t="str">
        <f>IF('Finalterm OVPAA-F-INS-055A RAW '!AA33="","",'Finalterm OVPAA-F-INS-055A RAW '!AA33/'Finalterm OVPAA-F-INS-055A RAW '!AA$17*100)</f>
        <v/>
      </c>
      <c r="AB33" s="126" t="str">
        <f>IF('Finalterm OVPAA-F-INS-055A RAW '!AB33="","",'Finalterm OVPAA-F-INS-055A RAW '!AB33/'Finalterm OVPAA-F-INS-055A RAW '!AB$17*100)</f>
        <v/>
      </c>
      <c r="AC33" s="126" t="str">
        <f>IF('Finalterm OVPAA-F-INS-055A RAW '!AC33="","",'Finalterm OVPAA-F-INS-055A RAW '!AC33/'Finalterm OVPAA-F-INS-055A RAW '!AC$17*100)</f>
        <v/>
      </c>
      <c r="AD33" s="126" t="str">
        <f>IF('Finalterm OVPAA-F-INS-055A RAW '!AD33="","",'Finalterm OVPAA-F-INS-055A RAW '!AD33/'Finalterm OVPAA-F-INS-055A RAW '!AD$17*100)</f>
        <v/>
      </c>
      <c r="AE33" s="126" t="str">
        <f>IF('Finalterm OVPAA-F-INS-055A RAW '!AE33="","",'Finalterm OVPAA-F-INS-055A RAW '!AE33/'Finalterm OVPAA-F-INS-055A RAW '!AE$17*100)</f>
        <v/>
      </c>
      <c r="AF33" s="126" t="str">
        <f>IF('Finalterm OVPAA-F-INS-055A RAW '!AF33="","",'Finalterm OVPAA-F-INS-055A RAW '!AF33/'Finalterm OVPAA-F-INS-055A RAW '!AF$17*100)</f>
        <v/>
      </c>
      <c r="AG33" s="126" t="str">
        <f>IF('Finalterm OVPAA-F-INS-055A RAW '!AG33="","",'Finalterm OVPAA-F-INS-055A RAW '!AG33/'Finalterm OVPAA-F-INS-055A RAW '!AG$17*100)</f>
        <v/>
      </c>
      <c r="AH33" s="126" t="str">
        <f>IF('Finalterm OVPAA-F-INS-055A RAW '!AH33="","",'Finalterm OVPAA-F-INS-055A RAW '!AH33/'Finalterm OVPAA-F-INS-055A RAW '!AH$17*100)</f>
        <v/>
      </c>
      <c r="AI33" s="126" t="str">
        <f>IF('Finalterm OVPAA-F-INS-055A RAW '!AI33="","",'Finalterm OVPAA-F-INS-055A RAW '!AI33/'Finalterm OVPAA-F-INS-055A RAW '!AI$17*100)</f>
        <v/>
      </c>
      <c r="AJ33" s="126" t="str">
        <f>IF('Finalterm OVPAA-F-INS-055A RAW '!AJ33="","",'Finalterm OVPAA-F-INS-055A RAW '!AJ33/'Finalterm OVPAA-F-INS-055A RAW '!AJ$17*100)</f>
        <v/>
      </c>
      <c r="AK33" s="126" t="str">
        <f>IF('Finalterm OVPAA-F-INS-055A RAW '!AK33="","",'Finalterm OVPAA-F-INS-055A RAW '!AK33/'Finalterm OVPAA-F-INS-055A RAW '!AK$17*100)</f>
        <v/>
      </c>
      <c r="AL33" s="126" t="str">
        <f>IF('Finalterm OVPAA-F-INS-055A RAW '!AL33="","",'Finalterm OVPAA-F-INS-055A RAW '!AL33/'Finalterm OVPAA-F-INS-055A RAW '!AL$17*100)</f>
        <v/>
      </c>
      <c r="AM33" s="126" t="str">
        <f>IF('Finalterm OVPAA-F-INS-055A RAW '!AM33="","",'Finalterm OVPAA-F-INS-055A RAW '!AM33/'Finalterm OVPAA-F-INS-055A RAW '!AM$17*100)</f>
        <v/>
      </c>
      <c r="AN33" s="126" t="str">
        <f>IF('Finalterm OVPAA-F-INS-055A RAW '!AN33="","",'Finalterm OVPAA-F-INS-055A RAW '!AN33/'Finalterm OVPAA-F-INS-055A RAW '!AN$17*100)</f>
        <v/>
      </c>
      <c r="AO33" s="126" t="str">
        <f>IF('Finalterm OVPAA-F-INS-055A RAW '!AO33="","",'Finalterm OVPAA-F-INS-055A RAW '!AO33/'Finalterm OVPAA-F-INS-055A RAW '!AO$17*100)</f>
        <v/>
      </c>
      <c r="AP33" s="126" t="str">
        <f>IF('Finalterm OVPAA-F-INS-055A RAW '!AP33="","",'Finalterm OVPAA-F-INS-055A RAW '!AP33/'Finalterm OVPAA-F-INS-055A RAW '!AP$17*100)</f>
        <v/>
      </c>
      <c r="AQ33" s="126" t="str">
        <f>IF('Finalterm OVPAA-F-INS-055A RAW '!AQ33="","",'Finalterm OVPAA-F-INS-055A RAW '!AQ33/'Finalterm OVPAA-F-INS-055A RAW '!AQ$17*100)</f>
        <v/>
      </c>
      <c r="AR33" s="126" t="str">
        <f>IF('Finalterm OVPAA-F-INS-055A RAW '!AR33="","",'Finalterm OVPAA-F-INS-055A RAW '!AR33/'Finalterm OVPAA-F-INS-055A RAW '!AR$17*100)</f>
        <v/>
      </c>
      <c r="AS33" s="126" t="str">
        <f>IF('Finalterm OVPAA-F-INS-055A RAW '!AS33="","",'Finalterm OVPAA-F-INS-055A RAW '!AS33/'Finalterm OVPAA-F-INS-055A RAW '!AS$17*100)</f>
        <v/>
      </c>
      <c r="AT33" s="126" t="str">
        <f>IF('Finalterm OVPAA-F-INS-055A RAW '!AT33="","",'Finalterm OVPAA-F-INS-055A RAW '!AT33/'Finalterm OVPAA-F-INS-055A RAW '!AT$17*100)</f>
        <v/>
      </c>
      <c r="AU33" s="126" t="str">
        <f>IF('Finalterm OVPAA-F-INS-055A RAW '!AU33="","",'Finalterm OVPAA-F-INS-055A RAW '!AU33/'Finalterm OVPAA-F-INS-055A RAW '!AU$17*100)</f>
        <v/>
      </c>
      <c r="AV33" s="126" t="str">
        <f>IF('Finalterm OVPAA-F-INS-055A RAW '!AV33="","",'Finalterm OVPAA-F-INS-055A RAW '!AV33/'Finalterm OVPAA-F-INS-055A RAW '!AV$17*100)</f>
        <v/>
      </c>
      <c r="AW33" s="126" t="str">
        <f>IF('Finalterm OVPAA-F-INS-055A RAW '!AW33="","",'Finalterm OVPAA-F-INS-055A RAW '!AW33/'Finalterm OVPAA-F-INS-055A RAW '!AW$17*100)</f>
        <v/>
      </c>
      <c r="AX33" s="126" t="str">
        <f>IF('Finalterm OVPAA-F-INS-055A RAW '!AX33="","",'Finalterm OVPAA-F-INS-055A RAW '!AX33/'Finalterm OVPAA-F-INS-055A RAW '!AX$17*100)</f>
        <v/>
      </c>
      <c r="AY33" s="126" t="str">
        <f>IF('Finalterm OVPAA-F-INS-055A RAW '!AY33="","",'Finalterm OVPAA-F-INS-055A RAW '!AY33/'Finalterm OVPAA-F-INS-055A RAW '!AY$17*100)</f>
        <v/>
      </c>
      <c r="AZ33" s="126" t="str">
        <f>IF('Finalterm OVPAA-F-INS-055A RAW '!AZ33="","",'Finalterm OVPAA-F-INS-055A RAW '!AZ33/'Finalterm OVPAA-F-INS-055A RAW '!AZ$17*100)</f>
        <v/>
      </c>
      <c r="BA33" s="126" t="str">
        <f>IF('Finalterm OVPAA-F-INS-055A RAW '!BA33="","",'Finalterm OVPAA-F-INS-055A RAW '!BA33/'Finalterm OVPAA-F-INS-055A RAW '!BA$17*100)</f>
        <v/>
      </c>
      <c r="BB33" s="126" t="str">
        <f>IF('Finalterm OVPAA-F-INS-055A RAW '!BB33="","",'Finalterm OVPAA-F-INS-055A RAW '!BB33/'Finalterm OVPAA-F-INS-055A RAW '!BB$17*100)</f>
        <v/>
      </c>
      <c r="BC33" s="126" t="str">
        <f>IF('Finalterm OVPAA-F-INS-055A RAW '!BC33="","",'Finalterm OVPAA-F-INS-055A RAW '!BC33/'Finalterm OVPAA-F-INS-055A RAW '!BC$17*100)</f>
        <v/>
      </c>
      <c r="BD33" s="126" t="str">
        <f>IF('Finalterm OVPAA-F-INS-055A RAW '!BD33="","",'Finalterm OVPAA-F-INS-055A RAW '!BD33/'Finalterm OVPAA-F-INS-055A RAW '!BD$17*100)</f>
        <v/>
      </c>
      <c r="BE33" s="126" t="str">
        <f>IF('Finalterm OVPAA-F-INS-055A RAW '!BE33="","",'Finalterm OVPAA-F-INS-055A RAW '!BE33/'Finalterm OVPAA-F-INS-055A RAW '!BE$17*100)</f>
        <v/>
      </c>
      <c r="BF33" s="126" t="str">
        <f>IF('Finalterm OVPAA-F-INS-055A RAW '!BF33="","",'Finalterm OVPAA-F-INS-055A RAW '!BF33/'Finalterm OVPAA-F-INS-055A RAW '!BF$17*100)</f>
        <v/>
      </c>
      <c r="BG33" s="126" t="str">
        <f>IF('Finalterm OVPAA-F-INS-055A RAW '!BG33="","",'Finalterm OVPAA-F-INS-055A RAW '!BG33/'Finalterm OVPAA-F-INS-055A RAW '!BG$17*100)</f>
        <v/>
      </c>
      <c r="BH33" s="126" t="str">
        <f>IF('Finalterm OVPAA-F-INS-055A RAW '!BH33="","",'Finalterm OVPAA-F-INS-055A RAW '!BH33/'Finalterm OVPAA-F-INS-055A RAW '!BH$17*100)</f>
        <v/>
      </c>
      <c r="BI33" s="126" t="str">
        <f>IF('Finalterm OVPAA-F-INS-055A RAW '!BI33="","",'Finalterm OVPAA-F-INS-055A RAW '!BI33/'Finalterm OVPAA-F-INS-055A RAW '!BI$17*100)</f>
        <v/>
      </c>
      <c r="BJ33" s="126" t="str">
        <f>IF('Finalterm OVPAA-F-INS-055A RAW '!BJ33="","",'Finalterm OVPAA-F-INS-055A RAW '!BJ33/'Finalterm OVPAA-F-INS-055A RAW '!BJ$17*100)</f>
        <v/>
      </c>
      <c r="BK33" s="126" t="str">
        <f>IF('Finalterm OVPAA-F-INS-055A RAW '!BK33="","",'Finalterm OVPAA-F-INS-055A RAW '!BK33/'Finalterm OVPAA-F-INS-055A RAW '!BK$17*100)</f>
        <v/>
      </c>
      <c r="BL33" s="126" t="str">
        <f>IF('Finalterm OVPAA-F-INS-055A RAW '!BL33="","",'Finalterm OVPAA-F-INS-055A RAW '!BL33/'Finalterm OVPAA-F-INS-055A RAW '!BL$17*100)</f>
        <v/>
      </c>
      <c r="BM33" s="126" t="str">
        <f>IF('Finalterm OVPAA-F-INS-055A RAW '!BM33="","",'Finalterm OVPAA-F-INS-055A RAW '!BM33/'Finalterm OVPAA-F-INS-055A RAW '!BM$17*100)</f>
        <v/>
      </c>
      <c r="BN33" s="126" t="str">
        <f>IF('Finalterm OVPAA-F-INS-055A RAW '!BN33="","",'Finalterm OVPAA-F-INS-055A RAW '!BN33/'Finalterm OVPAA-F-INS-055A RAW '!BN$17*100)</f>
        <v/>
      </c>
      <c r="BO33" s="126" t="str">
        <f>IF('Finalterm OVPAA-F-INS-055A RAW '!BO33="","",'Finalterm OVPAA-F-INS-055A RAW '!BO33/'Finalterm OVPAA-F-INS-055A RAW '!BO$17*100)</f>
        <v/>
      </c>
      <c r="BP33" s="126" t="str">
        <f>IF('Finalterm OVPAA-F-INS-055A RAW '!BP33="","",'Finalterm OVPAA-F-INS-055A RAW '!BP33/'Finalterm OVPAA-F-INS-055A RAW '!BP$17*100)</f>
        <v/>
      </c>
      <c r="BQ33" s="126" t="str">
        <f>IF('Finalterm OVPAA-F-INS-055A RAW '!BQ33="","",'Finalterm OVPAA-F-INS-055A RAW '!BQ33/'Finalterm OVPAA-F-INS-055A RAW '!BQ$17*100)</f>
        <v/>
      </c>
      <c r="BR33" s="126" t="str">
        <f>IF('Finalterm OVPAA-F-INS-055A RAW '!BR33="","",'Finalterm OVPAA-F-INS-055A RAW '!BR33/'Finalterm OVPAA-F-INS-055A RAW '!BR$17*100)</f>
        <v/>
      </c>
      <c r="BS33" s="126" t="str">
        <f>IF('Finalterm OVPAA-F-INS-055A RAW '!BS33="","",'Finalterm OVPAA-F-INS-055A RAW '!BS33/'Finalterm OVPAA-F-INS-055A RAW '!BS$17*100)</f>
        <v/>
      </c>
      <c r="BT33" s="126" t="str">
        <f>IF('Finalterm OVPAA-F-INS-055A RAW '!BT33="","",'Finalterm OVPAA-F-INS-055A RAW '!BT33/'Finalterm OVPAA-F-INS-055A RAW '!BT$17*100)</f>
        <v/>
      </c>
      <c r="BU33" s="127">
        <f t="array" ref="BU33">IF('Finalterm OVPAA-F-INS-055A RAW '!$G33="","",IF((SUMPRODUCT(--ISBLANK('Finalterm OVPAA-F-INS-055A RAW '!H33:BT33))=COLUMNS('Finalterm OVPAA-F-INS-055A RAW '!H33:BT33))=TRUE,"",(((COUNTA('Finalterm OVPAA-F-INS-055A RAW '!$H$17:$BT$17)+COUNTBLANK('Finalterm OVPAA-F-INS-055A RAW '!H33:BT33))-COLUMNS('Finalterm OVPAA-F-INS-055A RAW '!H33:BT33))*5+SUM(H33:BT33))/COUNTA('Finalterm OVPAA-F-INS-055A RAW '!$H$17:$BT$17)))</f>
        <v>92</v>
      </c>
      <c r="BV33" s="165">
        <f>IF(BU33="","",VLOOKUP(BU33,IF('Midterm OVPAA-F-INS-055A RAW SC'!$V$12=0.5,TRANSMUTATION!$C$4:$D$17,TRANSMUTATION!$G$4:$H$17),2,TRUE))</f>
        <v>1.25</v>
      </c>
      <c r="BW33" s="129">
        <f>IF('Finalterm OVPAA-F-INS-055A RAW '!BU33="","",'Finalterm OVPAA-F-INS-055A RAW '!BU33/'Finalterm OVPAA-F-INS-055A RAW '!BU$17*100)</f>
        <v>84</v>
      </c>
      <c r="BX33" s="130">
        <f>IF('Finalterm OVPAA-F-INS-055A RAW '!BV33="","",'Finalterm OVPAA-F-INS-055A RAW '!BV33/'Finalterm OVPAA-F-INS-055A RAW '!BV$17*100)</f>
        <v>92</v>
      </c>
      <c r="BY33" s="130">
        <f>IF('Finalterm OVPAA-F-INS-055A RAW '!BW33="","",'Finalterm OVPAA-F-INS-055A RAW '!BW33/'Finalterm OVPAA-F-INS-055A RAW '!BW$17*100)</f>
        <v>100</v>
      </c>
      <c r="BZ33" s="130" t="str">
        <f>IF('Finalterm OVPAA-F-INS-055A RAW '!BX33="","",'Finalterm OVPAA-F-INS-055A RAW '!BX33/'Finalterm OVPAA-F-INS-055A RAW '!BX$17*100)</f>
        <v/>
      </c>
      <c r="CA33" s="130" t="str">
        <f>IF('Finalterm OVPAA-F-INS-055A RAW '!BY33="","",'Finalterm OVPAA-F-INS-055A RAW '!BY33/'Finalterm OVPAA-F-INS-055A RAW '!BY$17*100)</f>
        <v/>
      </c>
      <c r="CB33" s="130" t="str">
        <f>IF('Finalterm OVPAA-F-INS-055A RAW '!BZ33="","",'Finalterm OVPAA-F-INS-055A RAW '!BZ33/'Finalterm OVPAA-F-INS-055A RAW '!BZ$17*100)</f>
        <v/>
      </c>
      <c r="CC33" s="130" t="str">
        <f>IF('Finalterm OVPAA-F-INS-055A RAW '!CA33="","",'Finalterm OVPAA-F-INS-055A RAW '!CA33/'Finalterm OVPAA-F-INS-055A RAW '!CA$17*100)</f>
        <v/>
      </c>
      <c r="CD33" s="130" t="str">
        <f>IF('Finalterm OVPAA-F-INS-055A RAW '!CB33="","",'Finalterm OVPAA-F-INS-055A RAW '!CB33/'Finalterm OVPAA-F-INS-055A RAW '!CB$17*100)</f>
        <v/>
      </c>
      <c r="CE33" s="130" t="str">
        <f>IF('Finalterm OVPAA-F-INS-055A RAW '!CC33="","",'Finalterm OVPAA-F-INS-055A RAW '!CC33/'Finalterm OVPAA-F-INS-055A RAW '!CC$17*100)</f>
        <v/>
      </c>
      <c r="CF33" s="130" t="str">
        <f>IF('Finalterm OVPAA-F-INS-055A RAW '!CD33="","",'Finalterm OVPAA-F-INS-055A RAW '!CD33/'Finalterm OVPAA-F-INS-055A RAW '!CD$17*100)</f>
        <v/>
      </c>
      <c r="CG33" s="130" t="str">
        <f>IF('Finalterm OVPAA-F-INS-055A RAW '!CE33="","",'Finalterm OVPAA-F-INS-055A RAW '!CE33/'Finalterm OVPAA-F-INS-055A RAW '!CE$17*100)</f>
        <v/>
      </c>
      <c r="CH33" s="130" t="str">
        <f>IF('Finalterm OVPAA-F-INS-055A RAW '!CF33="","",'Finalterm OVPAA-F-INS-055A RAW '!CF33/'Finalterm OVPAA-F-INS-055A RAW '!CF$17*100)</f>
        <v/>
      </c>
      <c r="CI33" s="130" t="str">
        <f>IF('Finalterm OVPAA-F-INS-055A RAW '!CG33="","",'Finalterm OVPAA-F-INS-055A RAW '!CG33/'Finalterm OVPAA-F-INS-055A RAW '!CG$17*100)</f>
        <v/>
      </c>
      <c r="CJ33" s="130" t="str">
        <f>IF('Finalterm OVPAA-F-INS-055A RAW '!CH33="","",'Finalterm OVPAA-F-INS-055A RAW '!CH33/'Finalterm OVPAA-F-INS-055A RAW '!CH$17*100)</f>
        <v/>
      </c>
      <c r="CK33" s="130" t="str">
        <f>IF('Finalterm OVPAA-F-INS-055A RAW '!CI33="","",'Finalterm OVPAA-F-INS-055A RAW '!CI33/'Finalterm OVPAA-F-INS-055A RAW '!CI$17*100)</f>
        <v/>
      </c>
      <c r="CL33" s="130" t="str">
        <f>IF('Finalterm OVPAA-F-INS-055A RAW '!CJ33="","",'Finalterm OVPAA-F-INS-055A RAW '!CJ33/'Finalterm OVPAA-F-INS-055A RAW '!CJ$17*100)</f>
        <v/>
      </c>
      <c r="CM33" s="130" t="str">
        <f>IF('Finalterm OVPAA-F-INS-055A RAW '!CK33="","",'Finalterm OVPAA-F-INS-055A RAW '!CK33/'Finalterm OVPAA-F-INS-055A RAW '!CK$17*100)</f>
        <v/>
      </c>
      <c r="CN33" s="130" t="str">
        <f>IF('Finalterm OVPAA-F-INS-055A RAW '!CL33="","",'Finalterm OVPAA-F-INS-055A RAW '!CL33/'Finalterm OVPAA-F-INS-055A RAW '!CL$17*100)</f>
        <v/>
      </c>
      <c r="CO33" s="130" t="str">
        <f>IF('Finalterm OVPAA-F-INS-055A RAW '!CM33="","",'Finalterm OVPAA-F-INS-055A RAW '!CM33/'Finalterm OVPAA-F-INS-055A RAW '!CM$17*100)</f>
        <v/>
      </c>
      <c r="CP33" s="130" t="str">
        <f>IF('Finalterm OVPAA-F-INS-055A RAW '!CN33="","",'Finalterm OVPAA-F-INS-055A RAW '!CN33/'Finalterm OVPAA-F-INS-055A RAW '!CN$17*100)</f>
        <v/>
      </c>
      <c r="CQ33" s="131">
        <f t="array" ref="CQ33">IF('Midterm OVPAA-F-INS-055A RAW SC'!G33="","",IF((SUMPRODUCT(--ISBLANK('Finalterm OVPAA-F-INS-055A RAW '!BU33:CN33))=COLUMNS('Finalterm OVPAA-F-INS-055A RAW '!BU33:CN33))=TRUE,"",(((COUNTA('Finalterm OVPAA-F-INS-055A RAW '!$BU$17:$CN$17)+COUNTBLANK('Finalterm OVPAA-F-INS-055A RAW '!BU33:CN33))-COLUMNS('Finalterm OVPAA-F-INS-055A RAW '!BU33:CN33))*5+SUM(BW33:CP33))/COUNTA('Finalterm OVPAA-F-INS-055A RAW '!$BU$17:$CN$17)))</f>
        <v>92</v>
      </c>
      <c r="CR33" s="132">
        <f>IF(CQ33="","",VLOOKUP(CQ33,IF('Midterm OVPAA-F-INS-055A RAW SC'!$V$12=0.5,TRANSMUTATION!$C$4:$D$17,TRANSMUTATION!$G$4:$H$17),2,TRUE))</f>
        <v>1.25</v>
      </c>
      <c r="CS33" s="133">
        <f>IF('Finalterm OVPAA-F-INS-055A RAW '!CO33="","",'Finalterm OVPAA-F-INS-055A RAW '!CO33/'Finalterm OVPAA-F-INS-055A RAW '!CO$17*100)</f>
        <v>80</v>
      </c>
      <c r="CT33" s="133">
        <f>IF('Finalterm OVPAA-F-INS-055A RAW '!CP33="","",'Finalterm OVPAA-F-INS-055A RAW '!CP33/'Finalterm OVPAA-F-INS-055A RAW '!CP$17*100)</f>
        <v>54.500000000000007</v>
      </c>
      <c r="CU33" s="133" t="str">
        <f>IF('Finalterm OVPAA-F-INS-055A RAW '!CQ33="","",'Finalterm OVPAA-F-INS-055A RAW '!CQ33/'Finalterm OVPAA-F-INS-055A RAW '!CQ$17*100)</f>
        <v/>
      </c>
      <c r="CV33" s="133" t="str">
        <f>IF('Finalterm OVPAA-F-INS-055A RAW '!CR33="","",'Finalterm OVPAA-F-INS-055A RAW '!CR33/'Finalterm OVPAA-F-INS-055A RAW '!CR$17*100)</f>
        <v/>
      </c>
      <c r="CW33" s="133" t="str">
        <f>IF('Finalterm OVPAA-F-INS-055A RAW '!CS33="","",'Finalterm OVPAA-F-INS-055A RAW '!CS33/'Finalterm OVPAA-F-INS-055A RAW '!CS$17*100)</f>
        <v/>
      </c>
      <c r="CX33" s="133" t="str">
        <f>IF('Finalterm OVPAA-F-INS-055A RAW '!CT33="","",'Finalterm OVPAA-F-INS-055A RAW '!CT33/'Finalterm OVPAA-F-INS-055A RAW '!CT$17*100)</f>
        <v/>
      </c>
      <c r="CY33" s="133" t="str">
        <f>IF('Finalterm OVPAA-F-INS-055A RAW '!CU33="","",'Finalterm OVPAA-F-INS-055A RAW '!CU33/'Finalterm OVPAA-F-INS-055A RAW '!CU$17*100)</f>
        <v/>
      </c>
      <c r="CZ33" s="133" t="str">
        <f>IF('Finalterm OVPAA-F-INS-055A RAW '!CV33="","",'Finalterm OVPAA-F-INS-055A RAW '!CV33/'Finalterm OVPAA-F-INS-055A RAW '!CV$17*100)</f>
        <v/>
      </c>
      <c r="DA33" s="133" t="str">
        <f>IF('Finalterm OVPAA-F-INS-055A RAW '!CW33="","",'Finalterm OVPAA-F-INS-055A RAW '!CW33/'Finalterm OVPAA-F-INS-055A RAW '!CW$17*100)</f>
        <v/>
      </c>
      <c r="DB33" s="133" t="str">
        <f>IF('Finalterm OVPAA-F-INS-055A RAW '!CX33="","",'Finalterm OVPAA-F-INS-055A RAW '!CX33/'Finalterm OVPAA-F-INS-055A RAW '!CX$17*100)</f>
        <v/>
      </c>
      <c r="DC33" s="134">
        <f t="array" ref="DC33">IF('Midterm OVPAA-F-INS-055A RAW SC'!$G33="","",IF((SUMPRODUCT(--ISBLANK('Finalterm OVPAA-F-INS-055A RAW '!CO33:CX33))=COLUMNS('Finalterm OVPAA-F-INS-055A RAW '!CO33:CX33))=TRUE,"",(((COUNTA('Finalterm OVPAA-F-INS-055A RAW '!$CO$17:$CX$17)+COUNTBLANK('Finalterm OVPAA-F-INS-055A RAW '!CO33:CX33))-COLUMNS('Finalterm OVPAA-F-INS-055A RAW '!CO33:CX33))*5+SUM(CS33:DB33))/COUNTA('Finalterm OVPAA-F-INS-055A RAW '!$CO$17:$CX$17)))</f>
        <v>67.25</v>
      </c>
      <c r="DD33" s="135">
        <f>IF(DC33="","",VLOOKUP(DC33,IF('Midterm OVPAA-F-INS-055A RAW SC'!$V$12=0.5,TRANSMUTATION!$C$4:$D$17,TRANSMUTATION!$G$4:$H$17),2,TRUE))</f>
        <v>2.5</v>
      </c>
      <c r="DE33" s="136">
        <f t="shared" si="1"/>
        <v>0.375</v>
      </c>
      <c r="DF33" s="166">
        <f t="shared" si="2"/>
        <v>0.375</v>
      </c>
      <c r="DG33" s="167">
        <f t="shared" si="3"/>
        <v>1</v>
      </c>
      <c r="DH33" s="168">
        <f t="shared" si="4"/>
        <v>1.75</v>
      </c>
      <c r="DI33" s="169" t="str">
        <f t="shared" si="5"/>
        <v>1.75</v>
      </c>
    </row>
    <row r="34" spans="5:113" ht="15.75" customHeight="1">
      <c r="E34" s="59">
        <v>17</v>
      </c>
      <c r="F34" s="124">
        <f>IF(NOT(ISBLANK('Midterm OVPAA-F-INS-055A RAW SC'!F34)),'Midterm OVPAA-F-INS-055A RAW SC'!F34,"")</f>
        <v>25</v>
      </c>
      <c r="G34" s="125" t="str">
        <f>IF(NOT(ISBLANK('Midterm OVPAA-F-INS-055A RAW SC'!G34)),'Midterm OVPAA-F-INS-055A RAW SC'!G34,"")</f>
        <v>Nuer, Jaymarc</v>
      </c>
      <c r="H34" s="126">
        <f>IF('Finalterm OVPAA-F-INS-055A RAW '!H34="","",'Finalterm OVPAA-F-INS-055A RAW '!H34/'Finalterm OVPAA-F-INS-055A RAW '!H$17*100)</f>
        <v>100</v>
      </c>
      <c r="I34" s="126">
        <f>IF('Finalterm OVPAA-F-INS-055A RAW '!I34="","",'Finalterm OVPAA-F-INS-055A RAW '!I34/'Finalterm OVPAA-F-INS-055A RAW '!I$17*100)</f>
        <v>100</v>
      </c>
      <c r="J34" s="126">
        <f>IF('Finalterm OVPAA-F-INS-055A RAW '!J34="","",'Finalterm OVPAA-F-INS-055A RAW '!J34/'Finalterm OVPAA-F-INS-055A RAW '!J$17*100)</f>
        <v>60</v>
      </c>
      <c r="K34" s="126">
        <f>IF('Finalterm OVPAA-F-INS-055A RAW '!K34="","",'Finalterm OVPAA-F-INS-055A RAW '!K34/'Finalterm OVPAA-F-INS-055A RAW '!K$17*100)</f>
        <v>100</v>
      </c>
      <c r="L34" s="126">
        <f>IF('Finalterm OVPAA-F-INS-055A RAW '!L34="","",'Finalterm OVPAA-F-INS-055A RAW '!L34/'Finalterm OVPAA-F-INS-055A RAW '!L$17*100)</f>
        <v>100</v>
      </c>
      <c r="M34" s="126" t="str">
        <f>IF('Finalterm OVPAA-F-INS-055A RAW '!M34="","",'Finalterm OVPAA-F-INS-055A RAW '!M34/'Finalterm OVPAA-F-INS-055A RAW '!M$17*100)</f>
        <v/>
      </c>
      <c r="N34" s="126" t="str">
        <f>IF('Finalterm OVPAA-F-INS-055A RAW '!N34="","",'Finalterm OVPAA-F-INS-055A RAW '!N34/'Finalterm OVPAA-F-INS-055A RAW '!N$17*100)</f>
        <v/>
      </c>
      <c r="O34" s="126" t="str">
        <f>IF('Finalterm OVPAA-F-INS-055A RAW '!O34="","",'Finalterm OVPAA-F-INS-055A RAW '!O34/'Finalterm OVPAA-F-INS-055A RAW '!O$17*100)</f>
        <v/>
      </c>
      <c r="P34" s="126" t="str">
        <f>IF('Finalterm OVPAA-F-INS-055A RAW '!P34="","",'Finalterm OVPAA-F-INS-055A RAW '!P34/'Finalterm OVPAA-F-INS-055A RAW '!P$17*100)</f>
        <v/>
      </c>
      <c r="Q34" s="126" t="str">
        <f>IF('Finalterm OVPAA-F-INS-055A RAW '!Q34="","",'Finalterm OVPAA-F-INS-055A RAW '!Q34/'Finalterm OVPAA-F-INS-055A RAW '!Q$17*100)</f>
        <v/>
      </c>
      <c r="R34" s="126" t="str">
        <f>IF('Finalterm OVPAA-F-INS-055A RAW '!R34="","",'Finalterm OVPAA-F-INS-055A RAW '!R34/'Finalterm OVPAA-F-INS-055A RAW '!R$17*100)</f>
        <v/>
      </c>
      <c r="S34" s="126" t="str">
        <f>IF('Finalterm OVPAA-F-INS-055A RAW '!S34="","",'Finalterm OVPAA-F-INS-055A RAW '!S34/'Finalterm OVPAA-F-INS-055A RAW '!S$17*100)</f>
        <v/>
      </c>
      <c r="T34" s="126" t="str">
        <f>IF('Finalterm OVPAA-F-INS-055A RAW '!T34="","",'Finalterm OVPAA-F-INS-055A RAW '!T34/'Finalterm OVPAA-F-INS-055A RAW '!T$17*100)</f>
        <v/>
      </c>
      <c r="U34" s="126" t="str">
        <f>IF('Finalterm OVPAA-F-INS-055A RAW '!U34="","",'Finalterm OVPAA-F-INS-055A RAW '!U34/'Finalterm OVPAA-F-INS-055A RAW '!U$17*100)</f>
        <v/>
      </c>
      <c r="V34" s="126" t="str">
        <f>IF('Finalterm OVPAA-F-INS-055A RAW '!V34="","",'Finalterm OVPAA-F-INS-055A RAW '!V34/'Finalterm OVPAA-F-INS-055A RAW '!V$17*100)</f>
        <v/>
      </c>
      <c r="W34" s="126" t="str">
        <f>IF('Finalterm OVPAA-F-INS-055A RAW '!W34="","",'Finalterm OVPAA-F-INS-055A RAW '!W34/'Finalterm OVPAA-F-INS-055A RAW '!W$17*100)</f>
        <v/>
      </c>
      <c r="X34" s="126" t="str">
        <f>IF('Finalterm OVPAA-F-INS-055A RAW '!X34="","",'Finalterm OVPAA-F-INS-055A RAW '!X34/'Finalterm OVPAA-F-INS-055A RAW '!X$17*100)</f>
        <v/>
      </c>
      <c r="Y34" s="126" t="str">
        <f>IF('Finalterm OVPAA-F-INS-055A RAW '!Y34="","",'Finalterm OVPAA-F-INS-055A RAW '!Y34/'Finalterm OVPAA-F-INS-055A RAW '!Y$17*100)</f>
        <v/>
      </c>
      <c r="Z34" s="126" t="str">
        <f>IF('Finalterm OVPAA-F-INS-055A RAW '!Z34="","",'Finalterm OVPAA-F-INS-055A RAW '!Z34/'Finalterm OVPAA-F-INS-055A RAW '!Z$17*100)</f>
        <v/>
      </c>
      <c r="AA34" s="126" t="str">
        <f>IF('Finalterm OVPAA-F-INS-055A RAW '!AA34="","",'Finalterm OVPAA-F-INS-055A RAW '!AA34/'Finalterm OVPAA-F-INS-055A RAW '!AA$17*100)</f>
        <v/>
      </c>
      <c r="AB34" s="126" t="str">
        <f>IF('Finalterm OVPAA-F-INS-055A RAW '!AB34="","",'Finalterm OVPAA-F-INS-055A RAW '!AB34/'Finalterm OVPAA-F-INS-055A RAW '!AB$17*100)</f>
        <v/>
      </c>
      <c r="AC34" s="126" t="str">
        <f>IF('Finalterm OVPAA-F-INS-055A RAW '!AC34="","",'Finalterm OVPAA-F-INS-055A RAW '!AC34/'Finalterm OVPAA-F-INS-055A RAW '!AC$17*100)</f>
        <v/>
      </c>
      <c r="AD34" s="126" t="str">
        <f>IF('Finalterm OVPAA-F-INS-055A RAW '!AD34="","",'Finalterm OVPAA-F-INS-055A RAW '!AD34/'Finalterm OVPAA-F-INS-055A RAW '!AD$17*100)</f>
        <v/>
      </c>
      <c r="AE34" s="126" t="str">
        <f>IF('Finalterm OVPAA-F-INS-055A RAW '!AE34="","",'Finalterm OVPAA-F-INS-055A RAW '!AE34/'Finalterm OVPAA-F-INS-055A RAW '!AE$17*100)</f>
        <v/>
      </c>
      <c r="AF34" s="126" t="str">
        <f>IF('Finalterm OVPAA-F-INS-055A RAW '!AF34="","",'Finalterm OVPAA-F-INS-055A RAW '!AF34/'Finalterm OVPAA-F-INS-055A RAW '!AF$17*100)</f>
        <v/>
      </c>
      <c r="AG34" s="126" t="str">
        <f>IF('Finalterm OVPAA-F-INS-055A RAW '!AG34="","",'Finalterm OVPAA-F-INS-055A RAW '!AG34/'Finalterm OVPAA-F-INS-055A RAW '!AG$17*100)</f>
        <v/>
      </c>
      <c r="AH34" s="126" t="str">
        <f>IF('Finalterm OVPAA-F-INS-055A RAW '!AH34="","",'Finalterm OVPAA-F-INS-055A RAW '!AH34/'Finalterm OVPAA-F-INS-055A RAW '!AH$17*100)</f>
        <v/>
      </c>
      <c r="AI34" s="126" t="str">
        <f>IF('Finalterm OVPAA-F-INS-055A RAW '!AI34="","",'Finalterm OVPAA-F-INS-055A RAW '!AI34/'Finalterm OVPAA-F-INS-055A RAW '!AI$17*100)</f>
        <v/>
      </c>
      <c r="AJ34" s="126" t="str">
        <f>IF('Finalterm OVPAA-F-INS-055A RAW '!AJ34="","",'Finalterm OVPAA-F-INS-055A RAW '!AJ34/'Finalterm OVPAA-F-INS-055A RAW '!AJ$17*100)</f>
        <v/>
      </c>
      <c r="AK34" s="126" t="str">
        <f>IF('Finalterm OVPAA-F-INS-055A RAW '!AK34="","",'Finalterm OVPAA-F-INS-055A RAW '!AK34/'Finalterm OVPAA-F-INS-055A RAW '!AK$17*100)</f>
        <v/>
      </c>
      <c r="AL34" s="126" t="str">
        <f>IF('Finalterm OVPAA-F-INS-055A RAW '!AL34="","",'Finalterm OVPAA-F-INS-055A RAW '!AL34/'Finalterm OVPAA-F-INS-055A RAW '!AL$17*100)</f>
        <v/>
      </c>
      <c r="AM34" s="126" t="str">
        <f>IF('Finalterm OVPAA-F-INS-055A RAW '!AM34="","",'Finalterm OVPAA-F-INS-055A RAW '!AM34/'Finalterm OVPAA-F-INS-055A RAW '!AM$17*100)</f>
        <v/>
      </c>
      <c r="AN34" s="126" t="str">
        <f>IF('Finalterm OVPAA-F-INS-055A RAW '!AN34="","",'Finalterm OVPAA-F-INS-055A RAW '!AN34/'Finalterm OVPAA-F-INS-055A RAW '!AN$17*100)</f>
        <v/>
      </c>
      <c r="AO34" s="126" t="str">
        <f>IF('Finalterm OVPAA-F-INS-055A RAW '!AO34="","",'Finalterm OVPAA-F-INS-055A RAW '!AO34/'Finalterm OVPAA-F-INS-055A RAW '!AO$17*100)</f>
        <v/>
      </c>
      <c r="AP34" s="126" t="str">
        <f>IF('Finalterm OVPAA-F-INS-055A RAW '!AP34="","",'Finalterm OVPAA-F-INS-055A RAW '!AP34/'Finalterm OVPAA-F-INS-055A RAW '!AP$17*100)</f>
        <v/>
      </c>
      <c r="AQ34" s="126" t="str">
        <f>IF('Finalterm OVPAA-F-INS-055A RAW '!AQ34="","",'Finalterm OVPAA-F-INS-055A RAW '!AQ34/'Finalterm OVPAA-F-INS-055A RAW '!AQ$17*100)</f>
        <v/>
      </c>
      <c r="AR34" s="126" t="str">
        <f>IF('Finalterm OVPAA-F-INS-055A RAW '!AR34="","",'Finalterm OVPAA-F-INS-055A RAW '!AR34/'Finalterm OVPAA-F-INS-055A RAW '!AR$17*100)</f>
        <v/>
      </c>
      <c r="AS34" s="126" t="str">
        <f>IF('Finalterm OVPAA-F-INS-055A RAW '!AS34="","",'Finalterm OVPAA-F-INS-055A RAW '!AS34/'Finalterm OVPAA-F-INS-055A RAW '!AS$17*100)</f>
        <v/>
      </c>
      <c r="AT34" s="126" t="str">
        <f>IF('Finalterm OVPAA-F-INS-055A RAW '!AT34="","",'Finalterm OVPAA-F-INS-055A RAW '!AT34/'Finalterm OVPAA-F-INS-055A RAW '!AT$17*100)</f>
        <v/>
      </c>
      <c r="AU34" s="126" t="str">
        <f>IF('Finalterm OVPAA-F-INS-055A RAW '!AU34="","",'Finalterm OVPAA-F-INS-055A RAW '!AU34/'Finalterm OVPAA-F-INS-055A RAW '!AU$17*100)</f>
        <v/>
      </c>
      <c r="AV34" s="126" t="str">
        <f>IF('Finalterm OVPAA-F-INS-055A RAW '!AV34="","",'Finalterm OVPAA-F-INS-055A RAW '!AV34/'Finalterm OVPAA-F-INS-055A RAW '!AV$17*100)</f>
        <v/>
      </c>
      <c r="AW34" s="126" t="str">
        <f>IF('Finalterm OVPAA-F-INS-055A RAW '!AW34="","",'Finalterm OVPAA-F-INS-055A RAW '!AW34/'Finalterm OVPAA-F-INS-055A RAW '!AW$17*100)</f>
        <v/>
      </c>
      <c r="AX34" s="126" t="str">
        <f>IF('Finalterm OVPAA-F-INS-055A RAW '!AX34="","",'Finalterm OVPAA-F-INS-055A RAW '!AX34/'Finalterm OVPAA-F-INS-055A RAW '!AX$17*100)</f>
        <v/>
      </c>
      <c r="AY34" s="126" t="str">
        <f>IF('Finalterm OVPAA-F-INS-055A RAW '!AY34="","",'Finalterm OVPAA-F-INS-055A RAW '!AY34/'Finalterm OVPAA-F-INS-055A RAW '!AY$17*100)</f>
        <v/>
      </c>
      <c r="AZ34" s="126" t="str">
        <f>IF('Finalterm OVPAA-F-INS-055A RAW '!AZ34="","",'Finalterm OVPAA-F-INS-055A RAW '!AZ34/'Finalterm OVPAA-F-INS-055A RAW '!AZ$17*100)</f>
        <v/>
      </c>
      <c r="BA34" s="126" t="str">
        <f>IF('Finalterm OVPAA-F-INS-055A RAW '!BA34="","",'Finalterm OVPAA-F-INS-055A RAW '!BA34/'Finalterm OVPAA-F-INS-055A RAW '!BA$17*100)</f>
        <v/>
      </c>
      <c r="BB34" s="126" t="str">
        <f>IF('Finalterm OVPAA-F-INS-055A RAW '!BB34="","",'Finalterm OVPAA-F-INS-055A RAW '!BB34/'Finalterm OVPAA-F-INS-055A RAW '!BB$17*100)</f>
        <v/>
      </c>
      <c r="BC34" s="126" t="str">
        <f>IF('Finalterm OVPAA-F-INS-055A RAW '!BC34="","",'Finalterm OVPAA-F-INS-055A RAW '!BC34/'Finalterm OVPAA-F-INS-055A RAW '!BC$17*100)</f>
        <v/>
      </c>
      <c r="BD34" s="126" t="str">
        <f>IF('Finalterm OVPAA-F-INS-055A RAW '!BD34="","",'Finalterm OVPAA-F-INS-055A RAW '!BD34/'Finalterm OVPAA-F-INS-055A RAW '!BD$17*100)</f>
        <v/>
      </c>
      <c r="BE34" s="126" t="str">
        <f>IF('Finalterm OVPAA-F-INS-055A RAW '!BE34="","",'Finalterm OVPAA-F-INS-055A RAW '!BE34/'Finalterm OVPAA-F-INS-055A RAW '!BE$17*100)</f>
        <v/>
      </c>
      <c r="BF34" s="126" t="str">
        <f>IF('Finalterm OVPAA-F-INS-055A RAW '!BF34="","",'Finalterm OVPAA-F-INS-055A RAW '!BF34/'Finalterm OVPAA-F-INS-055A RAW '!BF$17*100)</f>
        <v/>
      </c>
      <c r="BG34" s="126" t="str">
        <f>IF('Finalterm OVPAA-F-INS-055A RAW '!BG34="","",'Finalterm OVPAA-F-INS-055A RAW '!BG34/'Finalterm OVPAA-F-INS-055A RAW '!BG$17*100)</f>
        <v/>
      </c>
      <c r="BH34" s="126" t="str">
        <f>IF('Finalterm OVPAA-F-INS-055A RAW '!BH34="","",'Finalterm OVPAA-F-INS-055A RAW '!BH34/'Finalterm OVPAA-F-INS-055A RAW '!BH$17*100)</f>
        <v/>
      </c>
      <c r="BI34" s="126" t="str">
        <f>IF('Finalterm OVPAA-F-INS-055A RAW '!BI34="","",'Finalterm OVPAA-F-INS-055A RAW '!BI34/'Finalterm OVPAA-F-INS-055A RAW '!BI$17*100)</f>
        <v/>
      </c>
      <c r="BJ34" s="126" t="str">
        <f>IF('Finalterm OVPAA-F-INS-055A RAW '!BJ34="","",'Finalterm OVPAA-F-INS-055A RAW '!BJ34/'Finalterm OVPAA-F-INS-055A RAW '!BJ$17*100)</f>
        <v/>
      </c>
      <c r="BK34" s="126" t="str">
        <f>IF('Finalterm OVPAA-F-INS-055A RAW '!BK34="","",'Finalterm OVPAA-F-INS-055A RAW '!BK34/'Finalterm OVPAA-F-INS-055A RAW '!BK$17*100)</f>
        <v/>
      </c>
      <c r="BL34" s="126" t="str">
        <f>IF('Finalterm OVPAA-F-INS-055A RAW '!BL34="","",'Finalterm OVPAA-F-INS-055A RAW '!BL34/'Finalterm OVPAA-F-INS-055A RAW '!BL$17*100)</f>
        <v/>
      </c>
      <c r="BM34" s="126" t="str">
        <f>IF('Finalterm OVPAA-F-INS-055A RAW '!BM34="","",'Finalterm OVPAA-F-INS-055A RAW '!BM34/'Finalterm OVPAA-F-INS-055A RAW '!BM$17*100)</f>
        <v/>
      </c>
      <c r="BN34" s="126" t="str">
        <f>IF('Finalterm OVPAA-F-INS-055A RAW '!BN34="","",'Finalterm OVPAA-F-INS-055A RAW '!BN34/'Finalterm OVPAA-F-INS-055A RAW '!BN$17*100)</f>
        <v/>
      </c>
      <c r="BO34" s="126" t="str">
        <f>IF('Finalterm OVPAA-F-INS-055A RAW '!BO34="","",'Finalterm OVPAA-F-INS-055A RAW '!BO34/'Finalterm OVPAA-F-INS-055A RAW '!BO$17*100)</f>
        <v/>
      </c>
      <c r="BP34" s="126" t="str">
        <f>IF('Finalterm OVPAA-F-INS-055A RAW '!BP34="","",'Finalterm OVPAA-F-INS-055A RAW '!BP34/'Finalterm OVPAA-F-INS-055A RAW '!BP$17*100)</f>
        <v/>
      </c>
      <c r="BQ34" s="126" t="str">
        <f>IF('Finalterm OVPAA-F-INS-055A RAW '!BQ34="","",'Finalterm OVPAA-F-INS-055A RAW '!BQ34/'Finalterm OVPAA-F-INS-055A RAW '!BQ$17*100)</f>
        <v/>
      </c>
      <c r="BR34" s="126" t="str">
        <f>IF('Finalterm OVPAA-F-INS-055A RAW '!BR34="","",'Finalterm OVPAA-F-INS-055A RAW '!BR34/'Finalterm OVPAA-F-INS-055A RAW '!BR$17*100)</f>
        <v/>
      </c>
      <c r="BS34" s="126" t="str">
        <f>IF('Finalterm OVPAA-F-INS-055A RAW '!BS34="","",'Finalterm OVPAA-F-INS-055A RAW '!BS34/'Finalterm OVPAA-F-INS-055A RAW '!BS$17*100)</f>
        <v/>
      </c>
      <c r="BT34" s="126" t="str">
        <f>IF('Finalterm OVPAA-F-INS-055A RAW '!BT34="","",'Finalterm OVPAA-F-INS-055A RAW '!BT34/'Finalterm OVPAA-F-INS-055A RAW '!BT$17*100)</f>
        <v/>
      </c>
      <c r="BU34" s="127">
        <f t="array" ref="BU34">IF('Finalterm OVPAA-F-INS-055A RAW '!$G34="","",IF((SUMPRODUCT(--ISBLANK('Finalterm OVPAA-F-INS-055A RAW '!H34:BT34))=COLUMNS('Finalterm OVPAA-F-INS-055A RAW '!H34:BT34))=TRUE,"",(((COUNTA('Finalterm OVPAA-F-INS-055A RAW '!$H$17:$BT$17)+COUNTBLANK('Finalterm OVPAA-F-INS-055A RAW '!H34:BT34))-COLUMNS('Finalterm OVPAA-F-INS-055A RAW '!H34:BT34))*5+SUM(H34:BT34))/COUNTA('Finalterm OVPAA-F-INS-055A RAW '!$H$17:$BT$17)))</f>
        <v>92</v>
      </c>
      <c r="BV34" s="165">
        <f>IF(BU34="","",VLOOKUP(BU34,IF('Midterm OVPAA-F-INS-055A RAW SC'!$V$12=0.5,TRANSMUTATION!$C$4:$D$17,TRANSMUTATION!$G$4:$H$17),2,TRUE))</f>
        <v>1.25</v>
      </c>
      <c r="BW34" s="129">
        <f>IF('Finalterm OVPAA-F-INS-055A RAW '!BU34="","",'Finalterm OVPAA-F-INS-055A RAW '!BU34/'Finalterm OVPAA-F-INS-055A RAW '!BU$17*100)</f>
        <v>84</v>
      </c>
      <c r="BX34" s="130">
        <f>IF('Finalterm OVPAA-F-INS-055A RAW '!BV34="","",'Finalterm OVPAA-F-INS-055A RAW '!BV34/'Finalterm OVPAA-F-INS-055A RAW '!BV$17*100)</f>
        <v>92</v>
      </c>
      <c r="BY34" s="130">
        <f>IF('Finalterm OVPAA-F-INS-055A RAW '!BW34="","",'Finalterm OVPAA-F-INS-055A RAW '!BW34/'Finalterm OVPAA-F-INS-055A RAW '!BW$17*100)</f>
        <v>100</v>
      </c>
      <c r="BZ34" s="130" t="str">
        <f>IF('Finalterm OVPAA-F-INS-055A RAW '!BX34="","",'Finalterm OVPAA-F-INS-055A RAW '!BX34/'Finalterm OVPAA-F-INS-055A RAW '!BX$17*100)</f>
        <v/>
      </c>
      <c r="CA34" s="130" t="str">
        <f>IF('Finalterm OVPAA-F-INS-055A RAW '!BY34="","",'Finalterm OVPAA-F-INS-055A RAW '!BY34/'Finalterm OVPAA-F-INS-055A RAW '!BY$17*100)</f>
        <v/>
      </c>
      <c r="CB34" s="130" t="str">
        <f>IF('Finalterm OVPAA-F-INS-055A RAW '!BZ34="","",'Finalterm OVPAA-F-INS-055A RAW '!BZ34/'Finalterm OVPAA-F-INS-055A RAW '!BZ$17*100)</f>
        <v/>
      </c>
      <c r="CC34" s="130" t="str">
        <f>IF('Finalterm OVPAA-F-INS-055A RAW '!CA34="","",'Finalterm OVPAA-F-INS-055A RAW '!CA34/'Finalterm OVPAA-F-INS-055A RAW '!CA$17*100)</f>
        <v/>
      </c>
      <c r="CD34" s="130" t="str">
        <f>IF('Finalterm OVPAA-F-INS-055A RAW '!CB34="","",'Finalterm OVPAA-F-INS-055A RAW '!CB34/'Finalterm OVPAA-F-INS-055A RAW '!CB$17*100)</f>
        <v/>
      </c>
      <c r="CE34" s="130" t="str">
        <f>IF('Finalterm OVPAA-F-INS-055A RAW '!CC34="","",'Finalterm OVPAA-F-INS-055A RAW '!CC34/'Finalterm OVPAA-F-INS-055A RAW '!CC$17*100)</f>
        <v/>
      </c>
      <c r="CF34" s="130" t="str">
        <f>IF('Finalterm OVPAA-F-INS-055A RAW '!CD34="","",'Finalterm OVPAA-F-INS-055A RAW '!CD34/'Finalterm OVPAA-F-INS-055A RAW '!CD$17*100)</f>
        <v/>
      </c>
      <c r="CG34" s="130" t="str">
        <f>IF('Finalterm OVPAA-F-INS-055A RAW '!CE34="","",'Finalterm OVPAA-F-INS-055A RAW '!CE34/'Finalterm OVPAA-F-INS-055A RAW '!CE$17*100)</f>
        <v/>
      </c>
      <c r="CH34" s="130" t="str">
        <f>IF('Finalterm OVPAA-F-INS-055A RAW '!CF34="","",'Finalterm OVPAA-F-INS-055A RAW '!CF34/'Finalterm OVPAA-F-INS-055A RAW '!CF$17*100)</f>
        <v/>
      </c>
      <c r="CI34" s="130" t="str">
        <f>IF('Finalterm OVPAA-F-INS-055A RAW '!CG34="","",'Finalterm OVPAA-F-INS-055A RAW '!CG34/'Finalterm OVPAA-F-INS-055A RAW '!CG$17*100)</f>
        <v/>
      </c>
      <c r="CJ34" s="130" t="str">
        <f>IF('Finalterm OVPAA-F-INS-055A RAW '!CH34="","",'Finalterm OVPAA-F-INS-055A RAW '!CH34/'Finalterm OVPAA-F-INS-055A RAW '!CH$17*100)</f>
        <v/>
      </c>
      <c r="CK34" s="130" t="str">
        <f>IF('Finalterm OVPAA-F-INS-055A RAW '!CI34="","",'Finalterm OVPAA-F-INS-055A RAW '!CI34/'Finalterm OVPAA-F-INS-055A RAW '!CI$17*100)</f>
        <v/>
      </c>
      <c r="CL34" s="130" t="str">
        <f>IF('Finalterm OVPAA-F-INS-055A RAW '!CJ34="","",'Finalterm OVPAA-F-INS-055A RAW '!CJ34/'Finalterm OVPAA-F-INS-055A RAW '!CJ$17*100)</f>
        <v/>
      </c>
      <c r="CM34" s="130" t="str">
        <f>IF('Finalterm OVPAA-F-INS-055A RAW '!CK34="","",'Finalterm OVPAA-F-INS-055A RAW '!CK34/'Finalterm OVPAA-F-INS-055A RAW '!CK$17*100)</f>
        <v/>
      </c>
      <c r="CN34" s="130" t="str">
        <f>IF('Finalterm OVPAA-F-INS-055A RAW '!CL34="","",'Finalterm OVPAA-F-INS-055A RAW '!CL34/'Finalterm OVPAA-F-INS-055A RAW '!CL$17*100)</f>
        <v/>
      </c>
      <c r="CO34" s="130" t="str">
        <f>IF('Finalterm OVPAA-F-INS-055A RAW '!CM34="","",'Finalterm OVPAA-F-INS-055A RAW '!CM34/'Finalterm OVPAA-F-INS-055A RAW '!CM$17*100)</f>
        <v/>
      </c>
      <c r="CP34" s="130" t="str">
        <f>IF('Finalterm OVPAA-F-INS-055A RAW '!CN34="","",'Finalterm OVPAA-F-INS-055A RAW '!CN34/'Finalterm OVPAA-F-INS-055A RAW '!CN$17*100)</f>
        <v/>
      </c>
      <c r="CQ34" s="131">
        <f t="array" ref="CQ34">IF('Midterm OVPAA-F-INS-055A RAW SC'!G34="","",IF((SUMPRODUCT(--ISBLANK('Finalterm OVPAA-F-INS-055A RAW '!BU34:CN34))=COLUMNS('Finalterm OVPAA-F-INS-055A RAW '!BU34:CN34))=TRUE,"",(((COUNTA('Finalterm OVPAA-F-INS-055A RAW '!$BU$17:$CN$17)+COUNTBLANK('Finalterm OVPAA-F-INS-055A RAW '!BU34:CN34))-COLUMNS('Finalterm OVPAA-F-INS-055A RAW '!BU34:CN34))*5+SUM(BW34:CP34))/COUNTA('Finalterm OVPAA-F-INS-055A RAW '!$BU$17:$CN$17)))</f>
        <v>92</v>
      </c>
      <c r="CR34" s="132">
        <f>IF(CQ34="","",VLOOKUP(CQ34,IF('Midterm OVPAA-F-INS-055A RAW SC'!$V$12=0.5,TRANSMUTATION!$C$4:$D$17,TRANSMUTATION!$G$4:$H$17),2,TRUE))</f>
        <v>1.25</v>
      </c>
      <c r="CS34" s="133">
        <f>IF('Finalterm OVPAA-F-INS-055A RAW '!CO34="","",'Finalterm OVPAA-F-INS-055A RAW '!CO34/'Finalterm OVPAA-F-INS-055A RAW '!CO$17*100)</f>
        <v>80</v>
      </c>
      <c r="CT34" s="133">
        <f>IF('Finalterm OVPAA-F-INS-055A RAW '!CP34="","",'Finalterm OVPAA-F-INS-055A RAW '!CP34/'Finalterm OVPAA-F-INS-055A RAW '!CP$17*100)</f>
        <v>54.500000000000007</v>
      </c>
      <c r="CU34" s="133" t="str">
        <f>IF('Finalterm OVPAA-F-INS-055A RAW '!CQ34="","",'Finalterm OVPAA-F-INS-055A RAW '!CQ34/'Finalterm OVPAA-F-INS-055A RAW '!CQ$17*100)</f>
        <v/>
      </c>
      <c r="CV34" s="133" t="str">
        <f>IF('Finalterm OVPAA-F-INS-055A RAW '!CR34="","",'Finalterm OVPAA-F-INS-055A RAW '!CR34/'Finalterm OVPAA-F-INS-055A RAW '!CR$17*100)</f>
        <v/>
      </c>
      <c r="CW34" s="133" t="str">
        <f>IF('Finalterm OVPAA-F-INS-055A RAW '!CS34="","",'Finalterm OVPAA-F-INS-055A RAW '!CS34/'Finalterm OVPAA-F-INS-055A RAW '!CS$17*100)</f>
        <v/>
      </c>
      <c r="CX34" s="133" t="str">
        <f>IF('Finalterm OVPAA-F-INS-055A RAW '!CT34="","",'Finalterm OVPAA-F-INS-055A RAW '!CT34/'Finalterm OVPAA-F-INS-055A RAW '!CT$17*100)</f>
        <v/>
      </c>
      <c r="CY34" s="133" t="str">
        <f>IF('Finalterm OVPAA-F-INS-055A RAW '!CU34="","",'Finalterm OVPAA-F-INS-055A RAW '!CU34/'Finalterm OVPAA-F-INS-055A RAW '!CU$17*100)</f>
        <v/>
      </c>
      <c r="CZ34" s="133" t="str">
        <f>IF('Finalterm OVPAA-F-INS-055A RAW '!CV34="","",'Finalterm OVPAA-F-INS-055A RAW '!CV34/'Finalterm OVPAA-F-INS-055A RAW '!CV$17*100)</f>
        <v/>
      </c>
      <c r="DA34" s="133" t="str">
        <f>IF('Finalterm OVPAA-F-INS-055A RAW '!CW34="","",'Finalterm OVPAA-F-INS-055A RAW '!CW34/'Finalterm OVPAA-F-INS-055A RAW '!CW$17*100)</f>
        <v/>
      </c>
      <c r="DB34" s="133" t="str">
        <f>IF('Finalterm OVPAA-F-INS-055A RAW '!CX34="","",'Finalterm OVPAA-F-INS-055A RAW '!CX34/'Finalterm OVPAA-F-INS-055A RAW '!CX$17*100)</f>
        <v/>
      </c>
      <c r="DC34" s="134">
        <f t="array" ref="DC34">IF('Midterm OVPAA-F-INS-055A RAW SC'!$G34="","",IF((SUMPRODUCT(--ISBLANK('Finalterm OVPAA-F-INS-055A RAW '!CO34:CX34))=COLUMNS('Finalterm OVPAA-F-INS-055A RAW '!CO34:CX34))=TRUE,"",(((COUNTA('Finalterm OVPAA-F-INS-055A RAW '!$CO$17:$CX$17)+COUNTBLANK('Finalterm OVPAA-F-INS-055A RAW '!CO34:CX34))-COLUMNS('Finalterm OVPAA-F-INS-055A RAW '!CO34:CX34))*5+SUM(CS34:DB34))/COUNTA('Finalterm OVPAA-F-INS-055A RAW '!$CO$17:$CX$17)))</f>
        <v>67.25</v>
      </c>
      <c r="DD34" s="135">
        <f>IF(DC34="","",VLOOKUP(DC34,IF('Midterm OVPAA-F-INS-055A RAW SC'!$V$12=0.5,TRANSMUTATION!$C$4:$D$17,TRANSMUTATION!$G$4:$H$17),2,TRUE))</f>
        <v>2.5</v>
      </c>
      <c r="DE34" s="136">
        <f t="shared" si="1"/>
        <v>0.375</v>
      </c>
      <c r="DF34" s="166">
        <f t="shared" si="2"/>
        <v>0.375</v>
      </c>
      <c r="DG34" s="167">
        <f t="shared" si="3"/>
        <v>1</v>
      </c>
      <c r="DH34" s="168">
        <f t="shared" si="4"/>
        <v>1.75</v>
      </c>
      <c r="DI34" s="169" t="str">
        <f t="shared" si="5"/>
        <v>1.75</v>
      </c>
    </row>
    <row r="35" spans="5:113" ht="15.75" customHeight="1">
      <c r="E35" s="59">
        <v>18</v>
      </c>
      <c r="F35" s="124">
        <f>IF(NOT(ISBLANK('Midterm OVPAA-F-INS-055A RAW SC'!F35)),'Midterm OVPAA-F-INS-055A RAW SC'!F35,"")</f>
        <v>26</v>
      </c>
      <c r="G35" s="125" t="str">
        <f>IF(NOT(ISBLANK('Midterm OVPAA-F-INS-055A RAW SC'!G35)),'Midterm OVPAA-F-INS-055A RAW SC'!G35,"")</f>
        <v>Publico, Rogelio</v>
      </c>
      <c r="H35" s="126">
        <f>IF('Finalterm OVPAA-F-INS-055A RAW '!H35="","",'Finalterm OVPAA-F-INS-055A RAW '!H35/'Finalterm OVPAA-F-INS-055A RAW '!H$17*100)</f>
        <v>100</v>
      </c>
      <c r="I35" s="126">
        <f>IF('Finalterm OVPAA-F-INS-055A RAW '!I35="","",'Finalterm OVPAA-F-INS-055A RAW '!I35/'Finalterm OVPAA-F-INS-055A RAW '!I$17*100)</f>
        <v>100</v>
      </c>
      <c r="J35" s="126">
        <f>IF('Finalterm OVPAA-F-INS-055A RAW '!J35="","",'Finalterm OVPAA-F-INS-055A RAW '!J35/'Finalterm OVPAA-F-INS-055A RAW '!J$17*100)</f>
        <v>60</v>
      </c>
      <c r="K35" s="126">
        <f>IF('Finalterm OVPAA-F-INS-055A RAW '!K35="","",'Finalterm OVPAA-F-INS-055A RAW '!K35/'Finalterm OVPAA-F-INS-055A RAW '!K$17*100)</f>
        <v>100</v>
      </c>
      <c r="L35" s="126">
        <f>IF('Finalterm OVPAA-F-INS-055A RAW '!L35="","",'Finalterm OVPAA-F-INS-055A RAW '!L35/'Finalterm OVPAA-F-INS-055A RAW '!L$17*100)</f>
        <v>100</v>
      </c>
      <c r="M35" s="126" t="str">
        <f>IF('Finalterm OVPAA-F-INS-055A RAW '!M35="","",'Finalterm OVPAA-F-INS-055A RAW '!M35/'Finalterm OVPAA-F-INS-055A RAW '!M$17*100)</f>
        <v/>
      </c>
      <c r="N35" s="126" t="str">
        <f>IF('Finalterm OVPAA-F-INS-055A RAW '!N35="","",'Finalterm OVPAA-F-INS-055A RAW '!N35/'Finalterm OVPAA-F-INS-055A RAW '!N$17*100)</f>
        <v/>
      </c>
      <c r="O35" s="126" t="str">
        <f>IF('Finalterm OVPAA-F-INS-055A RAW '!O35="","",'Finalterm OVPAA-F-INS-055A RAW '!O35/'Finalterm OVPAA-F-INS-055A RAW '!O$17*100)</f>
        <v/>
      </c>
      <c r="P35" s="126" t="str">
        <f>IF('Finalterm OVPAA-F-INS-055A RAW '!P35="","",'Finalterm OVPAA-F-INS-055A RAW '!P35/'Finalterm OVPAA-F-INS-055A RAW '!P$17*100)</f>
        <v/>
      </c>
      <c r="Q35" s="126" t="str">
        <f>IF('Finalterm OVPAA-F-INS-055A RAW '!Q35="","",'Finalterm OVPAA-F-INS-055A RAW '!Q35/'Finalterm OVPAA-F-INS-055A RAW '!Q$17*100)</f>
        <v/>
      </c>
      <c r="R35" s="126" t="str">
        <f>IF('Finalterm OVPAA-F-INS-055A RAW '!R35="","",'Finalterm OVPAA-F-INS-055A RAW '!R35/'Finalterm OVPAA-F-INS-055A RAW '!R$17*100)</f>
        <v/>
      </c>
      <c r="S35" s="126" t="str">
        <f>IF('Finalterm OVPAA-F-INS-055A RAW '!S35="","",'Finalterm OVPAA-F-INS-055A RAW '!S35/'Finalterm OVPAA-F-INS-055A RAW '!S$17*100)</f>
        <v/>
      </c>
      <c r="T35" s="126" t="str">
        <f>IF('Finalterm OVPAA-F-INS-055A RAW '!T35="","",'Finalterm OVPAA-F-INS-055A RAW '!T35/'Finalterm OVPAA-F-INS-055A RAW '!T$17*100)</f>
        <v/>
      </c>
      <c r="U35" s="126" t="str">
        <f>IF('Finalterm OVPAA-F-INS-055A RAW '!U35="","",'Finalterm OVPAA-F-INS-055A RAW '!U35/'Finalterm OVPAA-F-INS-055A RAW '!U$17*100)</f>
        <v/>
      </c>
      <c r="V35" s="126" t="str">
        <f>IF('Finalterm OVPAA-F-INS-055A RAW '!V35="","",'Finalterm OVPAA-F-INS-055A RAW '!V35/'Finalterm OVPAA-F-INS-055A RAW '!V$17*100)</f>
        <v/>
      </c>
      <c r="W35" s="126" t="str">
        <f>IF('Finalterm OVPAA-F-INS-055A RAW '!W35="","",'Finalterm OVPAA-F-INS-055A RAW '!W35/'Finalterm OVPAA-F-INS-055A RAW '!W$17*100)</f>
        <v/>
      </c>
      <c r="X35" s="126" t="str">
        <f>IF('Finalterm OVPAA-F-INS-055A RAW '!X35="","",'Finalterm OVPAA-F-INS-055A RAW '!X35/'Finalterm OVPAA-F-INS-055A RAW '!X$17*100)</f>
        <v/>
      </c>
      <c r="Y35" s="126" t="str">
        <f>IF('Finalterm OVPAA-F-INS-055A RAW '!Y35="","",'Finalterm OVPAA-F-INS-055A RAW '!Y35/'Finalterm OVPAA-F-INS-055A RAW '!Y$17*100)</f>
        <v/>
      </c>
      <c r="Z35" s="126" t="str">
        <f>IF('Finalterm OVPAA-F-INS-055A RAW '!Z35="","",'Finalterm OVPAA-F-INS-055A RAW '!Z35/'Finalterm OVPAA-F-INS-055A RAW '!Z$17*100)</f>
        <v/>
      </c>
      <c r="AA35" s="126" t="str">
        <f>IF('Finalterm OVPAA-F-INS-055A RAW '!AA35="","",'Finalterm OVPAA-F-INS-055A RAW '!AA35/'Finalterm OVPAA-F-INS-055A RAW '!AA$17*100)</f>
        <v/>
      </c>
      <c r="AB35" s="126" t="str">
        <f>IF('Finalterm OVPAA-F-INS-055A RAW '!AB35="","",'Finalterm OVPAA-F-INS-055A RAW '!AB35/'Finalterm OVPAA-F-INS-055A RAW '!AB$17*100)</f>
        <v/>
      </c>
      <c r="AC35" s="126" t="str">
        <f>IF('Finalterm OVPAA-F-INS-055A RAW '!AC35="","",'Finalterm OVPAA-F-INS-055A RAW '!AC35/'Finalterm OVPAA-F-INS-055A RAW '!AC$17*100)</f>
        <v/>
      </c>
      <c r="AD35" s="126" t="str">
        <f>IF('Finalterm OVPAA-F-INS-055A RAW '!AD35="","",'Finalterm OVPAA-F-INS-055A RAW '!AD35/'Finalterm OVPAA-F-INS-055A RAW '!AD$17*100)</f>
        <v/>
      </c>
      <c r="AE35" s="126" t="str">
        <f>IF('Finalterm OVPAA-F-INS-055A RAW '!AE35="","",'Finalterm OVPAA-F-INS-055A RAW '!AE35/'Finalterm OVPAA-F-INS-055A RAW '!AE$17*100)</f>
        <v/>
      </c>
      <c r="AF35" s="126" t="str">
        <f>IF('Finalterm OVPAA-F-INS-055A RAW '!AF35="","",'Finalterm OVPAA-F-INS-055A RAW '!AF35/'Finalterm OVPAA-F-INS-055A RAW '!AF$17*100)</f>
        <v/>
      </c>
      <c r="AG35" s="126" t="str">
        <f>IF('Finalterm OVPAA-F-INS-055A RAW '!AG35="","",'Finalterm OVPAA-F-INS-055A RAW '!AG35/'Finalterm OVPAA-F-INS-055A RAW '!AG$17*100)</f>
        <v/>
      </c>
      <c r="AH35" s="126" t="str">
        <f>IF('Finalterm OVPAA-F-INS-055A RAW '!AH35="","",'Finalterm OVPAA-F-INS-055A RAW '!AH35/'Finalterm OVPAA-F-INS-055A RAW '!AH$17*100)</f>
        <v/>
      </c>
      <c r="AI35" s="126" t="str">
        <f>IF('Finalterm OVPAA-F-INS-055A RAW '!AI35="","",'Finalterm OVPAA-F-INS-055A RAW '!AI35/'Finalterm OVPAA-F-INS-055A RAW '!AI$17*100)</f>
        <v/>
      </c>
      <c r="AJ35" s="126" t="str">
        <f>IF('Finalterm OVPAA-F-INS-055A RAW '!AJ35="","",'Finalterm OVPAA-F-INS-055A RAW '!AJ35/'Finalterm OVPAA-F-INS-055A RAW '!AJ$17*100)</f>
        <v/>
      </c>
      <c r="AK35" s="126" t="str">
        <f>IF('Finalterm OVPAA-F-INS-055A RAW '!AK35="","",'Finalterm OVPAA-F-INS-055A RAW '!AK35/'Finalterm OVPAA-F-INS-055A RAW '!AK$17*100)</f>
        <v/>
      </c>
      <c r="AL35" s="126" t="str">
        <f>IF('Finalterm OVPAA-F-INS-055A RAW '!AL35="","",'Finalterm OVPAA-F-INS-055A RAW '!AL35/'Finalterm OVPAA-F-INS-055A RAW '!AL$17*100)</f>
        <v/>
      </c>
      <c r="AM35" s="126" t="str">
        <f>IF('Finalterm OVPAA-F-INS-055A RAW '!AM35="","",'Finalterm OVPAA-F-INS-055A RAW '!AM35/'Finalterm OVPAA-F-INS-055A RAW '!AM$17*100)</f>
        <v/>
      </c>
      <c r="AN35" s="126" t="str">
        <f>IF('Finalterm OVPAA-F-INS-055A RAW '!AN35="","",'Finalterm OVPAA-F-INS-055A RAW '!AN35/'Finalterm OVPAA-F-INS-055A RAW '!AN$17*100)</f>
        <v/>
      </c>
      <c r="AO35" s="126" t="str">
        <f>IF('Finalterm OVPAA-F-INS-055A RAW '!AO35="","",'Finalterm OVPAA-F-INS-055A RAW '!AO35/'Finalterm OVPAA-F-INS-055A RAW '!AO$17*100)</f>
        <v/>
      </c>
      <c r="AP35" s="126" t="str">
        <f>IF('Finalterm OVPAA-F-INS-055A RAW '!AP35="","",'Finalterm OVPAA-F-INS-055A RAW '!AP35/'Finalterm OVPAA-F-INS-055A RAW '!AP$17*100)</f>
        <v/>
      </c>
      <c r="AQ35" s="126" t="str">
        <f>IF('Finalterm OVPAA-F-INS-055A RAW '!AQ35="","",'Finalterm OVPAA-F-INS-055A RAW '!AQ35/'Finalterm OVPAA-F-INS-055A RAW '!AQ$17*100)</f>
        <v/>
      </c>
      <c r="AR35" s="126" t="str">
        <f>IF('Finalterm OVPAA-F-INS-055A RAW '!AR35="","",'Finalterm OVPAA-F-INS-055A RAW '!AR35/'Finalterm OVPAA-F-INS-055A RAW '!AR$17*100)</f>
        <v/>
      </c>
      <c r="AS35" s="126" t="str">
        <f>IF('Finalterm OVPAA-F-INS-055A RAW '!AS35="","",'Finalterm OVPAA-F-INS-055A RAW '!AS35/'Finalterm OVPAA-F-INS-055A RAW '!AS$17*100)</f>
        <v/>
      </c>
      <c r="AT35" s="126" t="str">
        <f>IF('Finalterm OVPAA-F-INS-055A RAW '!AT35="","",'Finalterm OVPAA-F-INS-055A RAW '!AT35/'Finalterm OVPAA-F-INS-055A RAW '!AT$17*100)</f>
        <v/>
      </c>
      <c r="AU35" s="126" t="str">
        <f>IF('Finalterm OVPAA-F-INS-055A RAW '!AU35="","",'Finalterm OVPAA-F-INS-055A RAW '!AU35/'Finalterm OVPAA-F-INS-055A RAW '!AU$17*100)</f>
        <v/>
      </c>
      <c r="AV35" s="126" t="str">
        <f>IF('Finalterm OVPAA-F-INS-055A RAW '!AV35="","",'Finalterm OVPAA-F-INS-055A RAW '!AV35/'Finalterm OVPAA-F-INS-055A RAW '!AV$17*100)</f>
        <v/>
      </c>
      <c r="AW35" s="126" t="str">
        <f>IF('Finalterm OVPAA-F-INS-055A RAW '!AW35="","",'Finalterm OVPAA-F-INS-055A RAW '!AW35/'Finalterm OVPAA-F-INS-055A RAW '!AW$17*100)</f>
        <v/>
      </c>
      <c r="AX35" s="126" t="str">
        <f>IF('Finalterm OVPAA-F-INS-055A RAW '!AX35="","",'Finalterm OVPAA-F-INS-055A RAW '!AX35/'Finalterm OVPAA-F-INS-055A RAW '!AX$17*100)</f>
        <v/>
      </c>
      <c r="AY35" s="126" t="str">
        <f>IF('Finalterm OVPAA-F-INS-055A RAW '!AY35="","",'Finalterm OVPAA-F-INS-055A RAW '!AY35/'Finalterm OVPAA-F-INS-055A RAW '!AY$17*100)</f>
        <v/>
      </c>
      <c r="AZ35" s="126" t="str">
        <f>IF('Finalterm OVPAA-F-INS-055A RAW '!AZ35="","",'Finalterm OVPAA-F-INS-055A RAW '!AZ35/'Finalterm OVPAA-F-INS-055A RAW '!AZ$17*100)</f>
        <v/>
      </c>
      <c r="BA35" s="126" t="str">
        <f>IF('Finalterm OVPAA-F-INS-055A RAW '!BA35="","",'Finalterm OVPAA-F-INS-055A RAW '!BA35/'Finalterm OVPAA-F-INS-055A RAW '!BA$17*100)</f>
        <v/>
      </c>
      <c r="BB35" s="126" t="str">
        <f>IF('Finalterm OVPAA-F-INS-055A RAW '!BB35="","",'Finalterm OVPAA-F-INS-055A RAW '!BB35/'Finalterm OVPAA-F-INS-055A RAW '!BB$17*100)</f>
        <v/>
      </c>
      <c r="BC35" s="126" t="str">
        <f>IF('Finalterm OVPAA-F-INS-055A RAW '!BC35="","",'Finalterm OVPAA-F-INS-055A RAW '!BC35/'Finalterm OVPAA-F-INS-055A RAW '!BC$17*100)</f>
        <v/>
      </c>
      <c r="BD35" s="126" t="str">
        <f>IF('Finalterm OVPAA-F-INS-055A RAW '!BD35="","",'Finalterm OVPAA-F-INS-055A RAW '!BD35/'Finalterm OVPAA-F-INS-055A RAW '!BD$17*100)</f>
        <v/>
      </c>
      <c r="BE35" s="126" t="str">
        <f>IF('Finalterm OVPAA-F-INS-055A RAW '!BE35="","",'Finalterm OVPAA-F-INS-055A RAW '!BE35/'Finalterm OVPAA-F-INS-055A RAW '!BE$17*100)</f>
        <v/>
      </c>
      <c r="BF35" s="126" t="str">
        <f>IF('Finalterm OVPAA-F-INS-055A RAW '!BF35="","",'Finalterm OVPAA-F-INS-055A RAW '!BF35/'Finalterm OVPAA-F-INS-055A RAW '!BF$17*100)</f>
        <v/>
      </c>
      <c r="BG35" s="126" t="str">
        <f>IF('Finalterm OVPAA-F-INS-055A RAW '!BG35="","",'Finalterm OVPAA-F-INS-055A RAW '!BG35/'Finalterm OVPAA-F-INS-055A RAW '!BG$17*100)</f>
        <v/>
      </c>
      <c r="BH35" s="126" t="str">
        <f>IF('Finalterm OVPAA-F-INS-055A RAW '!BH35="","",'Finalterm OVPAA-F-INS-055A RAW '!BH35/'Finalterm OVPAA-F-INS-055A RAW '!BH$17*100)</f>
        <v/>
      </c>
      <c r="BI35" s="126" t="str">
        <f>IF('Finalterm OVPAA-F-INS-055A RAW '!BI35="","",'Finalterm OVPAA-F-INS-055A RAW '!BI35/'Finalterm OVPAA-F-INS-055A RAW '!BI$17*100)</f>
        <v/>
      </c>
      <c r="BJ35" s="126" t="str">
        <f>IF('Finalterm OVPAA-F-INS-055A RAW '!BJ35="","",'Finalterm OVPAA-F-INS-055A RAW '!BJ35/'Finalterm OVPAA-F-INS-055A RAW '!BJ$17*100)</f>
        <v/>
      </c>
      <c r="BK35" s="126" t="str">
        <f>IF('Finalterm OVPAA-F-INS-055A RAW '!BK35="","",'Finalterm OVPAA-F-INS-055A RAW '!BK35/'Finalterm OVPAA-F-INS-055A RAW '!BK$17*100)</f>
        <v/>
      </c>
      <c r="BL35" s="126" t="str">
        <f>IF('Finalterm OVPAA-F-INS-055A RAW '!BL35="","",'Finalterm OVPAA-F-INS-055A RAW '!BL35/'Finalterm OVPAA-F-INS-055A RAW '!BL$17*100)</f>
        <v/>
      </c>
      <c r="BM35" s="126" t="str">
        <f>IF('Finalterm OVPAA-F-INS-055A RAW '!BM35="","",'Finalterm OVPAA-F-INS-055A RAW '!BM35/'Finalterm OVPAA-F-INS-055A RAW '!BM$17*100)</f>
        <v/>
      </c>
      <c r="BN35" s="126" t="str">
        <f>IF('Finalterm OVPAA-F-INS-055A RAW '!BN35="","",'Finalterm OVPAA-F-INS-055A RAW '!BN35/'Finalterm OVPAA-F-INS-055A RAW '!BN$17*100)</f>
        <v/>
      </c>
      <c r="BO35" s="126" t="str">
        <f>IF('Finalterm OVPAA-F-INS-055A RAW '!BO35="","",'Finalterm OVPAA-F-INS-055A RAW '!BO35/'Finalterm OVPAA-F-INS-055A RAW '!BO$17*100)</f>
        <v/>
      </c>
      <c r="BP35" s="126" t="str">
        <f>IF('Finalterm OVPAA-F-INS-055A RAW '!BP35="","",'Finalterm OVPAA-F-INS-055A RAW '!BP35/'Finalterm OVPAA-F-INS-055A RAW '!BP$17*100)</f>
        <v/>
      </c>
      <c r="BQ35" s="126" t="str">
        <f>IF('Finalterm OVPAA-F-INS-055A RAW '!BQ35="","",'Finalterm OVPAA-F-INS-055A RAW '!BQ35/'Finalterm OVPAA-F-INS-055A RAW '!BQ$17*100)</f>
        <v/>
      </c>
      <c r="BR35" s="126" t="str">
        <f>IF('Finalterm OVPAA-F-INS-055A RAW '!BR35="","",'Finalterm OVPAA-F-INS-055A RAW '!BR35/'Finalterm OVPAA-F-INS-055A RAW '!BR$17*100)</f>
        <v/>
      </c>
      <c r="BS35" s="126" t="str">
        <f>IF('Finalterm OVPAA-F-INS-055A RAW '!BS35="","",'Finalterm OVPAA-F-INS-055A RAW '!BS35/'Finalterm OVPAA-F-INS-055A RAW '!BS$17*100)</f>
        <v/>
      </c>
      <c r="BT35" s="126" t="str">
        <f>IF('Finalterm OVPAA-F-INS-055A RAW '!BT35="","",'Finalterm OVPAA-F-INS-055A RAW '!BT35/'Finalterm OVPAA-F-INS-055A RAW '!BT$17*100)</f>
        <v/>
      </c>
      <c r="BU35" s="127">
        <f t="array" ref="BU35">IF('Finalterm OVPAA-F-INS-055A RAW '!$G35="","",IF((SUMPRODUCT(--ISBLANK('Finalterm OVPAA-F-INS-055A RAW '!H35:BT35))=COLUMNS('Finalterm OVPAA-F-INS-055A RAW '!H35:BT35))=TRUE,"",(((COUNTA('Finalterm OVPAA-F-INS-055A RAW '!$H$17:$BT$17)+COUNTBLANK('Finalterm OVPAA-F-INS-055A RAW '!H35:BT35))-COLUMNS('Finalterm OVPAA-F-INS-055A RAW '!H35:BT35))*5+SUM(H35:BT35))/COUNTA('Finalterm OVPAA-F-INS-055A RAW '!$H$17:$BT$17)))</f>
        <v>92</v>
      </c>
      <c r="BV35" s="165">
        <f>IF(BU35="","",VLOOKUP(BU35,IF('Midterm OVPAA-F-INS-055A RAW SC'!$V$12=0.5,TRANSMUTATION!$C$4:$D$17,TRANSMUTATION!$G$4:$H$17),2,TRUE))</f>
        <v>1.25</v>
      </c>
      <c r="BW35" s="129">
        <f>IF('Finalterm OVPAA-F-INS-055A RAW '!BU35="","",'Finalterm OVPAA-F-INS-055A RAW '!BU35/'Finalterm OVPAA-F-INS-055A RAW '!BU$17*100)</f>
        <v>95</v>
      </c>
      <c r="BX35" s="130">
        <f>IF('Finalterm OVPAA-F-INS-055A RAW '!BV35="","",'Finalterm OVPAA-F-INS-055A RAW '!BV35/'Finalterm OVPAA-F-INS-055A RAW '!BV$17*100)</f>
        <v>0</v>
      </c>
      <c r="BY35" s="130">
        <f>IF('Finalterm OVPAA-F-INS-055A RAW '!BW35="","",'Finalterm OVPAA-F-INS-055A RAW '!BW35/'Finalterm OVPAA-F-INS-055A RAW '!BW$17*100)</f>
        <v>100</v>
      </c>
      <c r="BZ35" s="130" t="str">
        <f>IF('Finalterm OVPAA-F-INS-055A RAW '!BX35="","",'Finalterm OVPAA-F-INS-055A RAW '!BX35/'Finalterm OVPAA-F-INS-055A RAW '!BX$17*100)</f>
        <v/>
      </c>
      <c r="CA35" s="130" t="str">
        <f>IF('Finalterm OVPAA-F-INS-055A RAW '!BY35="","",'Finalterm OVPAA-F-INS-055A RAW '!BY35/'Finalterm OVPAA-F-INS-055A RAW '!BY$17*100)</f>
        <v/>
      </c>
      <c r="CB35" s="130" t="str">
        <f>IF('Finalterm OVPAA-F-INS-055A RAW '!BZ35="","",'Finalterm OVPAA-F-INS-055A RAW '!BZ35/'Finalterm OVPAA-F-INS-055A RAW '!BZ$17*100)</f>
        <v/>
      </c>
      <c r="CC35" s="130" t="str">
        <f>IF('Finalterm OVPAA-F-INS-055A RAW '!CA35="","",'Finalterm OVPAA-F-INS-055A RAW '!CA35/'Finalterm OVPAA-F-INS-055A RAW '!CA$17*100)</f>
        <v/>
      </c>
      <c r="CD35" s="130" t="str">
        <f>IF('Finalterm OVPAA-F-INS-055A RAW '!CB35="","",'Finalterm OVPAA-F-INS-055A RAW '!CB35/'Finalterm OVPAA-F-INS-055A RAW '!CB$17*100)</f>
        <v/>
      </c>
      <c r="CE35" s="130" t="str">
        <f>IF('Finalterm OVPAA-F-INS-055A RAW '!CC35="","",'Finalterm OVPAA-F-INS-055A RAW '!CC35/'Finalterm OVPAA-F-INS-055A RAW '!CC$17*100)</f>
        <v/>
      </c>
      <c r="CF35" s="130" t="str">
        <f>IF('Finalterm OVPAA-F-INS-055A RAW '!CD35="","",'Finalterm OVPAA-F-INS-055A RAW '!CD35/'Finalterm OVPAA-F-INS-055A RAW '!CD$17*100)</f>
        <v/>
      </c>
      <c r="CG35" s="130" t="str">
        <f>IF('Finalterm OVPAA-F-INS-055A RAW '!CE35="","",'Finalterm OVPAA-F-INS-055A RAW '!CE35/'Finalterm OVPAA-F-INS-055A RAW '!CE$17*100)</f>
        <v/>
      </c>
      <c r="CH35" s="130" t="str">
        <f>IF('Finalterm OVPAA-F-INS-055A RAW '!CF35="","",'Finalterm OVPAA-F-INS-055A RAW '!CF35/'Finalterm OVPAA-F-INS-055A RAW '!CF$17*100)</f>
        <v/>
      </c>
      <c r="CI35" s="130" t="str">
        <f>IF('Finalterm OVPAA-F-INS-055A RAW '!CG35="","",'Finalterm OVPAA-F-INS-055A RAW '!CG35/'Finalterm OVPAA-F-INS-055A RAW '!CG$17*100)</f>
        <v/>
      </c>
      <c r="CJ35" s="130" t="str">
        <f>IF('Finalterm OVPAA-F-INS-055A RAW '!CH35="","",'Finalterm OVPAA-F-INS-055A RAW '!CH35/'Finalterm OVPAA-F-INS-055A RAW '!CH$17*100)</f>
        <v/>
      </c>
      <c r="CK35" s="130" t="str">
        <f>IF('Finalterm OVPAA-F-INS-055A RAW '!CI35="","",'Finalterm OVPAA-F-INS-055A RAW '!CI35/'Finalterm OVPAA-F-INS-055A RAW '!CI$17*100)</f>
        <v/>
      </c>
      <c r="CL35" s="130" t="str">
        <f>IF('Finalterm OVPAA-F-INS-055A RAW '!CJ35="","",'Finalterm OVPAA-F-INS-055A RAW '!CJ35/'Finalterm OVPAA-F-INS-055A RAW '!CJ$17*100)</f>
        <v/>
      </c>
      <c r="CM35" s="130" t="str">
        <f>IF('Finalterm OVPAA-F-INS-055A RAW '!CK35="","",'Finalterm OVPAA-F-INS-055A RAW '!CK35/'Finalterm OVPAA-F-INS-055A RAW '!CK$17*100)</f>
        <v/>
      </c>
      <c r="CN35" s="130" t="str">
        <f>IF('Finalterm OVPAA-F-INS-055A RAW '!CL35="","",'Finalterm OVPAA-F-INS-055A RAW '!CL35/'Finalterm OVPAA-F-INS-055A RAW '!CL$17*100)</f>
        <v/>
      </c>
      <c r="CO35" s="130" t="str">
        <f>IF('Finalterm OVPAA-F-INS-055A RAW '!CM35="","",'Finalterm OVPAA-F-INS-055A RAW '!CM35/'Finalterm OVPAA-F-INS-055A RAW '!CM$17*100)</f>
        <v/>
      </c>
      <c r="CP35" s="130" t="str">
        <f>IF('Finalterm OVPAA-F-INS-055A RAW '!CN35="","",'Finalterm OVPAA-F-INS-055A RAW '!CN35/'Finalterm OVPAA-F-INS-055A RAW '!CN$17*100)</f>
        <v/>
      </c>
      <c r="CQ35" s="131">
        <f t="array" ref="CQ35">IF('Midterm OVPAA-F-INS-055A RAW SC'!G35="","",IF((SUMPRODUCT(--ISBLANK('Finalterm OVPAA-F-INS-055A RAW '!BU35:CN35))=COLUMNS('Finalterm OVPAA-F-INS-055A RAW '!BU35:CN35))=TRUE,"",(((COUNTA('Finalterm OVPAA-F-INS-055A RAW '!$BU$17:$CN$17)+COUNTBLANK('Finalterm OVPAA-F-INS-055A RAW '!BU35:CN35))-COLUMNS('Finalterm OVPAA-F-INS-055A RAW '!BU35:CN35))*5+SUM(BW35:CP35))/COUNTA('Finalterm OVPAA-F-INS-055A RAW '!$BU$17:$CN$17)))</f>
        <v>65</v>
      </c>
      <c r="CR35" s="132">
        <f>IF(CQ35="","",VLOOKUP(CQ35,IF('Midterm OVPAA-F-INS-055A RAW SC'!$V$12=0.5,TRANSMUTATION!$C$4:$D$17,TRANSMUTATION!$G$4:$H$17),2,TRUE))</f>
        <v>2.5</v>
      </c>
      <c r="CS35" s="133">
        <f>IF('Finalterm OVPAA-F-INS-055A RAW '!CO35="","",'Finalterm OVPAA-F-INS-055A RAW '!CO35/'Finalterm OVPAA-F-INS-055A RAW '!CO$17*100)</f>
        <v>100</v>
      </c>
      <c r="CT35" s="133">
        <f>IF('Finalterm OVPAA-F-INS-055A RAW '!CP35="","",'Finalterm OVPAA-F-INS-055A RAW '!CP35/'Finalterm OVPAA-F-INS-055A RAW '!CP$17*100)</f>
        <v>91.25</v>
      </c>
      <c r="CU35" s="133" t="str">
        <f>IF('Finalterm OVPAA-F-INS-055A RAW '!CQ35="","",'Finalterm OVPAA-F-INS-055A RAW '!CQ35/'Finalterm OVPAA-F-INS-055A RAW '!CQ$17*100)</f>
        <v/>
      </c>
      <c r="CV35" s="133" t="str">
        <f>IF('Finalterm OVPAA-F-INS-055A RAW '!CR35="","",'Finalterm OVPAA-F-INS-055A RAW '!CR35/'Finalterm OVPAA-F-INS-055A RAW '!CR$17*100)</f>
        <v/>
      </c>
      <c r="CW35" s="133" t="str">
        <f>IF('Finalterm OVPAA-F-INS-055A RAW '!CS35="","",'Finalterm OVPAA-F-INS-055A RAW '!CS35/'Finalterm OVPAA-F-INS-055A RAW '!CS$17*100)</f>
        <v/>
      </c>
      <c r="CX35" s="133" t="str">
        <f>IF('Finalterm OVPAA-F-INS-055A RAW '!CT35="","",'Finalterm OVPAA-F-INS-055A RAW '!CT35/'Finalterm OVPAA-F-INS-055A RAW '!CT$17*100)</f>
        <v/>
      </c>
      <c r="CY35" s="133" t="str">
        <f>IF('Finalterm OVPAA-F-INS-055A RAW '!CU35="","",'Finalterm OVPAA-F-INS-055A RAW '!CU35/'Finalterm OVPAA-F-INS-055A RAW '!CU$17*100)</f>
        <v/>
      </c>
      <c r="CZ35" s="133" t="str">
        <f>IF('Finalterm OVPAA-F-INS-055A RAW '!CV35="","",'Finalterm OVPAA-F-INS-055A RAW '!CV35/'Finalterm OVPAA-F-INS-055A RAW '!CV$17*100)</f>
        <v/>
      </c>
      <c r="DA35" s="133" t="str">
        <f>IF('Finalterm OVPAA-F-INS-055A RAW '!CW35="","",'Finalterm OVPAA-F-INS-055A RAW '!CW35/'Finalterm OVPAA-F-INS-055A RAW '!CW$17*100)</f>
        <v/>
      </c>
      <c r="DB35" s="133" t="str">
        <f>IF('Finalterm OVPAA-F-INS-055A RAW '!CX35="","",'Finalterm OVPAA-F-INS-055A RAW '!CX35/'Finalterm OVPAA-F-INS-055A RAW '!CX$17*100)</f>
        <v/>
      </c>
      <c r="DC35" s="134">
        <f t="array" ref="DC35">IF('Midterm OVPAA-F-INS-055A RAW SC'!$G35="","",IF((SUMPRODUCT(--ISBLANK('Finalterm OVPAA-F-INS-055A RAW '!CO35:CX35))=COLUMNS('Finalterm OVPAA-F-INS-055A RAW '!CO35:CX35))=TRUE,"",(((COUNTA('Finalterm OVPAA-F-INS-055A RAW '!$CO$17:$CX$17)+COUNTBLANK('Finalterm OVPAA-F-INS-055A RAW '!CO35:CX35))-COLUMNS('Finalterm OVPAA-F-INS-055A RAW '!CO35:CX35))*5+SUM(CS35:DB35))/COUNTA('Finalterm OVPAA-F-INS-055A RAW '!$CO$17:$CX$17)))</f>
        <v>95.625</v>
      </c>
      <c r="DD35" s="135">
        <f>IF(DC35="","",VLOOKUP(DC35,IF('Midterm OVPAA-F-INS-055A RAW SC'!$V$12=0.5,TRANSMUTATION!$C$4:$D$17,TRANSMUTATION!$G$4:$H$17),2,TRUE))</f>
        <v>1.25</v>
      </c>
      <c r="DE35" s="136">
        <f t="shared" si="1"/>
        <v>0.375</v>
      </c>
      <c r="DF35" s="166">
        <f t="shared" si="2"/>
        <v>0.75</v>
      </c>
      <c r="DG35" s="167">
        <f t="shared" si="3"/>
        <v>0.5</v>
      </c>
      <c r="DH35" s="168">
        <f t="shared" si="4"/>
        <v>1.625</v>
      </c>
      <c r="DI35" s="169" t="str">
        <f t="shared" si="5"/>
        <v>1.50</v>
      </c>
    </row>
    <row r="36" spans="5:113" ht="15.75" customHeight="1">
      <c r="E36" s="59">
        <v>19</v>
      </c>
      <c r="F36" s="124">
        <f>IF(NOT(ISBLANK('Midterm OVPAA-F-INS-055A RAW SC'!F36)),'Midterm OVPAA-F-INS-055A RAW SC'!F36,"")</f>
        <v>27</v>
      </c>
      <c r="G36" s="125" t="str">
        <f>IF(NOT(ISBLANK('Midterm OVPAA-F-INS-055A RAW SC'!G36)),'Midterm OVPAA-F-INS-055A RAW SC'!G36,"")</f>
        <v>Rivera, Juvel</v>
      </c>
      <c r="H36" s="126">
        <f>IF('Finalterm OVPAA-F-INS-055A RAW '!H36="","",'Finalterm OVPAA-F-INS-055A RAW '!H36/'Finalterm OVPAA-F-INS-055A RAW '!H$17*100)</f>
        <v>100</v>
      </c>
      <c r="I36" s="126">
        <f>IF('Finalterm OVPAA-F-INS-055A RAW '!I36="","",'Finalterm OVPAA-F-INS-055A RAW '!I36/'Finalterm OVPAA-F-INS-055A RAW '!I$17*100)</f>
        <v>100</v>
      </c>
      <c r="J36" s="126">
        <f>IF('Finalterm OVPAA-F-INS-055A RAW '!J36="","",'Finalterm OVPAA-F-INS-055A RAW '!J36/'Finalterm OVPAA-F-INS-055A RAW '!J$17*100)</f>
        <v>60</v>
      </c>
      <c r="K36" s="126">
        <f>IF('Finalterm OVPAA-F-INS-055A RAW '!K36="","",'Finalterm OVPAA-F-INS-055A RAW '!K36/'Finalterm OVPAA-F-INS-055A RAW '!K$17*100)</f>
        <v>100</v>
      </c>
      <c r="L36" s="126">
        <f>IF('Finalterm OVPAA-F-INS-055A RAW '!L36="","",'Finalterm OVPAA-F-INS-055A RAW '!L36/'Finalterm OVPAA-F-INS-055A RAW '!L$17*100)</f>
        <v>100</v>
      </c>
      <c r="M36" s="126" t="str">
        <f>IF('Finalterm OVPAA-F-INS-055A RAW '!M36="","",'Finalterm OVPAA-F-INS-055A RAW '!M36/'Finalterm OVPAA-F-INS-055A RAW '!M$17*100)</f>
        <v/>
      </c>
      <c r="N36" s="126" t="str">
        <f>IF('Finalterm OVPAA-F-INS-055A RAW '!N36="","",'Finalterm OVPAA-F-INS-055A RAW '!N36/'Finalterm OVPAA-F-INS-055A RAW '!N$17*100)</f>
        <v/>
      </c>
      <c r="O36" s="126" t="str">
        <f>IF('Finalterm OVPAA-F-INS-055A RAW '!O36="","",'Finalterm OVPAA-F-INS-055A RAW '!O36/'Finalterm OVPAA-F-INS-055A RAW '!O$17*100)</f>
        <v/>
      </c>
      <c r="P36" s="126" t="str">
        <f>IF('Finalterm OVPAA-F-INS-055A RAW '!P36="","",'Finalterm OVPAA-F-INS-055A RAW '!P36/'Finalterm OVPAA-F-INS-055A RAW '!P$17*100)</f>
        <v/>
      </c>
      <c r="Q36" s="126" t="str">
        <f>IF('Finalterm OVPAA-F-INS-055A RAW '!Q36="","",'Finalterm OVPAA-F-INS-055A RAW '!Q36/'Finalterm OVPAA-F-INS-055A RAW '!Q$17*100)</f>
        <v/>
      </c>
      <c r="R36" s="126" t="str">
        <f>IF('Finalterm OVPAA-F-INS-055A RAW '!R36="","",'Finalterm OVPAA-F-INS-055A RAW '!R36/'Finalterm OVPAA-F-INS-055A RAW '!R$17*100)</f>
        <v/>
      </c>
      <c r="S36" s="126" t="str">
        <f>IF('Finalterm OVPAA-F-INS-055A RAW '!S36="","",'Finalterm OVPAA-F-INS-055A RAW '!S36/'Finalterm OVPAA-F-INS-055A RAW '!S$17*100)</f>
        <v/>
      </c>
      <c r="T36" s="126" t="str">
        <f>IF('Finalterm OVPAA-F-INS-055A RAW '!T36="","",'Finalterm OVPAA-F-INS-055A RAW '!T36/'Finalterm OVPAA-F-INS-055A RAW '!T$17*100)</f>
        <v/>
      </c>
      <c r="U36" s="126" t="str">
        <f>IF('Finalterm OVPAA-F-INS-055A RAW '!U36="","",'Finalterm OVPAA-F-INS-055A RAW '!U36/'Finalterm OVPAA-F-INS-055A RAW '!U$17*100)</f>
        <v/>
      </c>
      <c r="V36" s="126" t="str">
        <f>IF('Finalterm OVPAA-F-INS-055A RAW '!V36="","",'Finalterm OVPAA-F-INS-055A RAW '!V36/'Finalterm OVPAA-F-INS-055A RAW '!V$17*100)</f>
        <v/>
      </c>
      <c r="W36" s="126" t="str">
        <f>IF('Finalterm OVPAA-F-INS-055A RAW '!W36="","",'Finalterm OVPAA-F-INS-055A RAW '!W36/'Finalterm OVPAA-F-INS-055A RAW '!W$17*100)</f>
        <v/>
      </c>
      <c r="X36" s="126" t="str">
        <f>IF('Finalterm OVPAA-F-INS-055A RAW '!X36="","",'Finalterm OVPAA-F-INS-055A RAW '!X36/'Finalterm OVPAA-F-INS-055A RAW '!X$17*100)</f>
        <v/>
      </c>
      <c r="Y36" s="126" t="str">
        <f>IF('Finalterm OVPAA-F-INS-055A RAW '!Y36="","",'Finalterm OVPAA-F-INS-055A RAW '!Y36/'Finalterm OVPAA-F-INS-055A RAW '!Y$17*100)</f>
        <v/>
      </c>
      <c r="Z36" s="126" t="str">
        <f>IF('Finalterm OVPAA-F-INS-055A RAW '!Z36="","",'Finalterm OVPAA-F-INS-055A RAW '!Z36/'Finalterm OVPAA-F-INS-055A RAW '!Z$17*100)</f>
        <v/>
      </c>
      <c r="AA36" s="126" t="str">
        <f>IF('Finalterm OVPAA-F-INS-055A RAW '!AA36="","",'Finalterm OVPAA-F-INS-055A RAW '!AA36/'Finalterm OVPAA-F-INS-055A RAW '!AA$17*100)</f>
        <v/>
      </c>
      <c r="AB36" s="126" t="str">
        <f>IF('Finalterm OVPAA-F-INS-055A RAW '!AB36="","",'Finalterm OVPAA-F-INS-055A RAW '!AB36/'Finalterm OVPAA-F-INS-055A RAW '!AB$17*100)</f>
        <v/>
      </c>
      <c r="AC36" s="126" t="str">
        <f>IF('Finalterm OVPAA-F-INS-055A RAW '!AC36="","",'Finalterm OVPAA-F-INS-055A RAW '!AC36/'Finalterm OVPAA-F-INS-055A RAW '!AC$17*100)</f>
        <v/>
      </c>
      <c r="AD36" s="126" t="str">
        <f>IF('Finalterm OVPAA-F-INS-055A RAW '!AD36="","",'Finalterm OVPAA-F-INS-055A RAW '!AD36/'Finalterm OVPAA-F-INS-055A RAW '!AD$17*100)</f>
        <v/>
      </c>
      <c r="AE36" s="126" t="str">
        <f>IF('Finalterm OVPAA-F-INS-055A RAW '!AE36="","",'Finalterm OVPAA-F-INS-055A RAW '!AE36/'Finalterm OVPAA-F-INS-055A RAW '!AE$17*100)</f>
        <v/>
      </c>
      <c r="AF36" s="126" t="str">
        <f>IF('Finalterm OVPAA-F-INS-055A RAW '!AF36="","",'Finalterm OVPAA-F-INS-055A RAW '!AF36/'Finalterm OVPAA-F-INS-055A RAW '!AF$17*100)</f>
        <v/>
      </c>
      <c r="AG36" s="126" t="str">
        <f>IF('Finalterm OVPAA-F-INS-055A RAW '!AG36="","",'Finalterm OVPAA-F-INS-055A RAW '!AG36/'Finalterm OVPAA-F-INS-055A RAW '!AG$17*100)</f>
        <v/>
      </c>
      <c r="AH36" s="126" t="str">
        <f>IF('Finalterm OVPAA-F-INS-055A RAW '!AH36="","",'Finalterm OVPAA-F-INS-055A RAW '!AH36/'Finalterm OVPAA-F-INS-055A RAW '!AH$17*100)</f>
        <v/>
      </c>
      <c r="AI36" s="126" t="str">
        <f>IF('Finalterm OVPAA-F-INS-055A RAW '!AI36="","",'Finalterm OVPAA-F-INS-055A RAW '!AI36/'Finalterm OVPAA-F-INS-055A RAW '!AI$17*100)</f>
        <v/>
      </c>
      <c r="AJ36" s="126" t="str">
        <f>IF('Finalterm OVPAA-F-INS-055A RAW '!AJ36="","",'Finalterm OVPAA-F-INS-055A RAW '!AJ36/'Finalterm OVPAA-F-INS-055A RAW '!AJ$17*100)</f>
        <v/>
      </c>
      <c r="AK36" s="126" t="str">
        <f>IF('Finalterm OVPAA-F-INS-055A RAW '!AK36="","",'Finalterm OVPAA-F-INS-055A RAW '!AK36/'Finalterm OVPAA-F-INS-055A RAW '!AK$17*100)</f>
        <v/>
      </c>
      <c r="AL36" s="126" t="str">
        <f>IF('Finalterm OVPAA-F-INS-055A RAW '!AL36="","",'Finalterm OVPAA-F-INS-055A RAW '!AL36/'Finalterm OVPAA-F-INS-055A RAW '!AL$17*100)</f>
        <v/>
      </c>
      <c r="AM36" s="126" t="str">
        <f>IF('Finalterm OVPAA-F-INS-055A RAW '!AM36="","",'Finalterm OVPAA-F-INS-055A RAW '!AM36/'Finalterm OVPAA-F-INS-055A RAW '!AM$17*100)</f>
        <v/>
      </c>
      <c r="AN36" s="126" t="str">
        <f>IF('Finalterm OVPAA-F-INS-055A RAW '!AN36="","",'Finalterm OVPAA-F-INS-055A RAW '!AN36/'Finalterm OVPAA-F-INS-055A RAW '!AN$17*100)</f>
        <v/>
      </c>
      <c r="AO36" s="126" t="str">
        <f>IF('Finalterm OVPAA-F-INS-055A RAW '!AO36="","",'Finalterm OVPAA-F-INS-055A RAW '!AO36/'Finalterm OVPAA-F-INS-055A RAW '!AO$17*100)</f>
        <v/>
      </c>
      <c r="AP36" s="126" t="str">
        <f>IF('Finalterm OVPAA-F-INS-055A RAW '!AP36="","",'Finalterm OVPAA-F-INS-055A RAW '!AP36/'Finalterm OVPAA-F-INS-055A RAW '!AP$17*100)</f>
        <v/>
      </c>
      <c r="AQ36" s="126" t="str">
        <f>IF('Finalterm OVPAA-F-INS-055A RAW '!AQ36="","",'Finalterm OVPAA-F-INS-055A RAW '!AQ36/'Finalterm OVPAA-F-INS-055A RAW '!AQ$17*100)</f>
        <v/>
      </c>
      <c r="AR36" s="126" t="str">
        <f>IF('Finalterm OVPAA-F-INS-055A RAW '!AR36="","",'Finalterm OVPAA-F-INS-055A RAW '!AR36/'Finalterm OVPAA-F-INS-055A RAW '!AR$17*100)</f>
        <v/>
      </c>
      <c r="AS36" s="126" t="str">
        <f>IF('Finalterm OVPAA-F-INS-055A RAW '!AS36="","",'Finalterm OVPAA-F-INS-055A RAW '!AS36/'Finalterm OVPAA-F-INS-055A RAW '!AS$17*100)</f>
        <v/>
      </c>
      <c r="AT36" s="126" t="str">
        <f>IF('Finalterm OVPAA-F-INS-055A RAW '!AT36="","",'Finalterm OVPAA-F-INS-055A RAW '!AT36/'Finalterm OVPAA-F-INS-055A RAW '!AT$17*100)</f>
        <v/>
      </c>
      <c r="AU36" s="126" t="str">
        <f>IF('Finalterm OVPAA-F-INS-055A RAW '!AU36="","",'Finalterm OVPAA-F-INS-055A RAW '!AU36/'Finalterm OVPAA-F-INS-055A RAW '!AU$17*100)</f>
        <v/>
      </c>
      <c r="AV36" s="126" t="str">
        <f>IF('Finalterm OVPAA-F-INS-055A RAW '!AV36="","",'Finalterm OVPAA-F-INS-055A RAW '!AV36/'Finalterm OVPAA-F-INS-055A RAW '!AV$17*100)</f>
        <v/>
      </c>
      <c r="AW36" s="126" t="str">
        <f>IF('Finalterm OVPAA-F-INS-055A RAW '!AW36="","",'Finalterm OVPAA-F-INS-055A RAW '!AW36/'Finalterm OVPAA-F-INS-055A RAW '!AW$17*100)</f>
        <v/>
      </c>
      <c r="AX36" s="126" t="str">
        <f>IF('Finalterm OVPAA-F-INS-055A RAW '!AX36="","",'Finalterm OVPAA-F-INS-055A RAW '!AX36/'Finalterm OVPAA-F-INS-055A RAW '!AX$17*100)</f>
        <v/>
      </c>
      <c r="AY36" s="126" t="str">
        <f>IF('Finalterm OVPAA-F-INS-055A RAW '!AY36="","",'Finalterm OVPAA-F-INS-055A RAW '!AY36/'Finalterm OVPAA-F-INS-055A RAW '!AY$17*100)</f>
        <v/>
      </c>
      <c r="AZ36" s="126" t="str">
        <f>IF('Finalterm OVPAA-F-INS-055A RAW '!AZ36="","",'Finalterm OVPAA-F-INS-055A RAW '!AZ36/'Finalterm OVPAA-F-INS-055A RAW '!AZ$17*100)</f>
        <v/>
      </c>
      <c r="BA36" s="126" t="str">
        <f>IF('Finalterm OVPAA-F-INS-055A RAW '!BA36="","",'Finalterm OVPAA-F-INS-055A RAW '!BA36/'Finalterm OVPAA-F-INS-055A RAW '!BA$17*100)</f>
        <v/>
      </c>
      <c r="BB36" s="126" t="str">
        <f>IF('Finalterm OVPAA-F-INS-055A RAW '!BB36="","",'Finalterm OVPAA-F-INS-055A RAW '!BB36/'Finalterm OVPAA-F-INS-055A RAW '!BB$17*100)</f>
        <v/>
      </c>
      <c r="BC36" s="126" t="str">
        <f>IF('Finalterm OVPAA-F-INS-055A RAW '!BC36="","",'Finalterm OVPAA-F-INS-055A RAW '!BC36/'Finalterm OVPAA-F-INS-055A RAW '!BC$17*100)</f>
        <v/>
      </c>
      <c r="BD36" s="126" t="str">
        <f>IF('Finalterm OVPAA-F-INS-055A RAW '!BD36="","",'Finalterm OVPAA-F-INS-055A RAW '!BD36/'Finalterm OVPAA-F-INS-055A RAW '!BD$17*100)</f>
        <v/>
      </c>
      <c r="BE36" s="126" t="str">
        <f>IF('Finalterm OVPAA-F-INS-055A RAW '!BE36="","",'Finalterm OVPAA-F-INS-055A RAW '!BE36/'Finalterm OVPAA-F-INS-055A RAW '!BE$17*100)</f>
        <v/>
      </c>
      <c r="BF36" s="126" t="str">
        <f>IF('Finalterm OVPAA-F-INS-055A RAW '!BF36="","",'Finalterm OVPAA-F-INS-055A RAW '!BF36/'Finalterm OVPAA-F-INS-055A RAW '!BF$17*100)</f>
        <v/>
      </c>
      <c r="BG36" s="126" t="str">
        <f>IF('Finalterm OVPAA-F-INS-055A RAW '!BG36="","",'Finalterm OVPAA-F-INS-055A RAW '!BG36/'Finalterm OVPAA-F-INS-055A RAW '!BG$17*100)</f>
        <v/>
      </c>
      <c r="BH36" s="126" t="str">
        <f>IF('Finalterm OVPAA-F-INS-055A RAW '!BH36="","",'Finalterm OVPAA-F-INS-055A RAW '!BH36/'Finalterm OVPAA-F-INS-055A RAW '!BH$17*100)</f>
        <v/>
      </c>
      <c r="BI36" s="126" t="str">
        <f>IF('Finalterm OVPAA-F-INS-055A RAW '!BI36="","",'Finalterm OVPAA-F-INS-055A RAW '!BI36/'Finalterm OVPAA-F-INS-055A RAW '!BI$17*100)</f>
        <v/>
      </c>
      <c r="BJ36" s="126" t="str">
        <f>IF('Finalterm OVPAA-F-INS-055A RAW '!BJ36="","",'Finalterm OVPAA-F-INS-055A RAW '!BJ36/'Finalterm OVPAA-F-INS-055A RAW '!BJ$17*100)</f>
        <v/>
      </c>
      <c r="BK36" s="126" t="str">
        <f>IF('Finalterm OVPAA-F-INS-055A RAW '!BK36="","",'Finalterm OVPAA-F-INS-055A RAW '!BK36/'Finalterm OVPAA-F-INS-055A RAW '!BK$17*100)</f>
        <v/>
      </c>
      <c r="BL36" s="126" t="str">
        <f>IF('Finalterm OVPAA-F-INS-055A RAW '!BL36="","",'Finalterm OVPAA-F-INS-055A RAW '!BL36/'Finalterm OVPAA-F-INS-055A RAW '!BL$17*100)</f>
        <v/>
      </c>
      <c r="BM36" s="126" t="str">
        <f>IF('Finalterm OVPAA-F-INS-055A RAW '!BM36="","",'Finalterm OVPAA-F-INS-055A RAW '!BM36/'Finalterm OVPAA-F-INS-055A RAW '!BM$17*100)</f>
        <v/>
      </c>
      <c r="BN36" s="126" t="str">
        <f>IF('Finalterm OVPAA-F-INS-055A RAW '!BN36="","",'Finalterm OVPAA-F-INS-055A RAW '!BN36/'Finalterm OVPAA-F-INS-055A RAW '!BN$17*100)</f>
        <v/>
      </c>
      <c r="BO36" s="126" t="str">
        <f>IF('Finalterm OVPAA-F-INS-055A RAW '!BO36="","",'Finalterm OVPAA-F-INS-055A RAW '!BO36/'Finalterm OVPAA-F-INS-055A RAW '!BO$17*100)</f>
        <v/>
      </c>
      <c r="BP36" s="126" t="str">
        <f>IF('Finalterm OVPAA-F-INS-055A RAW '!BP36="","",'Finalterm OVPAA-F-INS-055A RAW '!BP36/'Finalterm OVPAA-F-INS-055A RAW '!BP$17*100)</f>
        <v/>
      </c>
      <c r="BQ36" s="126" t="str">
        <f>IF('Finalterm OVPAA-F-INS-055A RAW '!BQ36="","",'Finalterm OVPAA-F-INS-055A RAW '!BQ36/'Finalterm OVPAA-F-INS-055A RAW '!BQ$17*100)</f>
        <v/>
      </c>
      <c r="BR36" s="126" t="str">
        <f>IF('Finalterm OVPAA-F-INS-055A RAW '!BR36="","",'Finalterm OVPAA-F-INS-055A RAW '!BR36/'Finalterm OVPAA-F-INS-055A RAW '!BR$17*100)</f>
        <v/>
      </c>
      <c r="BS36" s="126" t="str">
        <f>IF('Finalterm OVPAA-F-INS-055A RAW '!BS36="","",'Finalterm OVPAA-F-INS-055A RAW '!BS36/'Finalterm OVPAA-F-INS-055A RAW '!BS$17*100)</f>
        <v/>
      </c>
      <c r="BT36" s="126" t="str">
        <f>IF('Finalterm OVPAA-F-INS-055A RAW '!BT36="","",'Finalterm OVPAA-F-INS-055A RAW '!BT36/'Finalterm OVPAA-F-INS-055A RAW '!BT$17*100)</f>
        <v/>
      </c>
      <c r="BU36" s="127">
        <f t="array" ref="BU36">IF('Finalterm OVPAA-F-INS-055A RAW '!$G36="","",IF((SUMPRODUCT(--ISBLANK('Finalterm OVPAA-F-INS-055A RAW '!H36:BT36))=COLUMNS('Finalterm OVPAA-F-INS-055A RAW '!H36:BT36))=TRUE,"",(((COUNTA('Finalterm OVPAA-F-INS-055A RAW '!$H$17:$BT$17)+COUNTBLANK('Finalterm OVPAA-F-INS-055A RAW '!H36:BT36))-COLUMNS('Finalterm OVPAA-F-INS-055A RAW '!H36:BT36))*5+SUM(H36:BT36))/COUNTA('Finalterm OVPAA-F-INS-055A RAW '!$H$17:$BT$17)))</f>
        <v>92</v>
      </c>
      <c r="BV36" s="165">
        <f>IF(BU36="","",VLOOKUP(BU36,IF('Midterm OVPAA-F-INS-055A RAW SC'!$V$12=0.5,TRANSMUTATION!$C$4:$D$17,TRANSMUTATION!$G$4:$H$17),2,TRUE))</f>
        <v>1.25</v>
      </c>
      <c r="BW36" s="129">
        <f>IF('Finalterm OVPAA-F-INS-055A RAW '!BU36="","",'Finalterm OVPAA-F-INS-055A RAW '!BU36/'Finalterm OVPAA-F-INS-055A RAW '!BU$17*100)</f>
        <v>74</v>
      </c>
      <c r="BX36" s="130">
        <f>IF('Finalterm OVPAA-F-INS-055A RAW '!BV36="","",'Finalterm OVPAA-F-INS-055A RAW '!BV36/'Finalterm OVPAA-F-INS-055A RAW '!BV$17*100)</f>
        <v>70</v>
      </c>
      <c r="BY36" s="130">
        <f>IF('Finalterm OVPAA-F-INS-055A RAW '!BW36="","",'Finalterm OVPAA-F-INS-055A RAW '!BW36/'Finalterm OVPAA-F-INS-055A RAW '!BW$17*100)</f>
        <v>100</v>
      </c>
      <c r="BZ36" s="130" t="str">
        <f>IF('Finalterm OVPAA-F-INS-055A RAW '!BX36="","",'Finalterm OVPAA-F-INS-055A RAW '!BX36/'Finalterm OVPAA-F-INS-055A RAW '!BX$17*100)</f>
        <v/>
      </c>
      <c r="CA36" s="130" t="str">
        <f>IF('Finalterm OVPAA-F-INS-055A RAW '!BY36="","",'Finalterm OVPAA-F-INS-055A RAW '!BY36/'Finalterm OVPAA-F-INS-055A RAW '!BY$17*100)</f>
        <v/>
      </c>
      <c r="CB36" s="130" t="str">
        <f>IF('Finalterm OVPAA-F-INS-055A RAW '!BZ36="","",'Finalterm OVPAA-F-INS-055A RAW '!BZ36/'Finalterm OVPAA-F-INS-055A RAW '!BZ$17*100)</f>
        <v/>
      </c>
      <c r="CC36" s="130" t="str">
        <f>IF('Finalterm OVPAA-F-INS-055A RAW '!CA36="","",'Finalterm OVPAA-F-INS-055A RAW '!CA36/'Finalterm OVPAA-F-INS-055A RAW '!CA$17*100)</f>
        <v/>
      </c>
      <c r="CD36" s="130" t="str">
        <f>IF('Finalterm OVPAA-F-INS-055A RAW '!CB36="","",'Finalterm OVPAA-F-INS-055A RAW '!CB36/'Finalterm OVPAA-F-INS-055A RAW '!CB$17*100)</f>
        <v/>
      </c>
      <c r="CE36" s="130" t="str">
        <f>IF('Finalterm OVPAA-F-INS-055A RAW '!CC36="","",'Finalterm OVPAA-F-INS-055A RAW '!CC36/'Finalterm OVPAA-F-INS-055A RAW '!CC$17*100)</f>
        <v/>
      </c>
      <c r="CF36" s="130" t="str">
        <f>IF('Finalterm OVPAA-F-INS-055A RAW '!CD36="","",'Finalterm OVPAA-F-INS-055A RAW '!CD36/'Finalterm OVPAA-F-INS-055A RAW '!CD$17*100)</f>
        <v/>
      </c>
      <c r="CG36" s="130" t="str">
        <f>IF('Finalterm OVPAA-F-INS-055A RAW '!CE36="","",'Finalterm OVPAA-F-INS-055A RAW '!CE36/'Finalterm OVPAA-F-INS-055A RAW '!CE$17*100)</f>
        <v/>
      </c>
      <c r="CH36" s="130" t="str">
        <f>IF('Finalterm OVPAA-F-INS-055A RAW '!CF36="","",'Finalterm OVPAA-F-INS-055A RAW '!CF36/'Finalterm OVPAA-F-INS-055A RAW '!CF$17*100)</f>
        <v/>
      </c>
      <c r="CI36" s="130" t="str">
        <f>IF('Finalterm OVPAA-F-INS-055A RAW '!CG36="","",'Finalterm OVPAA-F-INS-055A RAW '!CG36/'Finalterm OVPAA-F-INS-055A RAW '!CG$17*100)</f>
        <v/>
      </c>
      <c r="CJ36" s="130" t="str">
        <f>IF('Finalterm OVPAA-F-INS-055A RAW '!CH36="","",'Finalterm OVPAA-F-INS-055A RAW '!CH36/'Finalterm OVPAA-F-INS-055A RAW '!CH$17*100)</f>
        <v/>
      </c>
      <c r="CK36" s="130" t="str">
        <f>IF('Finalterm OVPAA-F-INS-055A RAW '!CI36="","",'Finalterm OVPAA-F-INS-055A RAW '!CI36/'Finalterm OVPAA-F-INS-055A RAW '!CI$17*100)</f>
        <v/>
      </c>
      <c r="CL36" s="130" t="str">
        <f>IF('Finalterm OVPAA-F-INS-055A RAW '!CJ36="","",'Finalterm OVPAA-F-INS-055A RAW '!CJ36/'Finalterm OVPAA-F-INS-055A RAW '!CJ$17*100)</f>
        <v/>
      </c>
      <c r="CM36" s="130" t="str">
        <f>IF('Finalterm OVPAA-F-INS-055A RAW '!CK36="","",'Finalterm OVPAA-F-INS-055A RAW '!CK36/'Finalterm OVPAA-F-INS-055A RAW '!CK$17*100)</f>
        <v/>
      </c>
      <c r="CN36" s="130" t="str">
        <f>IF('Finalterm OVPAA-F-INS-055A RAW '!CL36="","",'Finalterm OVPAA-F-INS-055A RAW '!CL36/'Finalterm OVPAA-F-INS-055A RAW '!CL$17*100)</f>
        <v/>
      </c>
      <c r="CO36" s="130" t="str">
        <f>IF('Finalterm OVPAA-F-INS-055A RAW '!CM36="","",'Finalterm OVPAA-F-INS-055A RAW '!CM36/'Finalterm OVPAA-F-INS-055A RAW '!CM$17*100)</f>
        <v/>
      </c>
      <c r="CP36" s="130" t="str">
        <f>IF('Finalterm OVPAA-F-INS-055A RAW '!CN36="","",'Finalterm OVPAA-F-INS-055A RAW '!CN36/'Finalterm OVPAA-F-INS-055A RAW '!CN$17*100)</f>
        <v/>
      </c>
      <c r="CQ36" s="131">
        <f t="array" ref="CQ36">IF('Midterm OVPAA-F-INS-055A RAW SC'!G36="","",IF((SUMPRODUCT(--ISBLANK('Finalterm OVPAA-F-INS-055A RAW '!BU36:CN36))=COLUMNS('Finalterm OVPAA-F-INS-055A RAW '!BU36:CN36))=TRUE,"",(((COUNTA('Finalterm OVPAA-F-INS-055A RAW '!$BU$17:$CN$17)+COUNTBLANK('Finalterm OVPAA-F-INS-055A RAW '!BU36:CN36))-COLUMNS('Finalterm OVPAA-F-INS-055A RAW '!BU36:CN36))*5+SUM(BW36:CP36))/COUNTA('Finalterm OVPAA-F-INS-055A RAW '!$BU$17:$CN$17)))</f>
        <v>81.333333333333329</v>
      </c>
      <c r="CR36" s="132">
        <f>IF(CQ36="","",VLOOKUP(CQ36,IF('Midterm OVPAA-F-INS-055A RAW SC'!$V$12=0.5,TRANSMUTATION!$C$4:$D$17,TRANSMUTATION!$G$4:$H$17),2,TRUE))</f>
        <v>1.75</v>
      </c>
      <c r="CS36" s="133">
        <f>IF('Finalterm OVPAA-F-INS-055A RAW '!CO36="","",'Finalterm OVPAA-F-INS-055A RAW '!CO36/'Finalterm OVPAA-F-INS-055A RAW '!CO$17*100)</f>
        <v>80</v>
      </c>
      <c r="CT36" s="133">
        <f>IF('Finalterm OVPAA-F-INS-055A RAW '!CP36="","",'Finalterm OVPAA-F-INS-055A RAW '!CP36/'Finalterm OVPAA-F-INS-055A RAW '!CP$17*100)</f>
        <v>72</v>
      </c>
      <c r="CU36" s="133" t="str">
        <f>IF('Finalterm OVPAA-F-INS-055A RAW '!CQ36="","",'Finalterm OVPAA-F-INS-055A RAW '!CQ36/'Finalterm OVPAA-F-INS-055A RAW '!CQ$17*100)</f>
        <v/>
      </c>
      <c r="CV36" s="133" t="str">
        <f>IF('Finalterm OVPAA-F-INS-055A RAW '!CR36="","",'Finalterm OVPAA-F-INS-055A RAW '!CR36/'Finalterm OVPAA-F-INS-055A RAW '!CR$17*100)</f>
        <v/>
      </c>
      <c r="CW36" s="133" t="str">
        <f>IF('Finalterm OVPAA-F-INS-055A RAW '!CS36="","",'Finalterm OVPAA-F-INS-055A RAW '!CS36/'Finalterm OVPAA-F-INS-055A RAW '!CS$17*100)</f>
        <v/>
      </c>
      <c r="CX36" s="133" t="str">
        <f>IF('Finalterm OVPAA-F-INS-055A RAW '!CT36="","",'Finalterm OVPAA-F-INS-055A RAW '!CT36/'Finalterm OVPAA-F-INS-055A RAW '!CT$17*100)</f>
        <v/>
      </c>
      <c r="CY36" s="133" t="str">
        <f>IF('Finalterm OVPAA-F-INS-055A RAW '!CU36="","",'Finalterm OVPAA-F-INS-055A RAW '!CU36/'Finalterm OVPAA-F-INS-055A RAW '!CU$17*100)</f>
        <v/>
      </c>
      <c r="CZ36" s="133" t="str">
        <f>IF('Finalterm OVPAA-F-INS-055A RAW '!CV36="","",'Finalterm OVPAA-F-INS-055A RAW '!CV36/'Finalterm OVPAA-F-INS-055A RAW '!CV$17*100)</f>
        <v/>
      </c>
      <c r="DA36" s="133" t="str">
        <f>IF('Finalterm OVPAA-F-INS-055A RAW '!CW36="","",'Finalterm OVPAA-F-INS-055A RAW '!CW36/'Finalterm OVPAA-F-INS-055A RAW '!CW$17*100)</f>
        <v/>
      </c>
      <c r="DB36" s="133" t="str">
        <f>IF('Finalterm OVPAA-F-INS-055A RAW '!CX36="","",'Finalterm OVPAA-F-INS-055A RAW '!CX36/'Finalterm OVPAA-F-INS-055A RAW '!CX$17*100)</f>
        <v/>
      </c>
      <c r="DC36" s="134">
        <f t="array" ref="DC36">IF('Midterm OVPAA-F-INS-055A RAW SC'!$G36="","",IF((SUMPRODUCT(--ISBLANK('Finalterm OVPAA-F-INS-055A RAW '!CO36:CX36))=COLUMNS('Finalterm OVPAA-F-INS-055A RAW '!CO36:CX36))=TRUE,"",(((COUNTA('Finalterm OVPAA-F-INS-055A RAW '!$CO$17:$CX$17)+COUNTBLANK('Finalterm OVPAA-F-INS-055A RAW '!CO36:CX36))-COLUMNS('Finalterm OVPAA-F-INS-055A RAW '!CO36:CX36))*5+SUM(CS36:DB36))/COUNTA('Finalterm OVPAA-F-INS-055A RAW '!$CO$17:$CX$17)))</f>
        <v>76</v>
      </c>
      <c r="DD36" s="135">
        <f>IF(DC36="","",VLOOKUP(DC36,IF('Midterm OVPAA-F-INS-055A RAW SC'!$V$12=0.5,TRANSMUTATION!$C$4:$D$17,TRANSMUTATION!$G$4:$H$17),2,TRUE))</f>
        <v>2</v>
      </c>
      <c r="DE36" s="136">
        <f t="shared" si="1"/>
        <v>0.375</v>
      </c>
      <c r="DF36" s="166">
        <f t="shared" si="2"/>
        <v>0.52500000000000002</v>
      </c>
      <c r="DG36" s="167">
        <f t="shared" si="3"/>
        <v>0.8</v>
      </c>
      <c r="DH36" s="168">
        <f t="shared" si="4"/>
        <v>1.7000000000000002</v>
      </c>
      <c r="DI36" s="169" t="str">
        <f t="shared" si="5"/>
        <v>1.75</v>
      </c>
    </row>
    <row r="37" spans="5:113" ht="15.75" customHeight="1">
      <c r="E37" s="59">
        <v>20</v>
      </c>
      <c r="F37" s="124">
        <f>IF(NOT(ISBLANK('Midterm OVPAA-F-INS-055A RAW SC'!F37)),'Midterm OVPAA-F-INS-055A RAW SC'!F37,"")</f>
        <v>28</v>
      </c>
      <c r="G37" s="125" t="str">
        <f>IF(NOT(ISBLANK('Midterm OVPAA-F-INS-055A RAW SC'!G37)),'Midterm OVPAA-F-INS-055A RAW SC'!G37,"")</f>
        <v>Rubio, Pia Pilar</v>
      </c>
      <c r="H37" s="126">
        <f>IF('Finalterm OVPAA-F-INS-055A RAW '!H37="","",'Finalterm OVPAA-F-INS-055A RAW '!H37/'Finalterm OVPAA-F-INS-055A RAW '!H$17*100)</f>
        <v>100</v>
      </c>
      <c r="I37" s="126">
        <f>IF('Finalterm OVPAA-F-INS-055A RAW '!I37="","",'Finalterm OVPAA-F-INS-055A RAW '!I37/'Finalterm OVPAA-F-INS-055A RAW '!I$17*100)</f>
        <v>100</v>
      </c>
      <c r="J37" s="126">
        <f>IF('Finalterm OVPAA-F-INS-055A RAW '!J37="","",'Finalterm OVPAA-F-INS-055A RAW '!J37/'Finalterm OVPAA-F-INS-055A RAW '!J$17*100)</f>
        <v>100</v>
      </c>
      <c r="K37" s="126">
        <f>IF('Finalterm OVPAA-F-INS-055A RAW '!K37="","",'Finalterm OVPAA-F-INS-055A RAW '!K37/'Finalterm OVPAA-F-INS-055A RAW '!K$17*100)</f>
        <v>100</v>
      </c>
      <c r="L37" s="126">
        <f>IF('Finalterm OVPAA-F-INS-055A RAW '!L37="","",'Finalterm OVPAA-F-INS-055A RAW '!L37/'Finalterm OVPAA-F-INS-055A RAW '!L$17*100)</f>
        <v>100</v>
      </c>
      <c r="M37" s="126" t="str">
        <f>IF('Finalterm OVPAA-F-INS-055A RAW '!M37="","",'Finalterm OVPAA-F-INS-055A RAW '!M37/'Finalterm OVPAA-F-INS-055A RAW '!M$17*100)</f>
        <v/>
      </c>
      <c r="N37" s="126" t="str">
        <f>IF('Finalterm OVPAA-F-INS-055A RAW '!N37="","",'Finalterm OVPAA-F-INS-055A RAW '!N37/'Finalterm OVPAA-F-INS-055A RAW '!N$17*100)</f>
        <v/>
      </c>
      <c r="O37" s="126" t="str">
        <f>IF('Finalterm OVPAA-F-INS-055A RAW '!O37="","",'Finalterm OVPAA-F-INS-055A RAW '!O37/'Finalterm OVPAA-F-INS-055A RAW '!O$17*100)</f>
        <v/>
      </c>
      <c r="P37" s="126" t="str">
        <f>IF('Finalterm OVPAA-F-INS-055A RAW '!P37="","",'Finalterm OVPAA-F-INS-055A RAW '!P37/'Finalterm OVPAA-F-INS-055A RAW '!P$17*100)</f>
        <v/>
      </c>
      <c r="Q37" s="126" t="str">
        <f>IF('Finalterm OVPAA-F-INS-055A RAW '!Q37="","",'Finalterm OVPAA-F-INS-055A RAW '!Q37/'Finalterm OVPAA-F-INS-055A RAW '!Q$17*100)</f>
        <v/>
      </c>
      <c r="R37" s="126" t="str">
        <f>IF('Finalterm OVPAA-F-INS-055A RAW '!R37="","",'Finalterm OVPAA-F-INS-055A RAW '!R37/'Finalterm OVPAA-F-INS-055A RAW '!R$17*100)</f>
        <v/>
      </c>
      <c r="S37" s="126" t="str">
        <f>IF('Finalterm OVPAA-F-INS-055A RAW '!S37="","",'Finalterm OVPAA-F-INS-055A RAW '!S37/'Finalterm OVPAA-F-INS-055A RAW '!S$17*100)</f>
        <v/>
      </c>
      <c r="T37" s="126" t="str">
        <f>IF('Finalterm OVPAA-F-INS-055A RAW '!T37="","",'Finalterm OVPAA-F-INS-055A RAW '!T37/'Finalterm OVPAA-F-INS-055A RAW '!T$17*100)</f>
        <v/>
      </c>
      <c r="U37" s="126" t="str">
        <f>IF('Finalterm OVPAA-F-INS-055A RAW '!U37="","",'Finalterm OVPAA-F-INS-055A RAW '!U37/'Finalterm OVPAA-F-INS-055A RAW '!U$17*100)</f>
        <v/>
      </c>
      <c r="V37" s="126" t="str">
        <f>IF('Finalterm OVPAA-F-INS-055A RAW '!V37="","",'Finalterm OVPAA-F-INS-055A RAW '!V37/'Finalterm OVPAA-F-INS-055A RAW '!V$17*100)</f>
        <v/>
      </c>
      <c r="W37" s="126" t="str">
        <f>IF('Finalterm OVPAA-F-INS-055A RAW '!W37="","",'Finalterm OVPAA-F-INS-055A RAW '!W37/'Finalterm OVPAA-F-INS-055A RAW '!W$17*100)</f>
        <v/>
      </c>
      <c r="X37" s="126" t="str">
        <f>IF('Finalterm OVPAA-F-INS-055A RAW '!X37="","",'Finalterm OVPAA-F-INS-055A RAW '!X37/'Finalterm OVPAA-F-INS-055A RAW '!X$17*100)</f>
        <v/>
      </c>
      <c r="Y37" s="126" t="str">
        <f>IF('Finalterm OVPAA-F-INS-055A RAW '!Y37="","",'Finalterm OVPAA-F-INS-055A RAW '!Y37/'Finalterm OVPAA-F-INS-055A RAW '!Y$17*100)</f>
        <v/>
      </c>
      <c r="Z37" s="126" t="str">
        <f>IF('Finalterm OVPAA-F-INS-055A RAW '!Z37="","",'Finalterm OVPAA-F-INS-055A RAW '!Z37/'Finalterm OVPAA-F-INS-055A RAW '!Z$17*100)</f>
        <v/>
      </c>
      <c r="AA37" s="126" t="str">
        <f>IF('Finalterm OVPAA-F-INS-055A RAW '!AA37="","",'Finalterm OVPAA-F-INS-055A RAW '!AA37/'Finalterm OVPAA-F-INS-055A RAW '!AA$17*100)</f>
        <v/>
      </c>
      <c r="AB37" s="126" t="str">
        <f>IF('Finalterm OVPAA-F-INS-055A RAW '!AB37="","",'Finalterm OVPAA-F-INS-055A RAW '!AB37/'Finalterm OVPAA-F-INS-055A RAW '!AB$17*100)</f>
        <v/>
      </c>
      <c r="AC37" s="126" t="str">
        <f>IF('Finalterm OVPAA-F-INS-055A RAW '!AC37="","",'Finalterm OVPAA-F-INS-055A RAW '!AC37/'Finalterm OVPAA-F-INS-055A RAW '!AC$17*100)</f>
        <v/>
      </c>
      <c r="AD37" s="126" t="str">
        <f>IF('Finalterm OVPAA-F-INS-055A RAW '!AD37="","",'Finalterm OVPAA-F-INS-055A RAW '!AD37/'Finalterm OVPAA-F-INS-055A RAW '!AD$17*100)</f>
        <v/>
      </c>
      <c r="AE37" s="126" t="str">
        <f>IF('Finalterm OVPAA-F-INS-055A RAW '!AE37="","",'Finalterm OVPAA-F-INS-055A RAW '!AE37/'Finalterm OVPAA-F-INS-055A RAW '!AE$17*100)</f>
        <v/>
      </c>
      <c r="AF37" s="126" t="str">
        <f>IF('Finalterm OVPAA-F-INS-055A RAW '!AF37="","",'Finalterm OVPAA-F-INS-055A RAW '!AF37/'Finalterm OVPAA-F-INS-055A RAW '!AF$17*100)</f>
        <v/>
      </c>
      <c r="AG37" s="126" t="str">
        <f>IF('Finalterm OVPAA-F-INS-055A RAW '!AG37="","",'Finalterm OVPAA-F-INS-055A RAW '!AG37/'Finalterm OVPAA-F-INS-055A RAW '!AG$17*100)</f>
        <v/>
      </c>
      <c r="AH37" s="126" t="str">
        <f>IF('Finalterm OVPAA-F-INS-055A RAW '!AH37="","",'Finalterm OVPAA-F-INS-055A RAW '!AH37/'Finalterm OVPAA-F-INS-055A RAW '!AH$17*100)</f>
        <v/>
      </c>
      <c r="AI37" s="126" t="str">
        <f>IF('Finalterm OVPAA-F-INS-055A RAW '!AI37="","",'Finalterm OVPAA-F-INS-055A RAW '!AI37/'Finalterm OVPAA-F-INS-055A RAW '!AI$17*100)</f>
        <v/>
      </c>
      <c r="AJ37" s="126" t="str">
        <f>IF('Finalterm OVPAA-F-INS-055A RAW '!AJ37="","",'Finalterm OVPAA-F-INS-055A RAW '!AJ37/'Finalterm OVPAA-F-INS-055A RAW '!AJ$17*100)</f>
        <v/>
      </c>
      <c r="AK37" s="126" t="str">
        <f>IF('Finalterm OVPAA-F-INS-055A RAW '!AK37="","",'Finalterm OVPAA-F-INS-055A RAW '!AK37/'Finalterm OVPAA-F-INS-055A RAW '!AK$17*100)</f>
        <v/>
      </c>
      <c r="AL37" s="126" t="str">
        <f>IF('Finalterm OVPAA-F-INS-055A RAW '!AL37="","",'Finalterm OVPAA-F-INS-055A RAW '!AL37/'Finalterm OVPAA-F-INS-055A RAW '!AL$17*100)</f>
        <v/>
      </c>
      <c r="AM37" s="126" t="str">
        <f>IF('Finalterm OVPAA-F-INS-055A RAW '!AM37="","",'Finalterm OVPAA-F-INS-055A RAW '!AM37/'Finalterm OVPAA-F-INS-055A RAW '!AM$17*100)</f>
        <v/>
      </c>
      <c r="AN37" s="126" t="str">
        <f>IF('Finalterm OVPAA-F-INS-055A RAW '!AN37="","",'Finalterm OVPAA-F-INS-055A RAW '!AN37/'Finalterm OVPAA-F-INS-055A RAW '!AN$17*100)</f>
        <v/>
      </c>
      <c r="AO37" s="126" t="str">
        <f>IF('Finalterm OVPAA-F-INS-055A RAW '!AO37="","",'Finalterm OVPAA-F-INS-055A RAW '!AO37/'Finalterm OVPAA-F-INS-055A RAW '!AO$17*100)</f>
        <v/>
      </c>
      <c r="AP37" s="126" t="str">
        <f>IF('Finalterm OVPAA-F-INS-055A RAW '!AP37="","",'Finalterm OVPAA-F-INS-055A RAW '!AP37/'Finalterm OVPAA-F-INS-055A RAW '!AP$17*100)</f>
        <v/>
      </c>
      <c r="AQ37" s="126" t="str">
        <f>IF('Finalterm OVPAA-F-INS-055A RAW '!AQ37="","",'Finalterm OVPAA-F-INS-055A RAW '!AQ37/'Finalterm OVPAA-F-INS-055A RAW '!AQ$17*100)</f>
        <v/>
      </c>
      <c r="AR37" s="126" t="str">
        <f>IF('Finalterm OVPAA-F-INS-055A RAW '!AR37="","",'Finalterm OVPAA-F-INS-055A RAW '!AR37/'Finalterm OVPAA-F-INS-055A RAW '!AR$17*100)</f>
        <v/>
      </c>
      <c r="AS37" s="126" t="str">
        <f>IF('Finalterm OVPAA-F-INS-055A RAW '!AS37="","",'Finalterm OVPAA-F-INS-055A RAW '!AS37/'Finalterm OVPAA-F-INS-055A RAW '!AS$17*100)</f>
        <v/>
      </c>
      <c r="AT37" s="126" t="str">
        <f>IF('Finalterm OVPAA-F-INS-055A RAW '!AT37="","",'Finalterm OVPAA-F-INS-055A RAW '!AT37/'Finalterm OVPAA-F-INS-055A RAW '!AT$17*100)</f>
        <v/>
      </c>
      <c r="AU37" s="126" t="str">
        <f>IF('Finalterm OVPAA-F-INS-055A RAW '!AU37="","",'Finalterm OVPAA-F-INS-055A RAW '!AU37/'Finalterm OVPAA-F-INS-055A RAW '!AU$17*100)</f>
        <v/>
      </c>
      <c r="AV37" s="126" t="str">
        <f>IF('Finalterm OVPAA-F-INS-055A RAW '!AV37="","",'Finalterm OVPAA-F-INS-055A RAW '!AV37/'Finalterm OVPAA-F-INS-055A RAW '!AV$17*100)</f>
        <v/>
      </c>
      <c r="AW37" s="126" t="str">
        <f>IF('Finalterm OVPAA-F-INS-055A RAW '!AW37="","",'Finalterm OVPAA-F-INS-055A RAW '!AW37/'Finalterm OVPAA-F-INS-055A RAW '!AW$17*100)</f>
        <v/>
      </c>
      <c r="AX37" s="126" t="str">
        <f>IF('Finalterm OVPAA-F-INS-055A RAW '!AX37="","",'Finalterm OVPAA-F-INS-055A RAW '!AX37/'Finalterm OVPAA-F-INS-055A RAW '!AX$17*100)</f>
        <v/>
      </c>
      <c r="AY37" s="126" t="str">
        <f>IF('Finalterm OVPAA-F-INS-055A RAW '!AY37="","",'Finalterm OVPAA-F-INS-055A RAW '!AY37/'Finalterm OVPAA-F-INS-055A RAW '!AY$17*100)</f>
        <v/>
      </c>
      <c r="AZ37" s="126" t="str">
        <f>IF('Finalterm OVPAA-F-INS-055A RAW '!AZ37="","",'Finalterm OVPAA-F-INS-055A RAW '!AZ37/'Finalterm OVPAA-F-INS-055A RAW '!AZ$17*100)</f>
        <v/>
      </c>
      <c r="BA37" s="126" t="str">
        <f>IF('Finalterm OVPAA-F-INS-055A RAW '!BA37="","",'Finalterm OVPAA-F-INS-055A RAW '!BA37/'Finalterm OVPAA-F-INS-055A RAW '!BA$17*100)</f>
        <v/>
      </c>
      <c r="BB37" s="126" t="str">
        <f>IF('Finalterm OVPAA-F-INS-055A RAW '!BB37="","",'Finalterm OVPAA-F-INS-055A RAW '!BB37/'Finalterm OVPAA-F-INS-055A RAW '!BB$17*100)</f>
        <v/>
      </c>
      <c r="BC37" s="126" t="str">
        <f>IF('Finalterm OVPAA-F-INS-055A RAW '!BC37="","",'Finalterm OVPAA-F-INS-055A RAW '!BC37/'Finalterm OVPAA-F-INS-055A RAW '!BC$17*100)</f>
        <v/>
      </c>
      <c r="BD37" s="126" t="str">
        <f>IF('Finalterm OVPAA-F-INS-055A RAW '!BD37="","",'Finalterm OVPAA-F-INS-055A RAW '!BD37/'Finalterm OVPAA-F-INS-055A RAW '!BD$17*100)</f>
        <v/>
      </c>
      <c r="BE37" s="126" t="str">
        <f>IF('Finalterm OVPAA-F-INS-055A RAW '!BE37="","",'Finalterm OVPAA-F-INS-055A RAW '!BE37/'Finalterm OVPAA-F-INS-055A RAW '!BE$17*100)</f>
        <v/>
      </c>
      <c r="BF37" s="126" t="str">
        <f>IF('Finalterm OVPAA-F-INS-055A RAW '!BF37="","",'Finalterm OVPAA-F-INS-055A RAW '!BF37/'Finalterm OVPAA-F-INS-055A RAW '!BF$17*100)</f>
        <v/>
      </c>
      <c r="BG37" s="126" t="str">
        <f>IF('Finalterm OVPAA-F-INS-055A RAW '!BG37="","",'Finalterm OVPAA-F-INS-055A RAW '!BG37/'Finalterm OVPAA-F-INS-055A RAW '!BG$17*100)</f>
        <v/>
      </c>
      <c r="BH37" s="126" t="str">
        <f>IF('Finalterm OVPAA-F-INS-055A RAW '!BH37="","",'Finalterm OVPAA-F-INS-055A RAW '!BH37/'Finalterm OVPAA-F-INS-055A RAW '!BH$17*100)</f>
        <v/>
      </c>
      <c r="BI37" s="126" t="str">
        <f>IF('Finalterm OVPAA-F-INS-055A RAW '!BI37="","",'Finalterm OVPAA-F-INS-055A RAW '!BI37/'Finalterm OVPAA-F-INS-055A RAW '!BI$17*100)</f>
        <v/>
      </c>
      <c r="BJ37" s="126" t="str">
        <f>IF('Finalterm OVPAA-F-INS-055A RAW '!BJ37="","",'Finalterm OVPAA-F-INS-055A RAW '!BJ37/'Finalterm OVPAA-F-INS-055A RAW '!BJ$17*100)</f>
        <v/>
      </c>
      <c r="BK37" s="126" t="str">
        <f>IF('Finalterm OVPAA-F-INS-055A RAW '!BK37="","",'Finalterm OVPAA-F-INS-055A RAW '!BK37/'Finalterm OVPAA-F-INS-055A RAW '!BK$17*100)</f>
        <v/>
      </c>
      <c r="BL37" s="126" t="str">
        <f>IF('Finalterm OVPAA-F-INS-055A RAW '!BL37="","",'Finalterm OVPAA-F-INS-055A RAW '!BL37/'Finalterm OVPAA-F-INS-055A RAW '!BL$17*100)</f>
        <v/>
      </c>
      <c r="BM37" s="126" t="str">
        <f>IF('Finalterm OVPAA-F-INS-055A RAW '!BM37="","",'Finalterm OVPAA-F-INS-055A RAW '!BM37/'Finalterm OVPAA-F-INS-055A RAW '!BM$17*100)</f>
        <v/>
      </c>
      <c r="BN37" s="126" t="str">
        <f>IF('Finalterm OVPAA-F-INS-055A RAW '!BN37="","",'Finalterm OVPAA-F-INS-055A RAW '!BN37/'Finalterm OVPAA-F-INS-055A RAW '!BN$17*100)</f>
        <v/>
      </c>
      <c r="BO37" s="126" t="str">
        <f>IF('Finalterm OVPAA-F-INS-055A RAW '!BO37="","",'Finalterm OVPAA-F-INS-055A RAW '!BO37/'Finalterm OVPAA-F-INS-055A RAW '!BO$17*100)</f>
        <v/>
      </c>
      <c r="BP37" s="126" t="str">
        <f>IF('Finalterm OVPAA-F-INS-055A RAW '!BP37="","",'Finalterm OVPAA-F-INS-055A RAW '!BP37/'Finalterm OVPAA-F-INS-055A RAW '!BP$17*100)</f>
        <v/>
      </c>
      <c r="BQ37" s="126" t="str">
        <f>IF('Finalterm OVPAA-F-INS-055A RAW '!BQ37="","",'Finalterm OVPAA-F-INS-055A RAW '!BQ37/'Finalterm OVPAA-F-INS-055A RAW '!BQ$17*100)</f>
        <v/>
      </c>
      <c r="BR37" s="126" t="str">
        <f>IF('Finalterm OVPAA-F-INS-055A RAW '!BR37="","",'Finalterm OVPAA-F-INS-055A RAW '!BR37/'Finalterm OVPAA-F-INS-055A RAW '!BR$17*100)</f>
        <v/>
      </c>
      <c r="BS37" s="126" t="str">
        <f>IF('Finalterm OVPAA-F-INS-055A RAW '!BS37="","",'Finalterm OVPAA-F-INS-055A RAW '!BS37/'Finalterm OVPAA-F-INS-055A RAW '!BS$17*100)</f>
        <v/>
      </c>
      <c r="BT37" s="126" t="str">
        <f>IF('Finalterm OVPAA-F-INS-055A RAW '!BT37="","",'Finalterm OVPAA-F-INS-055A RAW '!BT37/'Finalterm OVPAA-F-INS-055A RAW '!BT$17*100)</f>
        <v/>
      </c>
      <c r="BU37" s="127">
        <f t="array" ref="BU37">IF('Finalterm OVPAA-F-INS-055A RAW '!$G37="","",IF((SUMPRODUCT(--ISBLANK('Finalterm OVPAA-F-INS-055A RAW '!H37:BT37))=COLUMNS('Finalterm OVPAA-F-INS-055A RAW '!H37:BT37))=TRUE,"",(((COUNTA('Finalterm OVPAA-F-INS-055A RAW '!$H$17:$BT$17)+COUNTBLANK('Finalterm OVPAA-F-INS-055A RAW '!H37:BT37))-COLUMNS('Finalterm OVPAA-F-INS-055A RAW '!H37:BT37))*5+SUM(H37:BT37))/COUNTA('Finalterm OVPAA-F-INS-055A RAW '!$H$17:$BT$17)))</f>
        <v>100</v>
      </c>
      <c r="BV37" s="165">
        <f>IF(BU37="","",VLOOKUP(BU37,IF('Midterm OVPAA-F-INS-055A RAW SC'!$V$12=0.5,TRANSMUTATION!$C$4:$D$17,TRANSMUTATION!$G$4:$H$17),2,TRUE))</f>
        <v>1</v>
      </c>
      <c r="BW37" s="129">
        <f>IF('Finalterm OVPAA-F-INS-055A RAW '!BU37="","",'Finalterm OVPAA-F-INS-055A RAW '!BU37/'Finalterm OVPAA-F-INS-055A RAW '!BU$17*100)</f>
        <v>92</v>
      </c>
      <c r="BX37" s="130">
        <f>IF('Finalterm OVPAA-F-INS-055A RAW '!BV37="","",'Finalterm OVPAA-F-INS-055A RAW '!BV37/'Finalterm OVPAA-F-INS-055A RAW '!BV$17*100)</f>
        <v>100</v>
      </c>
      <c r="BY37" s="130">
        <f>IF('Finalterm OVPAA-F-INS-055A RAW '!BW37="","",'Finalterm OVPAA-F-INS-055A RAW '!BW37/'Finalterm OVPAA-F-INS-055A RAW '!BW$17*100)</f>
        <v>100</v>
      </c>
      <c r="BZ37" s="130" t="str">
        <f>IF('Finalterm OVPAA-F-INS-055A RAW '!BX37="","",'Finalterm OVPAA-F-INS-055A RAW '!BX37/'Finalterm OVPAA-F-INS-055A RAW '!BX$17*100)</f>
        <v/>
      </c>
      <c r="CA37" s="130" t="str">
        <f>IF('Finalterm OVPAA-F-INS-055A RAW '!BY37="","",'Finalterm OVPAA-F-INS-055A RAW '!BY37/'Finalterm OVPAA-F-INS-055A RAW '!BY$17*100)</f>
        <v/>
      </c>
      <c r="CB37" s="130" t="str">
        <f>IF('Finalterm OVPAA-F-INS-055A RAW '!BZ37="","",'Finalterm OVPAA-F-INS-055A RAW '!BZ37/'Finalterm OVPAA-F-INS-055A RAW '!BZ$17*100)</f>
        <v/>
      </c>
      <c r="CC37" s="130" t="str">
        <f>IF('Finalterm OVPAA-F-INS-055A RAW '!CA37="","",'Finalterm OVPAA-F-INS-055A RAW '!CA37/'Finalterm OVPAA-F-INS-055A RAW '!CA$17*100)</f>
        <v/>
      </c>
      <c r="CD37" s="130" t="str">
        <f>IF('Finalterm OVPAA-F-INS-055A RAW '!CB37="","",'Finalterm OVPAA-F-INS-055A RAW '!CB37/'Finalterm OVPAA-F-INS-055A RAW '!CB$17*100)</f>
        <v/>
      </c>
      <c r="CE37" s="130" t="str">
        <f>IF('Finalterm OVPAA-F-INS-055A RAW '!CC37="","",'Finalterm OVPAA-F-INS-055A RAW '!CC37/'Finalterm OVPAA-F-INS-055A RAW '!CC$17*100)</f>
        <v/>
      </c>
      <c r="CF37" s="130" t="str">
        <f>IF('Finalterm OVPAA-F-INS-055A RAW '!CD37="","",'Finalterm OVPAA-F-INS-055A RAW '!CD37/'Finalterm OVPAA-F-INS-055A RAW '!CD$17*100)</f>
        <v/>
      </c>
      <c r="CG37" s="130" t="str">
        <f>IF('Finalterm OVPAA-F-INS-055A RAW '!CE37="","",'Finalterm OVPAA-F-INS-055A RAW '!CE37/'Finalterm OVPAA-F-INS-055A RAW '!CE$17*100)</f>
        <v/>
      </c>
      <c r="CH37" s="130" t="str">
        <f>IF('Finalterm OVPAA-F-INS-055A RAW '!CF37="","",'Finalterm OVPAA-F-INS-055A RAW '!CF37/'Finalterm OVPAA-F-INS-055A RAW '!CF$17*100)</f>
        <v/>
      </c>
      <c r="CI37" s="130" t="str">
        <f>IF('Finalterm OVPAA-F-INS-055A RAW '!CG37="","",'Finalterm OVPAA-F-INS-055A RAW '!CG37/'Finalterm OVPAA-F-INS-055A RAW '!CG$17*100)</f>
        <v/>
      </c>
      <c r="CJ37" s="130" t="str">
        <f>IF('Finalterm OVPAA-F-INS-055A RAW '!CH37="","",'Finalterm OVPAA-F-INS-055A RAW '!CH37/'Finalterm OVPAA-F-INS-055A RAW '!CH$17*100)</f>
        <v/>
      </c>
      <c r="CK37" s="130" t="str">
        <f>IF('Finalterm OVPAA-F-INS-055A RAW '!CI37="","",'Finalterm OVPAA-F-INS-055A RAW '!CI37/'Finalterm OVPAA-F-INS-055A RAW '!CI$17*100)</f>
        <v/>
      </c>
      <c r="CL37" s="130" t="str">
        <f>IF('Finalterm OVPAA-F-INS-055A RAW '!CJ37="","",'Finalterm OVPAA-F-INS-055A RAW '!CJ37/'Finalterm OVPAA-F-INS-055A RAW '!CJ$17*100)</f>
        <v/>
      </c>
      <c r="CM37" s="130" t="str">
        <f>IF('Finalterm OVPAA-F-INS-055A RAW '!CK37="","",'Finalterm OVPAA-F-INS-055A RAW '!CK37/'Finalterm OVPAA-F-INS-055A RAW '!CK$17*100)</f>
        <v/>
      </c>
      <c r="CN37" s="130" t="str">
        <f>IF('Finalterm OVPAA-F-INS-055A RAW '!CL37="","",'Finalterm OVPAA-F-INS-055A RAW '!CL37/'Finalterm OVPAA-F-INS-055A RAW '!CL$17*100)</f>
        <v/>
      </c>
      <c r="CO37" s="130" t="str">
        <f>IF('Finalterm OVPAA-F-INS-055A RAW '!CM37="","",'Finalterm OVPAA-F-INS-055A RAW '!CM37/'Finalterm OVPAA-F-INS-055A RAW '!CM$17*100)</f>
        <v/>
      </c>
      <c r="CP37" s="130" t="str">
        <f>IF('Finalterm OVPAA-F-INS-055A RAW '!CN37="","",'Finalterm OVPAA-F-INS-055A RAW '!CN37/'Finalterm OVPAA-F-INS-055A RAW '!CN$17*100)</f>
        <v/>
      </c>
      <c r="CQ37" s="131">
        <f t="array" ref="CQ37">IF('Midterm OVPAA-F-INS-055A RAW SC'!G37="","",IF((SUMPRODUCT(--ISBLANK('Finalterm OVPAA-F-INS-055A RAW '!BU37:CN37))=COLUMNS('Finalterm OVPAA-F-INS-055A RAW '!BU37:CN37))=TRUE,"",(((COUNTA('Finalterm OVPAA-F-INS-055A RAW '!$BU$17:$CN$17)+COUNTBLANK('Finalterm OVPAA-F-INS-055A RAW '!BU37:CN37))-COLUMNS('Finalterm OVPAA-F-INS-055A RAW '!BU37:CN37))*5+SUM(BW37:CP37))/COUNTA('Finalterm OVPAA-F-INS-055A RAW '!$BU$17:$CN$17)))</f>
        <v>97.333333333333329</v>
      </c>
      <c r="CR37" s="132">
        <f>IF(CQ37="","",VLOOKUP(CQ37,IF('Midterm OVPAA-F-INS-055A RAW SC'!$V$12=0.5,TRANSMUTATION!$C$4:$D$17,TRANSMUTATION!$G$4:$H$17),2,TRUE))</f>
        <v>1</v>
      </c>
      <c r="CS37" s="133">
        <f>IF('Finalterm OVPAA-F-INS-055A RAW '!CO37="","",'Finalterm OVPAA-F-INS-055A RAW '!CO37/'Finalterm OVPAA-F-INS-055A RAW '!CO$17*100)</f>
        <v>100</v>
      </c>
      <c r="CT37" s="133">
        <f>IF('Finalterm OVPAA-F-INS-055A RAW '!CP37="","",'Finalterm OVPAA-F-INS-055A RAW '!CP37/'Finalterm OVPAA-F-INS-055A RAW '!CP$17*100)</f>
        <v>72.5</v>
      </c>
      <c r="CU37" s="133" t="str">
        <f>IF('Finalterm OVPAA-F-INS-055A RAW '!CQ37="","",'Finalterm OVPAA-F-INS-055A RAW '!CQ37/'Finalterm OVPAA-F-INS-055A RAW '!CQ$17*100)</f>
        <v/>
      </c>
      <c r="CV37" s="133" t="str">
        <f>IF('Finalterm OVPAA-F-INS-055A RAW '!CR37="","",'Finalterm OVPAA-F-INS-055A RAW '!CR37/'Finalterm OVPAA-F-INS-055A RAW '!CR$17*100)</f>
        <v/>
      </c>
      <c r="CW37" s="133" t="str">
        <f>IF('Finalterm OVPAA-F-INS-055A RAW '!CS37="","",'Finalterm OVPAA-F-INS-055A RAW '!CS37/'Finalterm OVPAA-F-INS-055A RAW '!CS$17*100)</f>
        <v/>
      </c>
      <c r="CX37" s="133" t="str">
        <f>IF('Finalterm OVPAA-F-INS-055A RAW '!CT37="","",'Finalterm OVPAA-F-INS-055A RAW '!CT37/'Finalterm OVPAA-F-INS-055A RAW '!CT$17*100)</f>
        <v/>
      </c>
      <c r="CY37" s="133" t="str">
        <f>IF('Finalterm OVPAA-F-INS-055A RAW '!CU37="","",'Finalterm OVPAA-F-INS-055A RAW '!CU37/'Finalterm OVPAA-F-INS-055A RAW '!CU$17*100)</f>
        <v/>
      </c>
      <c r="CZ37" s="133" t="str">
        <f>IF('Finalterm OVPAA-F-INS-055A RAW '!CV37="","",'Finalterm OVPAA-F-INS-055A RAW '!CV37/'Finalterm OVPAA-F-INS-055A RAW '!CV$17*100)</f>
        <v/>
      </c>
      <c r="DA37" s="133" t="str">
        <f>IF('Finalterm OVPAA-F-INS-055A RAW '!CW37="","",'Finalterm OVPAA-F-INS-055A RAW '!CW37/'Finalterm OVPAA-F-INS-055A RAW '!CW$17*100)</f>
        <v/>
      </c>
      <c r="DB37" s="133" t="str">
        <f>IF('Finalterm OVPAA-F-INS-055A RAW '!CX37="","",'Finalterm OVPAA-F-INS-055A RAW '!CX37/'Finalterm OVPAA-F-INS-055A RAW '!CX$17*100)</f>
        <v/>
      </c>
      <c r="DC37" s="134">
        <f t="array" ref="DC37">IF('Midterm OVPAA-F-INS-055A RAW SC'!$G37="","",IF((SUMPRODUCT(--ISBLANK('Finalterm OVPAA-F-INS-055A RAW '!CO37:CX37))=COLUMNS('Finalterm OVPAA-F-INS-055A RAW '!CO37:CX37))=TRUE,"",(((COUNTA('Finalterm OVPAA-F-INS-055A RAW '!$CO$17:$CX$17)+COUNTBLANK('Finalterm OVPAA-F-INS-055A RAW '!CO37:CX37))-COLUMNS('Finalterm OVPAA-F-INS-055A RAW '!CO37:CX37))*5+SUM(CS37:DB37))/COUNTA('Finalterm OVPAA-F-INS-055A RAW '!$CO$17:$CX$17)))</f>
        <v>86.25</v>
      </c>
      <c r="DD37" s="135">
        <f>IF(DC37="","",VLOOKUP(DC37,IF('Midterm OVPAA-F-INS-055A RAW SC'!$V$12=0.5,TRANSMUTATION!$C$4:$D$17,TRANSMUTATION!$G$4:$H$17),2,TRUE))</f>
        <v>1.5</v>
      </c>
      <c r="DE37" s="136">
        <f t="shared" si="1"/>
        <v>0.3</v>
      </c>
      <c r="DF37" s="166">
        <f t="shared" si="2"/>
        <v>0.3</v>
      </c>
      <c r="DG37" s="167">
        <f t="shared" si="3"/>
        <v>0.60000000000000009</v>
      </c>
      <c r="DH37" s="168">
        <f t="shared" si="4"/>
        <v>1.2000000000000002</v>
      </c>
      <c r="DI37" s="169" t="str">
        <f t="shared" si="5"/>
        <v>1.25</v>
      </c>
    </row>
    <row r="38" spans="5:113" ht="15.75" customHeight="1">
      <c r="E38" s="59">
        <v>21</v>
      </c>
      <c r="F38" s="124">
        <f>IF(NOT(ISBLANK('Midterm OVPAA-F-INS-055A RAW SC'!F38)),'Midterm OVPAA-F-INS-055A RAW SC'!F38,"")</f>
        <v>29</v>
      </c>
      <c r="G38" s="125" t="str">
        <f>IF(NOT(ISBLANK('Midterm OVPAA-F-INS-055A RAW SC'!G38)),'Midterm OVPAA-F-INS-055A RAW SC'!G38,"")</f>
        <v>Salto, Mary Natalie</v>
      </c>
      <c r="H38" s="126">
        <f>IF('Finalterm OVPAA-F-INS-055A RAW '!H38="","",'Finalterm OVPAA-F-INS-055A RAW '!H38/'Finalterm OVPAA-F-INS-055A RAW '!H$17*100)</f>
        <v>100</v>
      </c>
      <c r="I38" s="126">
        <f>IF('Finalterm OVPAA-F-INS-055A RAW '!I38="","",'Finalterm OVPAA-F-INS-055A RAW '!I38/'Finalterm OVPAA-F-INS-055A RAW '!I$17*100)</f>
        <v>100</v>
      </c>
      <c r="J38" s="126">
        <f>IF('Finalterm OVPAA-F-INS-055A RAW '!J38="","",'Finalterm OVPAA-F-INS-055A RAW '!J38/'Finalterm OVPAA-F-INS-055A RAW '!J$17*100)</f>
        <v>60</v>
      </c>
      <c r="K38" s="126">
        <f>IF('Finalterm OVPAA-F-INS-055A RAW '!K38="","",'Finalterm OVPAA-F-INS-055A RAW '!K38/'Finalterm OVPAA-F-INS-055A RAW '!K$17*100)</f>
        <v>100</v>
      </c>
      <c r="L38" s="126">
        <f>IF('Finalterm OVPAA-F-INS-055A RAW '!L38="","",'Finalterm OVPAA-F-INS-055A RAW '!L38/'Finalterm OVPAA-F-INS-055A RAW '!L$17*100)</f>
        <v>100</v>
      </c>
      <c r="M38" s="126" t="str">
        <f>IF('Finalterm OVPAA-F-INS-055A RAW '!M38="","",'Finalterm OVPAA-F-INS-055A RAW '!M38/'Finalterm OVPAA-F-INS-055A RAW '!M$17*100)</f>
        <v/>
      </c>
      <c r="N38" s="126" t="str">
        <f>IF('Finalterm OVPAA-F-INS-055A RAW '!N38="","",'Finalterm OVPAA-F-INS-055A RAW '!N38/'Finalterm OVPAA-F-INS-055A RAW '!N$17*100)</f>
        <v/>
      </c>
      <c r="O38" s="126" t="str">
        <f>IF('Finalterm OVPAA-F-INS-055A RAW '!O38="","",'Finalterm OVPAA-F-INS-055A RAW '!O38/'Finalterm OVPAA-F-INS-055A RAW '!O$17*100)</f>
        <v/>
      </c>
      <c r="P38" s="126" t="str">
        <f>IF('Finalterm OVPAA-F-INS-055A RAW '!P38="","",'Finalterm OVPAA-F-INS-055A RAW '!P38/'Finalterm OVPAA-F-INS-055A RAW '!P$17*100)</f>
        <v/>
      </c>
      <c r="Q38" s="126" t="str">
        <f>IF('Finalterm OVPAA-F-INS-055A RAW '!Q38="","",'Finalterm OVPAA-F-INS-055A RAW '!Q38/'Finalterm OVPAA-F-INS-055A RAW '!Q$17*100)</f>
        <v/>
      </c>
      <c r="R38" s="126" t="str">
        <f>IF('Finalterm OVPAA-F-INS-055A RAW '!R38="","",'Finalterm OVPAA-F-INS-055A RAW '!R38/'Finalterm OVPAA-F-INS-055A RAW '!R$17*100)</f>
        <v/>
      </c>
      <c r="S38" s="126" t="str">
        <f>IF('Finalterm OVPAA-F-INS-055A RAW '!S38="","",'Finalterm OVPAA-F-INS-055A RAW '!S38/'Finalterm OVPAA-F-INS-055A RAW '!S$17*100)</f>
        <v/>
      </c>
      <c r="T38" s="126" t="str">
        <f>IF('Finalterm OVPAA-F-INS-055A RAW '!T38="","",'Finalterm OVPAA-F-INS-055A RAW '!T38/'Finalterm OVPAA-F-INS-055A RAW '!T$17*100)</f>
        <v/>
      </c>
      <c r="U38" s="126" t="str">
        <f>IF('Finalterm OVPAA-F-INS-055A RAW '!U38="","",'Finalterm OVPAA-F-INS-055A RAW '!U38/'Finalterm OVPAA-F-INS-055A RAW '!U$17*100)</f>
        <v/>
      </c>
      <c r="V38" s="126" t="str">
        <f>IF('Finalterm OVPAA-F-INS-055A RAW '!V38="","",'Finalterm OVPAA-F-INS-055A RAW '!V38/'Finalterm OVPAA-F-INS-055A RAW '!V$17*100)</f>
        <v/>
      </c>
      <c r="W38" s="126" t="str">
        <f>IF('Finalterm OVPAA-F-INS-055A RAW '!W38="","",'Finalterm OVPAA-F-INS-055A RAW '!W38/'Finalterm OVPAA-F-INS-055A RAW '!W$17*100)</f>
        <v/>
      </c>
      <c r="X38" s="126" t="str">
        <f>IF('Finalterm OVPAA-F-INS-055A RAW '!X38="","",'Finalterm OVPAA-F-INS-055A RAW '!X38/'Finalterm OVPAA-F-INS-055A RAW '!X$17*100)</f>
        <v/>
      </c>
      <c r="Y38" s="126" t="str">
        <f>IF('Finalterm OVPAA-F-INS-055A RAW '!Y38="","",'Finalterm OVPAA-F-INS-055A RAW '!Y38/'Finalterm OVPAA-F-INS-055A RAW '!Y$17*100)</f>
        <v/>
      </c>
      <c r="Z38" s="126" t="str">
        <f>IF('Finalterm OVPAA-F-INS-055A RAW '!Z38="","",'Finalterm OVPAA-F-INS-055A RAW '!Z38/'Finalterm OVPAA-F-INS-055A RAW '!Z$17*100)</f>
        <v/>
      </c>
      <c r="AA38" s="126" t="str">
        <f>IF('Finalterm OVPAA-F-INS-055A RAW '!AA38="","",'Finalterm OVPAA-F-INS-055A RAW '!AA38/'Finalterm OVPAA-F-INS-055A RAW '!AA$17*100)</f>
        <v/>
      </c>
      <c r="AB38" s="126" t="str">
        <f>IF('Finalterm OVPAA-F-INS-055A RAW '!AB38="","",'Finalterm OVPAA-F-INS-055A RAW '!AB38/'Finalterm OVPAA-F-INS-055A RAW '!AB$17*100)</f>
        <v/>
      </c>
      <c r="AC38" s="126" t="str">
        <f>IF('Finalterm OVPAA-F-INS-055A RAW '!AC38="","",'Finalterm OVPAA-F-INS-055A RAW '!AC38/'Finalterm OVPAA-F-INS-055A RAW '!AC$17*100)</f>
        <v/>
      </c>
      <c r="AD38" s="126" t="str">
        <f>IF('Finalterm OVPAA-F-INS-055A RAW '!AD38="","",'Finalterm OVPAA-F-INS-055A RAW '!AD38/'Finalterm OVPAA-F-INS-055A RAW '!AD$17*100)</f>
        <v/>
      </c>
      <c r="AE38" s="126" t="str">
        <f>IF('Finalterm OVPAA-F-INS-055A RAW '!AE38="","",'Finalterm OVPAA-F-INS-055A RAW '!AE38/'Finalterm OVPAA-F-INS-055A RAW '!AE$17*100)</f>
        <v/>
      </c>
      <c r="AF38" s="126" t="str">
        <f>IF('Finalterm OVPAA-F-INS-055A RAW '!AF38="","",'Finalterm OVPAA-F-INS-055A RAW '!AF38/'Finalterm OVPAA-F-INS-055A RAW '!AF$17*100)</f>
        <v/>
      </c>
      <c r="AG38" s="126" t="str">
        <f>IF('Finalterm OVPAA-F-INS-055A RAW '!AG38="","",'Finalterm OVPAA-F-INS-055A RAW '!AG38/'Finalterm OVPAA-F-INS-055A RAW '!AG$17*100)</f>
        <v/>
      </c>
      <c r="AH38" s="126" t="str">
        <f>IF('Finalterm OVPAA-F-INS-055A RAW '!AH38="","",'Finalterm OVPAA-F-INS-055A RAW '!AH38/'Finalterm OVPAA-F-INS-055A RAW '!AH$17*100)</f>
        <v/>
      </c>
      <c r="AI38" s="126" t="str">
        <f>IF('Finalterm OVPAA-F-INS-055A RAW '!AI38="","",'Finalterm OVPAA-F-INS-055A RAW '!AI38/'Finalterm OVPAA-F-INS-055A RAW '!AI$17*100)</f>
        <v/>
      </c>
      <c r="AJ38" s="126" t="str">
        <f>IF('Finalterm OVPAA-F-INS-055A RAW '!AJ38="","",'Finalterm OVPAA-F-INS-055A RAW '!AJ38/'Finalterm OVPAA-F-INS-055A RAW '!AJ$17*100)</f>
        <v/>
      </c>
      <c r="AK38" s="126" t="str">
        <f>IF('Finalterm OVPAA-F-INS-055A RAW '!AK38="","",'Finalterm OVPAA-F-INS-055A RAW '!AK38/'Finalterm OVPAA-F-INS-055A RAW '!AK$17*100)</f>
        <v/>
      </c>
      <c r="AL38" s="126" t="str">
        <f>IF('Finalterm OVPAA-F-INS-055A RAW '!AL38="","",'Finalterm OVPAA-F-INS-055A RAW '!AL38/'Finalterm OVPAA-F-INS-055A RAW '!AL$17*100)</f>
        <v/>
      </c>
      <c r="AM38" s="126" t="str">
        <f>IF('Finalterm OVPAA-F-INS-055A RAW '!AM38="","",'Finalterm OVPAA-F-INS-055A RAW '!AM38/'Finalterm OVPAA-F-INS-055A RAW '!AM$17*100)</f>
        <v/>
      </c>
      <c r="AN38" s="126" t="str">
        <f>IF('Finalterm OVPAA-F-INS-055A RAW '!AN38="","",'Finalterm OVPAA-F-INS-055A RAW '!AN38/'Finalterm OVPAA-F-INS-055A RAW '!AN$17*100)</f>
        <v/>
      </c>
      <c r="AO38" s="126" t="str">
        <f>IF('Finalterm OVPAA-F-INS-055A RAW '!AO38="","",'Finalterm OVPAA-F-INS-055A RAW '!AO38/'Finalterm OVPAA-F-INS-055A RAW '!AO$17*100)</f>
        <v/>
      </c>
      <c r="AP38" s="126" t="str">
        <f>IF('Finalterm OVPAA-F-INS-055A RAW '!AP38="","",'Finalterm OVPAA-F-INS-055A RAW '!AP38/'Finalterm OVPAA-F-INS-055A RAW '!AP$17*100)</f>
        <v/>
      </c>
      <c r="AQ38" s="126" t="str">
        <f>IF('Finalterm OVPAA-F-INS-055A RAW '!AQ38="","",'Finalterm OVPAA-F-INS-055A RAW '!AQ38/'Finalterm OVPAA-F-INS-055A RAW '!AQ$17*100)</f>
        <v/>
      </c>
      <c r="AR38" s="126" t="str">
        <f>IF('Finalterm OVPAA-F-INS-055A RAW '!AR38="","",'Finalterm OVPAA-F-INS-055A RAW '!AR38/'Finalterm OVPAA-F-INS-055A RAW '!AR$17*100)</f>
        <v/>
      </c>
      <c r="AS38" s="126" t="str">
        <f>IF('Finalterm OVPAA-F-INS-055A RAW '!AS38="","",'Finalterm OVPAA-F-INS-055A RAW '!AS38/'Finalterm OVPAA-F-INS-055A RAW '!AS$17*100)</f>
        <v/>
      </c>
      <c r="AT38" s="126" t="str">
        <f>IF('Finalterm OVPAA-F-INS-055A RAW '!AT38="","",'Finalterm OVPAA-F-INS-055A RAW '!AT38/'Finalterm OVPAA-F-INS-055A RAW '!AT$17*100)</f>
        <v/>
      </c>
      <c r="AU38" s="126" t="str">
        <f>IF('Finalterm OVPAA-F-INS-055A RAW '!AU38="","",'Finalterm OVPAA-F-INS-055A RAW '!AU38/'Finalterm OVPAA-F-INS-055A RAW '!AU$17*100)</f>
        <v/>
      </c>
      <c r="AV38" s="126" t="str">
        <f>IF('Finalterm OVPAA-F-INS-055A RAW '!AV38="","",'Finalterm OVPAA-F-INS-055A RAW '!AV38/'Finalterm OVPAA-F-INS-055A RAW '!AV$17*100)</f>
        <v/>
      </c>
      <c r="AW38" s="126" t="str">
        <f>IF('Finalterm OVPAA-F-INS-055A RAW '!AW38="","",'Finalterm OVPAA-F-INS-055A RAW '!AW38/'Finalterm OVPAA-F-INS-055A RAW '!AW$17*100)</f>
        <v/>
      </c>
      <c r="AX38" s="126" t="str">
        <f>IF('Finalterm OVPAA-F-INS-055A RAW '!AX38="","",'Finalterm OVPAA-F-INS-055A RAW '!AX38/'Finalterm OVPAA-F-INS-055A RAW '!AX$17*100)</f>
        <v/>
      </c>
      <c r="AY38" s="126" t="str">
        <f>IF('Finalterm OVPAA-F-INS-055A RAW '!AY38="","",'Finalterm OVPAA-F-INS-055A RAW '!AY38/'Finalterm OVPAA-F-INS-055A RAW '!AY$17*100)</f>
        <v/>
      </c>
      <c r="AZ38" s="126" t="str">
        <f>IF('Finalterm OVPAA-F-INS-055A RAW '!AZ38="","",'Finalterm OVPAA-F-INS-055A RAW '!AZ38/'Finalterm OVPAA-F-INS-055A RAW '!AZ$17*100)</f>
        <v/>
      </c>
      <c r="BA38" s="126" t="str">
        <f>IF('Finalterm OVPAA-F-INS-055A RAW '!BA38="","",'Finalterm OVPAA-F-INS-055A RAW '!BA38/'Finalterm OVPAA-F-INS-055A RAW '!BA$17*100)</f>
        <v/>
      </c>
      <c r="BB38" s="126" t="str">
        <f>IF('Finalterm OVPAA-F-INS-055A RAW '!BB38="","",'Finalterm OVPAA-F-INS-055A RAW '!BB38/'Finalterm OVPAA-F-INS-055A RAW '!BB$17*100)</f>
        <v/>
      </c>
      <c r="BC38" s="126" t="str">
        <f>IF('Finalterm OVPAA-F-INS-055A RAW '!BC38="","",'Finalterm OVPAA-F-INS-055A RAW '!BC38/'Finalterm OVPAA-F-INS-055A RAW '!BC$17*100)</f>
        <v/>
      </c>
      <c r="BD38" s="126" t="str">
        <f>IF('Finalterm OVPAA-F-INS-055A RAW '!BD38="","",'Finalterm OVPAA-F-INS-055A RAW '!BD38/'Finalterm OVPAA-F-INS-055A RAW '!BD$17*100)</f>
        <v/>
      </c>
      <c r="BE38" s="126" t="str">
        <f>IF('Finalterm OVPAA-F-INS-055A RAW '!BE38="","",'Finalterm OVPAA-F-INS-055A RAW '!BE38/'Finalterm OVPAA-F-INS-055A RAW '!BE$17*100)</f>
        <v/>
      </c>
      <c r="BF38" s="126" t="str">
        <f>IF('Finalterm OVPAA-F-INS-055A RAW '!BF38="","",'Finalterm OVPAA-F-INS-055A RAW '!BF38/'Finalterm OVPAA-F-INS-055A RAW '!BF$17*100)</f>
        <v/>
      </c>
      <c r="BG38" s="126" t="str">
        <f>IF('Finalterm OVPAA-F-INS-055A RAW '!BG38="","",'Finalterm OVPAA-F-INS-055A RAW '!BG38/'Finalterm OVPAA-F-INS-055A RAW '!BG$17*100)</f>
        <v/>
      </c>
      <c r="BH38" s="126" t="str">
        <f>IF('Finalterm OVPAA-F-INS-055A RAW '!BH38="","",'Finalterm OVPAA-F-INS-055A RAW '!BH38/'Finalterm OVPAA-F-INS-055A RAW '!BH$17*100)</f>
        <v/>
      </c>
      <c r="BI38" s="126" t="str">
        <f>IF('Finalterm OVPAA-F-INS-055A RAW '!BI38="","",'Finalterm OVPAA-F-INS-055A RAW '!BI38/'Finalterm OVPAA-F-INS-055A RAW '!BI$17*100)</f>
        <v/>
      </c>
      <c r="BJ38" s="126" t="str">
        <f>IF('Finalterm OVPAA-F-INS-055A RAW '!BJ38="","",'Finalterm OVPAA-F-INS-055A RAW '!BJ38/'Finalterm OVPAA-F-INS-055A RAW '!BJ$17*100)</f>
        <v/>
      </c>
      <c r="BK38" s="126" t="str">
        <f>IF('Finalterm OVPAA-F-INS-055A RAW '!BK38="","",'Finalterm OVPAA-F-INS-055A RAW '!BK38/'Finalterm OVPAA-F-INS-055A RAW '!BK$17*100)</f>
        <v/>
      </c>
      <c r="BL38" s="126" t="str">
        <f>IF('Finalterm OVPAA-F-INS-055A RAW '!BL38="","",'Finalterm OVPAA-F-INS-055A RAW '!BL38/'Finalterm OVPAA-F-INS-055A RAW '!BL$17*100)</f>
        <v/>
      </c>
      <c r="BM38" s="126" t="str">
        <f>IF('Finalterm OVPAA-F-INS-055A RAW '!BM38="","",'Finalterm OVPAA-F-INS-055A RAW '!BM38/'Finalterm OVPAA-F-INS-055A RAW '!BM$17*100)</f>
        <v/>
      </c>
      <c r="BN38" s="126" t="str">
        <f>IF('Finalterm OVPAA-F-INS-055A RAW '!BN38="","",'Finalterm OVPAA-F-INS-055A RAW '!BN38/'Finalterm OVPAA-F-INS-055A RAW '!BN$17*100)</f>
        <v/>
      </c>
      <c r="BO38" s="126" t="str">
        <f>IF('Finalterm OVPAA-F-INS-055A RAW '!BO38="","",'Finalterm OVPAA-F-INS-055A RAW '!BO38/'Finalterm OVPAA-F-INS-055A RAW '!BO$17*100)</f>
        <v/>
      </c>
      <c r="BP38" s="126" t="str">
        <f>IF('Finalterm OVPAA-F-INS-055A RAW '!BP38="","",'Finalterm OVPAA-F-INS-055A RAW '!BP38/'Finalterm OVPAA-F-INS-055A RAW '!BP$17*100)</f>
        <v/>
      </c>
      <c r="BQ38" s="126" t="str">
        <f>IF('Finalterm OVPAA-F-INS-055A RAW '!BQ38="","",'Finalterm OVPAA-F-INS-055A RAW '!BQ38/'Finalterm OVPAA-F-INS-055A RAW '!BQ$17*100)</f>
        <v/>
      </c>
      <c r="BR38" s="126" t="str">
        <f>IF('Finalterm OVPAA-F-INS-055A RAW '!BR38="","",'Finalterm OVPAA-F-INS-055A RAW '!BR38/'Finalterm OVPAA-F-INS-055A RAW '!BR$17*100)</f>
        <v/>
      </c>
      <c r="BS38" s="126" t="str">
        <f>IF('Finalterm OVPAA-F-INS-055A RAW '!BS38="","",'Finalterm OVPAA-F-INS-055A RAW '!BS38/'Finalterm OVPAA-F-INS-055A RAW '!BS$17*100)</f>
        <v/>
      </c>
      <c r="BT38" s="126" t="str">
        <f>IF('Finalterm OVPAA-F-INS-055A RAW '!BT38="","",'Finalterm OVPAA-F-INS-055A RAW '!BT38/'Finalterm OVPAA-F-INS-055A RAW '!BT$17*100)</f>
        <v/>
      </c>
      <c r="BU38" s="127">
        <f t="array" ref="BU38">IF('Finalterm OVPAA-F-INS-055A RAW '!$G38="","",IF((SUMPRODUCT(--ISBLANK('Finalterm OVPAA-F-INS-055A RAW '!H38:BT38))=COLUMNS('Finalterm OVPAA-F-INS-055A RAW '!H38:BT38))=TRUE,"",(((COUNTA('Finalterm OVPAA-F-INS-055A RAW '!$H$17:$BT$17)+COUNTBLANK('Finalterm OVPAA-F-INS-055A RAW '!H38:BT38))-COLUMNS('Finalterm OVPAA-F-INS-055A RAW '!H38:BT38))*5+SUM(H38:BT38))/COUNTA('Finalterm OVPAA-F-INS-055A RAW '!$H$17:$BT$17)))</f>
        <v>92</v>
      </c>
      <c r="BV38" s="165">
        <f>IF(BU38="","",VLOOKUP(BU38,IF('Midterm OVPAA-F-INS-055A RAW SC'!$V$12=0.5,TRANSMUTATION!$C$4:$D$17,TRANSMUTATION!$G$4:$H$17),2,TRUE))</f>
        <v>1.25</v>
      </c>
      <c r="BW38" s="129">
        <f>IF('Finalterm OVPAA-F-INS-055A RAW '!BU38="","",'Finalterm OVPAA-F-INS-055A RAW '!BU38/'Finalterm OVPAA-F-INS-055A RAW '!BU$17*100)</f>
        <v>87</v>
      </c>
      <c r="BX38" s="130">
        <f>IF('Finalterm OVPAA-F-INS-055A RAW '!BV38="","",'Finalterm OVPAA-F-INS-055A RAW '!BV38/'Finalterm OVPAA-F-INS-055A RAW '!BV$17*100)</f>
        <v>70</v>
      </c>
      <c r="BY38" s="130">
        <f>IF('Finalterm OVPAA-F-INS-055A RAW '!BW38="","",'Finalterm OVPAA-F-INS-055A RAW '!BW38/'Finalterm OVPAA-F-INS-055A RAW '!BW$17*100)</f>
        <v>100</v>
      </c>
      <c r="BZ38" s="130" t="str">
        <f>IF('Finalterm OVPAA-F-INS-055A RAW '!BX38="","",'Finalterm OVPAA-F-INS-055A RAW '!BX38/'Finalterm OVPAA-F-INS-055A RAW '!BX$17*100)</f>
        <v/>
      </c>
      <c r="CA38" s="130" t="str">
        <f>IF('Finalterm OVPAA-F-INS-055A RAW '!BY38="","",'Finalterm OVPAA-F-INS-055A RAW '!BY38/'Finalterm OVPAA-F-INS-055A RAW '!BY$17*100)</f>
        <v/>
      </c>
      <c r="CB38" s="130" t="str">
        <f>IF('Finalterm OVPAA-F-INS-055A RAW '!BZ38="","",'Finalterm OVPAA-F-INS-055A RAW '!BZ38/'Finalterm OVPAA-F-INS-055A RAW '!BZ$17*100)</f>
        <v/>
      </c>
      <c r="CC38" s="130" t="str">
        <f>IF('Finalterm OVPAA-F-INS-055A RAW '!CA38="","",'Finalterm OVPAA-F-INS-055A RAW '!CA38/'Finalterm OVPAA-F-INS-055A RAW '!CA$17*100)</f>
        <v/>
      </c>
      <c r="CD38" s="130" t="str">
        <f>IF('Finalterm OVPAA-F-INS-055A RAW '!CB38="","",'Finalterm OVPAA-F-INS-055A RAW '!CB38/'Finalterm OVPAA-F-INS-055A RAW '!CB$17*100)</f>
        <v/>
      </c>
      <c r="CE38" s="130" t="str">
        <f>IF('Finalterm OVPAA-F-INS-055A RAW '!CC38="","",'Finalterm OVPAA-F-INS-055A RAW '!CC38/'Finalterm OVPAA-F-INS-055A RAW '!CC$17*100)</f>
        <v/>
      </c>
      <c r="CF38" s="130" t="str">
        <f>IF('Finalterm OVPAA-F-INS-055A RAW '!CD38="","",'Finalterm OVPAA-F-INS-055A RAW '!CD38/'Finalterm OVPAA-F-INS-055A RAW '!CD$17*100)</f>
        <v/>
      </c>
      <c r="CG38" s="130" t="str">
        <f>IF('Finalterm OVPAA-F-INS-055A RAW '!CE38="","",'Finalterm OVPAA-F-INS-055A RAW '!CE38/'Finalterm OVPAA-F-INS-055A RAW '!CE$17*100)</f>
        <v/>
      </c>
      <c r="CH38" s="130" t="str">
        <f>IF('Finalterm OVPAA-F-INS-055A RAW '!CF38="","",'Finalterm OVPAA-F-INS-055A RAW '!CF38/'Finalterm OVPAA-F-INS-055A RAW '!CF$17*100)</f>
        <v/>
      </c>
      <c r="CI38" s="130" t="str">
        <f>IF('Finalterm OVPAA-F-INS-055A RAW '!CG38="","",'Finalterm OVPAA-F-INS-055A RAW '!CG38/'Finalterm OVPAA-F-INS-055A RAW '!CG$17*100)</f>
        <v/>
      </c>
      <c r="CJ38" s="130" t="str">
        <f>IF('Finalterm OVPAA-F-INS-055A RAW '!CH38="","",'Finalterm OVPAA-F-INS-055A RAW '!CH38/'Finalterm OVPAA-F-INS-055A RAW '!CH$17*100)</f>
        <v/>
      </c>
      <c r="CK38" s="130" t="str">
        <f>IF('Finalterm OVPAA-F-INS-055A RAW '!CI38="","",'Finalterm OVPAA-F-INS-055A RAW '!CI38/'Finalterm OVPAA-F-INS-055A RAW '!CI$17*100)</f>
        <v/>
      </c>
      <c r="CL38" s="130" t="str">
        <f>IF('Finalterm OVPAA-F-INS-055A RAW '!CJ38="","",'Finalterm OVPAA-F-INS-055A RAW '!CJ38/'Finalterm OVPAA-F-INS-055A RAW '!CJ$17*100)</f>
        <v/>
      </c>
      <c r="CM38" s="130" t="str">
        <f>IF('Finalterm OVPAA-F-INS-055A RAW '!CK38="","",'Finalterm OVPAA-F-INS-055A RAW '!CK38/'Finalterm OVPAA-F-INS-055A RAW '!CK$17*100)</f>
        <v/>
      </c>
      <c r="CN38" s="130" t="str">
        <f>IF('Finalterm OVPAA-F-INS-055A RAW '!CL38="","",'Finalterm OVPAA-F-INS-055A RAW '!CL38/'Finalterm OVPAA-F-INS-055A RAW '!CL$17*100)</f>
        <v/>
      </c>
      <c r="CO38" s="130" t="str">
        <f>IF('Finalterm OVPAA-F-INS-055A RAW '!CM38="","",'Finalterm OVPAA-F-INS-055A RAW '!CM38/'Finalterm OVPAA-F-INS-055A RAW '!CM$17*100)</f>
        <v/>
      </c>
      <c r="CP38" s="130" t="str">
        <f>IF('Finalterm OVPAA-F-INS-055A RAW '!CN38="","",'Finalterm OVPAA-F-INS-055A RAW '!CN38/'Finalterm OVPAA-F-INS-055A RAW '!CN$17*100)</f>
        <v/>
      </c>
      <c r="CQ38" s="131">
        <f t="array" ref="CQ38">IF('Midterm OVPAA-F-INS-055A RAW SC'!G38="","",IF((SUMPRODUCT(--ISBLANK('Finalterm OVPAA-F-INS-055A RAW '!BU38:CN38))=COLUMNS('Finalterm OVPAA-F-INS-055A RAW '!BU38:CN38))=TRUE,"",(((COUNTA('Finalterm OVPAA-F-INS-055A RAW '!$BU$17:$CN$17)+COUNTBLANK('Finalterm OVPAA-F-INS-055A RAW '!BU38:CN38))-COLUMNS('Finalterm OVPAA-F-INS-055A RAW '!BU38:CN38))*5+SUM(BW38:CP38))/COUNTA('Finalterm OVPAA-F-INS-055A RAW '!$BU$17:$CN$17)))</f>
        <v>85.666666666666671</v>
      </c>
      <c r="CR38" s="132">
        <f>IF(CQ38="","",VLOOKUP(CQ38,IF('Midterm OVPAA-F-INS-055A RAW SC'!$V$12=0.5,TRANSMUTATION!$C$4:$D$17,TRANSMUTATION!$G$4:$H$17),2,TRUE))</f>
        <v>1.75</v>
      </c>
      <c r="CS38" s="133">
        <f>IF('Finalterm OVPAA-F-INS-055A RAW '!CO38="","",'Finalterm OVPAA-F-INS-055A RAW '!CO38/'Finalterm OVPAA-F-INS-055A RAW '!CO$17*100)</f>
        <v>80</v>
      </c>
      <c r="CT38" s="133">
        <f>IF('Finalterm OVPAA-F-INS-055A RAW '!CP38="","",'Finalterm OVPAA-F-INS-055A RAW '!CP38/'Finalterm OVPAA-F-INS-055A RAW '!CP$17*100)</f>
        <v>80.25</v>
      </c>
      <c r="CU38" s="133" t="str">
        <f>IF('Finalterm OVPAA-F-INS-055A RAW '!CQ38="","",'Finalterm OVPAA-F-INS-055A RAW '!CQ38/'Finalterm OVPAA-F-INS-055A RAW '!CQ$17*100)</f>
        <v/>
      </c>
      <c r="CV38" s="133" t="str">
        <f>IF('Finalterm OVPAA-F-INS-055A RAW '!CR38="","",'Finalterm OVPAA-F-INS-055A RAW '!CR38/'Finalterm OVPAA-F-INS-055A RAW '!CR$17*100)</f>
        <v/>
      </c>
      <c r="CW38" s="133" t="str">
        <f>IF('Finalterm OVPAA-F-INS-055A RAW '!CS38="","",'Finalterm OVPAA-F-INS-055A RAW '!CS38/'Finalterm OVPAA-F-INS-055A RAW '!CS$17*100)</f>
        <v/>
      </c>
      <c r="CX38" s="133" t="str">
        <f>IF('Finalterm OVPAA-F-INS-055A RAW '!CT38="","",'Finalterm OVPAA-F-INS-055A RAW '!CT38/'Finalterm OVPAA-F-INS-055A RAW '!CT$17*100)</f>
        <v/>
      </c>
      <c r="CY38" s="133" t="str">
        <f>IF('Finalterm OVPAA-F-INS-055A RAW '!CU38="","",'Finalterm OVPAA-F-INS-055A RAW '!CU38/'Finalterm OVPAA-F-INS-055A RAW '!CU$17*100)</f>
        <v/>
      </c>
      <c r="CZ38" s="133" t="str">
        <f>IF('Finalterm OVPAA-F-INS-055A RAW '!CV38="","",'Finalterm OVPAA-F-INS-055A RAW '!CV38/'Finalterm OVPAA-F-INS-055A RAW '!CV$17*100)</f>
        <v/>
      </c>
      <c r="DA38" s="133" t="str">
        <f>IF('Finalterm OVPAA-F-INS-055A RAW '!CW38="","",'Finalterm OVPAA-F-INS-055A RAW '!CW38/'Finalterm OVPAA-F-INS-055A RAW '!CW$17*100)</f>
        <v/>
      </c>
      <c r="DB38" s="133" t="str">
        <f>IF('Finalterm OVPAA-F-INS-055A RAW '!CX38="","",'Finalterm OVPAA-F-INS-055A RAW '!CX38/'Finalterm OVPAA-F-INS-055A RAW '!CX$17*100)</f>
        <v/>
      </c>
      <c r="DC38" s="134">
        <f t="array" ref="DC38">IF('Midterm OVPAA-F-INS-055A RAW SC'!$G38="","",IF((SUMPRODUCT(--ISBLANK('Finalterm OVPAA-F-INS-055A RAW '!CO38:CX38))=COLUMNS('Finalterm OVPAA-F-INS-055A RAW '!CO38:CX38))=TRUE,"",(((COUNTA('Finalterm OVPAA-F-INS-055A RAW '!$CO$17:$CX$17)+COUNTBLANK('Finalterm OVPAA-F-INS-055A RAW '!CO38:CX38))-COLUMNS('Finalterm OVPAA-F-INS-055A RAW '!CO38:CX38))*5+SUM(CS38:DB38))/COUNTA('Finalterm OVPAA-F-INS-055A RAW '!$CO$17:$CX$17)))</f>
        <v>80.125</v>
      </c>
      <c r="DD38" s="135">
        <f>IF(DC38="","",VLOOKUP(DC38,IF('Midterm OVPAA-F-INS-055A RAW SC'!$V$12=0.5,TRANSMUTATION!$C$4:$D$17,TRANSMUTATION!$G$4:$H$17),2,TRUE))</f>
        <v>1.75</v>
      </c>
      <c r="DE38" s="136">
        <f t="shared" si="1"/>
        <v>0.375</v>
      </c>
      <c r="DF38" s="166">
        <f t="shared" si="2"/>
        <v>0.52500000000000002</v>
      </c>
      <c r="DG38" s="167">
        <f t="shared" si="3"/>
        <v>0.70000000000000007</v>
      </c>
      <c r="DH38" s="168">
        <f t="shared" si="4"/>
        <v>1.6</v>
      </c>
      <c r="DI38" s="169" t="str">
        <f t="shared" si="5"/>
        <v>1.50</v>
      </c>
    </row>
    <row r="39" spans="5:113" ht="15.75" customHeight="1">
      <c r="E39" s="59">
        <v>22</v>
      </c>
      <c r="F39" s="124">
        <f>IF(NOT(ISBLANK('Midterm OVPAA-F-INS-055A RAW SC'!F39)),'Midterm OVPAA-F-INS-055A RAW SC'!F39,"")</f>
        <v>30</v>
      </c>
      <c r="G39" s="125" t="str">
        <f>IF(NOT(ISBLANK('Midterm OVPAA-F-INS-055A RAW SC'!G39)),'Midterm OVPAA-F-INS-055A RAW SC'!G39,"")</f>
        <v>Tilanduca, Khiara</v>
      </c>
      <c r="H39" s="126">
        <f>IF('Finalterm OVPAA-F-INS-055A RAW '!H39="","",'Finalterm OVPAA-F-INS-055A RAW '!H39/'Finalterm OVPAA-F-INS-055A RAW '!H$17*100)</f>
        <v>100</v>
      </c>
      <c r="I39" s="126">
        <f>IF('Finalterm OVPAA-F-INS-055A RAW '!I39="","",'Finalterm OVPAA-F-INS-055A RAW '!I39/'Finalterm OVPAA-F-INS-055A RAW '!I$17*100)</f>
        <v>100</v>
      </c>
      <c r="J39" s="126">
        <f>IF('Finalterm OVPAA-F-INS-055A RAW '!J39="","",'Finalterm OVPAA-F-INS-055A RAW '!J39/'Finalterm OVPAA-F-INS-055A RAW '!J$17*100)</f>
        <v>60</v>
      </c>
      <c r="K39" s="126">
        <f>IF('Finalterm OVPAA-F-INS-055A RAW '!K39="","",'Finalterm OVPAA-F-INS-055A RAW '!K39/'Finalterm OVPAA-F-INS-055A RAW '!K$17*100)</f>
        <v>100</v>
      </c>
      <c r="L39" s="126">
        <f>IF('Finalterm OVPAA-F-INS-055A RAW '!L39="","",'Finalterm OVPAA-F-INS-055A RAW '!L39/'Finalterm OVPAA-F-INS-055A RAW '!L$17*100)</f>
        <v>100</v>
      </c>
      <c r="M39" s="126" t="str">
        <f>IF('Finalterm OVPAA-F-INS-055A RAW '!M39="","",'Finalterm OVPAA-F-INS-055A RAW '!M39/'Finalterm OVPAA-F-INS-055A RAW '!M$17*100)</f>
        <v/>
      </c>
      <c r="N39" s="126" t="str">
        <f>IF('Finalterm OVPAA-F-INS-055A RAW '!N39="","",'Finalterm OVPAA-F-INS-055A RAW '!N39/'Finalterm OVPAA-F-INS-055A RAW '!N$17*100)</f>
        <v/>
      </c>
      <c r="O39" s="126" t="str">
        <f>IF('Finalterm OVPAA-F-INS-055A RAW '!O39="","",'Finalterm OVPAA-F-INS-055A RAW '!O39/'Finalterm OVPAA-F-INS-055A RAW '!O$17*100)</f>
        <v/>
      </c>
      <c r="P39" s="126" t="str">
        <f>IF('Finalterm OVPAA-F-INS-055A RAW '!P39="","",'Finalterm OVPAA-F-INS-055A RAW '!P39/'Finalterm OVPAA-F-INS-055A RAW '!P$17*100)</f>
        <v/>
      </c>
      <c r="Q39" s="126" t="str">
        <f>IF('Finalterm OVPAA-F-INS-055A RAW '!Q39="","",'Finalterm OVPAA-F-INS-055A RAW '!Q39/'Finalterm OVPAA-F-INS-055A RAW '!Q$17*100)</f>
        <v/>
      </c>
      <c r="R39" s="126" t="str">
        <f>IF('Finalterm OVPAA-F-INS-055A RAW '!R39="","",'Finalterm OVPAA-F-INS-055A RAW '!R39/'Finalterm OVPAA-F-INS-055A RAW '!R$17*100)</f>
        <v/>
      </c>
      <c r="S39" s="126" t="str">
        <f>IF('Finalterm OVPAA-F-INS-055A RAW '!S39="","",'Finalterm OVPAA-F-INS-055A RAW '!S39/'Finalterm OVPAA-F-INS-055A RAW '!S$17*100)</f>
        <v/>
      </c>
      <c r="T39" s="126" t="str">
        <f>IF('Finalterm OVPAA-F-INS-055A RAW '!T39="","",'Finalterm OVPAA-F-INS-055A RAW '!T39/'Finalterm OVPAA-F-INS-055A RAW '!T$17*100)</f>
        <v/>
      </c>
      <c r="U39" s="126" t="str">
        <f>IF('Finalterm OVPAA-F-INS-055A RAW '!U39="","",'Finalterm OVPAA-F-INS-055A RAW '!U39/'Finalterm OVPAA-F-INS-055A RAW '!U$17*100)</f>
        <v/>
      </c>
      <c r="V39" s="126" t="str">
        <f>IF('Finalterm OVPAA-F-INS-055A RAW '!V39="","",'Finalterm OVPAA-F-INS-055A RAW '!V39/'Finalterm OVPAA-F-INS-055A RAW '!V$17*100)</f>
        <v/>
      </c>
      <c r="W39" s="126" t="str">
        <f>IF('Finalterm OVPAA-F-INS-055A RAW '!W39="","",'Finalterm OVPAA-F-INS-055A RAW '!W39/'Finalterm OVPAA-F-INS-055A RAW '!W$17*100)</f>
        <v/>
      </c>
      <c r="X39" s="126" t="str">
        <f>IF('Finalterm OVPAA-F-INS-055A RAW '!X39="","",'Finalterm OVPAA-F-INS-055A RAW '!X39/'Finalterm OVPAA-F-INS-055A RAW '!X$17*100)</f>
        <v/>
      </c>
      <c r="Y39" s="126" t="str">
        <f>IF('Finalterm OVPAA-F-INS-055A RAW '!Y39="","",'Finalterm OVPAA-F-INS-055A RAW '!Y39/'Finalterm OVPAA-F-INS-055A RAW '!Y$17*100)</f>
        <v/>
      </c>
      <c r="Z39" s="126" t="str">
        <f>IF('Finalterm OVPAA-F-INS-055A RAW '!Z39="","",'Finalterm OVPAA-F-INS-055A RAW '!Z39/'Finalterm OVPAA-F-INS-055A RAW '!Z$17*100)</f>
        <v/>
      </c>
      <c r="AA39" s="126" t="str">
        <f>IF('Finalterm OVPAA-F-INS-055A RAW '!AA39="","",'Finalterm OVPAA-F-INS-055A RAW '!AA39/'Finalterm OVPAA-F-INS-055A RAW '!AA$17*100)</f>
        <v/>
      </c>
      <c r="AB39" s="126" t="str">
        <f>IF('Finalterm OVPAA-F-INS-055A RAW '!AB39="","",'Finalterm OVPAA-F-INS-055A RAW '!AB39/'Finalterm OVPAA-F-INS-055A RAW '!AB$17*100)</f>
        <v/>
      </c>
      <c r="AC39" s="126" t="str">
        <f>IF('Finalterm OVPAA-F-INS-055A RAW '!AC39="","",'Finalterm OVPAA-F-INS-055A RAW '!AC39/'Finalterm OVPAA-F-INS-055A RAW '!AC$17*100)</f>
        <v/>
      </c>
      <c r="AD39" s="126" t="str">
        <f>IF('Finalterm OVPAA-F-INS-055A RAW '!AD39="","",'Finalterm OVPAA-F-INS-055A RAW '!AD39/'Finalterm OVPAA-F-INS-055A RAW '!AD$17*100)</f>
        <v/>
      </c>
      <c r="AE39" s="126" t="str">
        <f>IF('Finalterm OVPAA-F-INS-055A RAW '!AE39="","",'Finalterm OVPAA-F-INS-055A RAW '!AE39/'Finalterm OVPAA-F-INS-055A RAW '!AE$17*100)</f>
        <v/>
      </c>
      <c r="AF39" s="126" t="str">
        <f>IF('Finalterm OVPAA-F-INS-055A RAW '!AF39="","",'Finalterm OVPAA-F-INS-055A RAW '!AF39/'Finalterm OVPAA-F-INS-055A RAW '!AF$17*100)</f>
        <v/>
      </c>
      <c r="AG39" s="126" t="str">
        <f>IF('Finalterm OVPAA-F-INS-055A RAW '!AG39="","",'Finalterm OVPAA-F-INS-055A RAW '!AG39/'Finalterm OVPAA-F-INS-055A RAW '!AG$17*100)</f>
        <v/>
      </c>
      <c r="AH39" s="126" t="str">
        <f>IF('Finalterm OVPAA-F-INS-055A RAW '!AH39="","",'Finalterm OVPAA-F-INS-055A RAW '!AH39/'Finalterm OVPAA-F-INS-055A RAW '!AH$17*100)</f>
        <v/>
      </c>
      <c r="AI39" s="126" t="str">
        <f>IF('Finalterm OVPAA-F-INS-055A RAW '!AI39="","",'Finalterm OVPAA-F-INS-055A RAW '!AI39/'Finalterm OVPAA-F-INS-055A RAW '!AI$17*100)</f>
        <v/>
      </c>
      <c r="AJ39" s="126" t="str">
        <f>IF('Finalterm OVPAA-F-INS-055A RAW '!AJ39="","",'Finalterm OVPAA-F-INS-055A RAW '!AJ39/'Finalterm OVPAA-F-INS-055A RAW '!AJ$17*100)</f>
        <v/>
      </c>
      <c r="AK39" s="126" t="str">
        <f>IF('Finalterm OVPAA-F-INS-055A RAW '!AK39="","",'Finalterm OVPAA-F-INS-055A RAW '!AK39/'Finalterm OVPAA-F-INS-055A RAW '!AK$17*100)</f>
        <v/>
      </c>
      <c r="AL39" s="126" t="str">
        <f>IF('Finalterm OVPAA-F-INS-055A RAW '!AL39="","",'Finalterm OVPAA-F-INS-055A RAW '!AL39/'Finalterm OVPAA-F-INS-055A RAW '!AL$17*100)</f>
        <v/>
      </c>
      <c r="AM39" s="126" t="str">
        <f>IF('Finalterm OVPAA-F-INS-055A RAW '!AM39="","",'Finalterm OVPAA-F-INS-055A RAW '!AM39/'Finalterm OVPAA-F-INS-055A RAW '!AM$17*100)</f>
        <v/>
      </c>
      <c r="AN39" s="126" t="str">
        <f>IF('Finalterm OVPAA-F-INS-055A RAW '!AN39="","",'Finalterm OVPAA-F-INS-055A RAW '!AN39/'Finalterm OVPAA-F-INS-055A RAW '!AN$17*100)</f>
        <v/>
      </c>
      <c r="AO39" s="126" t="str">
        <f>IF('Finalterm OVPAA-F-INS-055A RAW '!AO39="","",'Finalterm OVPAA-F-INS-055A RAW '!AO39/'Finalterm OVPAA-F-INS-055A RAW '!AO$17*100)</f>
        <v/>
      </c>
      <c r="AP39" s="126" t="str">
        <f>IF('Finalterm OVPAA-F-INS-055A RAW '!AP39="","",'Finalterm OVPAA-F-INS-055A RAW '!AP39/'Finalterm OVPAA-F-INS-055A RAW '!AP$17*100)</f>
        <v/>
      </c>
      <c r="AQ39" s="126" t="str">
        <f>IF('Finalterm OVPAA-F-INS-055A RAW '!AQ39="","",'Finalterm OVPAA-F-INS-055A RAW '!AQ39/'Finalterm OVPAA-F-INS-055A RAW '!AQ$17*100)</f>
        <v/>
      </c>
      <c r="AR39" s="126" t="str">
        <f>IF('Finalterm OVPAA-F-INS-055A RAW '!AR39="","",'Finalterm OVPAA-F-INS-055A RAW '!AR39/'Finalterm OVPAA-F-INS-055A RAW '!AR$17*100)</f>
        <v/>
      </c>
      <c r="AS39" s="126" t="str">
        <f>IF('Finalterm OVPAA-F-INS-055A RAW '!AS39="","",'Finalterm OVPAA-F-INS-055A RAW '!AS39/'Finalterm OVPAA-F-INS-055A RAW '!AS$17*100)</f>
        <v/>
      </c>
      <c r="AT39" s="126" t="str">
        <f>IF('Finalterm OVPAA-F-INS-055A RAW '!AT39="","",'Finalterm OVPAA-F-INS-055A RAW '!AT39/'Finalterm OVPAA-F-INS-055A RAW '!AT$17*100)</f>
        <v/>
      </c>
      <c r="AU39" s="126" t="str">
        <f>IF('Finalterm OVPAA-F-INS-055A RAW '!AU39="","",'Finalterm OVPAA-F-INS-055A RAW '!AU39/'Finalterm OVPAA-F-INS-055A RAW '!AU$17*100)</f>
        <v/>
      </c>
      <c r="AV39" s="126" t="str">
        <f>IF('Finalterm OVPAA-F-INS-055A RAW '!AV39="","",'Finalterm OVPAA-F-INS-055A RAW '!AV39/'Finalterm OVPAA-F-INS-055A RAW '!AV$17*100)</f>
        <v/>
      </c>
      <c r="AW39" s="126" t="str">
        <f>IF('Finalterm OVPAA-F-INS-055A RAW '!AW39="","",'Finalterm OVPAA-F-INS-055A RAW '!AW39/'Finalterm OVPAA-F-INS-055A RAW '!AW$17*100)</f>
        <v/>
      </c>
      <c r="AX39" s="126" t="str">
        <f>IF('Finalterm OVPAA-F-INS-055A RAW '!AX39="","",'Finalterm OVPAA-F-INS-055A RAW '!AX39/'Finalterm OVPAA-F-INS-055A RAW '!AX$17*100)</f>
        <v/>
      </c>
      <c r="AY39" s="126" t="str">
        <f>IF('Finalterm OVPAA-F-INS-055A RAW '!AY39="","",'Finalterm OVPAA-F-INS-055A RAW '!AY39/'Finalterm OVPAA-F-INS-055A RAW '!AY$17*100)</f>
        <v/>
      </c>
      <c r="AZ39" s="126" t="str">
        <f>IF('Finalterm OVPAA-F-INS-055A RAW '!AZ39="","",'Finalterm OVPAA-F-INS-055A RAW '!AZ39/'Finalterm OVPAA-F-INS-055A RAW '!AZ$17*100)</f>
        <v/>
      </c>
      <c r="BA39" s="126" t="str">
        <f>IF('Finalterm OVPAA-F-INS-055A RAW '!BA39="","",'Finalterm OVPAA-F-INS-055A RAW '!BA39/'Finalterm OVPAA-F-INS-055A RAW '!BA$17*100)</f>
        <v/>
      </c>
      <c r="BB39" s="126" t="str">
        <f>IF('Finalterm OVPAA-F-INS-055A RAW '!BB39="","",'Finalterm OVPAA-F-INS-055A RAW '!BB39/'Finalterm OVPAA-F-INS-055A RAW '!BB$17*100)</f>
        <v/>
      </c>
      <c r="BC39" s="126" t="str">
        <f>IF('Finalterm OVPAA-F-INS-055A RAW '!BC39="","",'Finalterm OVPAA-F-INS-055A RAW '!BC39/'Finalterm OVPAA-F-INS-055A RAW '!BC$17*100)</f>
        <v/>
      </c>
      <c r="BD39" s="126" t="str">
        <f>IF('Finalterm OVPAA-F-INS-055A RAW '!BD39="","",'Finalterm OVPAA-F-INS-055A RAW '!BD39/'Finalterm OVPAA-F-INS-055A RAW '!BD$17*100)</f>
        <v/>
      </c>
      <c r="BE39" s="126" t="str">
        <f>IF('Finalterm OVPAA-F-INS-055A RAW '!BE39="","",'Finalterm OVPAA-F-INS-055A RAW '!BE39/'Finalterm OVPAA-F-INS-055A RAW '!BE$17*100)</f>
        <v/>
      </c>
      <c r="BF39" s="126" t="str">
        <f>IF('Finalterm OVPAA-F-INS-055A RAW '!BF39="","",'Finalterm OVPAA-F-INS-055A RAW '!BF39/'Finalterm OVPAA-F-INS-055A RAW '!BF$17*100)</f>
        <v/>
      </c>
      <c r="BG39" s="126" t="str">
        <f>IF('Finalterm OVPAA-F-INS-055A RAW '!BG39="","",'Finalterm OVPAA-F-INS-055A RAW '!BG39/'Finalterm OVPAA-F-INS-055A RAW '!BG$17*100)</f>
        <v/>
      </c>
      <c r="BH39" s="126" t="str">
        <f>IF('Finalterm OVPAA-F-INS-055A RAW '!BH39="","",'Finalterm OVPAA-F-INS-055A RAW '!BH39/'Finalterm OVPAA-F-INS-055A RAW '!BH$17*100)</f>
        <v/>
      </c>
      <c r="BI39" s="126" t="str">
        <f>IF('Finalterm OVPAA-F-INS-055A RAW '!BI39="","",'Finalterm OVPAA-F-INS-055A RAW '!BI39/'Finalterm OVPAA-F-INS-055A RAW '!BI$17*100)</f>
        <v/>
      </c>
      <c r="BJ39" s="126" t="str">
        <f>IF('Finalterm OVPAA-F-INS-055A RAW '!BJ39="","",'Finalterm OVPAA-F-INS-055A RAW '!BJ39/'Finalterm OVPAA-F-INS-055A RAW '!BJ$17*100)</f>
        <v/>
      </c>
      <c r="BK39" s="126" t="str">
        <f>IF('Finalterm OVPAA-F-INS-055A RAW '!BK39="","",'Finalterm OVPAA-F-INS-055A RAW '!BK39/'Finalterm OVPAA-F-INS-055A RAW '!BK$17*100)</f>
        <v/>
      </c>
      <c r="BL39" s="126" t="str">
        <f>IF('Finalterm OVPAA-F-INS-055A RAW '!BL39="","",'Finalterm OVPAA-F-INS-055A RAW '!BL39/'Finalterm OVPAA-F-INS-055A RAW '!BL$17*100)</f>
        <v/>
      </c>
      <c r="BM39" s="126" t="str">
        <f>IF('Finalterm OVPAA-F-INS-055A RAW '!BM39="","",'Finalterm OVPAA-F-INS-055A RAW '!BM39/'Finalterm OVPAA-F-INS-055A RAW '!BM$17*100)</f>
        <v/>
      </c>
      <c r="BN39" s="126" t="str">
        <f>IF('Finalterm OVPAA-F-INS-055A RAW '!BN39="","",'Finalterm OVPAA-F-INS-055A RAW '!BN39/'Finalterm OVPAA-F-INS-055A RAW '!BN$17*100)</f>
        <v/>
      </c>
      <c r="BO39" s="126" t="str">
        <f>IF('Finalterm OVPAA-F-INS-055A RAW '!BO39="","",'Finalterm OVPAA-F-INS-055A RAW '!BO39/'Finalterm OVPAA-F-INS-055A RAW '!BO$17*100)</f>
        <v/>
      </c>
      <c r="BP39" s="126" t="str">
        <f>IF('Finalterm OVPAA-F-INS-055A RAW '!BP39="","",'Finalterm OVPAA-F-INS-055A RAW '!BP39/'Finalterm OVPAA-F-INS-055A RAW '!BP$17*100)</f>
        <v/>
      </c>
      <c r="BQ39" s="126" t="str">
        <f>IF('Finalterm OVPAA-F-INS-055A RAW '!BQ39="","",'Finalterm OVPAA-F-INS-055A RAW '!BQ39/'Finalterm OVPAA-F-INS-055A RAW '!BQ$17*100)</f>
        <v/>
      </c>
      <c r="BR39" s="126" t="str">
        <f>IF('Finalterm OVPAA-F-INS-055A RAW '!BR39="","",'Finalterm OVPAA-F-INS-055A RAW '!BR39/'Finalterm OVPAA-F-INS-055A RAW '!BR$17*100)</f>
        <v/>
      </c>
      <c r="BS39" s="126" t="str">
        <f>IF('Finalterm OVPAA-F-INS-055A RAW '!BS39="","",'Finalterm OVPAA-F-INS-055A RAW '!BS39/'Finalterm OVPAA-F-INS-055A RAW '!BS$17*100)</f>
        <v/>
      </c>
      <c r="BT39" s="126" t="str">
        <f>IF('Finalterm OVPAA-F-INS-055A RAW '!BT39="","",'Finalterm OVPAA-F-INS-055A RAW '!BT39/'Finalterm OVPAA-F-INS-055A RAW '!BT$17*100)</f>
        <v/>
      </c>
      <c r="BU39" s="127">
        <f t="array" ref="BU39">IF('Finalterm OVPAA-F-INS-055A RAW '!$G39="","",IF((SUMPRODUCT(--ISBLANK('Finalterm OVPAA-F-INS-055A RAW '!H39:BT39))=COLUMNS('Finalterm OVPAA-F-INS-055A RAW '!H39:BT39))=TRUE,"",(((COUNTA('Finalterm OVPAA-F-INS-055A RAW '!$H$17:$BT$17)+COUNTBLANK('Finalterm OVPAA-F-INS-055A RAW '!H39:BT39))-COLUMNS('Finalterm OVPAA-F-INS-055A RAW '!H39:BT39))*5+SUM(H39:BT39))/COUNTA('Finalterm OVPAA-F-INS-055A RAW '!$H$17:$BT$17)))</f>
        <v>92</v>
      </c>
      <c r="BV39" s="165">
        <f>IF(BU39="","",VLOOKUP(BU39,IF('Midterm OVPAA-F-INS-055A RAW SC'!$V$12=0.5,TRANSMUTATION!$C$4:$D$17,TRANSMUTATION!$G$4:$H$17),2,TRUE))</f>
        <v>1.25</v>
      </c>
      <c r="BW39" s="129">
        <f>IF('Finalterm OVPAA-F-INS-055A RAW '!BU39="","",'Finalterm OVPAA-F-INS-055A RAW '!BU39/'Finalterm OVPAA-F-INS-055A RAW '!BU$17*100)</f>
        <v>87</v>
      </c>
      <c r="BX39" s="130">
        <f>IF('Finalterm OVPAA-F-INS-055A RAW '!BV39="","",'Finalterm OVPAA-F-INS-055A RAW '!BV39/'Finalterm OVPAA-F-INS-055A RAW '!BV$17*100)</f>
        <v>70</v>
      </c>
      <c r="BY39" s="130">
        <f>IF('Finalterm OVPAA-F-INS-055A RAW '!BW39="","",'Finalterm OVPAA-F-INS-055A RAW '!BW39/'Finalterm OVPAA-F-INS-055A RAW '!BW$17*100)</f>
        <v>100</v>
      </c>
      <c r="BZ39" s="130" t="str">
        <f>IF('Finalterm OVPAA-F-INS-055A RAW '!BX39="","",'Finalterm OVPAA-F-INS-055A RAW '!BX39/'Finalterm OVPAA-F-INS-055A RAW '!BX$17*100)</f>
        <v/>
      </c>
      <c r="CA39" s="130" t="str">
        <f>IF('Finalterm OVPAA-F-INS-055A RAW '!BY39="","",'Finalterm OVPAA-F-INS-055A RAW '!BY39/'Finalterm OVPAA-F-INS-055A RAW '!BY$17*100)</f>
        <v/>
      </c>
      <c r="CB39" s="130" t="str">
        <f>IF('Finalterm OVPAA-F-INS-055A RAW '!BZ39="","",'Finalterm OVPAA-F-INS-055A RAW '!BZ39/'Finalterm OVPAA-F-INS-055A RAW '!BZ$17*100)</f>
        <v/>
      </c>
      <c r="CC39" s="130" t="str">
        <f>IF('Finalterm OVPAA-F-INS-055A RAW '!CA39="","",'Finalterm OVPAA-F-INS-055A RAW '!CA39/'Finalterm OVPAA-F-INS-055A RAW '!CA$17*100)</f>
        <v/>
      </c>
      <c r="CD39" s="130" t="str">
        <f>IF('Finalterm OVPAA-F-INS-055A RAW '!CB39="","",'Finalterm OVPAA-F-INS-055A RAW '!CB39/'Finalterm OVPAA-F-INS-055A RAW '!CB$17*100)</f>
        <v/>
      </c>
      <c r="CE39" s="130" t="str">
        <f>IF('Finalterm OVPAA-F-INS-055A RAW '!CC39="","",'Finalterm OVPAA-F-INS-055A RAW '!CC39/'Finalterm OVPAA-F-INS-055A RAW '!CC$17*100)</f>
        <v/>
      </c>
      <c r="CF39" s="130" t="str">
        <f>IF('Finalterm OVPAA-F-INS-055A RAW '!CD39="","",'Finalterm OVPAA-F-INS-055A RAW '!CD39/'Finalterm OVPAA-F-INS-055A RAW '!CD$17*100)</f>
        <v/>
      </c>
      <c r="CG39" s="130" t="str">
        <f>IF('Finalterm OVPAA-F-INS-055A RAW '!CE39="","",'Finalterm OVPAA-F-INS-055A RAW '!CE39/'Finalterm OVPAA-F-INS-055A RAW '!CE$17*100)</f>
        <v/>
      </c>
      <c r="CH39" s="130" t="str">
        <f>IF('Finalterm OVPAA-F-INS-055A RAW '!CF39="","",'Finalterm OVPAA-F-INS-055A RAW '!CF39/'Finalterm OVPAA-F-INS-055A RAW '!CF$17*100)</f>
        <v/>
      </c>
      <c r="CI39" s="130" t="str">
        <f>IF('Finalterm OVPAA-F-INS-055A RAW '!CG39="","",'Finalterm OVPAA-F-INS-055A RAW '!CG39/'Finalterm OVPAA-F-INS-055A RAW '!CG$17*100)</f>
        <v/>
      </c>
      <c r="CJ39" s="130" t="str">
        <f>IF('Finalterm OVPAA-F-INS-055A RAW '!CH39="","",'Finalterm OVPAA-F-INS-055A RAW '!CH39/'Finalterm OVPAA-F-INS-055A RAW '!CH$17*100)</f>
        <v/>
      </c>
      <c r="CK39" s="130" t="str">
        <f>IF('Finalterm OVPAA-F-INS-055A RAW '!CI39="","",'Finalterm OVPAA-F-INS-055A RAW '!CI39/'Finalterm OVPAA-F-INS-055A RAW '!CI$17*100)</f>
        <v/>
      </c>
      <c r="CL39" s="130" t="str">
        <f>IF('Finalterm OVPAA-F-INS-055A RAW '!CJ39="","",'Finalterm OVPAA-F-INS-055A RAW '!CJ39/'Finalterm OVPAA-F-INS-055A RAW '!CJ$17*100)</f>
        <v/>
      </c>
      <c r="CM39" s="130" t="str">
        <f>IF('Finalterm OVPAA-F-INS-055A RAW '!CK39="","",'Finalterm OVPAA-F-INS-055A RAW '!CK39/'Finalterm OVPAA-F-INS-055A RAW '!CK$17*100)</f>
        <v/>
      </c>
      <c r="CN39" s="130" t="str">
        <f>IF('Finalterm OVPAA-F-INS-055A RAW '!CL39="","",'Finalterm OVPAA-F-INS-055A RAW '!CL39/'Finalterm OVPAA-F-INS-055A RAW '!CL$17*100)</f>
        <v/>
      </c>
      <c r="CO39" s="130" t="str">
        <f>IF('Finalterm OVPAA-F-INS-055A RAW '!CM39="","",'Finalterm OVPAA-F-INS-055A RAW '!CM39/'Finalterm OVPAA-F-INS-055A RAW '!CM$17*100)</f>
        <v/>
      </c>
      <c r="CP39" s="130" t="str">
        <f>IF('Finalterm OVPAA-F-INS-055A RAW '!CN39="","",'Finalterm OVPAA-F-INS-055A RAW '!CN39/'Finalterm OVPAA-F-INS-055A RAW '!CN$17*100)</f>
        <v/>
      </c>
      <c r="CQ39" s="131">
        <f t="array" ref="CQ39">IF('Midterm OVPAA-F-INS-055A RAW SC'!G39="","",IF((SUMPRODUCT(--ISBLANK('Finalterm OVPAA-F-INS-055A RAW '!BU39:CN39))=COLUMNS('Finalterm OVPAA-F-INS-055A RAW '!BU39:CN39))=TRUE,"",(((COUNTA('Finalterm OVPAA-F-INS-055A RAW '!$BU$17:$CN$17)+COUNTBLANK('Finalterm OVPAA-F-INS-055A RAW '!BU39:CN39))-COLUMNS('Finalterm OVPAA-F-INS-055A RAW '!BU39:CN39))*5+SUM(BW39:CP39))/COUNTA('Finalterm OVPAA-F-INS-055A RAW '!$BU$17:$CN$17)))</f>
        <v>85.666666666666671</v>
      </c>
      <c r="CR39" s="132">
        <f>IF(CQ39="","",VLOOKUP(CQ39,IF('Midterm OVPAA-F-INS-055A RAW SC'!$V$12=0.5,TRANSMUTATION!$C$4:$D$17,TRANSMUTATION!$G$4:$H$17),2,TRUE))</f>
        <v>1.75</v>
      </c>
      <c r="CS39" s="133">
        <f>IF('Finalterm OVPAA-F-INS-055A RAW '!CO39="","",'Finalterm OVPAA-F-INS-055A RAW '!CO39/'Finalterm OVPAA-F-INS-055A RAW '!CO$17*100)</f>
        <v>80</v>
      </c>
      <c r="CT39" s="133">
        <f>IF('Finalterm OVPAA-F-INS-055A RAW '!CP39="","",'Finalterm OVPAA-F-INS-055A RAW '!CP39/'Finalterm OVPAA-F-INS-055A RAW '!CP$17*100)</f>
        <v>80.25</v>
      </c>
      <c r="CU39" s="133" t="str">
        <f>IF('Finalterm OVPAA-F-INS-055A RAW '!CQ39="","",'Finalterm OVPAA-F-INS-055A RAW '!CQ39/'Finalterm OVPAA-F-INS-055A RAW '!CQ$17*100)</f>
        <v/>
      </c>
      <c r="CV39" s="133" t="str">
        <f>IF('Finalterm OVPAA-F-INS-055A RAW '!CR39="","",'Finalterm OVPAA-F-INS-055A RAW '!CR39/'Finalterm OVPAA-F-INS-055A RAW '!CR$17*100)</f>
        <v/>
      </c>
      <c r="CW39" s="133" t="str">
        <f>IF('Finalterm OVPAA-F-INS-055A RAW '!CS39="","",'Finalterm OVPAA-F-INS-055A RAW '!CS39/'Finalterm OVPAA-F-INS-055A RAW '!CS$17*100)</f>
        <v/>
      </c>
      <c r="CX39" s="133" t="str">
        <f>IF('Finalterm OVPAA-F-INS-055A RAW '!CT39="","",'Finalterm OVPAA-F-INS-055A RAW '!CT39/'Finalterm OVPAA-F-INS-055A RAW '!CT$17*100)</f>
        <v/>
      </c>
      <c r="CY39" s="133" t="str">
        <f>IF('Finalterm OVPAA-F-INS-055A RAW '!CU39="","",'Finalterm OVPAA-F-INS-055A RAW '!CU39/'Finalterm OVPAA-F-INS-055A RAW '!CU$17*100)</f>
        <v/>
      </c>
      <c r="CZ39" s="133" t="str">
        <f>IF('Finalterm OVPAA-F-INS-055A RAW '!CV39="","",'Finalterm OVPAA-F-INS-055A RAW '!CV39/'Finalterm OVPAA-F-INS-055A RAW '!CV$17*100)</f>
        <v/>
      </c>
      <c r="DA39" s="133" t="str">
        <f>IF('Finalterm OVPAA-F-INS-055A RAW '!CW39="","",'Finalterm OVPAA-F-INS-055A RAW '!CW39/'Finalterm OVPAA-F-INS-055A RAW '!CW$17*100)</f>
        <v/>
      </c>
      <c r="DB39" s="133" t="str">
        <f>IF('Finalterm OVPAA-F-INS-055A RAW '!CX39="","",'Finalterm OVPAA-F-INS-055A RAW '!CX39/'Finalterm OVPAA-F-INS-055A RAW '!CX$17*100)</f>
        <v/>
      </c>
      <c r="DC39" s="134">
        <f t="array" ref="DC39">IF('Midterm OVPAA-F-INS-055A RAW SC'!$G39="","",IF((SUMPRODUCT(--ISBLANK('Finalterm OVPAA-F-INS-055A RAW '!CO39:CX39))=COLUMNS('Finalterm OVPAA-F-INS-055A RAW '!CO39:CX39))=TRUE,"",(((COUNTA('Finalterm OVPAA-F-INS-055A RAW '!$CO$17:$CX$17)+COUNTBLANK('Finalterm OVPAA-F-INS-055A RAW '!CO39:CX39))-COLUMNS('Finalterm OVPAA-F-INS-055A RAW '!CO39:CX39))*5+SUM(CS39:DB39))/COUNTA('Finalterm OVPAA-F-INS-055A RAW '!$CO$17:$CX$17)))</f>
        <v>80.125</v>
      </c>
      <c r="DD39" s="135">
        <f>IF(DC39="","",VLOOKUP(DC39,IF('Midterm OVPAA-F-INS-055A RAW SC'!$V$12=0.5,TRANSMUTATION!$C$4:$D$17,TRANSMUTATION!$G$4:$H$17),2,TRUE))</f>
        <v>1.75</v>
      </c>
      <c r="DE39" s="136">
        <f t="shared" si="1"/>
        <v>0.375</v>
      </c>
      <c r="DF39" s="166">
        <f t="shared" si="2"/>
        <v>0.52500000000000002</v>
      </c>
      <c r="DG39" s="167">
        <f t="shared" si="3"/>
        <v>0.70000000000000007</v>
      </c>
      <c r="DH39" s="168">
        <f t="shared" si="4"/>
        <v>1.6</v>
      </c>
      <c r="DI39" s="169" t="str">
        <f t="shared" si="5"/>
        <v>1.50</v>
      </c>
    </row>
    <row r="40" spans="5:113" ht="15.75" customHeight="1">
      <c r="E40" s="59">
        <v>23</v>
      </c>
      <c r="F40" s="124">
        <f>IF(NOT(ISBLANK('Midterm OVPAA-F-INS-055A RAW SC'!F40)),'Midterm OVPAA-F-INS-055A RAW SC'!F40,"")</f>
        <v>31</v>
      </c>
      <c r="G40" s="125" t="str">
        <f>IF(NOT(ISBLANK('Midterm OVPAA-F-INS-055A RAW SC'!G40)),'Midterm OVPAA-F-INS-055A RAW SC'!G40,"")</f>
        <v>Valdez, John Winchel</v>
      </c>
      <c r="H40" s="126">
        <f>IF('Finalterm OVPAA-F-INS-055A RAW '!H40="","",'Finalterm OVPAA-F-INS-055A RAW '!H40/'Finalterm OVPAA-F-INS-055A RAW '!H$17*100)</f>
        <v>100</v>
      </c>
      <c r="I40" s="126">
        <f>IF('Finalterm OVPAA-F-INS-055A RAW '!I40="","",'Finalterm OVPAA-F-INS-055A RAW '!I40/'Finalterm OVPAA-F-INS-055A RAW '!I$17*100)</f>
        <v>100</v>
      </c>
      <c r="J40" s="126">
        <f>IF('Finalterm OVPAA-F-INS-055A RAW '!J40="","",'Finalterm OVPAA-F-INS-055A RAW '!J40/'Finalterm OVPAA-F-INS-055A RAW '!J$17*100)</f>
        <v>100</v>
      </c>
      <c r="K40" s="126">
        <f>IF('Finalterm OVPAA-F-INS-055A RAW '!K40="","",'Finalterm OVPAA-F-INS-055A RAW '!K40/'Finalterm OVPAA-F-INS-055A RAW '!K$17*100)</f>
        <v>100</v>
      </c>
      <c r="L40" s="126">
        <f>IF('Finalterm OVPAA-F-INS-055A RAW '!L40="","",'Finalterm OVPAA-F-INS-055A RAW '!L40/'Finalterm OVPAA-F-INS-055A RAW '!L$17*100)</f>
        <v>100</v>
      </c>
      <c r="M40" s="126" t="str">
        <f>IF('Finalterm OVPAA-F-INS-055A RAW '!M40="","",'Finalterm OVPAA-F-INS-055A RAW '!M40/'Finalterm OVPAA-F-INS-055A RAW '!M$17*100)</f>
        <v/>
      </c>
      <c r="N40" s="126" t="str">
        <f>IF('Finalterm OVPAA-F-INS-055A RAW '!N40="","",'Finalterm OVPAA-F-INS-055A RAW '!N40/'Finalterm OVPAA-F-INS-055A RAW '!N$17*100)</f>
        <v/>
      </c>
      <c r="O40" s="126" t="str">
        <f>IF('Finalterm OVPAA-F-INS-055A RAW '!O40="","",'Finalterm OVPAA-F-INS-055A RAW '!O40/'Finalterm OVPAA-F-INS-055A RAW '!O$17*100)</f>
        <v/>
      </c>
      <c r="P40" s="126" t="str">
        <f>IF('Finalterm OVPAA-F-INS-055A RAW '!P40="","",'Finalterm OVPAA-F-INS-055A RAW '!P40/'Finalterm OVPAA-F-INS-055A RAW '!P$17*100)</f>
        <v/>
      </c>
      <c r="Q40" s="126" t="str">
        <f>IF('Finalterm OVPAA-F-INS-055A RAW '!Q40="","",'Finalterm OVPAA-F-INS-055A RAW '!Q40/'Finalterm OVPAA-F-INS-055A RAW '!Q$17*100)</f>
        <v/>
      </c>
      <c r="R40" s="126" t="str">
        <f>IF('Finalterm OVPAA-F-INS-055A RAW '!R40="","",'Finalterm OVPAA-F-INS-055A RAW '!R40/'Finalterm OVPAA-F-INS-055A RAW '!R$17*100)</f>
        <v/>
      </c>
      <c r="S40" s="126" t="str">
        <f>IF('Finalterm OVPAA-F-INS-055A RAW '!S40="","",'Finalterm OVPAA-F-INS-055A RAW '!S40/'Finalterm OVPAA-F-INS-055A RAW '!S$17*100)</f>
        <v/>
      </c>
      <c r="T40" s="126" t="str">
        <f>IF('Finalterm OVPAA-F-INS-055A RAW '!T40="","",'Finalterm OVPAA-F-INS-055A RAW '!T40/'Finalterm OVPAA-F-INS-055A RAW '!T$17*100)</f>
        <v/>
      </c>
      <c r="U40" s="126" t="str">
        <f>IF('Finalterm OVPAA-F-INS-055A RAW '!U40="","",'Finalterm OVPAA-F-INS-055A RAW '!U40/'Finalterm OVPAA-F-INS-055A RAW '!U$17*100)</f>
        <v/>
      </c>
      <c r="V40" s="126" t="str">
        <f>IF('Finalterm OVPAA-F-INS-055A RAW '!V40="","",'Finalterm OVPAA-F-INS-055A RAW '!V40/'Finalterm OVPAA-F-INS-055A RAW '!V$17*100)</f>
        <v/>
      </c>
      <c r="W40" s="126" t="str">
        <f>IF('Finalterm OVPAA-F-INS-055A RAW '!W40="","",'Finalterm OVPAA-F-INS-055A RAW '!W40/'Finalterm OVPAA-F-INS-055A RAW '!W$17*100)</f>
        <v/>
      </c>
      <c r="X40" s="126" t="str">
        <f>IF('Finalterm OVPAA-F-INS-055A RAW '!X40="","",'Finalterm OVPAA-F-INS-055A RAW '!X40/'Finalterm OVPAA-F-INS-055A RAW '!X$17*100)</f>
        <v/>
      </c>
      <c r="Y40" s="126" t="str">
        <f>IF('Finalterm OVPAA-F-INS-055A RAW '!Y40="","",'Finalterm OVPAA-F-INS-055A RAW '!Y40/'Finalterm OVPAA-F-INS-055A RAW '!Y$17*100)</f>
        <v/>
      </c>
      <c r="Z40" s="126" t="str">
        <f>IF('Finalterm OVPAA-F-INS-055A RAW '!Z40="","",'Finalterm OVPAA-F-INS-055A RAW '!Z40/'Finalterm OVPAA-F-INS-055A RAW '!Z$17*100)</f>
        <v/>
      </c>
      <c r="AA40" s="126" t="str">
        <f>IF('Finalterm OVPAA-F-INS-055A RAW '!AA40="","",'Finalterm OVPAA-F-INS-055A RAW '!AA40/'Finalterm OVPAA-F-INS-055A RAW '!AA$17*100)</f>
        <v/>
      </c>
      <c r="AB40" s="126" t="str">
        <f>IF('Finalterm OVPAA-F-INS-055A RAW '!AB40="","",'Finalterm OVPAA-F-INS-055A RAW '!AB40/'Finalterm OVPAA-F-INS-055A RAW '!AB$17*100)</f>
        <v/>
      </c>
      <c r="AC40" s="126" t="str">
        <f>IF('Finalterm OVPAA-F-INS-055A RAW '!AC40="","",'Finalterm OVPAA-F-INS-055A RAW '!AC40/'Finalterm OVPAA-F-INS-055A RAW '!AC$17*100)</f>
        <v/>
      </c>
      <c r="AD40" s="126" t="str">
        <f>IF('Finalterm OVPAA-F-INS-055A RAW '!AD40="","",'Finalterm OVPAA-F-INS-055A RAW '!AD40/'Finalterm OVPAA-F-INS-055A RAW '!AD$17*100)</f>
        <v/>
      </c>
      <c r="AE40" s="126" t="str">
        <f>IF('Finalterm OVPAA-F-INS-055A RAW '!AE40="","",'Finalterm OVPAA-F-INS-055A RAW '!AE40/'Finalterm OVPAA-F-INS-055A RAW '!AE$17*100)</f>
        <v/>
      </c>
      <c r="AF40" s="126" t="str">
        <f>IF('Finalterm OVPAA-F-INS-055A RAW '!AF40="","",'Finalterm OVPAA-F-INS-055A RAW '!AF40/'Finalterm OVPAA-F-INS-055A RAW '!AF$17*100)</f>
        <v/>
      </c>
      <c r="AG40" s="126" t="str">
        <f>IF('Finalterm OVPAA-F-INS-055A RAW '!AG40="","",'Finalterm OVPAA-F-INS-055A RAW '!AG40/'Finalterm OVPAA-F-INS-055A RAW '!AG$17*100)</f>
        <v/>
      </c>
      <c r="AH40" s="126" t="str">
        <f>IF('Finalterm OVPAA-F-INS-055A RAW '!AH40="","",'Finalterm OVPAA-F-INS-055A RAW '!AH40/'Finalterm OVPAA-F-INS-055A RAW '!AH$17*100)</f>
        <v/>
      </c>
      <c r="AI40" s="126" t="str">
        <f>IF('Finalterm OVPAA-F-INS-055A RAW '!AI40="","",'Finalterm OVPAA-F-INS-055A RAW '!AI40/'Finalterm OVPAA-F-INS-055A RAW '!AI$17*100)</f>
        <v/>
      </c>
      <c r="AJ40" s="126" t="str">
        <f>IF('Finalterm OVPAA-F-INS-055A RAW '!AJ40="","",'Finalterm OVPAA-F-INS-055A RAW '!AJ40/'Finalterm OVPAA-F-INS-055A RAW '!AJ$17*100)</f>
        <v/>
      </c>
      <c r="AK40" s="126" t="str">
        <f>IF('Finalterm OVPAA-F-INS-055A RAW '!AK40="","",'Finalterm OVPAA-F-INS-055A RAW '!AK40/'Finalterm OVPAA-F-INS-055A RAW '!AK$17*100)</f>
        <v/>
      </c>
      <c r="AL40" s="126" t="str">
        <f>IF('Finalterm OVPAA-F-INS-055A RAW '!AL40="","",'Finalterm OVPAA-F-INS-055A RAW '!AL40/'Finalterm OVPAA-F-INS-055A RAW '!AL$17*100)</f>
        <v/>
      </c>
      <c r="AM40" s="126" t="str">
        <f>IF('Finalterm OVPAA-F-INS-055A RAW '!AM40="","",'Finalterm OVPAA-F-INS-055A RAW '!AM40/'Finalterm OVPAA-F-INS-055A RAW '!AM$17*100)</f>
        <v/>
      </c>
      <c r="AN40" s="126" t="str">
        <f>IF('Finalterm OVPAA-F-INS-055A RAW '!AN40="","",'Finalterm OVPAA-F-INS-055A RAW '!AN40/'Finalterm OVPAA-F-INS-055A RAW '!AN$17*100)</f>
        <v/>
      </c>
      <c r="AO40" s="126" t="str">
        <f>IF('Finalterm OVPAA-F-INS-055A RAW '!AO40="","",'Finalterm OVPAA-F-INS-055A RAW '!AO40/'Finalterm OVPAA-F-INS-055A RAW '!AO$17*100)</f>
        <v/>
      </c>
      <c r="AP40" s="126" t="str">
        <f>IF('Finalterm OVPAA-F-INS-055A RAW '!AP40="","",'Finalterm OVPAA-F-INS-055A RAW '!AP40/'Finalterm OVPAA-F-INS-055A RAW '!AP$17*100)</f>
        <v/>
      </c>
      <c r="AQ40" s="126" t="str">
        <f>IF('Finalterm OVPAA-F-INS-055A RAW '!AQ40="","",'Finalterm OVPAA-F-INS-055A RAW '!AQ40/'Finalterm OVPAA-F-INS-055A RAW '!AQ$17*100)</f>
        <v/>
      </c>
      <c r="AR40" s="126" t="str">
        <f>IF('Finalterm OVPAA-F-INS-055A RAW '!AR40="","",'Finalterm OVPAA-F-INS-055A RAW '!AR40/'Finalterm OVPAA-F-INS-055A RAW '!AR$17*100)</f>
        <v/>
      </c>
      <c r="AS40" s="126" t="str">
        <f>IF('Finalterm OVPAA-F-INS-055A RAW '!AS40="","",'Finalterm OVPAA-F-INS-055A RAW '!AS40/'Finalterm OVPAA-F-INS-055A RAW '!AS$17*100)</f>
        <v/>
      </c>
      <c r="AT40" s="126" t="str">
        <f>IF('Finalterm OVPAA-F-INS-055A RAW '!AT40="","",'Finalterm OVPAA-F-INS-055A RAW '!AT40/'Finalterm OVPAA-F-INS-055A RAW '!AT$17*100)</f>
        <v/>
      </c>
      <c r="AU40" s="126" t="str">
        <f>IF('Finalterm OVPAA-F-INS-055A RAW '!AU40="","",'Finalterm OVPAA-F-INS-055A RAW '!AU40/'Finalterm OVPAA-F-INS-055A RAW '!AU$17*100)</f>
        <v/>
      </c>
      <c r="AV40" s="126" t="str">
        <f>IF('Finalterm OVPAA-F-INS-055A RAW '!AV40="","",'Finalterm OVPAA-F-INS-055A RAW '!AV40/'Finalterm OVPAA-F-INS-055A RAW '!AV$17*100)</f>
        <v/>
      </c>
      <c r="AW40" s="126" t="str">
        <f>IF('Finalterm OVPAA-F-INS-055A RAW '!AW40="","",'Finalterm OVPAA-F-INS-055A RAW '!AW40/'Finalterm OVPAA-F-INS-055A RAW '!AW$17*100)</f>
        <v/>
      </c>
      <c r="AX40" s="126" t="str">
        <f>IF('Finalterm OVPAA-F-INS-055A RAW '!AX40="","",'Finalterm OVPAA-F-INS-055A RAW '!AX40/'Finalterm OVPAA-F-INS-055A RAW '!AX$17*100)</f>
        <v/>
      </c>
      <c r="AY40" s="126" t="str">
        <f>IF('Finalterm OVPAA-F-INS-055A RAW '!AY40="","",'Finalterm OVPAA-F-INS-055A RAW '!AY40/'Finalterm OVPAA-F-INS-055A RAW '!AY$17*100)</f>
        <v/>
      </c>
      <c r="AZ40" s="126" t="str">
        <f>IF('Finalterm OVPAA-F-INS-055A RAW '!AZ40="","",'Finalterm OVPAA-F-INS-055A RAW '!AZ40/'Finalterm OVPAA-F-INS-055A RAW '!AZ$17*100)</f>
        <v/>
      </c>
      <c r="BA40" s="126" t="str">
        <f>IF('Finalterm OVPAA-F-INS-055A RAW '!BA40="","",'Finalterm OVPAA-F-INS-055A RAW '!BA40/'Finalterm OVPAA-F-INS-055A RAW '!BA$17*100)</f>
        <v/>
      </c>
      <c r="BB40" s="126" t="str">
        <f>IF('Finalterm OVPAA-F-INS-055A RAW '!BB40="","",'Finalterm OVPAA-F-INS-055A RAW '!BB40/'Finalterm OVPAA-F-INS-055A RAW '!BB$17*100)</f>
        <v/>
      </c>
      <c r="BC40" s="126" t="str">
        <f>IF('Finalterm OVPAA-F-INS-055A RAW '!BC40="","",'Finalterm OVPAA-F-INS-055A RAW '!BC40/'Finalterm OVPAA-F-INS-055A RAW '!BC$17*100)</f>
        <v/>
      </c>
      <c r="BD40" s="126" t="str">
        <f>IF('Finalterm OVPAA-F-INS-055A RAW '!BD40="","",'Finalterm OVPAA-F-INS-055A RAW '!BD40/'Finalterm OVPAA-F-INS-055A RAW '!BD$17*100)</f>
        <v/>
      </c>
      <c r="BE40" s="126" t="str">
        <f>IF('Finalterm OVPAA-F-INS-055A RAW '!BE40="","",'Finalterm OVPAA-F-INS-055A RAW '!BE40/'Finalterm OVPAA-F-INS-055A RAW '!BE$17*100)</f>
        <v/>
      </c>
      <c r="BF40" s="126" t="str">
        <f>IF('Finalterm OVPAA-F-INS-055A RAW '!BF40="","",'Finalterm OVPAA-F-INS-055A RAW '!BF40/'Finalterm OVPAA-F-INS-055A RAW '!BF$17*100)</f>
        <v/>
      </c>
      <c r="BG40" s="126" t="str">
        <f>IF('Finalterm OVPAA-F-INS-055A RAW '!BG40="","",'Finalterm OVPAA-F-INS-055A RAW '!BG40/'Finalterm OVPAA-F-INS-055A RAW '!BG$17*100)</f>
        <v/>
      </c>
      <c r="BH40" s="126" t="str">
        <f>IF('Finalterm OVPAA-F-INS-055A RAW '!BH40="","",'Finalterm OVPAA-F-INS-055A RAW '!BH40/'Finalterm OVPAA-F-INS-055A RAW '!BH$17*100)</f>
        <v/>
      </c>
      <c r="BI40" s="126" t="str">
        <f>IF('Finalterm OVPAA-F-INS-055A RAW '!BI40="","",'Finalterm OVPAA-F-INS-055A RAW '!BI40/'Finalterm OVPAA-F-INS-055A RAW '!BI$17*100)</f>
        <v/>
      </c>
      <c r="BJ40" s="126" t="str">
        <f>IF('Finalterm OVPAA-F-INS-055A RAW '!BJ40="","",'Finalterm OVPAA-F-INS-055A RAW '!BJ40/'Finalterm OVPAA-F-INS-055A RAW '!BJ$17*100)</f>
        <v/>
      </c>
      <c r="BK40" s="126" t="str">
        <f>IF('Finalterm OVPAA-F-INS-055A RAW '!BK40="","",'Finalterm OVPAA-F-INS-055A RAW '!BK40/'Finalterm OVPAA-F-INS-055A RAW '!BK$17*100)</f>
        <v/>
      </c>
      <c r="BL40" s="126" t="str">
        <f>IF('Finalterm OVPAA-F-INS-055A RAW '!BL40="","",'Finalterm OVPAA-F-INS-055A RAW '!BL40/'Finalterm OVPAA-F-INS-055A RAW '!BL$17*100)</f>
        <v/>
      </c>
      <c r="BM40" s="126" t="str">
        <f>IF('Finalterm OVPAA-F-INS-055A RAW '!BM40="","",'Finalterm OVPAA-F-INS-055A RAW '!BM40/'Finalterm OVPAA-F-INS-055A RAW '!BM$17*100)</f>
        <v/>
      </c>
      <c r="BN40" s="126" t="str">
        <f>IF('Finalterm OVPAA-F-INS-055A RAW '!BN40="","",'Finalterm OVPAA-F-INS-055A RAW '!BN40/'Finalterm OVPAA-F-INS-055A RAW '!BN$17*100)</f>
        <v/>
      </c>
      <c r="BO40" s="126" t="str">
        <f>IF('Finalterm OVPAA-F-INS-055A RAW '!BO40="","",'Finalterm OVPAA-F-INS-055A RAW '!BO40/'Finalterm OVPAA-F-INS-055A RAW '!BO$17*100)</f>
        <v/>
      </c>
      <c r="BP40" s="126" t="str">
        <f>IF('Finalterm OVPAA-F-INS-055A RAW '!BP40="","",'Finalterm OVPAA-F-INS-055A RAW '!BP40/'Finalterm OVPAA-F-INS-055A RAW '!BP$17*100)</f>
        <v/>
      </c>
      <c r="BQ40" s="126" t="str">
        <f>IF('Finalterm OVPAA-F-INS-055A RAW '!BQ40="","",'Finalterm OVPAA-F-INS-055A RAW '!BQ40/'Finalterm OVPAA-F-INS-055A RAW '!BQ$17*100)</f>
        <v/>
      </c>
      <c r="BR40" s="126" t="str">
        <f>IF('Finalterm OVPAA-F-INS-055A RAW '!BR40="","",'Finalterm OVPAA-F-INS-055A RAW '!BR40/'Finalterm OVPAA-F-INS-055A RAW '!BR$17*100)</f>
        <v/>
      </c>
      <c r="BS40" s="126" t="str">
        <f>IF('Finalterm OVPAA-F-INS-055A RAW '!BS40="","",'Finalterm OVPAA-F-INS-055A RAW '!BS40/'Finalterm OVPAA-F-INS-055A RAW '!BS$17*100)</f>
        <v/>
      </c>
      <c r="BT40" s="126" t="str">
        <f>IF('Finalterm OVPAA-F-INS-055A RAW '!BT40="","",'Finalterm OVPAA-F-INS-055A RAW '!BT40/'Finalterm OVPAA-F-INS-055A RAW '!BT$17*100)</f>
        <v/>
      </c>
      <c r="BU40" s="127">
        <f t="array" ref="BU40">IF('Finalterm OVPAA-F-INS-055A RAW '!$G40="","",IF((SUMPRODUCT(--ISBLANK('Finalterm OVPAA-F-INS-055A RAW '!H40:BT40))=COLUMNS('Finalterm OVPAA-F-INS-055A RAW '!H40:BT40))=TRUE,"",(((COUNTA('Finalterm OVPAA-F-INS-055A RAW '!$H$17:$BT$17)+COUNTBLANK('Finalterm OVPAA-F-INS-055A RAW '!H40:BT40))-COLUMNS('Finalterm OVPAA-F-INS-055A RAW '!H40:BT40))*5+SUM(H40:BT40))/COUNTA('Finalterm OVPAA-F-INS-055A RAW '!$H$17:$BT$17)))</f>
        <v>100</v>
      </c>
      <c r="BV40" s="165">
        <f>IF(BU40="","",VLOOKUP(BU40,IF('Midterm OVPAA-F-INS-055A RAW SC'!$V$12=0.5,TRANSMUTATION!$C$4:$D$17,TRANSMUTATION!$G$4:$H$17),2,TRUE))</f>
        <v>1</v>
      </c>
      <c r="BW40" s="129">
        <f>IF('Finalterm OVPAA-F-INS-055A RAW '!BU40="","",'Finalterm OVPAA-F-INS-055A RAW '!BU40/'Finalterm OVPAA-F-INS-055A RAW '!BU$17*100)</f>
        <v>92</v>
      </c>
      <c r="BX40" s="130">
        <f>IF('Finalterm OVPAA-F-INS-055A RAW '!BV40="","",'Finalterm OVPAA-F-INS-055A RAW '!BV40/'Finalterm OVPAA-F-INS-055A RAW '!BV$17*100)</f>
        <v>100</v>
      </c>
      <c r="BY40" s="130">
        <f>IF('Finalterm OVPAA-F-INS-055A RAW '!BW40="","",'Finalterm OVPAA-F-INS-055A RAW '!BW40/'Finalterm OVPAA-F-INS-055A RAW '!BW$17*100)</f>
        <v>100</v>
      </c>
      <c r="BZ40" s="130" t="str">
        <f>IF('Finalterm OVPAA-F-INS-055A RAW '!BX40="","",'Finalterm OVPAA-F-INS-055A RAW '!BX40/'Finalterm OVPAA-F-INS-055A RAW '!BX$17*100)</f>
        <v/>
      </c>
      <c r="CA40" s="130" t="str">
        <f>IF('Finalterm OVPAA-F-INS-055A RAW '!BY40="","",'Finalterm OVPAA-F-INS-055A RAW '!BY40/'Finalterm OVPAA-F-INS-055A RAW '!BY$17*100)</f>
        <v/>
      </c>
      <c r="CB40" s="130" t="str">
        <f>IF('Finalterm OVPAA-F-INS-055A RAW '!BZ40="","",'Finalterm OVPAA-F-INS-055A RAW '!BZ40/'Finalterm OVPAA-F-INS-055A RAW '!BZ$17*100)</f>
        <v/>
      </c>
      <c r="CC40" s="130" t="str">
        <f>IF('Finalterm OVPAA-F-INS-055A RAW '!CA40="","",'Finalterm OVPAA-F-INS-055A RAW '!CA40/'Finalterm OVPAA-F-INS-055A RAW '!CA$17*100)</f>
        <v/>
      </c>
      <c r="CD40" s="130" t="str">
        <f>IF('Finalterm OVPAA-F-INS-055A RAW '!CB40="","",'Finalterm OVPAA-F-INS-055A RAW '!CB40/'Finalterm OVPAA-F-INS-055A RAW '!CB$17*100)</f>
        <v/>
      </c>
      <c r="CE40" s="130" t="str">
        <f>IF('Finalterm OVPAA-F-INS-055A RAW '!CC40="","",'Finalterm OVPAA-F-INS-055A RAW '!CC40/'Finalterm OVPAA-F-INS-055A RAW '!CC$17*100)</f>
        <v/>
      </c>
      <c r="CF40" s="130" t="str">
        <f>IF('Finalterm OVPAA-F-INS-055A RAW '!CD40="","",'Finalterm OVPAA-F-INS-055A RAW '!CD40/'Finalterm OVPAA-F-INS-055A RAW '!CD$17*100)</f>
        <v/>
      </c>
      <c r="CG40" s="130" t="str">
        <f>IF('Finalterm OVPAA-F-INS-055A RAW '!CE40="","",'Finalterm OVPAA-F-INS-055A RAW '!CE40/'Finalterm OVPAA-F-INS-055A RAW '!CE$17*100)</f>
        <v/>
      </c>
      <c r="CH40" s="130" t="str">
        <f>IF('Finalterm OVPAA-F-INS-055A RAW '!CF40="","",'Finalterm OVPAA-F-INS-055A RAW '!CF40/'Finalterm OVPAA-F-INS-055A RAW '!CF$17*100)</f>
        <v/>
      </c>
      <c r="CI40" s="130" t="str">
        <f>IF('Finalterm OVPAA-F-INS-055A RAW '!CG40="","",'Finalterm OVPAA-F-INS-055A RAW '!CG40/'Finalterm OVPAA-F-INS-055A RAW '!CG$17*100)</f>
        <v/>
      </c>
      <c r="CJ40" s="130" t="str">
        <f>IF('Finalterm OVPAA-F-INS-055A RAW '!CH40="","",'Finalterm OVPAA-F-INS-055A RAW '!CH40/'Finalterm OVPAA-F-INS-055A RAW '!CH$17*100)</f>
        <v/>
      </c>
      <c r="CK40" s="130" t="str">
        <f>IF('Finalterm OVPAA-F-INS-055A RAW '!CI40="","",'Finalterm OVPAA-F-INS-055A RAW '!CI40/'Finalterm OVPAA-F-INS-055A RAW '!CI$17*100)</f>
        <v/>
      </c>
      <c r="CL40" s="130" t="str">
        <f>IF('Finalterm OVPAA-F-INS-055A RAW '!CJ40="","",'Finalterm OVPAA-F-INS-055A RAW '!CJ40/'Finalterm OVPAA-F-INS-055A RAW '!CJ$17*100)</f>
        <v/>
      </c>
      <c r="CM40" s="130" t="str">
        <f>IF('Finalterm OVPAA-F-INS-055A RAW '!CK40="","",'Finalterm OVPAA-F-INS-055A RAW '!CK40/'Finalterm OVPAA-F-INS-055A RAW '!CK$17*100)</f>
        <v/>
      </c>
      <c r="CN40" s="130" t="str">
        <f>IF('Finalterm OVPAA-F-INS-055A RAW '!CL40="","",'Finalterm OVPAA-F-INS-055A RAW '!CL40/'Finalterm OVPAA-F-INS-055A RAW '!CL$17*100)</f>
        <v/>
      </c>
      <c r="CO40" s="130" t="str">
        <f>IF('Finalterm OVPAA-F-INS-055A RAW '!CM40="","",'Finalterm OVPAA-F-INS-055A RAW '!CM40/'Finalterm OVPAA-F-INS-055A RAW '!CM$17*100)</f>
        <v/>
      </c>
      <c r="CP40" s="130" t="str">
        <f>IF('Finalterm OVPAA-F-INS-055A RAW '!CN40="","",'Finalterm OVPAA-F-INS-055A RAW '!CN40/'Finalterm OVPAA-F-INS-055A RAW '!CN$17*100)</f>
        <v/>
      </c>
      <c r="CQ40" s="131">
        <f t="array" ref="CQ40">IF('Midterm OVPAA-F-INS-055A RAW SC'!G40="","",IF((SUMPRODUCT(--ISBLANK('Finalterm OVPAA-F-INS-055A RAW '!BU40:CN40))=COLUMNS('Finalterm OVPAA-F-INS-055A RAW '!BU40:CN40))=TRUE,"",(((COUNTA('Finalterm OVPAA-F-INS-055A RAW '!$BU$17:$CN$17)+COUNTBLANK('Finalterm OVPAA-F-INS-055A RAW '!BU40:CN40))-COLUMNS('Finalterm OVPAA-F-INS-055A RAW '!BU40:CN40))*5+SUM(BW40:CP40))/COUNTA('Finalterm OVPAA-F-INS-055A RAW '!$BU$17:$CN$17)))</f>
        <v>97.333333333333329</v>
      </c>
      <c r="CR40" s="132">
        <f>IF(CQ40="","",VLOOKUP(CQ40,IF('Midterm OVPAA-F-INS-055A RAW SC'!$V$12=0.5,TRANSMUTATION!$C$4:$D$17,TRANSMUTATION!$G$4:$H$17),2,TRUE))</f>
        <v>1</v>
      </c>
      <c r="CS40" s="133">
        <f>IF('Finalterm OVPAA-F-INS-055A RAW '!CO40="","",'Finalterm OVPAA-F-INS-055A RAW '!CO40/'Finalterm OVPAA-F-INS-055A RAW '!CO$17*100)</f>
        <v>100</v>
      </c>
      <c r="CT40" s="133">
        <f>IF('Finalterm OVPAA-F-INS-055A RAW '!CP40="","",'Finalterm OVPAA-F-INS-055A RAW '!CP40/'Finalterm OVPAA-F-INS-055A RAW '!CP$17*100)</f>
        <v>72.5</v>
      </c>
      <c r="CU40" s="133" t="str">
        <f>IF('Finalterm OVPAA-F-INS-055A RAW '!CQ40="","",'Finalterm OVPAA-F-INS-055A RAW '!CQ40/'Finalterm OVPAA-F-INS-055A RAW '!CQ$17*100)</f>
        <v/>
      </c>
      <c r="CV40" s="133" t="str">
        <f>IF('Finalterm OVPAA-F-INS-055A RAW '!CR40="","",'Finalterm OVPAA-F-INS-055A RAW '!CR40/'Finalterm OVPAA-F-INS-055A RAW '!CR$17*100)</f>
        <v/>
      </c>
      <c r="CW40" s="133" t="str">
        <f>IF('Finalterm OVPAA-F-INS-055A RAW '!CS40="","",'Finalterm OVPAA-F-INS-055A RAW '!CS40/'Finalterm OVPAA-F-INS-055A RAW '!CS$17*100)</f>
        <v/>
      </c>
      <c r="CX40" s="133" t="str">
        <f>IF('Finalterm OVPAA-F-INS-055A RAW '!CT40="","",'Finalterm OVPAA-F-INS-055A RAW '!CT40/'Finalterm OVPAA-F-INS-055A RAW '!CT$17*100)</f>
        <v/>
      </c>
      <c r="CY40" s="133" t="str">
        <f>IF('Finalterm OVPAA-F-INS-055A RAW '!CU40="","",'Finalterm OVPAA-F-INS-055A RAW '!CU40/'Finalterm OVPAA-F-INS-055A RAW '!CU$17*100)</f>
        <v/>
      </c>
      <c r="CZ40" s="133" t="str">
        <f>IF('Finalterm OVPAA-F-INS-055A RAW '!CV40="","",'Finalterm OVPAA-F-INS-055A RAW '!CV40/'Finalterm OVPAA-F-INS-055A RAW '!CV$17*100)</f>
        <v/>
      </c>
      <c r="DA40" s="133" t="str">
        <f>IF('Finalterm OVPAA-F-INS-055A RAW '!CW40="","",'Finalterm OVPAA-F-INS-055A RAW '!CW40/'Finalterm OVPAA-F-INS-055A RAW '!CW$17*100)</f>
        <v/>
      </c>
      <c r="DB40" s="133" t="str">
        <f>IF('Finalterm OVPAA-F-INS-055A RAW '!CX40="","",'Finalterm OVPAA-F-INS-055A RAW '!CX40/'Finalterm OVPAA-F-INS-055A RAW '!CX$17*100)</f>
        <v/>
      </c>
      <c r="DC40" s="134">
        <f t="array" ref="DC40">IF('Midterm OVPAA-F-INS-055A RAW SC'!$G40="","",IF((SUMPRODUCT(--ISBLANK('Finalterm OVPAA-F-INS-055A RAW '!CO40:CX40))=COLUMNS('Finalterm OVPAA-F-INS-055A RAW '!CO40:CX40))=TRUE,"",(((COUNTA('Finalterm OVPAA-F-INS-055A RAW '!$CO$17:$CX$17)+COUNTBLANK('Finalterm OVPAA-F-INS-055A RAW '!CO40:CX40))-COLUMNS('Finalterm OVPAA-F-INS-055A RAW '!CO40:CX40))*5+SUM(CS40:DB40))/COUNTA('Finalterm OVPAA-F-INS-055A RAW '!$CO$17:$CX$17)))</f>
        <v>86.25</v>
      </c>
      <c r="DD40" s="135">
        <f>IF(DC40="","",VLOOKUP(DC40,IF('Midterm OVPAA-F-INS-055A RAW SC'!$V$12=0.5,TRANSMUTATION!$C$4:$D$17,TRANSMUTATION!$G$4:$H$17),2,TRUE))</f>
        <v>1.5</v>
      </c>
      <c r="DE40" s="136">
        <f t="shared" si="1"/>
        <v>0.3</v>
      </c>
      <c r="DF40" s="166">
        <f t="shared" si="2"/>
        <v>0.3</v>
      </c>
      <c r="DG40" s="167">
        <f t="shared" si="3"/>
        <v>0.60000000000000009</v>
      </c>
      <c r="DH40" s="168">
        <f t="shared" si="4"/>
        <v>1.2000000000000002</v>
      </c>
      <c r="DI40" s="169" t="str">
        <f t="shared" si="5"/>
        <v>1.25</v>
      </c>
    </row>
    <row r="41" spans="5:113" ht="15.75" customHeight="1">
      <c r="E41" s="59">
        <v>24</v>
      </c>
      <c r="F41" s="124" t="str">
        <f>IF(NOT(ISBLANK('Midterm OVPAA-F-INS-055A RAW SC'!F41)),'Midterm OVPAA-F-INS-055A RAW SC'!F41,"")</f>
        <v/>
      </c>
      <c r="G41" s="125" t="str">
        <f>IF(NOT(ISBLANK('Midterm OVPAA-F-INS-055A RAW SC'!G41)),'Midterm OVPAA-F-INS-055A RAW SC'!G41,"")</f>
        <v/>
      </c>
      <c r="H41" s="126" t="str">
        <f>IF('Finalterm OVPAA-F-INS-055A RAW '!H41="","",'Finalterm OVPAA-F-INS-055A RAW '!H41/'Finalterm OVPAA-F-INS-055A RAW '!H$17*100)</f>
        <v/>
      </c>
      <c r="I41" s="126" t="str">
        <f>IF('Finalterm OVPAA-F-INS-055A RAW '!I41="","",'Finalterm OVPAA-F-INS-055A RAW '!I41/'Finalterm OVPAA-F-INS-055A RAW '!I$17*100)</f>
        <v/>
      </c>
      <c r="J41" s="126" t="str">
        <f>IF('Finalterm OVPAA-F-INS-055A RAW '!J41="","",'Finalterm OVPAA-F-INS-055A RAW '!J41/'Finalterm OVPAA-F-INS-055A RAW '!J$17*100)</f>
        <v/>
      </c>
      <c r="K41" s="126" t="str">
        <f>IF('Finalterm OVPAA-F-INS-055A RAW '!K41="","",'Finalterm OVPAA-F-INS-055A RAW '!K41/'Finalterm OVPAA-F-INS-055A RAW '!K$17*100)</f>
        <v/>
      </c>
      <c r="L41" s="126" t="str">
        <f>IF('Finalterm OVPAA-F-INS-055A RAW '!L41="","",'Finalterm OVPAA-F-INS-055A RAW '!L41/'Finalterm OVPAA-F-INS-055A RAW '!L$17*100)</f>
        <v/>
      </c>
      <c r="M41" s="126" t="str">
        <f>IF('Finalterm OVPAA-F-INS-055A RAW '!M41="","",'Finalterm OVPAA-F-INS-055A RAW '!M41/'Finalterm OVPAA-F-INS-055A RAW '!M$17*100)</f>
        <v/>
      </c>
      <c r="N41" s="126" t="str">
        <f>IF('Finalterm OVPAA-F-INS-055A RAW '!N41="","",'Finalterm OVPAA-F-INS-055A RAW '!N41/'Finalterm OVPAA-F-INS-055A RAW '!N$17*100)</f>
        <v/>
      </c>
      <c r="O41" s="126" t="str">
        <f>IF('Finalterm OVPAA-F-INS-055A RAW '!O41="","",'Finalterm OVPAA-F-INS-055A RAW '!O41/'Finalterm OVPAA-F-INS-055A RAW '!O$17*100)</f>
        <v/>
      </c>
      <c r="P41" s="126" t="str">
        <f>IF('Finalterm OVPAA-F-INS-055A RAW '!P41="","",'Finalterm OVPAA-F-INS-055A RAW '!P41/'Finalterm OVPAA-F-INS-055A RAW '!P$17*100)</f>
        <v/>
      </c>
      <c r="Q41" s="126" t="str">
        <f>IF('Finalterm OVPAA-F-INS-055A RAW '!Q41="","",'Finalterm OVPAA-F-INS-055A RAW '!Q41/'Finalterm OVPAA-F-INS-055A RAW '!Q$17*100)</f>
        <v/>
      </c>
      <c r="R41" s="126" t="str">
        <f>IF('Finalterm OVPAA-F-INS-055A RAW '!R41="","",'Finalterm OVPAA-F-INS-055A RAW '!R41/'Finalterm OVPAA-F-INS-055A RAW '!R$17*100)</f>
        <v/>
      </c>
      <c r="S41" s="126" t="str">
        <f>IF('Finalterm OVPAA-F-INS-055A RAW '!S41="","",'Finalterm OVPAA-F-INS-055A RAW '!S41/'Finalterm OVPAA-F-INS-055A RAW '!S$17*100)</f>
        <v/>
      </c>
      <c r="T41" s="126" t="str">
        <f>IF('Finalterm OVPAA-F-INS-055A RAW '!T41="","",'Finalterm OVPAA-F-INS-055A RAW '!T41/'Finalterm OVPAA-F-INS-055A RAW '!T$17*100)</f>
        <v/>
      </c>
      <c r="U41" s="126" t="str">
        <f>IF('Finalterm OVPAA-F-INS-055A RAW '!U41="","",'Finalterm OVPAA-F-INS-055A RAW '!U41/'Finalterm OVPAA-F-INS-055A RAW '!U$17*100)</f>
        <v/>
      </c>
      <c r="V41" s="126" t="str">
        <f>IF('Finalterm OVPAA-F-INS-055A RAW '!V41="","",'Finalterm OVPAA-F-INS-055A RAW '!V41/'Finalterm OVPAA-F-INS-055A RAW '!V$17*100)</f>
        <v/>
      </c>
      <c r="W41" s="126" t="str">
        <f>IF('Finalterm OVPAA-F-INS-055A RAW '!W41="","",'Finalterm OVPAA-F-INS-055A RAW '!W41/'Finalterm OVPAA-F-INS-055A RAW '!W$17*100)</f>
        <v/>
      </c>
      <c r="X41" s="126" t="str">
        <f>IF('Finalterm OVPAA-F-INS-055A RAW '!X41="","",'Finalterm OVPAA-F-INS-055A RAW '!X41/'Finalterm OVPAA-F-INS-055A RAW '!X$17*100)</f>
        <v/>
      </c>
      <c r="Y41" s="126" t="str">
        <f>IF('Finalterm OVPAA-F-INS-055A RAW '!Y41="","",'Finalterm OVPAA-F-INS-055A RAW '!Y41/'Finalterm OVPAA-F-INS-055A RAW '!Y$17*100)</f>
        <v/>
      </c>
      <c r="Z41" s="126" t="str">
        <f>IF('Finalterm OVPAA-F-INS-055A RAW '!Z41="","",'Finalterm OVPAA-F-INS-055A RAW '!Z41/'Finalterm OVPAA-F-INS-055A RAW '!Z$17*100)</f>
        <v/>
      </c>
      <c r="AA41" s="126" t="str">
        <f>IF('Finalterm OVPAA-F-INS-055A RAW '!AA41="","",'Finalterm OVPAA-F-INS-055A RAW '!AA41/'Finalterm OVPAA-F-INS-055A RAW '!AA$17*100)</f>
        <v/>
      </c>
      <c r="AB41" s="126" t="str">
        <f>IF('Finalterm OVPAA-F-INS-055A RAW '!AB41="","",'Finalterm OVPAA-F-INS-055A RAW '!AB41/'Finalterm OVPAA-F-INS-055A RAW '!AB$17*100)</f>
        <v/>
      </c>
      <c r="AC41" s="126" t="str">
        <f>IF('Finalterm OVPAA-F-INS-055A RAW '!AC41="","",'Finalterm OVPAA-F-INS-055A RAW '!AC41/'Finalterm OVPAA-F-INS-055A RAW '!AC$17*100)</f>
        <v/>
      </c>
      <c r="AD41" s="126" t="str">
        <f>IF('Finalterm OVPAA-F-INS-055A RAW '!AD41="","",'Finalterm OVPAA-F-INS-055A RAW '!AD41/'Finalterm OVPAA-F-INS-055A RAW '!AD$17*100)</f>
        <v/>
      </c>
      <c r="AE41" s="126" t="str">
        <f>IF('Finalterm OVPAA-F-INS-055A RAW '!AE41="","",'Finalterm OVPAA-F-INS-055A RAW '!AE41/'Finalterm OVPAA-F-INS-055A RAW '!AE$17*100)</f>
        <v/>
      </c>
      <c r="AF41" s="126" t="str">
        <f>IF('Finalterm OVPAA-F-INS-055A RAW '!AF41="","",'Finalterm OVPAA-F-INS-055A RAW '!AF41/'Finalterm OVPAA-F-INS-055A RAW '!AF$17*100)</f>
        <v/>
      </c>
      <c r="AG41" s="126" t="str">
        <f>IF('Finalterm OVPAA-F-INS-055A RAW '!AG41="","",'Finalterm OVPAA-F-INS-055A RAW '!AG41/'Finalterm OVPAA-F-INS-055A RAW '!AG$17*100)</f>
        <v/>
      </c>
      <c r="AH41" s="126" t="str">
        <f>IF('Finalterm OVPAA-F-INS-055A RAW '!AH41="","",'Finalterm OVPAA-F-INS-055A RAW '!AH41/'Finalterm OVPAA-F-INS-055A RAW '!AH$17*100)</f>
        <v/>
      </c>
      <c r="AI41" s="126" t="str">
        <f>IF('Finalterm OVPAA-F-INS-055A RAW '!AI41="","",'Finalterm OVPAA-F-INS-055A RAW '!AI41/'Finalterm OVPAA-F-INS-055A RAW '!AI$17*100)</f>
        <v/>
      </c>
      <c r="AJ41" s="126" t="str">
        <f>IF('Finalterm OVPAA-F-INS-055A RAW '!AJ41="","",'Finalterm OVPAA-F-INS-055A RAW '!AJ41/'Finalterm OVPAA-F-INS-055A RAW '!AJ$17*100)</f>
        <v/>
      </c>
      <c r="AK41" s="126" t="str">
        <f>IF('Finalterm OVPAA-F-INS-055A RAW '!AK41="","",'Finalterm OVPAA-F-INS-055A RAW '!AK41/'Finalterm OVPAA-F-INS-055A RAW '!AK$17*100)</f>
        <v/>
      </c>
      <c r="AL41" s="126" t="str">
        <f>IF('Finalterm OVPAA-F-INS-055A RAW '!AL41="","",'Finalterm OVPAA-F-INS-055A RAW '!AL41/'Finalterm OVPAA-F-INS-055A RAW '!AL$17*100)</f>
        <v/>
      </c>
      <c r="AM41" s="126" t="str">
        <f>IF('Finalterm OVPAA-F-INS-055A RAW '!AM41="","",'Finalterm OVPAA-F-INS-055A RAW '!AM41/'Finalterm OVPAA-F-INS-055A RAW '!AM$17*100)</f>
        <v/>
      </c>
      <c r="AN41" s="126" t="str">
        <f>IF('Finalterm OVPAA-F-INS-055A RAW '!AN41="","",'Finalterm OVPAA-F-INS-055A RAW '!AN41/'Finalterm OVPAA-F-INS-055A RAW '!AN$17*100)</f>
        <v/>
      </c>
      <c r="AO41" s="126" t="str">
        <f>IF('Finalterm OVPAA-F-INS-055A RAW '!AO41="","",'Finalterm OVPAA-F-INS-055A RAW '!AO41/'Finalterm OVPAA-F-INS-055A RAW '!AO$17*100)</f>
        <v/>
      </c>
      <c r="AP41" s="126" t="str">
        <f>IF('Finalterm OVPAA-F-INS-055A RAW '!AP41="","",'Finalterm OVPAA-F-INS-055A RAW '!AP41/'Finalterm OVPAA-F-INS-055A RAW '!AP$17*100)</f>
        <v/>
      </c>
      <c r="AQ41" s="126" t="str">
        <f>IF('Finalterm OVPAA-F-INS-055A RAW '!AQ41="","",'Finalterm OVPAA-F-INS-055A RAW '!AQ41/'Finalterm OVPAA-F-INS-055A RAW '!AQ$17*100)</f>
        <v/>
      </c>
      <c r="AR41" s="126" t="str">
        <f>IF('Finalterm OVPAA-F-INS-055A RAW '!AR41="","",'Finalterm OVPAA-F-INS-055A RAW '!AR41/'Finalterm OVPAA-F-INS-055A RAW '!AR$17*100)</f>
        <v/>
      </c>
      <c r="AS41" s="126" t="str">
        <f>IF('Finalterm OVPAA-F-INS-055A RAW '!AS41="","",'Finalterm OVPAA-F-INS-055A RAW '!AS41/'Finalterm OVPAA-F-INS-055A RAW '!AS$17*100)</f>
        <v/>
      </c>
      <c r="AT41" s="126" t="str">
        <f>IF('Finalterm OVPAA-F-INS-055A RAW '!AT41="","",'Finalterm OVPAA-F-INS-055A RAW '!AT41/'Finalterm OVPAA-F-INS-055A RAW '!AT$17*100)</f>
        <v/>
      </c>
      <c r="AU41" s="126" t="str">
        <f>IF('Finalterm OVPAA-F-INS-055A RAW '!AU41="","",'Finalterm OVPAA-F-INS-055A RAW '!AU41/'Finalterm OVPAA-F-INS-055A RAW '!AU$17*100)</f>
        <v/>
      </c>
      <c r="AV41" s="126" t="str">
        <f>IF('Finalterm OVPAA-F-INS-055A RAW '!AV41="","",'Finalterm OVPAA-F-INS-055A RAW '!AV41/'Finalterm OVPAA-F-INS-055A RAW '!AV$17*100)</f>
        <v/>
      </c>
      <c r="AW41" s="126" t="str">
        <f>IF('Finalterm OVPAA-F-INS-055A RAW '!AW41="","",'Finalterm OVPAA-F-INS-055A RAW '!AW41/'Finalterm OVPAA-F-INS-055A RAW '!AW$17*100)</f>
        <v/>
      </c>
      <c r="AX41" s="126" t="str">
        <f>IF('Finalterm OVPAA-F-INS-055A RAW '!AX41="","",'Finalterm OVPAA-F-INS-055A RAW '!AX41/'Finalterm OVPAA-F-INS-055A RAW '!AX$17*100)</f>
        <v/>
      </c>
      <c r="AY41" s="126" t="str">
        <f>IF('Finalterm OVPAA-F-INS-055A RAW '!AY41="","",'Finalterm OVPAA-F-INS-055A RAW '!AY41/'Finalterm OVPAA-F-INS-055A RAW '!AY$17*100)</f>
        <v/>
      </c>
      <c r="AZ41" s="126" t="str">
        <f>IF('Finalterm OVPAA-F-INS-055A RAW '!AZ41="","",'Finalterm OVPAA-F-INS-055A RAW '!AZ41/'Finalterm OVPAA-F-INS-055A RAW '!AZ$17*100)</f>
        <v/>
      </c>
      <c r="BA41" s="126" t="str">
        <f>IF('Finalterm OVPAA-F-INS-055A RAW '!BA41="","",'Finalterm OVPAA-F-INS-055A RAW '!BA41/'Finalterm OVPAA-F-INS-055A RAW '!BA$17*100)</f>
        <v/>
      </c>
      <c r="BB41" s="126" t="str">
        <f>IF('Finalterm OVPAA-F-INS-055A RAW '!BB41="","",'Finalterm OVPAA-F-INS-055A RAW '!BB41/'Finalterm OVPAA-F-INS-055A RAW '!BB$17*100)</f>
        <v/>
      </c>
      <c r="BC41" s="126" t="str">
        <f>IF('Finalterm OVPAA-F-INS-055A RAW '!BC41="","",'Finalterm OVPAA-F-INS-055A RAW '!BC41/'Finalterm OVPAA-F-INS-055A RAW '!BC$17*100)</f>
        <v/>
      </c>
      <c r="BD41" s="126" t="str">
        <f>IF('Finalterm OVPAA-F-INS-055A RAW '!BD41="","",'Finalterm OVPAA-F-INS-055A RAW '!BD41/'Finalterm OVPAA-F-INS-055A RAW '!BD$17*100)</f>
        <v/>
      </c>
      <c r="BE41" s="126" t="str">
        <f>IF('Finalterm OVPAA-F-INS-055A RAW '!BE41="","",'Finalterm OVPAA-F-INS-055A RAW '!BE41/'Finalterm OVPAA-F-INS-055A RAW '!BE$17*100)</f>
        <v/>
      </c>
      <c r="BF41" s="126" t="str">
        <f>IF('Finalterm OVPAA-F-INS-055A RAW '!BF41="","",'Finalterm OVPAA-F-INS-055A RAW '!BF41/'Finalterm OVPAA-F-INS-055A RAW '!BF$17*100)</f>
        <v/>
      </c>
      <c r="BG41" s="126" t="str">
        <f>IF('Finalterm OVPAA-F-INS-055A RAW '!BG41="","",'Finalterm OVPAA-F-INS-055A RAW '!BG41/'Finalterm OVPAA-F-INS-055A RAW '!BG$17*100)</f>
        <v/>
      </c>
      <c r="BH41" s="126" t="str">
        <f>IF('Finalterm OVPAA-F-INS-055A RAW '!BH41="","",'Finalterm OVPAA-F-INS-055A RAW '!BH41/'Finalterm OVPAA-F-INS-055A RAW '!BH$17*100)</f>
        <v/>
      </c>
      <c r="BI41" s="126" t="str">
        <f>IF('Finalterm OVPAA-F-INS-055A RAW '!BI41="","",'Finalterm OVPAA-F-INS-055A RAW '!BI41/'Finalterm OVPAA-F-INS-055A RAW '!BI$17*100)</f>
        <v/>
      </c>
      <c r="BJ41" s="126" t="str">
        <f>IF('Finalterm OVPAA-F-INS-055A RAW '!BJ41="","",'Finalterm OVPAA-F-INS-055A RAW '!BJ41/'Finalterm OVPAA-F-INS-055A RAW '!BJ$17*100)</f>
        <v/>
      </c>
      <c r="BK41" s="126" t="str">
        <f>IF('Finalterm OVPAA-F-INS-055A RAW '!BK41="","",'Finalterm OVPAA-F-INS-055A RAW '!BK41/'Finalterm OVPAA-F-INS-055A RAW '!BK$17*100)</f>
        <v/>
      </c>
      <c r="BL41" s="126" t="str">
        <f>IF('Finalterm OVPAA-F-INS-055A RAW '!BL41="","",'Finalterm OVPAA-F-INS-055A RAW '!BL41/'Finalterm OVPAA-F-INS-055A RAW '!BL$17*100)</f>
        <v/>
      </c>
      <c r="BM41" s="126" t="str">
        <f>IF('Finalterm OVPAA-F-INS-055A RAW '!BM41="","",'Finalterm OVPAA-F-INS-055A RAW '!BM41/'Finalterm OVPAA-F-INS-055A RAW '!BM$17*100)</f>
        <v/>
      </c>
      <c r="BN41" s="126" t="str">
        <f>IF('Finalterm OVPAA-F-INS-055A RAW '!BN41="","",'Finalterm OVPAA-F-INS-055A RAW '!BN41/'Finalterm OVPAA-F-INS-055A RAW '!BN$17*100)</f>
        <v/>
      </c>
      <c r="BO41" s="126" t="str">
        <f>IF('Finalterm OVPAA-F-INS-055A RAW '!BO41="","",'Finalterm OVPAA-F-INS-055A RAW '!BO41/'Finalterm OVPAA-F-INS-055A RAW '!BO$17*100)</f>
        <v/>
      </c>
      <c r="BP41" s="126" t="str">
        <f>IF('Finalterm OVPAA-F-INS-055A RAW '!BP41="","",'Finalterm OVPAA-F-INS-055A RAW '!BP41/'Finalterm OVPAA-F-INS-055A RAW '!BP$17*100)</f>
        <v/>
      </c>
      <c r="BQ41" s="126" t="str">
        <f>IF('Finalterm OVPAA-F-INS-055A RAW '!BQ41="","",'Finalterm OVPAA-F-INS-055A RAW '!BQ41/'Finalterm OVPAA-F-INS-055A RAW '!BQ$17*100)</f>
        <v/>
      </c>
      <c r="BR41" s="126" t="str">
        <f>IF('Finalterm OVPAA-F-INS-055A RAW '!BR41="","",'Finalterm OVPAA-F-INS-055A RAW '!BR41/'Finalterm OVPAA-F-INS-055A RAW '!BR$17*100)</f>
        <v/>
      </c>
      <c r="BS41" s="126" t="str">
        <f>IF('Finalterm OVPAA-F-INS-055A RAW '!BS41="","",'Finalterm OVPAA-F-INS-055A RAW '!BS41/'Finalterm OVPAA-F-INS-055A RAW '!BS$17*100)</f>
        <v/>
      </c>
      <c r="BT41" s="126" t="str">
        <f>IF('Finalterm OVPAA-F-INS-055A RAW '!BT41="","",'Finalterm OVPAA-F-INS-055A RAW '!BT41/'Finalterm OVPAA-F-INS-055A RAW '!BT$17*100)</f>
        <v/>
      </c>
      <c r="BU41" s="127" t="str">
        <f t="array" ref="BU41">IF('Finalterm OVPAA-F-INS-055A RAW '!$G41="","",IF((SUMPRODUCT(--ISBLANK('Finalterm OVPAA-F-INS-055A RAW '!H41:BT41))=COLUMNS('Finalterm OVPAA-F-INS-055A RAW '!H41:BT41))=TRUE,"",(((COUNTA('Finalterm OVPAA-F-INS-055A RAW '!$H$17:$BT$17)+COUNTBLANK('Finalterm OVPAA-F-INS-055A RAW '!H41:BT41))-COLUMNS('Finalterm OVPAA-F-INS-055A RAW '!H41:BT41))*5+SUM(H41:BT41))/COUNTA('Finalterm OVPAA-F-INS-055A RAW '!$H$17:$BT$17)))</f>
        <v/>
      </c>
      <c r="BV41" s="165" t="str">
        <f>IF(BU41="","",VLOOKUP(BU41,IF('Midterm OVPAA-F-INS-055A RAW SC'!$V$12=0.5,TRANSMUTATION!$C$4:$D$17,TRANSMUTATION!$G$4:$H$17),2,TRUE))</f>
        <v/>
      </c>
      <c r="BW41" s="129" t="str">
        <f>IF('Finalterm OVPAA-F-INS-055A RAW '!BU41="","",'Finalterm OVPAA-F-INS-055A RAW '!BU41/'Finalterm OVPAA-F-INS-055A RAW '!BU$17*100)</f>
        <v/>
      </c>
      <c r="BX41" s="130" t="str">
        <f>IF('Finalterm OVPAA-F-INS-055A RAW '!BV41="","",'Finalterm OVPAA-F-INS-055A RAW '!BV41/'Finalterm OVPAA-F-INS-055A RAW '!BV$17*100)</f>
        <v/>
      </c>
      <c r="BY41" s="130" t="str">
        <f>IF('Finalterm OVPAA-F-INS-055A RAW '!BW41="","",'Finalterm OVPAA-F-INS-055A RAW '!BW41/'Finalterm OVPAA-F-INS-055A RAW '!BW$17*100)</f>
        <v/>
      </c>
      <c r="BZ41" s="130" t="str">
        <f>IF('Finalterm OVPAA-F-INS-055A RAW '!BX41="","",'Finalterm OVPAA-F-INS-055A RAW '!BX41/'Finalterm OVPAA-F-INS-055A RAW '!BX$17*100)</f>
        <v/>
      </c>
      <c r="CA41" s="130" t="str">
        <f>IF('Finalterm OVPAA-F-INS-055A RAW '!BY41="","",'Finalterm OVPAA-F-INS-055A RAW '!BY41/'Finalterm OVPAA-F-INS-055A RAW '!BY$17*100)</f>
        <v/>
      </c>
      <c r="CB41" s="130" t="str">
        <f>IF('Finalterm OVPAA-F-INS-055A RAW '!BZ41="","",'Finalterm OVPAA-F-INS-055A RAW '!BZ41/'Finalterm OVPAA-F-INS-055A RAW '!BZ$17*100)</f>
        <v/>
      </c>
      <c r="CC41" s="130" t="str">
        <f>IF('Finalterm OVPAA-F-INS-055A RAW '!CA41="","",'Finalterm OVPAA-F-INS-055A RAW '!CA41/'Finalterm OVPAA-F-INS-055A RAW '!CA$17*100)</f>
        <v/>
      </c>
      <c r="CD41" s="130" t="str">
        <f>IF('Finalterm OVPAA-F-INS-055A RAW '!CB41="","",'Finalterm OVPAA-F-INS-055A RAW '!CB41/'Finalterm OVPAA-F-INS-055A RAW '!CB$17*100)</f>
        <v/>
      </c>
      <c r="CE41" s="130" t="str">
        <f>IF('Finalterm OVPAA-F-INS-055A RAW '!CC41="","",'Finalterm OVPAA-F-INS-055A RAW '!CC41/'Finalterm OVPAA-F-INS-055A RAW '!CC$17*100)</f>
        <v/>
      </c>
      <c r="CF41" s="130" t="str">
        <f>IF('Finalterm OVPAA-F-INS-055A RAW '!CD41="","",'Finalterm OVPAA-F-INS-055A RAW '!CD41/'Finalterm OVPAA-F-INS-055A RAW '!CD$17*100)</f>
        <v/>
      </c>
      <c r="CG41" s="130" t="str">
        <f>IF('Finalterm OVPAA-F-INS-055A RAW '!CE41="","",'Finalterm OVPAA-F-INS-055A RAW '!CE41/'Finalterm OVPAA-F-INS-055A RAW '!CE$17*100)</f>
        <v/>
      </c>
      <c r="CH41" s="130" t="str">
        <f>IF('Finalterm OVPAA-F-INS-055A RAW '!CF41="","",'Finalterm OVPAA-F-INS-055A RAW '!CF41/'Finalterm OVPAA-F-INS-055A RAW '!CF$17*100)</f>
        <v/>
      </c>
      <c r="CI41" s="130" t="str">
        <f>IF('Finalterm OVPAA-F-INS-055A RAW '!CG41="","",'Finalterm OVPAA-F-INS-055A RAW '!CG41/'Finalterm OVPAA-F-INS-055A RAW '!CG$17*100)</f>
        <v/>
      </c>
      <c r="CJ41" s="130" t="str">
        <f>IF('Finalterm OVPAA-F-INS-055A RAW '!CH41="","",'Finalterm OVPAA-F-INS-055A RAW '!CH41/'Finalterm OVPAA-F-INS-055A RAW '!CH$17*100)</f>
        <v/>
      </c>
      <c r="CK41" s="130" t="str">
        <f>IF('Finalterm OVPAA-F-INS-055A RAW '!CI41="","",'Finalterm OVPAA-F-INS-055A RAW '!CI41/'Finalterm OVPAA-F-INS-055A RAW '!CI$17*100)</f>
        <v/>
      </c>
      <c r="CL41" s="130" t="str">
        <f>IF('Finalterm OVPAA-F-INS-055A RAW '!CJ41="","",'Finalterm OVPAA-F-INS-055A RAW '!CJ41/'Finalterm OVPAA-F-INS-055A RAW '!CJ$17*100)</f>
        <v/>
      </c>
      <c r="CM41" s="130" t="str">
        <f>IF('Finalterm OVPAA-F-INS-055A RAW '!CK41="","",'Finalterm OVPAA-F-INS-055A RAW '!CK41/'Finalterm OVPAA-F-INS-055A RAW '!CK$17*100)</f>
        <v/>
      </c>
      <c r="CN41" s="130" t="str">
        <f>IF('Finalterm OVPAA-F-INS-055A RAW '!CL41="","",'Finalterm OVPAA-F-INS-055A RAW '!CL41/'Finalterm OVPAA-F-INS-055A RAW '!CL$17*100)</f>
        <v/>
      </c>
      <c r="CO41" s="130" t="str">
        <f>IF('Finalterm OVPAA-F-INS-055A RAW '!CM41="","",'Finalterm OVPAA-F-INS-055A RAW '!CM41/'Finalterm OVPAA-F-INS-055A RAW '!CM$17*100)</f>
        <v/>
      </c>
      <c r="CP41" s="130" t="str">
        <f>IF('Finalterm OVPAA-F-INS-055A RAW '!CN41="","",'Finalterm OVPAA-F-INS-055A RAW '!CN41/'Finalterm OVPAA-F-INS-055A RAW '!CN$17*100)</f>
        <v/>
      </c>
      <c r="CQ41" s="131" t="str">
        <f t="array" ref="CQ41">IF('Midterm OVPAA-F-INS-055A RAW SC'!G41="","",IF((SUMPRODUCT(--ISBLANK('Finalterm OVPAA-F-INS-055A RAW '!BU41:CN41))=COLUMNS('Finalterm OVPAA-F-INS-055A RAW '!BU41:CN41))=TRUE,"",(((COUNTA('Finalterm OVPAA-F-INS-055A RAW '!$BU$17:$CN$17)+COUNTBLANK('Finalterm OVPAA-F-INS-055A RAW '!BU41:CN41))-COLUMNS('Finalterm OVPAA-F-INS-055A RAW '!BU41:CN41))*5+SUM(BW41:CP41))/COUNTA('Finalterm OVPAA-F-INS-055A RAW '!$BU$17:$CN$17)))</f>
        <v/>
      </c>
      <c r="CR41" s="132" t="str">
        <f>IF(CQ41="","",VLOOKUP(CQ41,IF('Midterm OVPAA-F-INS-055A RAW SC'!$V$12=0.5,TRANSMUTATION!$C$4:$D$17,TRANSMUTATION!$G$4:$H$17),2,TRUE))</f>
        <v/>
      </c>
      <c r="CS41" s="133" t="str">
        <f>IF('Finalterm OVPAA-F-INS-055A RAW '!CO41="","",'Finalterm OVPAA-F-INS-055A RAW '!CO41/'Finalterm OVPAA-F-INS-055A RAW '!CO$17*100)</f>
        <v/>
      </c>
      <c r="CT41" s="133" t="str">
        <f>IF('Finalterm OVPAA-F-INS-055A RAW '!CP41="","",'Finalterm OVPAA-F-INS-055A RAW '!CP41/'Finalterm OVPAA-F-INS-055A RAW '!CP$17*100)</f>
        <v/>
      </c>
      <c r="CU41" s="133" t="str">
        <f>IF('Finalterm OVPAA-F-INS-055A RAW '!CQ41="","",'Finalterm OVPAA-F-INS-055A RAW '!CQ41/'Finalterm OVPAA-F-INS-055A RAW '!CQ$17*100)</f>
        <v/>
      </c>
      <c r="CV41" s="133" t="str">
        <f>IF('Finalterm OVPAA-F-INS-055A RAW '!CR41="","",'Finalterm OVPAA-F-INS-055A RAW '!CR41/'Finalterm OVPAA-F-INS-055A RAW '!CR$17*100)</f>
        <v/>
      </c>
      <c r="CW41" s="133" t="str">
        <f>IF('Finalterm OVPAA-F-INS-055A RAW '!CS41="","",'Finalterm OVPAA-F-INS-055A RAW '!CS41/'Finalterm OVPAA-F-INS-055A RAW '!CS$17*100)</f>
        <v/>
      </c>
      <c r="CX41" s="133" t="str">
        <f>IF('Finalterm OVPAA-F-INS-055A RAW '!CT41="","",'Finalterm OVPAA-F-INS-055A RAW '!CT41/'Finalterm OVPAA-F-INS-055A RAW '!CT$17*100)</f>
        <v/>
      </c>
      <c r="CY41" s="133" t="str">
        <f>IF('Finalterm OVPAA-F-INS-055A RAW '!CU41="","",'Finalterm OVPAA-F-INS-055A RAW '!CU41/'Finalterm OVPAA-F-INS-055A RAW '!CU$17*100)</f>
        <v/>
      </c>
      <c r="CZ41" s="133" t="str">
        <f>IF('Finalterm OVPAA-F-INS-055A RAW '!CV41="","",'Finalterm OVPAA-F-INS-055A RAW '!CV41/'Finalterm OVPAA-F-INS-055A RAW '!CV$17*100)</f>
        <v/>
      </c>
      <c r="DA41" s="133" t="str">
        <f>IF('Finalterm OVPAA-F-INS-055A RAW '!CW41="","",'Finalterm OVPAA-F-INS-055A RAW '!CW41/'Finalterm OVPAA-F-INS-055A RAW '!CW$17*100)</f>
        <v/>
      </c>
      <c r="DB41" s="133" t="str">
        <f>IF('Finalterm OVPAA-F-INS-055A RAW '!CX41="","",'Finalterm OVPAA-F-INS-055A RAW '!CX41/'Finalterm OVPAA-F-INS-055A RAW '!CX$17*100)</f>
        <v/>
      </c>
      <c r="DC41" s="134" t="str">
        <f t="array" ref="DC41">IF('Midterm OVPAA-F-INS-055A RAW SC'!$G41="","",IF((SUMPRODUCT(--ISBLANK('Finalterm OVPAA-F-INS-055A RAW '!CO41:CX41))=COLUMNS('Finalterm OVPAA-F-INS-055A RAW '!CO41:CX41))=TRUE,"",(((COUNTA('Finalterm OVPAA-F-INS-055A RAW '!$CO$17:$CX$17)+COUNTBLANK('Finalterm OVPAA-F-INS-055A RAW '!CO41:CX41))-COLUMNS('Finalterm OVPAA-F-INS-055A RAW '!CO41:CX41))*5+SUM(CS41:DB41))/COUNTA('Finalterm OVPAA-F-INS-055A RAW '!$CO$17:$CX$17)))</f>
        <v/>
      </c>
      <c r="DD41" s="135" t="str">
        <f>IF(DC41="","",VLOOKUP(DC41,IF('Midterm OVPAA-F-INS-055A RAW SC'!$V$12=0.5,TRANSMUTATION!$C$4:$D$17,TRANSMUTATION!$G$4:$H$17),2,TRUE))</f>
        <v/>
      </c>
      <c r="DE41" s="136" t="str">
        <f t="shared" si="1"/>
        <v/>
      </c>
      <c r="DF41" s="166" t="str">
        <f t="shared" si="2"/>
        <v/>
      </c>
      <c r="DG41" s="167" t="str">
        <f t="shared" si="3"/>
        <v/>
      </c>
      <c r="DH41" s="168" t="str">
        <f t="shared" si="4"/>
        <v/>
      </c>
      <c r="DI41" s="169" t="str">
        <f t="shared" si="5"/>
        <v/>
      </c>
    </row>
    <row r="42" spans="5:113" ht="15.75" customHeight="1">
      <c r="E42" s="59">
        <v>25</v>
      </c>
      <c r="F42" s="124" t="str">
        <f>IF(NOT(ISBLANK('Midterm OVPAA-F-INS-055A RAW SC'!F42)),'Midterm OVPAA-F-INS-055A RAW SC'!F42,"")</f>
        <v/>
      </c>
      <c r="G42" s="125" t="str">
        <f>IF(NOT(ISBLANK('Midterm OVPAA-F-INS-055A RAW SC'!G42)),'Midterm OVPAA-F-INS-055A RAW SC'!G42,"")</f>
        <v/>
      </c>
      <c r="H42" s="126" t="str">
        <f>IF('Finalterm OVPAA-F-INS-055A RAW '!H42="","",'Finalterm OVPAA-F-INS-055A RAW '!H42/'Finalterm OVPAA-F-INS-055A RAW '!H$17*100)</f>
        <v/>
      </c>
      <c r="I42" s="126" t="str">
        <f>IF('Finalterm OVPAA-F-INS-055A RAW '!I42="","",'Finalterm OVPAA-F-INS-055A RAW '!I42/'Finalterm OVPAA-F-INS-055A RAW '!I$17*100)</f>
        <v/>
      </c>
      <c r="J42" s="126" t="str">
        <f>IF('Finalterm OVPAA-F-INS-055A RAW '!J42="","",'Finalterm OVPAA-F-INS-055A RAW '!J42/'Finalterm OVPAA-F-INS-055A RAW '!J$17*100)</f>
        <v/>
      </c>
      <c r="K42" s="126" t="str">
        <f>IF('Finalterm OVPAA-F-INS-055A RAW '!K42="","",'Finalterm OVPAA-F-INS-055A RAW '!K42/'Finalterm OVPAA-F-INS-055A RAW '!K$17*100)</f>
        <v/>
      </c>
      <c r="L42" s="126" t="str">
        <f>IF('Finalterm OVPAA-F-INS-055A RAW '!L42="","",'Finalterm OVPAA-F-INS-055A RAW '!L42/'Finalterm OVPAA-F-INS-055A RAW '!L$17*100)</f>
        <v/>
      </c>
      <c r="M42" s="126" t="str">
        <f>IF('Finalterm OVPAA-F-INS-055A RAW '!M42="","",'Finalterm OVPAA-F-INS-055A RAW '!M42/'Finalterm OVPAA-F-INS-055A RAW '!M$17*100)</f>
        <v/>
      </c>
      <c r="N42" s="126" t="str">
        <f>IF('Finalterm OVPAA-F-INS-055A RAW '!N42="","",'Finalterm OVPAA-F-INS-055A RAW '!N42/'Finalterm OVPAA-F-INS-055A RAW '!N$17*100)</f>
        <v/>
      </c>
      <c r="O42" s="126" t="str">
        <f>IF('Finalterm OVPAA-F-INS-055A RAW '!O42="","",'Finalterm OVPAA-F-INS-055A RAW '!O42/'Finalterm OVPAA-F-INS-055A RAW '!O$17*100)</f>
        <v/>
      </c>
      <c r="P42" s="126" t="str">
        <f>IF('Finalterm OVPAA-F-INS-055A RAW '!P42="","",'Finalterm OVPAA-F-INS-055A RAW '!P42/'Finalterm OVPAA-F-INS-055A RAW '!P$17*100)</f>
        <v/>
      </c>
      <c r="Q42" s="126" t="str">
        <f>IF('Finalterm OVPAA-F-INS-055A RAW '!Q42="","",'Finalterm OVPAA-F-INS-055A RAW '!Q42/'Finalterm OVPAA-F-INS-055A RAW '!Q$17*100)</f>
        <v/>
      </c>
      <c r="R42" s="126" t="str">
        <f>IF('Finalterm OVPAA-F-INS-055A RAW '!R42="","",'Finalterm OVPAA-F-INS-055A RAW '!R42/'Finalterm OVPAA-F-INS-055A RAW '!R$17*100)</f>
        <v/>
      </c>
      <c r="S42" s="126" t="str">
        <f>IF('Finalterm OVPAA-F-INS-055A RAW '!S42="","",'Finalterm OVPAA-F-INS-055A RAW '!S42/'Finalterm OVPAA-F-INS-055A RAW '!S$17*100)</f>
        <v/>
      </c>
      <c r="T42" s="126" t="str">
        <f>IF('Finalterm OVPAA-F-INS-055A RAW '!T42="","",'Finalterm OVPAA-F-INS-055A RAW '!T42/'Finalterm OVPAA-F-INS-055A RAW '!T$17*100)</f>
        <v/>
      </c>
      <c r="U42" s="126" t="str">
        <f>IF('Finalterm OVPAA-F-INS-055A RAW '!U42="","",'Finalterm OVPAA-F-INS-055A RAW '!U42/'Finalterm OVPAA-F-INS-055A RAW '!U$17*100)</f>
        <v/>
      </c>
      <c r="V42" s="126" t="str">
        <f>IF('Finalterm OVPAA-F-INS-055A RAW '!V42="","",'Finalterm OVPAA-F-INS-055A RAW '!V42/'Finalterm OVPAA-F-INS-055A RAW '!V$17*100)</f>
        <v/>
      </c>
      <c r="W42" s="126" t="str">
        <f>IF('Finalterm OVPAA-F-INS-055A RAW '!W42="","",'Finalterm OVPAA-F-INS-055A RAW '!W42/'Finalterm OVPAA-F-INS-055A RAW '!W$17*100)</f>
        <v/>
      </c>
      <c r="X42" s="126" t="str">
        <f>IF('Finalterm OVPAA-F-INS-055A RAW '!X42="","",'Finalterm OVPAA-F-INS-055A RAW '!X42/'Finalterm OVPAA-F-INS-055A RAW '!X$17*100)</f>
        <v/>
      </c>
      <c r="Y42" s="126" t="str">
        <f>IF('Finalterm OVPAA-F-INS-055A RAW '!Y42="","",'Finalterm OVPAA-F-INS-055A RAW '!Y42/'Finalterm OVPAA-F-INS-055A RAW '!Y$17*100)</f>
        <v/>
      </c>
      <c r="Z42" s="126" t="str">
        <f>IF('Finalterm OVPAA-F-INS-055A RAW '!Z42="","",'Finalterm OVPAA-F-INS-055A RAW '!Z42/'Finalterm OVPAA-F-INS-055A RAW '!Z$17*100)</f>
        <v/>
      </c>
      <c r="AA42" s="126" t="str">
        <f>IF('Finalterm OVPAA-F-INS-055A RAW '!AA42="","",'Finalterm OVPAA-F-INS-055A RAW '!AA42/'Finalterm OVPAA-F-INS-055A RAW '!AA$17*100)</f>
        <v/>
      </c>
      <c r="AB42" s="126" t="str">
        <f>IF('Finalterm OVPAA-F-INS-055A RAW '!AB42="","",'Finalterm OVPAA-F-INS-055A RAW '!AB42/'Finalterm OVPAA-F-INS-055A RAW '!AB$17*100)</f>
        <v/>
      </c>
      <c r="AC42" s="126" t="str">
        <f>IF('Finalterm OVPAA-F-INS-055A RAW '!AC42="","",'Finalterm OVPAA-F-INS-055A RAW '!AC42/'Finalterm OVPAA-F-INS-055A RAW '!AC$17*100)</f>
        <v/>
      </c>
      <c r="AD42" s="126" t="str">
        <f>IF('Finalterm OVPAA-F-INS-055A RAW '!AD42="","",'Finalterm OVPAA-F-INS-055A RAW '!AD42/'Finalterm OVPAA-F-INS-055A RAW '!AD$17*100)</f>
        <v/>
      </c>
      <c r="AE42" s="126" t="str">
        <f>IF('Finalterm OVPAA-F-INS-055A RAW '!AE42="","",'Finalterm OVPAA-F-INS-055A RAW '!AE42/'Finalterm OVPAA-F-INS-055A RAW '!AE$17*100)</f>
        <v/>
      </c>
      <c r="AF42" s="126" t="str">
        <f>IF('Finalterm OVPAA-F-INS-055A RAW '!AF42="","",'Finalterm OVPAA-F-INS-055A RAW '!AF42/'Finalterm OVPAA-F-INS-055A RAW '!AF$17*100)</f>
        <v/>
      </c>
      <c r="AG42" s="126" t="str">
        <f>IF('Finalterm OVPAA-F-INS-055A RAW '!AG42="","",'Finalterm OVPAA-F-INS-055A RAW '!AG42/'Finalterm OVPAA-F-INS-055A RAW '!AG$17*100)</f>
        <v/>
      </c>
      <c r="AH42" s="126" t="str">
        <f>IF('Finalterm OVPAA-F-INS-055A RAW '!AH42="","",'Finalterm OVPAA-F-INS-055A RAW '!AH42/'Finalterm OVPAA-F-INS-055A RAW '!AH$17*100)</f>
        <v/>
      </c>
      <c r="AI42" s="126" t="str">
        <f>IF('Finalterm OVPAA-F-INS-055A RAW '!AI42="","",'Finalterm OVPAA-F-INS-055A RAW '!AI42/'Finalterm OVPAA-F-INS-055A RAW '!AI$17*100)</f>
        <v/>
      </c>
      <c r="AJ42" s="126" t="str">
        <f>IF('Finalterm OVPAA-F-INS-055A RAW '!AJ42="","",'Finalterm OVPAA-F-INS-055A RAW '!AJ42/'Finalterm OVPAA-F-INS-055A RAW '!AJ$17*100)</f>
        <v/>
      </c>
      <c r="AK42" s="126" t="str">
        <f>IF('Finalterm OVPAA-F-INS-055A RAW '!AK42="","",'Finalterm OVPAA-F-INS-055A RAW '!AK42/'Finalterm OVPAA-F-INS-055A RAW '!AK$17*100)</f>
        <v/>
      </c>
      <c r="AL42" s="126" t="str">
        <f>IF('Finalterm OVPAA-F-INS-055A RAW '!AL42="","",'Finalterm OVPAA-F-INS-055A RAW '!AL42/'Finalterm OVPAA-F-INS-055A RAW '!AL$17*100)</f>
        <v/>
      </c>
      <c r="AM42" s="126" t="str">
        <f>IF('Finalterm OVPAA-F-INS-055A RAW '!AM42="","",'Finalterm OVPAA-F-INS-055A RAW '!AM42/'Finalterm OVPAA-F-INS-055A RAW '!AM$17*100)</f>
        <v/>
      </c>
      <c r="AN42" s="126" t="str">
        <f>IF('Finalterm OVPAA-F-INS-055A RAW '!AN42="","",'Finalterm OVPAA-F-INS-055A RAW '!AN42/'Finalterm OVPAA-F-INS-055A RAW '!AN$17*100)</f>
        <v/>
      </c>
      <c r="AO42" s="126" t="str">
        <f>IF('Finalterm OVPAA-F-INS-055A RAW '!AO42="","",'Finalterm OVPAA-F-INS-055A RAW '!AO42/'Finalterm OVPAA-F-INS-055A RAW '!AO$17*100)</f>
        <v/>
      </c>
      <c r="AP42" s="126" t="str">
        <f>IF('Finalterm OVPAA-F-INS-055A RAW '!AP42="","",'Finalterm OVPAA-F-INS-055A RAW '!AP42/'Finalterm OVPAA-F-INS-055A RAW '!AP$17*100)</f>
        <v/>
      </c>
      <c r="AQ42" s="126" t="str">
        <f>IF('Finalterm OVPAA-F-INS-055A RAW '!AQ42="","",'Finalterm OVPAA-F-INS-055A RAW '!AQ42/'Finalterm OVPAA-F-INS-055A RAW '!AQ$17*100)</f>
        <v/>
      </c>
      <c r="AR42" s="126" t="str">
        <f>IF('Finalterm OVPAA-F-INS-055A RAW '!AR42="","",'Finalterm OVPAA-F-INS-055A RAW '!AR42/'Finalterm OVPAA-F-INS-055A RAW '!AR$17*100)</f>
        <v/>
      </c>
      <c r="AS42" s="126" t="str">
        <f>IF('Finalterm OVPAA-F-INS-055A RAW '!AS42="","",'Finalterm OVPAA-F-INS-055A RAW '!AS42/'Finalterm OVPAA-F-INS-055A RAW '!AS$17*100)</f>
        <v/>
      </c>
      <c r="AT42" s="126" t="str">
        <f>IF('Finalterm OVPAA-F-INS-055A RAW '!AT42="","",'Finalterm OVPAA-F-INS-055A RAW '!AT42/'Finalterm OVPAA-F-INS-055A RAW '!AT$17*100)</f>
        <v/>
      </c>
      <c r="AU42" s="126" t="str">
        <f>IF('Finalterm OVPAA-F-INS-055A RAW '!AU42="","",'Finalterm OVPAA-F-INS-055A RAW '!AU42/'Finalterm OVPAA-F-INS-055A RAW '!AU$17*100)</f>
        <v/>
      </c>
      <c r="AV42" s="126" t="str">
        <f>IF('Finalterm OVPAA-F-INS-055A RAW '!AV42="","",'Finalterm OVPAA-F-INS-055A RAW '!AV42/'Finalterm OVPAA-F-INS-055A RAW '!AV$17*100)</f>
        <v/>
      </c>
      <c r="AW42" s="126" t="str">
        <f>IF('Finalterm OVPAA-F-INS-055A RAW '!AW42="","",'Finalterm OVPAA-F-INS-055A RAW '!AW42/'Finalterm OVPAA-F-INS-055A RAW '!AW$17*100)</f>
        <v/>
      </c>
      <c r="AX42" s="126" t="str">
        <f>IF('Finalterm OVPAA-F-INS-055A RAW '!AX42="","",'Finalterm OVPAA-F-INS-055A RAW '!AX42/'Finalterm OVPAA-F-INS-055A RAW '!AX$17*100)</f>
        <v/>
      </c>
      <c r="AY42" s="126" t="str">
        <f>IF('Finalterm OVPAA-F-INS-055A RAW '!AY42="","",'Finalterm OVPAA-F-INS-055A RAW '!AY42/'Finalterm OVPAA-F-INS-055A RAW '!AY$17*100)</f>
        <v/>
      </c>
      <c r="AZ42" s="126" t="str">
        <f>IF('Finalterm OVPAA-F-INS-055A RAW '!AZ42="","",'Finalterm OVPAA-F-INS-055A RAW '!AZ42/'Finalterm OVPAA-F-INS-055A RAW '!AZ$17*100)</f>
        <v/>
      </c>
      <c r="BA42" s="126" t="str">
        <f>IF('Finalterm OVPAA-F-INS-055A RAW '!BA42="","",'Finalterm OVPAA-F-INS-055A RAW '!BA42/'Finalterm OVPAA-F-INS-055A RAW '!BA$17*100)</f>
        <v/>
      </c>
      <c r="BB42" s="126" t="str">
        <f>IF('Finalterm OVPAA-F-INS-055A RAW '!BB42="","",'Finalterm OVPAA-F-INS-055A RAW '!BB42/'Finalterm OVPAA-F-INS-055A RAW '!BB$17*100)</f>
        <v/>
      </c>
      <c r="BC42" s="126" t="str">
        <f>IF('Finalterm OVPAA-F-INS-055A RAW '!BC42="","",'Finalterm OVPAA-F-INS-055A RAW '!BC42/'Finalterm OVPAA-F-INS-055A RAW '!BC$17*100)</f>
        <v/>
      </c>
      <c r="BD42" s="126" t="str">
        <f>IF('Finalterm OVPAA-F-INS-055A RAW '!BD42="","",'Finalterm OVPAA-F-INS-055A RAW '!BD42/'Finalterm OVPAA-F-INS-055A RAW '!BD$17*100)</f>
        <v/>
      </c>
      <c r="BE42" s="126" t="str">
        <f>IF('Finalterm OVPAA-F-INS-055A RAW '!BE42="","",'Finalterm OVPAA-F-INS-055A RAW '!BE42/'Finalterm OVPAA-F-INS-055A RAW '!BE$17*100)</f>
        <v/>
      </c>
      <c r="BF42" s="126" t="str">
        <f>IF('Finalterm OVPAA-F-INS-055A RAW '!BF42="","",'Finalterm OVPAA-F-INS-055A RAW '!BF42/'Finalterm OVPAA-F-INS-055A RAW '!BF$17*100)</f>
        <v/>
      </c>
      <c r="BG42" s="126" t="str">
        <f>IF('Finalterm OVPAA-F-INS-055A RAW '!BG42="","",'Finalterm OVPAA-F-INS-055A RAW '!BG42/'Finalterm OVPAA-F-INS-055A RAW '!BG$17*100)</f>
        <v/>
      </c>
      <c r="BH42" s="126" t="str">
        <f>IF('Finalterm OVPAA-F-INS-055A RAW '!BH42="","",'Finalterm OVPAA-F-INS-055A RAW '!BH42/'Finalterm OVPAA-F-INS-055A RAW '!BH$17*100)</f>
        <v/>
      </c>
      <c r="BI42" s="126" t="str">
        <f>IF('Finalterm OVPAA-F-INS-055A RAW '!BI42="","",'Finalterm OVPAA-F-INS-055A RAW '!BI42/'Finalterm OVPAA-F-INS-055A RAW '!BI$17*100)</f>
        <v/>
      </c>
      <c r="BJ42" s="126" t="str">
        <f>IF('Finalterm OVPAA-F-INS-055A RAW '!BJ42="","",'Finalterm OVPAA-F-INS-055A RAW '!BJ42/'Finalterm OVPAA-F-INS-055A RAW '!BJ$17*100)</f>
        <v/>
      </c>
      <c r="BK42" s="126" t="str">
        <f>IF('Finalterm OVPAA-F-INS-055A RAW '!BK42="","",'Finalterm OVPAA-F-INS-055A RAW '!BK42/'Finalterm OVPAA-F-INS-055A RAW '!BK$17*100)</f>
        <v/>
      </c>
      <c r="BL42" s="126" t="str">
        <f>IF('Finalterm OVPAA-F-INS-055A RAW '!BL42="","",'Finalterm OVPAA-F-INS-055A RAW '!BL42/'Finalterm OVPAA-F-INS-055A RAW '!BL$17*100)</f>
        <v/>
      </c>
      <c r="BM42" s="126" t="str">
        <f>IF('Finalterm OVPAA-F-INS-055A RAW '!BM42="","",'Finalterm OVPAA-F-INS-055A RAW '!BM42/'Finalterm OVPAA-F-INS-055A RAW '!BM$17*100)</f>
        <v/>
      </c>
      <c r="BN42" s="126" t="str">
        <f>IF('Finalterm OVPAA-F-INS-055A RAW '!BN42="","",'Finalterm OVPAA-F-INS-055A RAW '!BN42/'Finalterm OVPAA-F-INS-055A RAW '!BN$17*100)</f>
        <v/>
      </c>
      <c r="BO42" s="126" t="str">
        <f>IF('Finalterm OVPAA-F-INS-055A RAW '!BO42="","",'Finalterm OVPAA-F-INS-055A RAW '!BO42/'Finalterm OVPAA-F-INS-055A RAW '!BO$17*100)</f>
        <v/>
      </c>
      <c r="BP42" s="126" t="str">
        <f>IF('Finalterm OVPAA-F-INS-055A RAW '!BP42="","",'Finalterm OVPAA-F-INS-055A RAW '!BP42/'Finalterm OVPAA-F-INS-055A RAW '!BP$17*100)</f>
        <v/>
      </c>
      <c r="BQ42" s="126" t="str">
        <f>IF('Finalterm OVPAA-F-INS-055A RAW '!BQ42="","",'Finalterm OVPAA-F-INS-055A RAW '!BQ42/'Finalterm OVPAA-F-INS-055A RAW '!BQ$17*100)</f>
        <v/>
      </c>
      <c r="BR42" s="126" t="str">
        <f>IF('Finalterm OVPAA-F-INS-055A RAW '!BR42="","",'Finalterm OVPAA-F-INS-055A RAW '!BR42/'Finalterm OVPAA-F-INS-055A RAW '!BR$17*100)</f>
        <v/>
      </c>
      <c r="BS42" s="126" t="str">
        <f>IF('Finalterm OVPAA-F-INS-055A RAW '!BS42="","",'Finalterm OVPAA-F-INS-055A RAW '!BS42/'Finalterm OVPAA-F-INS-055A RAW '!BS$17*100)</f>
        <v/>
      </c>
      <c r="BT42" s="126" t="str">
        <f>IF('Finalterm OVPAA-F-INS-055A RAW '!BT42="","",'Finalterm OVPAA-F-INS-055A RAW '!BT42/'Finalterm OVPAA-F-INS-055A RAW '!BT$17*100)</f>
        <v/>
      </c>
      <c r="BU42" s="127" t="str">
        <f t="array" ref="BU42">IF('Finalterm OVPAA-F-INS-055A RAW '!$G42="","",IF((SUMPRODUCT(--ISBLANK('Finalterm OVPAA-F-INS-055A RAW '!H42:BT42))=COLUMNS('Finalterm OVPAA-F-INS-055A RAW '!H42:BT42))=TRUE,"",(((COUNTA('Finalterm OVPAA-F-INS-055A RAW '!$H$17:$BT$17)+COUNTBLANK('Finalterm OVPAA-F-INS-055A RAW '!H42:BT42))-COLUMNS('Finalterm OVPAA-F-INS-055A RAW '!H42:BT42))*5+SUM(H42:BT42))/COUNTA('Finalterm OVPAA-F-INS-055A RAW '!$H$17:$BT$17)))</f>
        <v/>
      </c>
      <c r="BV42" s="165" t="str">
        <f>IF(BU42="","",VLOOKUP(BU42,IF('Midterm OVPAA-F-INS-055A RAW SC'!$V$12=0.5,TRANSMUTATION!$C$4:$D$17,TRANSMUTATION!$G$4:$H$17),2,TRUE))</f>
        <v/>
      </c>
      <c r="BW42" s="129" t="str">
        <f>IF('Finalterm OVPAA-F-INS-055A RAW '!BU42="","",'Finalterm OVPAA-F-INS-055A RAW '!BU42/'Finalterm OVPAA-F-INS-055A RAW '!BU$17*100)</f>
        <v/>
      </c>
      <c r="BX42" s="130" t="str">
        <f>IF('Finalterm OVPAA-F-INS-055A RAW '!BV42="","",'Finalterm OVPAA-F-INS-055A RAW '!BV42/'Finalterm OVPAA-F-INS-055A RAW '!BV$17*100)</f>
        <v/>
      </c>
      <c r="BY42" s="130" t="str">
        <f>IF('Finalterm OVPAA-F-INS-055A RAW '!BW42="","",'Finalterm OVPAA-F-INS-055A RAW '!BW42/'Finalterm OVPAA-F-INS-055A RAW '!BW$17*100)</f>
        <v/>
      </c>
      <c r="BZ42" s="130" t="str">
        <f>IF('Finalterm OVPAA-F-INS-055A RAW '!BX42="","",'Finalterm OVPAA-F-INS-055A RAW '!BX42/'Finalterm OVPAA-F-INS-055A RAW '!BX$17*100)</f>
        <v/>
      </c>
      <c r="CA42" s="130" t="str">
        <f>IF('Finalterm OVPAA-F-INS-055A RAW '!BY42="","",'Finalterm OVPAA-F-INS-055A RAW '!BY42/'Finalterm OVPAA-F-INS-055A RAW '!BY$17*100)</f>
        <v/>
      </c>
      <c r="CB42" s="130" t="str">
        <f>IF('Finalterm OVPAA-F-INS-055A RAW '!BZ42="","",'Finalterm OVPAA-F-INS-055A RAW '!BZ42/'Finalterm OVPAA-F-INS-055A RAW '!BZ$17*100)</f>
        <v/>
      </c>
      <c r="CC42" s="130" t="str">
        <f>IF('Finalterm OVPAA-F-INS-055A RAW '!CA42="","",'Finalterm OVPAA-F-INS-055A RAW '!CA42/'Finalterm OVPAA-F-INS-055A RAW '!CA$17*100)</f>
        <v/>
      </c>
      <c r="CD42" s="130" t="str">
        <f>IF('Finalterm OVPAA-F-INS-055A RAW '!CB42="","",'Finalterm OVPAA-F-INS-055A RAW '!CB42/'Finalterm OVPAA-F-INS-055A RAW '!CB$17*100)</f>
        <v/>
      </c>
      <c r="CE42" s="130" t="str">
        <f>IF('Finalterm OVPAA-F-INS-055A RAW '!CC42="","",'Finalterm OVPAA-F-INS-055A RAW '!CC42/'Finalterm OVPAA-F-INS-055A RAW '!CC$17*100)</f>
        <v/>
      </c>
      <c r="CF42" s="130" t="str">
        <f>IF('Finalterm OVPAA-F-INS-055A RAW '!CD42="","",'Finalterm OVPAA-F-INS-055A RAW '!CD42/'Finalterm OVPAA-F-INS-055A RAW '!CD$17*100)</f>
        <v/>
      </c>
      <c r="CG42" s="130" t="str">
        <f>IF('Finalterm OVPAA-F-INS-055A RAW '!CE42="","",'Finalterm OVPAA-F-INS-055A RAW '!CE42/'Finalterm OVPAA-F-INS-055A RAW '!CE$17*100)</f>
        <v/>
      </c>
      <c r="CH42" s="130" t="str">
        <f>IF('Finalterm OVPAA-F-INS-055A RAW '!CF42="","",'Finalterm OVPAA-F-INS-055A RAW '!CF42/'Finalterm OVPAA-F-INS-055A RAW '!CF$17*100)</f>
        <v/>
      </c>
      <c r="CI42" s="130" t="str">
        <f>IF('Finalterm OVPAA-F-INS-055A RAW '!CG42="","",'Finalterm OVPAA-F-INS-055A RAW '!CG42/'Finalterm OVPAA-F-INS-055A RAW '!CG$17*100)</f>
        <v/>
      </c>
      <c r="CJ42" s="130" t="str">
        <f>IF('Finalterm OVPAA-F-INS-055A RAW '!CH42="","",'Finalterm OVPAA-F-INS-055A RAW '!CH42/'Finalterm OVPAA-F-INS-055A RAW '!CH$17*100)</f>
        <v/>
      </c>
      <c r="CK42" s="130" t="str">
        <f>IF('Finalterm OVPAA-F-INS-055A RAW '!CI42="","",'Finalterm OVPAA-F-INS-055A RAW '!CI42/'Finalterm OVPAA-F-INS-055A RAW '!CI$17*100)</f>
        <v/>
      </c>
      <c r="CL42" s="130" t="str">
        <f>IF('Finalterm OVPAA-F-INS-055A RAW '!CJ42="","",'Finalterm OVPAA-F-INS-055A RAW '!CJ42/'Finalterm OVPAA-F-INS-055A RAW '!CJ$17*100)</f>
        <v/>
      </c>
      <c r="CM42" s="130" t="str">
        <f>IF('Finalterm OVPAA-F-INS-055A RAW '!CK42="","",'Finalterm OVPAA-F-INS-055A RAW '!CK42/'Finalterm OVPAA-F-INS-055A RAW '!CK$17*100)</f>
        <v/>
      </c>
      <c r="CN42" s="130" t="str">
        <f>IF('Finalterm OVPAA-F-INS-055A RAW '!CL42="","",'Finalterm OVPAA-F-INS-055A RAW '!CL42/'Finalterm OVPAA-F-INS-055A RAW '!CL$17*100)</f>
        <v/>
      </c>
      <c r="CO42" s="130" t="str">
        <f>IF('Finalterm OVPAA-F-INS-055A RAW '!CM42="","",'Finalterm OVPAA-F-INS-055A RAW '!CM42/'Finalterm OVPAA-F-INS-055A RAW '!CM$17*100)</f>
        <v/>
      </c>
      <c r="CP42" s="130" t="str">
        <f>IF('Finalterm OVPAA-F-INS-055A RAW '!CN42="","",'Finalterm OVPAA-F-INS-055A RAW '!CN42/'Finalterm OVPAA-F-INS-055A RAW '!CN$17*100)</f>
        <v/>
      </c>
      <c r="CQ42" s="131" t="str">
        <f t="array" ref="CQ42">IF('Midterm OVPAA-F-INS-055A RAW SC'!G42="","",IF((SUMPRODUCT(--ISBLANK('Finalterm OVPAA-F-INS-055A RAW '!BU42:CN42))=COLUMNS('Finalterm OVPAA-F-INS-055A RAW '!BU42:CN42))=TRUE,"",(((COUNTA('Finalterm OVPAA-F-INS-055A RAW '!$BU$17:$CN$17)+COUNTBLANK('Finalterm OVPAA-F-INS-055A RAW '!BU42:CN42))-COLUMNS('Finalterm OVPAA-F-INS-055A RAW '!BU42:CN42))*5+SUM(BW42:CP42))/COUNTA('Finalterm OVPAA-F-INS-055A RAW '!$BU$17:$CN$17)))</f>
        <v/>
      </c>
      <c r="CR42" s="132" t="str">
        <f>IF(CQ42="","",VLOOKUP(CQ42,IF('Midterm OVPAA-F-INS-055A RAW SC'!$V$12=0.5,TRANSMUTATION!$C$4:$D$17,TRANSMUTATION!$G$4:$H$17),2,TRUE))</f>
        <v/>
      </c>
      <c r="CS42" s="133" t="str">
        <f>IF('Finalterm OVPAA-F-INS-055A RAW '!CO42="","",'Finalterm OVPAA-F-INS-055A RAW '!CO42/'Finalterm OVPAA-F-INS-055A RAW '!CO$17*100)</f>
        <v/>
      </c>
      <c r="CT42" s="133" t="str">
        <f>IF('Finalterm OVPAA-F-INS-055A RAW '!CP42="","",'Finalterm OVPAA-F-INS-055A RAW '!CP42/'Finalterm OVPAA-F-INS-055A RAW '!CP$17*100)</f>
        <v/>
      </c>
      <c r="CU42" s="133" t="str">
        <f>IF('Finalterm OVPAA-F-INS-055A RAW '!CQ42="","",'Finalterm OVPAA-F-INS-055A RAW '!CQ42/'Finalterm OVPAA-F-INS-055A RAW '!CQ$17*100)</f>
        <v/>
      </c>
      <c r="CV42" s="133" t="str">
        <f>IF('Finalterm OVPAA-F-INS-055A RAW '!CR42="","",'Finalterm OVPAA-F-INS-055A RAW '!CR42/'Finalterm OVPAA-F-INS-055A RAW '!CR$17*100)</f>
        <v/>
      </c>
      <c r="CW42" s="133" t="str">
        <f>IF('Finalterm OVPAA-F-INS-055A RAW '!CS42="","",'Finalterm OVPAA-F-INS-055A RAW '!CS42/'Finalterm OVPAA-F-INS-055A RAW '!CS$17*100)</f>
        <v/>
      </c>
      <c r="CX42" s="133" t="str">
        <f>IF('Finalterm OVPAA-F-INS-055A RAW '!CT42="","",'Finalterm OVPAA-F-INS-055A RAW '!CT42/'Finalterm OVPAA-F-INS-055A RAW '!CT$17*100)</f>
        <v/>
      </c>
      <c r="CY42" s="133" t="str">
        <f>IF('Finalterm OVPAA-F-INS-055A RAW '!CU42="","",'Finalterm OVPAA-F-INS-055A RAW '!CU42/'Finalterm OVPAA-F-INS-055A RAW '!CU$17*100)</f>
        <v/>
      </c>
      <c r="CZ42" s="133" t="str">
        <f>IF('Finalterm OVPAA-F-INS-055A RAW '!CV42="","",'Finalterm OVPAA-F-INS-055A RAW '!CV42/'Finalterm OVPAA-F-INS-055A RAW '!CV$17*100)</f>
        <v/>
      </c>
      <c r="DA42" s="133" t="str">
        <f>IF('Finalterm OVPAA-F-INS-055A RAW '!CW42="","",'Finalterm OVPAA-F-INS-055A RAW '!CW42/'Finalterm OVPAA-F-INS-055A RAW '!CW$17*100)</f>
        <v/>
      </c>
      <c r="DB42" s="133" t="str">
        <f>IF('Finalterm OVPAA-F-INS-055A RAW '!CX42="","",'Finalterm OVPAA-F-INS-055A RAW '!CX42/'Finalterm OVPAA-F-INS-055A RAW '!CX$17*100)</f>
        <v/>
      </c>
      <c r="DC42" s="134" t="str">
        <f t="array" ref="DC42">IF('Midterm OVPAA-F-INS-055A RAW SC'!$G42="","",IF((SUMPRODUCT(--ISBLANK('Finalterm OVPAA-F-INS-055A RAW '!CO42:CX42))=COLUMNS('Finalterm OVPAA-F-INS-055A RAW '!CO42:CX42))=TRUE,"",(((COUNTA('Finalterm OVPAA-F-INS-055A RAW '!$CO$17:$CX$17)+COUNTBLANK('Finalterm OVPAA-F-INS-055A RAW '!CO42:CX42))-COLUMNS('Finalterm OVPAA-F-INS-055A RAW '!CO42:CX42))*5+SUM(CS42:DB42))/COUNTA('Finalterm OVPAA-F-INS-055A RAW '!$CO$17:$CX$17)))</f>
        <v/>
      </c>
      <c r="DD42" s="135" t="str">
        <f>IF(DC42="","",VLOOKUP(DC42,IF('Midterm OVPAA-F-INS-055A RAW SC'!$V$12=0.5,TRANSMUTATION!$C$4:$D$17,TRANSMUTATION!$G$4:$H$17),2,TRUE))</f>
        <v/>
      </c>
      <c r="DE42" s="136" t="str">
        <f t="shared" si="1"/>
        <v/>
      </c>
      <c r="DF42" s="166" t="str">
        <f t="shared" si="2"/>
        <v/>
      </c>
      <c r="DG42" s="167" t="str">
        <f t="shared" si="3"/>
        <v/>
      </c>
      <c r="DH42" s="168" t="str">
        <f t="shared" si="4"/>
        <v/>
      </c>
      <c r="DI42" s="169" t="str">
        <f t="shared" si="5"/>
        <v/>
      </c>
    </row>
    <row r="43" spans="5:113" ht="15.75" customHeight="1">
      <c r="E43" s="59">
        <v>26</v>
      </c>
      <c r="F43" s="124" t="str">
        <f>IF(NOT(ISBLANK('Midterm OVPAA-F-INS-055A RAW SC'!F43)),'Midterm OVPAA-F-INS-055A RAW SC'!F43,"")</f>
        <v/>
      </c>
      <c r="G43" s="125" t="str">
        <f>IF(NOT(ISBLANK('Midterm OVPAA-F-INS-055A RAW SC'!G43)),'Midterm OVPAA-F-INS-055A RAW SC'!G43,"")</f>
        <v/>
      </c>
      <c r="H43" s="126" t="str">
        <f>IF('Finalterm OVPAA-F-INS-055A RAW '!H43="","",'Finalterm OVPAA-F-INS-055A RAW '!H43/'Finalterm OVPAA-F-INS-055A RAW '!H$17*100)</f>
        <v/>
      </c>
      <c r="I43" s="126" t="str">
        <f>IF('Finalterm OVPAA-F-INS-055A RAW '!I43="","",'Finalterm OVPAA-F-INS-055A RAW '!I43/'Finalterm OVPAA-F-INS-055A RAW '!I$17*100)</f>
        <v/>
      </c>
      <c r="J43" s="126" t="str">
        <f>IF('Finalterm OVPAA-F-INS-055A RAW '!J43="","",'Finalterm OVPAA-F-INS-055A RAW '!J43/'Finalterm OVPAA-F-INS-055A RAW '!J$17*100)</f>
        <v/>
      </c>
      <c r="K43" s="126" t="str">
        <f>IF('Finalterm OVPAA-F-INS-055A RAW '!K43="","",'Finalterm OVPAA-F-INS-055A RAW '!K43/'Finalterm OVPAA-F-INS-055A RAW '!K$17*100)</f>
        <v/>
      </c>
      <c r="L43" s="126" t="str">
        <f>IF('Finalterm OVPAA-F-INS-055A RAW '!L43="","",'Finalterm OVPAA-F-INS-055A RAW '!L43/'Finalterm OVPAA-F-INS-055A RAW '!L$17*100)</f>
        <v/>
      </c>
      <c r="M43" s="126" t="str">
        <f>IF('Finalterm OVPAA-F-INS-055A RAW '!M43="","",'Finalterm OVPAA-F-INS-055A RAW '!M43/'Finalterm OVPAA-F-INS-055A RAW '!M$17*100)</f>
        <v/>
      </c>
      <c r="N43" s="126" t="str">
        <f>IF('Finalterm OVPAA-F-INS-055A RAW '!N43="","",'Finalterm OVPAA-F-INS-055A RAW '!N43/'Finalterm OVPAA-F-INS-055A RAW '!N$17*100)</f>
        <v/>
      </c>
      <c r="O43" s="126" t="str">
        <f>IF('Finalterm OVPAA-F-INS-055A RAW '!O43="","",'Finalterm OVPAA-F-INS-055A RAW '!O43/'Finalterm OVPAA-F-INS-055A RAW '!O$17*100)</f>
        <v/>
      </c>
      <c r="P43" s="126" t="str">
        <f>IF('Finalterm OVPAA-F-INS-055A RAW '!P43="","",'Finalterm OVPAA-F-INS-055A RAW '!P43/'Finalterm OVPAA-F-INS-055A RAW '!P$17*100)</f>
        <v/>
      </c>
      <c r="Q43" s="126" t="str">
        <f>IF('Finalterm OVPAA-F-INS-055A RAW '!Q43="","",'Finalterm OVPAA-F-INS-055A RAW '!Q43/'Finalterm OVPAA-F-INS-055A RAW '!Q$17*100)</f>
        <v/>
      </c>
      <c r="R43" s="126" t="str">
        <f>IF('Finalterm OVPAA-F-INS-055A RAW '!R43="","",'Finalterm OVPAA-F-INS-055A RAW '!R43/'Finalterm OVPAA-F-INS-055A RAW '!R$17*100)</f>
        <v/>
      </c>
      <c r="S43" s="126" t="str">
        <f>IF('Finalterm OVPAA-F-INS-055A RAW '!S43="","",'Finalterm OVPAA-F-INS-055A RAW '!S43/'Finalterm OVPAA-F-INS-055A RAW '!S$17*100)</f>
        <v/>
      </c>
      <c r="T43" s="126" t="str">
        <f>IF('Finalterm OVPAA-F-INS-055A RAW '!T43="","",'Finalterm OVPAA-F-INS-055A RAW '!T43/'Finalterm OVPAA-F-INS-055A RAW '!T$17*100)</f>
        <v/>
      </c>
      <c r="U43" s="126" t="str">
        <f>IF('Finalterm OVPAA-F-INS-055A RAW '!U43="","",'Finalterm OVPAA-F-INS-055A RAW '!U43/'Finalterm OVPAA-F-INS-055A RAW '!U$17*100)</f>
        <v/>
      </c>
      <c r="V43" s="126" t="str">
        <f>IF('Finalterm OVPAA-F-INS-055A RAW '!V43="","",'Finalterm OVPAA-F-INS-055A RAW '!V43/'Finalterm OVPAA-F-INS-055A RAW '!V$17*100)</f>
        <v/>
      </c>
      <c r="W43" s="126" t="str">
        <f>IF('Finalterm OVPAA-F-INS-055A RAW '!W43="","",'Finalterm OVPAA-F-INS-055A RAW '!W43/'Finalterm OVPAA-F-INS-055A RAW '!W$17*100)</f>
        <v/>
      </c>
      <c r="X43" s="126" t="str">
        <f>IF('Finalterm OVPAA-F-INS-055A RAW '!X43="","",'Finalterm OVPAA-F-INS-055A RAW '!X43/'Finalterm OVPAA-F-INS-055A RAW '!X$17*100)</f>
        <v/>
      </c>
      <c r="Y43" s="126" t="str">
        <f>IF('Finalterm OVPAA-F-INS-055A RAW '!Y43="","",'Finalterm OVPAA-F-INS-055A RAW '!Y43/'Finalterm OVPAA-F-INS-055A RAW '!Y$17*100)</f>
        <v/>
      </c>
      <c r="Z43" s="126" t="str">
        <f>IF('Finalterm OVPAA-F-INS-055A RAW '!Z43="","",'Finalterm OVPAA-F-INS-055A RAW '!Z43/'Finalterm OVPAA-F-INS-055A RAW '!Z$17*100)</f>
        <v/>
      </c>
      <c r="AA43" s="126" t="str">
        <f>IF('Finalterm OVPAA-F-INS-055A RAW '!AA43="","",'Finalterm OVPAA-F-INS-055A RAW '!AA43/'Finalterm OVPAA-F-INS-055A RAW '!AA$17*100)</f>
        <v/>
      </c>
      <c r="AB43" s="126" t="str">
        <f>IF('Finalterm OVPAA-F-INS-055A RAW '!AB43="","",'Finalterm OVPAA-F-INS-055A RAW '!AB43/'Finalterm OVPAA-F-INS-055A RAW '!AB$17*100)</f>
        <v/>
      </c>
      <c r="AC43" s="126" t="str">
        <f>IF('Finalterm OVPAA-F-INS-055A RAW '!AC43="","",'Finalterm OVPAA-F-INS-055A RAW '!AC43/'Finalterm OVPAA-F-INS-055A RAW '!AC$17*100)</f>
        <v/>
      </c>
      <c r="AD43" s="126" t="str">
        <f>IF('Finalterm OVPAA-F-INS-055A RAW '!AD43="","",'Finalterm OVPAA-F-INS-055A RAW '!AD43/'Finalterm OVPAA-F-INS-055A RAW '!AD$17*100)</f>
        <v/>
      </c>
      <c r="AE43" s="126" t="str">
        <f>IF('Finalterm OVPAA-F-INS-055A RAW '!AE43="","",'Finalterm OVPAA-F-INS-055A RAW '!AE43/'Finalterm OVPAA-F-INS-055A RAW '!AE$17*100)</f>
        <v/>
      </c>
      <c r="AF43" s="126" t="str">
        <f>IF('Finalterm OVPAA-F-INS-055A RAW '!AF43="","",'Finalterm OVPAA-F-INS-055A RAW '!AF43/'Finalterm OVPAA-F-INS-055A RAW '!AF$17*100)</f>
        <v/>
      </c>
      <c r="AG43" s="126" t="str">
        <f>IF('Finalterm OVPAA-F-INS-055A RAW '!AG43="","",'Finalterm OVPAA-F-INS-055A RAW '!AG43/'Finalterm OVPAA-F-INS-055A RAW '!AG$17*100)</f>
        <v/>
      </c>
      <c r="AH43" s="126" t="str">
        <f>IF('Finalterm OVPAA-F-INS-055A RAW '!AH43="","",'Finalterm OVPAA-F-INS-055A RAW '!AH43/'Finalterm OVPAA-F-INS-055A RAW '!AH$17*100)</f>
        <v/>
      </c>
      <c r="AI43" s="126" t="str">
        <f>IF('Finalterm OVPAA-F-INS-055A RAW '!AI43="","",'Finalterm OVPAA-F-INS-055A RAW '!AI43/'Finalterm OVPAA-F-INS-055A RAW '!AI$17*100)</f>
        <v/>
      </c>
      <c r="AJ43" s="126" t="str">
        <f>IF('Finalterm OVPAA-F-INS-055A RAW '!AJ43="","",'Finalterm OVPAA-F-INS-055A RAW '!AJ43/'Finalterm OVPAA-F-INS-055A RAW '!AJ$17*100)</f>
        <v/>
      </c>
      <c r="AK43" s="126" t="str">
        <f>IF('Finalterm OVPAA-F-INS-055A RAW '!AK43="","",'Finalterm OVPAA-F-INS-055A RAW '!AK43/'Finalterm OVPAA-F-INS-055A RAW '!AK$17*100)</f>
        <v/>
      </c>
      <c r="AL43" s="126" t="str">
        <f>IF('Finalterm OVPAA-F-INS-055A RAW '!AL43="","",'Finalterm OVPAA-F-INS-055A RAW '!AL43/'Finalterm OVPAA-F-INS-055A RAW '!AL$17*100)</f>
        <v/>
      </c>
      <c r="AM43" s="126" t="str">
        <f>IF('Finalterm OVPAA-F-INS-055A RAW '!AM43="","",'Finalterm OVPAA-F-INS-055A RAW '!AM43/'Finalterm OVPAA-F-INS-055A RAW '!AM$17*100)</f>
        <v/>
      </c>
      <c r="AN43" s="126" t="str">
        <f>IF('Finalterm OVPAA-F-INS-055A RAW '!AN43="","",'Finalterm OVPAA-F-INS-055A RAW '!AN43/'Finalterm OVPAA-F-INS-055A RAW '!AN$17*100)</f>
        <v/>
      </c>
      <c r="AO43" s="126" t="str">
        <f>IF('Finalterm OVPAA-F-INS-055A RAW '!AO43="","",'Finalterm OVPAA-F-INS-055A RAW '!AO43/'Finalterm OVPAA-F-INS-055A RAW '!AO$17*100)</f>
        <v/>
      </c>
      <c r="AP43" s="126" t="str">
        <f>IF('Finalterm OVPAA-F-INS-055A RAW '!AP43="","",'Finalterm OVPAA-F-INS-055A RAW '!AP43/'Finalterm OVPAA-F-INS-055A RAW '!AP$17*100)</f>
        <v/>
      </c>
      <c r="AQ43" s="126" t="str">
        <f>IF('Finalterm OVPAA-F-INS-055A RAW '!AQ43="","",'Finalterm OVPAA-F-INS-055A RAW '!AQ43/'Finalterm OVPAA-F-INS-055A RAW '!AQ$17*100)</f>
        <v/>
      </c>
      <c r="AR43" s="126" t="str">
        <f>IF('Finalterm OVPAA-F-INS-055A RAW '!AR43="","",'Finalterm OVPAA-F-INS-055A RAW '!AR43/'Finalterm OVPAA-F-INS-055A RAW '!AR$17*100)</f>
        <v/>
      </c>
      <c r="AS43" s="126" t="str">
        <f>IF('Finalterm OVPAA-F-INS-055A RAW '!AS43="","",'Finalterm OVPAA-F-INS-055A RAW '!AS43/'Finalterm OVPAA-F-INS-055A RAW '!AS$17*100)</f>
        <v/>
      </c>
      <c r="AT43" s="126" t="str">
        <f>IF('Finalterm OVPAA-F-INS-055A RAW '!AT43="","",'Finalterm OVPAA-F-INS-055A RAW '!AT43/'Finalterm OVPAA-F-INS-055A RAW '!AT$17*100)</f>
        <v/>
      </c>
      <c r="AU43" s="126" t="str">
        <f>IF('Finalterm OVPAA-F-INS-055A RAW '!AU43="","",'Finalterm OVPAA-F-INS-055A RAW '!AU43/'Finalterm OVPAA-F-INS-055A RAW '!AU$17*100)</f>
        <v/>
      </c>
      <c r="AV43" s="126" t="str">
        <f>IF('Finalterm OVPAA-F-INS-055A RAW '!AV43="","",'Finalterm OVPAA-F-INS-055A RAW '!AV43/'Finalterm OVPAA-F-INS-055A RAW '!AV$17*100)</f>
        <v/>
      </c>
      <c r="AW43" s="126" t="str">
        <f>IF('Finalterm OVPAA-F-INS-055A RAW '!AW43="","",'Finalterm OVPAA-F-INS-055A RAW '!AW43/'Finalterm OVPAA-F-INS-055A RAW '!AW$17*100)</f>
        <v/>
      </c>
      <c r="AX43" s="126" t="str">
        <f>IF('Finalterm OVPAA-F-INS-055A RAW '!AX43="","",'Finalterm OVPAA-F-INS-055A RAW '!AX43/'Finalterm OVPAA-F-INS-055A RAW '!AX$17*100)</f>
        <v/>
      </c>
      <c r="AY43" s="126" t="str">
        <f>IF('Finalterm OVPAA-F-INS-055A RAW '!AY43="","",'Finalterm OVPAA-F-INS-055A RAW '!AY43/'Finalterm OVPAA-F-INS-055A RAW '!AY$17*100)</f>
        <v/>
      </c>
      <c r="AZ43" s="126" t="str">
        <f>IF('Finalterm OVPAA-F-INS-055A RAW '!AZ43="","",'Finalterm OVPAA-F-INS-055A RAW '!AZ43/'Finalterm OVPAA-F-INS-055A RAW '!AZ$17*100)</f>
        <v/>
      </c>
      <c r="BA43" s="126" t="str">
        <f>IF('Finalterm OVPAA-F-INS-055A RAW '!BA43="","",'Finalterm OVPAA-F-INS-055A RAW '!BA43/'Finalterm OVPAA-F-INS-055A RAW '!BA$17*100)</f>
        <v/>
      </c>
      <c r="BB43" s="126" t="str">
        <f>IF('Finalterm OVPAA-F-INS-055A RAW '!BB43="","",'Finalterm OVPAA-F-INS-055A RAW '!BB43/'Finalterm OVPAA-F-INS-055A RAW '!BB$17*100)</f>
        <v/>
      </c>
      <c r="BC43" s="126" t="str">
        <f>IF('Finalterm OVPAA-F-INS-055A RAW '!BC43="","",'Finalterm OVPAA-F-INS-055A RAW '!BC43/'Finalterm OVPAA-F-INS-055A RAW '!BC$17*100)</f>
        <v/>
      </c>
      <c r="BD43" s="126" t="str">
        <f>IF('Finalterm OVPAA-F-INS-055A RAW '!BD43="","",'Finalterm OVPAA-F-INS-055A RAW '!BD43/'Finalterm OVPAA-F-INS-055A RAW '!BD$17*100)</f>
        <v/>
      </c>
      <c r="BE43" s="126" t="str">
        <f>IF('Finalterm OVPAA-F-INS-055A RAW '!BE43="","",'Finalterm OVPAA-F-INS-055A RAW '!BE43/'Finalterm OVPAA-F-INS-055A RAW '!BE$17*100)</f>
        <v/>
      </c>
      <c r="BF43" s="126" t="str">
        <f>IF('Finalterm OVPAA-F-INS-055A RAW '!BF43="","",'Finalterm OVPAA-F-INS-055A RAW '!BF43/'Finalterm OVPAA-F-INS-055A RAW '!BF$17*100)</f>
        <v/>
      </c>
      <c r="BG43" s="126" t="str">
        <f>IF('Finalterm OVPAA-F-INS-055A RAW '!BG43="","",'Finalterm OVPAA-F-INS-055A RAW '!BG43/'Finalterm OVPAA-F-INS-055A RAW '!BG$17*100)</f>
        <v/>
      </c>
      <c r="BH43" s="126" t="str">
        <f>IF('Finalterm OVPAA-F-INS-055A RAW '!BH43="","",'Finalterm OVPAA-F-INS-055A RAW '!BH43/'Finalterm OVPAA-F-INS-055A RAW '!BH$17*100)</f>
        <v/>
      </c>
      <c r="BI43" s="126" t="str">
        <f>IF('Finalterm OVPAA-F-INS-055A RAW '!BI43="","",'Finalterm OVPAA-F-INS-055A RAW '!BI43/'Finalterm OVPAA-F-INS-055A RAW '!BI$17*100)</f>
        <v/>
      </c>
      <c r="BJ43" s="126" t="str">
        <f>IF('Finalterm OVPAA-F-INS-055A RAW '!BJ43="","",'Finalterm OVPAA-F-INS-055A RAW '!BJ43/'Finalterm OVPAA-F-INS-055A RAW '!BJ$17*100)</f>
        <v/>
      </c>
      <c r="BK43" s="126" t="str">
        <f>IF('Finalterm OVPAA-F-INS-055A RAW '!BK43="","",'Finalterm OVPAA-F-INS-055A RAW '!BK43/'Finalterm OVPAA-F-INS-055A RAW '!BK$17*100)</f>
        <v/>
      </c>
      <c r="BL43" s="126" t="str">
        <f>IF('Finalterm OVPAA-F-INS-055A RAW '!BL43="","",'Finalterm OVPAA-F-INS-055A RAW '!BL43/'Finalterm OVPAA-F-INS-055A RAW '!BL$17*100)</f>
        <v/>
      </c>
      <c r="BM43" s="126" t="str">
        <f>IF('Finalterm OVPAA-F-INS-055A RAW '!BM43="","",'Finalterm OVPAA-F-INS-055A RAW '!BM43/'Finalterm OVPAA-F-INS-055A RAW '!BM$17*100)</f>
        <v/>
      </c>
      <c r="BN43" s="126" t="str">
        <f>IF('Finalterm OVPAA-F-INS-055A RAW '!BN43="","",'Finalterm OVPAA-F-INS-055A RAW '!BN43/'Finalterm OVPAA-F-INS-055A RAW '!BN$17*100)</f>
        <v/>
      </c>
      <c r="BO43" s="126" t="str">
        <f>IF('Finalterm OVPAA-F-INS-055A RAW '!BO43="","",'Finalterm OVPAA-F-INS-055A RAW '!BO43/'Finalterm OVPAA-F-INS-055A RAW '!BO$17*100)</f>
        <v/>
      </c>
      <c r="BP43" s="126" t="str">
        <f>IF('Finalterm OVPAA-F-INS-055A RAW '!BP43="","",'Finalterm OVPAA-F-INS-055A RAW '!BP43/'Finalterm OVPAA-F-INS-055A RAW '!BP$17*100)</f>
        <v/>
      </c>
      <c r="BQ43" s="126" t="str">
        <f>IF('Finalterm OVPAA-F-INS-055A RAW '!BQ43="","",'Finalterm OVPAA-F-INS-055A RAW '!BQ43/'Finalterm OVPAA-F-INS-055A RAW '!BQ$17*100)</f>
        <v/>
      </c>
      <c r="BR43" s="126" t="str">
        <f>IF('Finalterm OVPAA-F-INS-055A RAW '!BR43="","",'Finalterm OVPAA-F-INS-055A RAW '!BR43/'Finalterm OVPAA-F-INS-055A RAW '!BR$17*100)</f>
        <v/>
      </c>
      <c r="BS43" s="126" t="str">
        <f>IF('Finalterm OVPAA-F-INS-055A RAW '!BS43="","",'Finalterm OVPAA-F-INS-055A RAW '!BS43/'Finalterm OVPAA-F-INS-055A RAW '!BS$17*100)</f>
        <v/>
      </c>
      <c r="BT43" s="126" t="str">
        <f>IF('Finalterm OVPAA-F-INS-055A RAW '!BT43="","",'Finalterm OVPAA-F-INS-055A RAW '!BT43/'Finalterm OVPAA-F-INS-055A RAW '!BT$17*100)</f>
        <v/>
      </c>
      <c r="BU43" s="127" t="str">
        <f t="array" ref="BU43">IF('Finalterm OVPAA-F-INS-055A RAW '!$G43="","",IF((SUMPRODUCT(--ISBLANK('Finalterm OVPAA-F-INS-055A RAW '!H43:BT43))=COLUMNS('Finalterm OVPAA-F-INS-055A RAW '!H43:BT43))=TRUE,"",(((COUNTA('Finalterm OVPAA-F-INS-055A RAW '!$H$17:$BT$17)+COUNTBLANK('Finalterm OVPAA-F-INS-055A RAW '!H43:BT43))-COLUMNS('Finalterm OVPAA-F-INS-055A RAW '!H43:BT43))*5+SUM(H43:BT43))/COUNTA('Finalterm OVPAA-F-INS-055A RAW '!$H$17:$BT$17)))</f>
        <v/>
      </c>
      <c r="BV43" s="165" t="str">
        <f>IF(BU43="","",VLOOKUP(BU43,IF('Midterm OVPAA-F-INS-055A RAW SC'!$V$12=0.5,TRANSMUTATION!$C$4:$D$17,TRANSMUTATION!$G$4:$H$17),2,TRUE))</f>
        <v/>
      </c>
      <c r="BW43" s="129" t="str">
        <f>IF('Finalterm OVPAA-F-INS-055A RAW '!BU43="","",'Finalterm OVPAA-F-INS-055A RAW '!BU43/'Finalterm OVPAA-F-INS-055A RAW '!BU$17*100)</f>
        <v/>
      </c>
      <c r="BX43" s="130" t="str">
        <f>IF('Finalterm OVPAA-F-INS-055A RAW '!BV43="","",'Finalterm OVPAA-F-INS-055A RAW '!BV43/'Finalterm OVPAA-F-INS-055A RAW '!BV$17*100)</f>
        <v/>
      </c>
      <c r="BY43" s="130" t="str">
        <f>IF('Finalterm OVPAA-F-INS-055A RAW '!BW43="","",'Finalterm OVPAA-F-INS-055A RAW '!BW43/'Finalterm OVPAA-F-INS-055A RAW '!BW$17*100)</f>
        <v/>
      </c>
      <c r="BZ43" s="130" t="str">
        <f>IF('Finalterm OVPAA-F-INS-055A RAW '!BX43="","",'Finalterm OVPAA-F-INS-055A RAW '!BX43/'Finalterm OVPAA-F-INS-055A RAW '!BX$17*100)</f>
        <v/>
      </c>
      <c r="CA43" s="130" t="str">
        <f>IF('Finalterm OVPAA-F-INS-055A RAW '!BY43="","",'Finalterm OVPAA-F-INS-055A RAW '!BY43/'Finalterm OVPAA-F-INS-055A RAW '!BY$17*100)</f>
        <v/>
      </c>
      <c r="CB43" s="130" t="str">
        <f>IF('Finalterm OVPAA-F-INS-055A RAW '!BZ43="","",'Finalterm OVPAA-F-INS-055A RAW '!BZ43/'Finalterm OVPAA-F-INS-055A RAW '!BZ$17*100)</f>
        <v/>
      </c>
      <c r="CC43" s="130" t="str">
        <f>IF('Finalterm OVPAA-F-INS-055A RAW '!CA43="","",'Finalterm OVPAA-F-INS-055A RAW '!CA43/'Finalterm OVPAA-F-INS-055A RAW '!CA$17*100)</f>
        <v/>
      </c>
      <c r="CD43" s="130" t="str">
        <f>IF('Finalterm OVPAA-F-INS-055A RAW '!CB43="","",'Finalterm OVPAA-F-INS-055A RAW '!CB43/'Finalterm OVPAA-F-INS-055A RAW '!CB$17*100)</f>
        <v/>
      </c>
      <c r="CE43" s="130" t="str">
        <f>IF('Finalterm OVPAA-F-INS-055A RAW '!CC43="","",'Finalterm OVPAA-F-INS-055A RAW '!CC43/'Finalterm OVPAA-F-INS-055A RAW '!CC$17*100)</f>
        <v/>
      </c>
      <c r="CF43" s="130" t="str">
        <f>IF('Finalterm OVPAA-F-INS-055A RAW '!CD43="","",'Finalterm OVPAA-F-INS-055A RAW '!CD43/'Finalterm OVPAA-F-INS-055A RAW '!CD$17*100)</f>
        <v/>
      </c>
      <c r="CG43" s="130" t="str">
        <f>IF('Finalterm OVPAA-F-INS-055A RAW '!CE43="","",'Finalterm OVPAA-F-INS-055A RAW '!CE43/'Finalterm OVPAA-F-INS-055A RAW '!CE$17*100)</f>
        <v/>
      </c>
      <c r="CH43" s="130" t="str">
        <f>IF('Finalterm OVPAA-F-INS-055A RAW '!CF43="","",'Finalterm OVPAA-F-INS-055A RAW '!CF43/'Finalterm OVPAA-F-INS-055A RAW '!CF$17*100)</f>
        <v/>
      </c>
      <c r="CI43" s="130" t="str">
        <f>IF('Finalterm OVPAA-F-INS-055A RAW '!CG43="","",'Finalterm OVPAA-F-INS-055A RAW '!CG43/'Finalterm OVPAA-F-INS-055A RAW '!CG$17*100)</f>
        <v/>
      </c>
      <c r="CJ43" s="130" t="str">
        <f>IF('Finalterm OVPAA-F-INS-055A RAW '!CH43="","",'Finalterm OVPAA-F-INS-055A RAW '!CH43/'Finalterm OVPAA-F-INS-055A RAW '!CH$17*100)</f>
        <v/>
      </c>
      <c r="CK43" s="130" t="str">
        <f>IF('Finalterm OVPAA-F-INS-055A RAW '!CI43="","",'Finalterm OVPAA-F-INS-055A RAW '!CI43/'Finalterm OVPAA-F-INS-055A RAW '!CI$17*100)</f>
        <v/>
      </c>
      <c r="CL43" s="130" t="str">
        <f>IF('Finalterm OVPAA-F-INS-055A RAW '!CJ43="","",'Finalterm OVPAA-F-INS-055A RAW '!CJ43/'Finalterm OVPAA-F-INS-055A RAW '!CJ$17*100)</f>
        <v/>
      </c>
      <c r="CM43" s="130" t="str">
        <f>IF('Finalterm OVPAA-F-INS-055A RAW '!CK43="","",'Finalterm OVPAA-F-INS-055A RAW '!CK43/'Finalterm OVPAA-F-INS-055A RAW '!CK$17*100)</f>
        <v/>
      </c>
      <c r="CN43" s="130" t="str">
        <f>IF('Finalterm OVPAA-F-INS-055A RAW '!CL43="","",'Finalterm OVPAA-F-INS-055A RAW '!CL43/'Finalterm OVPAA-F-INS-055A RAW '!CL$17*100)</f>
        <v/>
      </c>
      <c r="CO43" s="130" t="str">
        <f>IF('Finalterm OVPAA-F-INS-055A RAW '!CM43="","",'Finalterm OVPAA-F-INS-055A RAW '!CM43/'Finalterm OVPAA-F-INS-055A RAW '!CM$17*100)</f>
        <v/>
      </c>
      <c r="CP43" s="130" t="str">
        <f>IF('Finalterm OVPAA-F-INS-055A RAW '!CN43="","",'Finalterm OVPAA-F-INS-055A RAW '!CN43/'Finalterm OVPAA-F-INS-055A RAW '!CN$17*100)</f>
        <v/>
      </c>
      <c r="CQ43" s="131" t="str">
        <f t="array" ref="CQ43">IF('Midterm OVPAA-F-INS-055A RAW SC'!G43="","",IF((SUMPRODUCT(--ISBLANK('Finalterm OVPAA-F-INS-055A RAW '!BU43:CN43))=COLUMNS('Finalterm OVPAA-F-INS-055A RAW '!BU43:CN43))=TRUE,"",(((COUNTA('Finalterm OVPAA-F-INS-055A RAW '!$BU$17:$CN$17)+COUNTBLANK('Finalterm OVPAA-F-INS-055A RAW '!BU43:CN43))-COLUMNS('Finalterm OVPAA-F-INS-055A RAW '!BU43:CN43))*5+SUM(BW43:CP43))/COUNTA('Finalterm OVPAA-F-INS-055A RAW '!$BU$17:$CN$17)))</f>
        <v/>
      </c>
      <c r="CR43" s="132" t="str">
        <f>IF(CQ43="","",VLOOKUP(CQ43,IF('Midterm OVPAA-F-INS-055A RAW SC'!$V$12=0.5,TRANSMUTATION!$C$4:$D$17,TRANSMUTATION!$G$4:$H$17),2,TRUE))</f>
        <v/>
      </c>
      <c r="CS43" s="133" t="str">
        <f>IF('Finalterm OVPAA-F-INS-055A RAW '!CO43="","",'Finalterm OVPAA-F-INS-055A RAW '!CO43/'Finalterm OVPAA-F-INS-055A RAW '!CO$17*100)</f>
        <v/>
      </c>
      <c r="CT43" s="133" t="str">
        <f>IF('Finalterm OVPAA-F-INS-055A RAW '!CP43="","",'Finalterm OVPAA-F-INS-055A RAW '!CP43/'Finalterm OVPAA-F-INS-055A RAW '!CP$17*100)</f>
        <v/>
      </c>
      <c r="CU43" s="133" t="str">
        <f>IF('Finalterm OVPAA-F-INS-055A RAW '!CQ43="","",'Finalterm OVPAA-F-INS-055A RAW '!CQ43/'Finalterm OVPAA-F-INS-055A RAW '!CQ$17*100)</f>
        <v/>
      </c>
      <c r="CV43" s="133" t="str">
        <f>IF('Finalterm OVPAA-F-INS-055A RAW '!CR43="","",'Finalterm OVPAA-F-INS-055A RAW '!CR43/'Finalterm OVPAA-F-INS-055A RAW '!CR$17*100)</f>
        <v/>
      </c>
      <c r="CW43" s="133" t="str">
        <f>IF('Finalterm OVPAA-F-INS-055A RAW '!CS43="","",'Finalterm OVPAA-F-INS-055A RAW '!CS43/'Finalterm OVPAA-F-INS-055A RAW '!CS$17*100)</f>
        <v/>
      </c>
      <c r="CX43" s="133" t="str">
        <f>IF('Finalterm OVPAA-F-INS-055A RAW '!CT43="","",'Finalterm OVPAA-F-INS-055A RAW '!CT43/'Finalterm OVPAA-F-INS-055A RAW '!CT$17*100)</f>
        <v/>
      </c>
      <c r="CY43" s="133" t="str">
        <f>IF('Finalterm OVPAA-F-INS-055A RAW '!CU43="","",'Finalterm OVPAA-F-INS-055A RAW '!CU43/'Finalterm OVPAA-F-INS-055A RAW '!CU$17*100)</f>
        <v/>
      </c>
      <c r="CZ43" s="133" t="str">
        <f>IF('Finalterm OVPAA-F-INS-055A RAW '!CV43="","",'Finalterm OVPAA-F-INS-055A RAW '!CV43/'Finalterm OVPAA-F-INS-055A RAW '!CV$17*100)</f>
        <v/>
      </c>
      <c r="DA43" s="133" t="str">
        <f>IF('Finalterm OVPAA-F-INS-055A RAW '!CW43="","",'Finalterm OVPAA-F-INS-055A RAW '!CW43/'Finalterm OVPAA-F-INS-055A RAW '!CW$17*100)</f>
        <v/>
      </c>
      <c r="DB43" s="133" t="str">
        <f>IF('Finalterm OVPAA-F-INS-055A RAW '!CX43="","",'Finalterm OVPAA-F-INS-055A RAW '!CX43/'Finalterm OVPAA-F-INS-055A RAW '!CX$17*100)</f>
        <v/>
      </c>
      <c r="DC43" s="134" t="str">
        <f t="array" ref="DC43">IF('Midterm OVPAA-F-INS-055A RAW SC'!$G43="","",IF((SUMPRODUCT(--ISBLANK('Finalterm OVPAA-F-INS-055A RAW '!CO43:CX43))=COLUMNS('Finalterm OVPAA-F-INS-055A RAW '!CO43:CX43))=TRUE,"",(((COUNTA('Finalterm OVPAA-F-INS-055A RAW '!$CO$17:$CX$17)+COUNTBLANK('Finalterm OVPAA-F-INS-055A RAW '!CO43:CX43))-COLUMNS('Finalterm OVPAA-F-INS-055A RAW '!CO43:CX43))*5+SUM(CS43:DB43))/COUNTA('Finalterm OVPAA-F-INS-055A RAW '!$CO$17:$CX$17)))</f>
        <v/>
      </c>
      <c r="DD43" s="135" t="str">
        <f>IF(DC43="","",VLOOKUP(DC43,IF('Midterm OVPAA-F-INS-055A RAW SC'!$V$12=0.5,TRANSMUTATION!$C$4:$D$17,TRANSMUTATION!$G$4:$H$17),2,TRUE))</f>
        <v/>
      </c>
      <c r="DE43" s="136" t="str">
        <f t="shared" si="1"/>
        <v/>
      </c>
      <c r="DF43" s="166" t="str">
        <f t="shared" si="2"/>
        <v/>
      </c>
      <c r="DG43" s="167" t="str">
        <f t="shared" si="3"/>
        <v/>
      </c>
      <c r="DH43" s="168" t="str">
        <f t="shared" si="4"/>
        <v/>
      </c>
      <c r="DI43" s="169" t="str">
        <f t="shared" si="5"/>
        <v/>
      </c>
    </row>
    <row r="44" spans="5:113" ht="15.75" customHeight="1">
      <c r="E44" s="59">
        <v>27</v>
      </c>
      <c r="F44" s="124" t="str">
        <f>IF(NOT(ISBLANK('Midterm OVPAA-F-INS-055A RAW SC'!F44)),'Midterm OVPAA-F-INS-055A RAW SC'!F44,"")</f>
        <v/>
      </c>
      <c r="G44" s="125" t="str">
        <f>IF(NOT(ISBLANK('Midterm OVPAA-F-INS-055A RAW SC'!G44)),'Midterm OVPAA-F-INS-055A RAW SC'!G44,"")</f>
        <v/>
      </c>
      <c r="H44" s="126" t="str">
        <f>IF('Finalterm OVPAA-F-INS-055A RAW '!H44="","",'Finalterm OVPAA-F-INS-055A RAW '!H44/'Finalterm OVPAA-F-INS-055A RAW '!H$17*100)</f>
        <v/>
      </c>
      <c r="I44" s="126" t="str">
        <f>IF('Finalterm OVPAA-F-INS-055A RAW '!I44="","",'Finalterm OVPAA-F-INS-055A RAW '!I44/'Finalterm OVPAA-F-INS-055A RAW '!I$17*100)</f>
        <v/>
      </c>
      <c r="J44" s="126" t="str">
        <f>IF('Finalterm OVPAA-F-INS-055A RAW '!J44="","",'Finalterm OVPAA-F-INS-055A RAW '!J44/'Finalterm OVPAA-F-INS-055A RAW '!J$17*100)</f>
        <v/>
      </c>
      <c r="K44" s="126" t="str">
        <f>IF('Finalterm OVPAA-F-INS-055A RAW '!K44="","",'Finalterm OVPAA-F-INS-055A RAW '!K44/'Finalterm OVPAA-F-INS-055A RAW '!K$17*100)</f>
        <v/>
      </c>
      <c r="L44" s="126" t="str">
        <f>IF('Finalterm OVPAA-F-INS-055A RAW '!L44="","",'Finalterm OVPAA-F-INS-055A RAW '!L44/'Finalterm OVPAA-F-INS-055A RAW '!L$17*100)</f>
        <v/>
      </c>
      <c r="M44" s="126" t="str">
        <f>IF('Finalterm OVPAA-F-INS-055A RAW '!M44="","",'Finalterm OVPAA-F-INS-055A RAW '!M44/'Finalterm OVPAA-F-INS-055A RAW '!M$17*100)</f>
        <v/>
      </c>
      <c r="N44" s="126" t="str">
        <f>IF('Finalterm OVPAA-F-INS-055A RAW '!N44="","",'Finalterm OVPAA-F-INS-055A RAW '!N44/'Finalterm OVPAA-F-INS-055A RAW '!N$17*100)</f>
        <v/>
      </c>
      <c r="O44" s="126" t="str">
        <f>IF('Finalterm OVPAA-F-INS-055A RAW '!O44="","",'Finalterm OVPAA-F-INS-055A RAW '!O44/'Finalterm OVPAA-F-INS-055A RAW '!O$17*100)</f>
        <v/>
      </c>
      <c r="P44" s="126" t="str">
        <f>IF('Finalterm OVPAA-F-INS-055A RAW '!P44="","",'Finalterm OVPAA-F-INS-055A RAW '!P44/'Finalterm OVPAA-F-INS-055A RAW '!P$17*100)</f>
        <v/>
      </c>
      <c r="Q44" s="126" t="str">
        <f>IF('Finalterm OVPAA-F-INS-055A RAW '!Q44="","",'Finalterm OVPAA-F-INS-055A RAW '!Q44/'Finalterm OVPAA-F-INS-055A RAW '!Q$17*100)</f>
        <v/>
      </c>
      <c r="R44" s="126" t="str">
        <f>IF('Finalterm OVPAA-F-INS-055A RAW '!R44="","",'Finalterm OVPAA-F-INS-055A RAW '!R44/'Finalterm OVPAA-F-INS-055A RAW '!R$17*100)</f>
        <v/>
      </c>
      <c r="S44" s="126" t="str">
        <f>IF('Finalterm OVPAA-F-INS-055A RAW '!S44="","",'Finalterm OVPAA-F-INS-055A RAW '!S44/'Finalterm OVPAA-F-INS-055A RAW '!S$17*100)</f>
        <v/>
      </c>
      <c r="T44" s="126" t="str">
        <f>IF('Finalterm OVPAA-F-INS-055A RAW '!T44="","",'Finalterm OVPAA-F-INS-055A RAW '!T44/'Finalterm OVPAA-F-INS-055A RAW '!T$17*100)</f>
        <v/>
      </c>
      <c r="U44" s="126" t="str">
        <f>IF('Finalterm OVPAA-F-INS-055A RAW '!U44="","",'Finalterm OVPAA-F-INS-055A RAW '!U44/'Finalterm OVPAA-F-INS-055A RAW '!U$17*100)</f>
        <v/>
      </c>
      <c r="V44" s="126" t="str">
        <f>IF('Finalterm OVPAA-F-INS-055A RAW '!V44="","",'Finalterm OVPAA-F-INS-055A RAW '!V44/'Finalterm OVPAA-F-INS-055A RAW '!V$17*100)</f>
        <v/>
      </c>
      <c r="W44" s="126" t="str">
        <f>IF('Finalterm OVPAA-F-INS-055A RAW '!W44="","",'Finalterm OVPAA-F-INS-055A RAW '!W44/'Finalterm OVPAA-F-INS-055A RAW '!W$17*100)</f>
        <v/>
      </c>
      <c r="X44" s="126" t="str">
        <f>IF('Finalterm OVPAA-F-INS-055A RAW '!X44="","",'Finalterm OVPAA-F-INS-055A RAW '!X44/'Finalterm OVPAA-F-INS-055A RAW '!X$17*100)</f>
        <v/>
      </c>
      <c r="Y44" s="126" t="str">
        <f>IF('Finalterm OVPAA-F-INS-055A RAW '!Y44="","",'Finalterm OVPAA-F-INS-055A RAW '!Y44/'Finalterm OVPAA-F-INS-055A RAW '!Y$17*100)</f>
        <v/>
      </c>
      <c r="Z44" s="126" t="str">
        <f>IF('Finalterm OVPAA-F-INS-055A RAW '!Z44="","",'Finalterm OVPAA-F-INS-055A RAW '!Z44/'Finalterm OVPAA-F-INS-055A RAW '!Z$17*100)</f>
        <v/>
      </c>
      <c r="AA44" s="126" t="str">
        <f>IF('Finalterm OVPAA-F-INS-055A RAW '!AA44="","",'Finalterm OVPAA-F-INS-055A RAW '!AA44/'Finalterm OVPAA-F-INS-055A RAW '!AA$17*100)</f>
        <v/>
      </c>
      <c r="AB44" s="126" t="str">
        <f>IF('Finalterm OVPAA-F-INS-055A RAW '!AB44="","",'Finalterm OVPAA-F-INS-055A RAW '!AB44/'Finalterm OVPAA-F-INS-055A RAW '!AB$17*100)</f>
        <v/>
      </c>
      <c r="AC44" s="126" t="str">
        <f>IF('Finalterm OVPAA-F-INS-055A RAW '!AC44="","",'Finalterm OVPAA-F-INS-055A RAW '!AC44/'Finalterm OVPAA-F-INS-055A RAW '!AC$17*100)</f>
        <v/>
      </c>
      <c r="AD44" s="126" t="str">
        <f>IF('Finalterm OVPAA-F-INS-055A RAW '!AD44="","",'Finalterm OVPAA-F-INS-055A RAW '!AD44/'Finalterm OVPAA-F-INS-055A RAW '!AD$17*100)</f>
        <v/>
      </c>
      <c r="AE44" s="126" t="str">
        <f>IF('Finalterm OVPAA-F-INS-055A RAW '!AE44="","",'Finalterm OVPAA-F-INS-055A RAW '!AE44/'Finalterm OVPAA-F-INS-055A RAW '!AE$17*100)</f>
        <v/>
      </c>
      <c r="AF44" s="126" t="str">
        <f>IF('Finalterm OVPAA-F-INS-055A RAW '!AF44="","",'Finalterm OVPAA-F-INS-055A RAW '!AF44/'Finalterm OVPAA-F-INS-055A RAW '!AF$17*100)</f>
        <v/>
      </c>
      <c r="AG44" s="126" t="str">
        <f>IF('Finalterm OVPAA-F-INS-055A RAW '!AG44="","",'Finalterm OVPAA-F-INS-055A RAW '!AG44/'Finalterm OVPAA-F-INS-055A RAW '!AG$17*100)</f>
        <v/>
      </c>
      <c r="AH44" s="126" t="str">
        <f>IF('Finalterm OVPAA-F-INS-055A RAW '!AH44="","",'Finalterm OVPAA-F-INS-055A RAW '!AH44/'Finalterm OVPAA-F-INS-055A RAW '!AH$17*100)</f>
        <v/>
      </c>
      <c r="AI44" s="126" t="str">
        <f>IF('Finalterm OVPAA-F-INS-055A RAW '!AI44="","",'Finalterm OVPAA-F-INS-055A RAW '!AI44/'Finalterm OVPAA-F-INS-055A RAW '!AI$17*100)</f>
        <v/>
      </c>
      <c r="AJ44" s="126" t="str">
        <f>IF('Finalterm OVPAA-F-INS-055A RAW '!AJ44="","",'Finalterm OVPAA-F-INS-055A RAW '!AJ44/'Finalterm OVPAA-F-INS-055A RAW '!AJ$17*100)</f>
        <v/>
      </c>
      <c r="AK44" s="126" t="str">
        <f>IF('Finalterm OVPAA-F-INS-055A RAW '!AK44="","",'Finalterm OVPAA-F-INS-055A RAW '!AK44/'Finalterm OVPAA-F-INS-055A RAW '!AK$17*100)</f>
        <v/>
      </c>
      <c r="AL44" s="126" t="str">
        <f>IF('Finalterm OVPAA-F-INS-055A RAW '!AL44="","",'Finalterm OVPAA-F-INS-055A RAW '!AL44/'Finalterm OVPAA-F-INS-055A RAW '!AL$17*100)</f>
        <v/>
      </c>
      <c r="AM44" s="126" t="str">
        <f>IF('Finalterm OVPAA-F-INS-055A RAW '!AM44="","",'Finalterm OVPAA-F-INS-055A RAW '!AM44/'Finalterm OVPAA-F-INS-055A RAW '!AM$17*100)</f>
        <v/>
      </c>
      <c r="AN44" s="126" t="str">
        <f>IF('Finalterm OVPAA-F-INS-055A RAW '!AN44="","",'Finalterm OVPAA-F-INS-055A RAW '!AN44/'Finalterm OVPAA-F-INS-055A RAW '!AN$17*100)</f>
        <v/>
      </c>
      <c r="AO44" s="126" t="str">
        <f>IF('Finalterm OVPAA-F-INS-055A RAW '!AO44="","",'Finalterm OVPAA-F-INS-055A RAW '!AO44/'Finalterm OVPAA-F-INS-055A RAW '!AO$17*100)</f>
        <v/>
      </c>
      <c r="AP44" s="126" t="str">
        <f>IF('Finalterm OVPAA-F-INS-055A RAW '!AP44="","",'Finalterm OVPAA-F-INS-055A RAW '!AP44/'Finalterm OVPAA-F-INS-055A RAW '!AP$17*100)</f>
        <v/>
      </c>
      <c r="AQ44" s="126" t="str">
        <f>IF('Finalterm OVPAA-F-INS-055A RAW '!AQ44="","",'Finalterm OVPAA-F-INS-055A RAW '!AQ44/'Finalterm OVPAA-F-INS-055A RAW '!AQ$17*100)</f>
        <v/>
      </c>
      <c r="AR44" s="126" t="str">
        <f>IF('Finalterm OVPAA-F-INS-055A RAW '!AR44="","",'Finalterm OVPAA-F-INS-055A RAW '!AR44/'Finalterm OVPAA-F-INS-055A RAW '!AR$17*100)</f>
        <v/>
      </c>
      <c r="AS44" s="126" t="str">
        <f>IF('Finalterm OVPAA-F-INS-055A RAW '!AS44="","",'Finalterm OVPAA-F-INS-055A RAW '!AS44/'Finalterm OVPAA-F-INS-055A RAW '!AS$17*100)</f>
        <v/>
      </c>
      <c r="AT44" s="126" t="str">
        <f>IF('Finalterm OVPAA-F-INS-055A RAW '!AT44="","",'Finalterm OVPAA-F-INS-055A RAW '!AT44/'Finalterm OVPAA-F-INS-055A RAW '!AT$17*100)</f>
        <v/>
      </c>
      <c r="AU44" s="126" t="str">
        <f>IF('Finalterm OVPAA-F-INS-055A RAW '!AU44="","",'Finalterm OVPAA-F-INS-055A RAW '!AU44/'Finalterm OVPAA-F-INS-055A RAW '!AU$17*100)</f>
        <v/>
      </c>
      <c r="AV44" s="126" t="str">
        <f>IF('Finalterm OVPAA-F-INS-055A RAW '!AV44="","",'Finalterm OVPAA-F-INS-055A RAW '!AV44/'Finalterm OVPAA-F-INS-055A RAW '!AV$17*100)</f>
        <v/>
      </c>
      <c r="AW44" s="126" t="str">
        <f>IF('Finalterm OVPAA-F-INS-055A RAW '!AW44="","",'Finalterm OVPAA-F-INS-055A RAW '!AW44/'Finalterm OVPAA-F-INS-055A RAW '!AW$17*100)</f>
        <v/>
      </c>
      <c r="AX44" s="126" t="str">
        <f>IF('Finalterm OVPAA-F-INS-055A RAW '!AX44="","",'Finalterm OVPAA-F-INS-055A RAW '!AX44/'Finalterm OVPAA-F-INS-055A RAW '!AX$17*100)</f>
        <v/>
      </c>
      <c r="AY44" s="126" t="str">
        <f>IF('Finalterm OVPAA-F-INS-055A RAW '!AY44="","",'Finalterm OVPAA-F-INS-055A RAW '!AY44/'Finalterm OVPAA-F-INS-055A RAW '!AY$17*100)</f>
        <v/>
      </c>
      <c r="AZ44" s="126" t="str">
        <f>IF('Finalterm OVPAA-F-INS-055A RAW '!AZ44="","",'Finalterm OVPAA-F-INS-055A RAW '!AZ44/'Finalterm OVPAA-F-INS-055A RAW '!AZ$17*100)</f>
        <v/>
      </c>
      <c r="BA44" s="126" t="str">
        <f>IF('Finalterm OVPAA-F-INS-055A RAW '!BA44="","",'Finalterm OVPAA-F-INS-055A RAW '!BA44/'Finalterm OVPAA-F-INS-055A RAW '!BA$17*100)</f>
        <v/>
      </c>
      <c r="BB44" s="126" t="str">
        <f>IF('Finalterm OVPAA-F-INS-055A RAW '!BB44="","",'Finalterm OVPAA-F-INS-055A RAW '!BB44/'Finalterm OVPAA-F-INS-055A RAW '!BB$17*100)</f>
        <v/>
      </c>
      <c r="BC44" s="126" t="str">
        <f>IF('Finalterm OVPAA-F-INS-055A RAW '!BC44="","",'Finalterm OVPAA-F-INS-055A RAW '!BC44/'Finalterm OVPAA-F-INS-055A RAW '!BC$17*100)</f>
        <v/>
      </c>
      <c r="BD44" s="126" t="str">
        <f>IF('Finalterm OVPAA-F-INS-055A RAW '!BD44="","",'Finalterm OVPAA-F-INS-055A RAW '!BD44/'Finalterm OVPAA-F-INS-055A RAW '!BD$17*100)</f>
        <v/>
      </c>
      <c r="BE44" s="126" t="str">
        <f>IF('Finalterm OVPAA-F-INS-055A RAW '!BE44="","",'Finalterm OVPAA-F-INS-055A RAW '!BE44/'Finalterm OVPAA-F-INS-055A RAW '!BE$17*100)</f>
        <v/>
      </c>
      <c r="BF44" s="126" t="str">
        <f>IF('Finalterm OVPAA-F-INS-055A RAW '!BF44="","",'Finalterm OVPAA-F-INS-055A RAW '!BF44/'Finalterm OVPAA-F-INS-055A RAW '!BF$17*100)</f>
        <v/>
      </c>
      <c r="BG44" s="126" t="str">
        <f>IF('Finalterm OVPAA-F-INS-055A RAW '!BG44="","",'Finalterm OVPAA-F-INS-055A RAW '!BG44/'Finalterm OVPAA-F-INS-055A RAW '!BG$17*100)</f>
        <v/>
      </c>
      <c r="BH44" s="126" t="str">
        <f>IF('Finalterm OVPAA-F-INS-055A RAW '!BH44="","",'Finalterm OVPAA-F-INS-055A RAW '!BH44/'Finalterm OVPAA-F-INS-055A RAW '!BH$17*100)</f>
        <v/>
      </c>
      <c r="BI44" s="126" t="str">
        <f>IF('Finalterm OVPAA-F-INS-055A RAW '!BI44="","",'Finalterm OVPAA-F-INS-055A RAW '!BI44/'Finalterm OVPAA-F-INS-055A RAW '!BI$17*100)</f>
        <v/>
      </c>
      <c r="BJ44" s="126" t="str">
        <f>IF('Finalterm OVPAA-F-INS-055A RAW '!BJ44="","",'Finalterm OVPAA-F-INS-055A RAW '!BJ44/'Finalterm OVPAA-F-INS-055A RAW '!BJ$17*100)</f>
        <v/>
      </c>
      <c r="BK44" s="126" t="str">
        <f>IF('Finalterm OVPAA-F-INS-055A RAW '!BK44="","",'Finalterm OVPAA-F-INS-055A RAW '!BK44/'Finalterm OVPAA-F-INS-055A RAW '!BK$17*100)</f>
        <v/>
      </c>
      <c r="BL44" s="126" t="str">
        <f>IF('Finalterm OVPAA-F-INS-055A RAW '!BL44="","",'Finalterm OVPAA-F-INS-055A RAW '!BL44/'Finalterm OVPAA-F-INS-055A RAW '!BL$17*100)</f>
        <v/>
      </c>
      <c r="BM44" s="126" t="str">
        <f>IF('Finalterm OVPAA-F-INS-055A RAW '!BM44="","",'Finalterm OVPAA-F-INS-055A RAW '!BM44/'Finalterm OVPAA-F-INS-055A RAW '!BM$17*100)</f>
        <v/>
      </c>
      <c r="BN44" s="126" t="str">
        <f>IF('Finalterm OVPAA-F-INS-055A RAW '!BN44="","",'Finalterm OVPAA-F-INS-055A RAW '!BN44/'Finalterm OVPAA-F-INS-055A RAW '!BN$17*100)</f>
        <v/>
      </c>
      <c r="BO44" s="126" t="str">
        <f>IF('Finalterm OVPAA-F-INS-055A RAW '!BO44="","",'Finalterm OVPAA-F-INS-055A RAW '!BO44/'Finalterm OVPAA-F-INS-055A RAW '!BO$17*100)</f>
        <v/>
      </c>
      <c r="BP44" s="126" t="str">
        <f>IF('Finalterm OVPAA-F-INS-055A RAW '!BP44="","",'Finalterm OVPAA-F-INS-055A RAW '!BP44/'Finalterm OVPAA-F-INS-055A RAW '!BP$17*100)</f>
        <v/>
      </c>
      <c r="BQ44" s="126" t="str">
        <f>IF('Finalterm OVPAA-F-INS-055A RAW '!BQ44="","",'Finalterm OVPAA-F-INS-055A RAW '!BQ44/'Finalterm OVPAA-F-INS-055A RAW '!BQ$17*100)</f>
        <v/>
      </c>
      <c r="BR44" s="126" t="str">
        <f>IF('Finalterm OVPAA-F-INS-055A RAW '!BR44="","",'Finalterm OVPAA-F-INS-055A RAW '!BR44/'Finalterm OVPAA-F-INS-055A RAW '!BR$17*100)</f>
        <v/>
      </c>
      <c r="BS44" s="126" t="str">
        <f>IF('Finalterm OVPAA-F-INS-055A RAW '!BS44="","",'Finalterm OVPAA-F-INS-055A RAW '!BS44/'Finalterm OVPAA-F-INS-055A RAW '!BS$17*100)</f>
        <v/>
      </c>
      <c r="BT44" s="126" t="str">
        <f>IF('Finalterm OVPAA-F-INS-055A RAW '!BT44="","",'Finalterm OVPAA-F-INS-055A RAW '!BT44/'Finalterm OVPAA-F-INS-055A RAW '!BT$17*100)</f>
        <v/>
      </c>
      <c r="BU44" s="127" t="str">
        <f t="array" ref="BU44">IF('Finalterm OVPAA-F-INS-055A RAW '!$G44="","",IF((SUMPRODUCT(--ISBLANK('Finalterm OVPAA-F-INS-055A RAW '!H44:BT44))=COLUMNS('Finalterm OVPAA-F-INS-055A RAW '!H44:BT44))=TRUE,"",(((COUNTA('Finalterm OVPAA-F-INS-055A RAW '!$H$17:$BT$17)+COUNTBLANK('Finalterm OVPAA-F-INS-055A RAW '!H44:BT44))-COLUMNS('Finalterm OVPAA-F-INS-055A RAW '!H44:BT44))*5+SUM(H44:BT44))/COUNTA('Finalterm OVPAA-F-INS-055A RAW '!$H$17:$BT$17)))</f>
        <v/>
      </c>
      <c r="BV44" s="165" t="str">
        <f>IF(BU44="","",VLOOKUP(BU44,IF('Midterm OVPAA-F-INS-055A RAW SC'!$V$12=0.5,TRANSMUTATION!$C$4:$D$17,TRANSMUTATION!$G$4:$H$17),2,TRUE))</f>
        <v/>
      </c>
      <c r="BW44" s="129" t="str">
        <f>IF('Finalterm OVPAA-F-INS-055A RAW '!BU44="","",'Finalterm OVPAA-F-INS-055A RAW '!BU44/'Finalterm OVPAA-F-INS-055A RAW '!BU$17*100)</f>
        <v/>
      </c>
      <c r="BX44" s="130" t="str">
        <f>IF('Finalterm OVPAA-F-INS-055A RAW '!BV44="","",'Finalterm OVPAA-F-INS-055A RAW '!BV44/'Finalterm OVPAA-F-INS-055A RAW '!BV$17*100)</f>
        <v/>
      </c>
      <c r="BY44" s="130" t="str">
        <f>IF('Finalterm OVPAA-F-INS-055A RAW '!BW44="","",'Finalterm OVPAA-F-INS-055A RAW '!BW44/'Finalterm OVPAA-F-INS-055A RAW '!BW$17*100)</f>
        <v/>
      </c>
      <c r="BZ44" s="130" t="str">
        <f>IF('Finalterm OVPAA-F-INS-055A RAW '!BX44="","",'Finalterm OVPAA-F-INS-055A RAW '!BX44/'Finalterm OVPAA-F-INS-055A RAW '!BX$17*100)</f>
        <v/>
      </c>
      <c r="CA44" s="130" t="str">
        <f>IF('Finalterm OVPAA-F-INS-055A RAW '!BY44="","",'Finalterm OVPAA-F-INS-055A RAW '!BY44/'Finalterm OVPAA-F-INS-055A RAW '!BY$17*100)</f>
        <v/>
      </c>
      <c r="CB44" s="130" t="str">
        <f>IF('Finalterm OVPAA-F-INS-055A RAW '!BZ44="","",'Finalterm OVPAA-F-INS-055A RAW '!BZ44/'Finalterm OVPAA-F-INS-055A RAW '!BZ$17*100)</f>
        <v/>
      </c>
      <c r="CC44" s="130" t="str">
        <f>IF('Finalterm OVPAA-F-INS-055A RAW '!CA44="","",'Finalterm OVPAA-F-INS-055A RAW '!CA44/'Finalterm OVPAA-F-INS-055A RAW '!CA$17*100)</f>
        <v/>
      </c>
      <c r="CD44" s="130" t="str">
        <f>IF('Finalterm OVPAA-F-INS-055A RAW '!CB44="","",'Finalterm OVPAA-F-INS-055A RAW '!CB44/'Finalterm OVPAA-F-INS-055A RAW '!CB$17*100)</f>
        <v/>
      </c>
      <c r="CE44" s="130" t="str">
        <f>IF('Finalterm OVPAA-F-INS-055A RAW '!CC44="","",'Finalterm OVPAA-F-INS-055A RAW '!CC44/'Finalterm OVPAA-F-INS-055A RAW '!CC$17*100)</f>
        <v/>
      </c>
      <c r="CF44" s="130" t="str">
        <f>IF('Finalterm OVPAA-F-INS-055A RAW '!CD44="","",'Finalterm OVPAA-F-INS-055A RAW '!CD44/'Finalterm OVPAA-F-INS-055A RAW '!CD$17*100)</f>
        <v/>
      </c>
      <c r="CG44" s="130" t="str">
        <f>IF('Finalterm OVPAA-F-INS-055A RAW '!CE44="","",'Finalterm OVPAA-F-INS-055A RAW '!CE44/'Finalterm OVPAA-F-INS-055A RAW '!CE$17*100)</f>
        <v/>
      </c>
      <c r="CH44" s="130" t="str">
        <f>IF('Finalterm OVPAA-F-INS-055A RAW '!CF44="","",'Finalterm OVPAA-F-INS-055A RAW '!CF44/'Finalterm OVPAA-F-INS-055A RAW '!CF$17*100)</f>
        <v/>
      </c>
      <c r="CI44" s="130" t="str">
        <f>IF('Finalterm OVPAA-F-INS-055A RAW '!CG44="","",'Finalterm OVPAA-F-INS-055A RAW '!CG44/'Finalterm OVPAA-F-INS-055A RAW '!CG$17*100)</f>
        <v/>
      </c>
      <c r="CJ44" s="130" t="str">
        <f>IF('Finalterm OVPAA-F-INS-055A RAW '!CH44="","",'Finalterm OVPAA-F-INS-055A RAW '!CH44/'Finalterm OVPAA-F-INS-055A RAW '!CH$17*100)</f>
        <v/>
      </c>
      <c r="CK44" s="130" t="str">
        <f>IF('Finalterm OVPAA-F-INS-055A RAW '!CI44="","",'Finalterm OVPAA-F-INS-055A RAW '!CI44/'Finalterm OVPAA-F-INS-055A RAW '!CI$17*100)</f>
        <v/>
      </c>
      <c r="CL44" s="130" t="str">
        <f>IF('Finalterm OVPAA-F-INS-055A RAW '!CJ44="","",'Finalterm OVPAA-F-INS-055A RAW '!CJ44/'Finalterm OVPAA-F-INS-055A RAW '!CJ$17*100)</f>
        <v/>
      </c>
      <c r="CM44" s="130" t="str">
        <f>IF('Finalterm OVPAA-F-INS-055A RAW '!CK44="","",'Finalterm OVPAA-F-INS-055A RAW '!CK44/'Finalterm OVPAA-F-INS-055A RAW '!CK$17*100)</f>
        <v/>
      </c>
      <c r="CN44" s="130" t="str">
        <f>IF('Finalterm OVPAA-F-INS-055A RAW '!CL44="","",'Finalterm OVPAA-F-INS-055A RAW '!CL44/'Finalterm OVPAA-F-INS-055A RAW '!CL$17*100)</f>
        <v/>
      </c>
      <c r="CO44" s="130" t="str">
        <f>IF('Finalterm OVPAA-F-INS-055A RAW '!CM44="","",'Finalterm OVPAA-F-INS-055A RAW '!CM44/'Finalterm OVPAA-F-INS-055A RAW '!CM$17*100)</f>
        <v/>
      </c>
      <c r="CP44" s="130" t="str">
        <f>IF('Finalterm OVPAA-F-INS-055A RAW '!CN44="","",'Finalterm OVPAA-F-INS-055A RAW '!CN44/'Finalterm OVPAA-F-INS-055A RAW '!CN$17*100)</f>
        <v/>
      </c>
      <c r="CQ44" s="131" t="str">
        <f t="array" ref="CQ44">IF('Midterm OVPAA-F-INS-055A RAW SC'!G44="","",IF((SUMPRODUCT(--ISBLANK('Finalterm OVPAA-F-INS-055A RAW '!BU44:CN44))=COLUMNS('Finalterm OVPAA-F-INS-055A RAW '!BU44:CN44))=TRUE,"",(((COUNTA('Finalterm OVPAA-F-INS-055A RAW '!$BU$17:$CN$17)+COUNTBLANK('Finalterm OVPAA-F-INS-055A RAW '!BU44:CN44))-COLUMNS('Finalterm OVPAA-F-INS-055A RAW '!BU44:CN44))*5+SUM(BW44:CP44))/COUNTA('Finalterm OVPAA-F-INS-055A RAW '!$BU$17:$CN$17)))</f>
        <v/>
      </c>
      <c r="CR44" s="132" t="str">
        <f>IF(CQ44="","",VLOOKUP(CQ44,IF('Midterm OVPAA-F-INS-055A RAW SC'!$V$12=0.5,TRANSMUTATION!$C$4:$D$17,TRANSMUTATION!$G$4:$H$17),2,TRUE))</f>
        <v/>
      </c>
      <c r="CS44" s="133" t="str">
        <f>IF('Finalterm OVPAA-F-INS-055A RAW '!CO44="","",'Finalterm OVPAA-F-INS-055A RAW '!CO44/'Finalterm OVPAA-F-INS-055A RAW '!CO$17*100)</f>
        <v/>
      </c>
      <c r="CT44" s="133" t="str">
        <f>IF('Finalterm OVPAA-F-INS-055A RAW '!CP44="","",'Finalterm OVPAA-F-INS-055A RAW '!CP44/'Finalterm OVPAA-F-INS-055A RAW '!CP$17*100)</f>
        <v/>
      </c>
      <c r="CU44" s="133" t="str">
        <f>IF('Finalterm OVPAA-F-INS-055A RAW '!CQ44="","",'Finalterm OVPAA-F-INS-055A RAW '!CQ44/'Finalterm OVPAA-F-INS-055A RAW '!CQ$17*100)</f>
        <v/>
      </c>
      <c r="CV44" s="133" t="str">
        <f>IF('Finalterm OVPAA-F-INS-055A RAW '!CR44="","",'Finalterm OVPAA-F-INS-055A RAW '!CR44/'Finalterm OVPAA-F-INS-055A RAW '!CR$17*100)</f>
        <v/>
      </c>
      <c r="CW44" s="133" t="str">
        <f>IF('Finalterm OVPAA-F-INS-055A RAW '!CS44="","",'Finalterm OVPAA-F-INS-055A RAW '!CS44/'Finalterm OVPAA-F-INS-055A RAW '!CS$17*100)</f>
        <v/>
      </c>
      <c r="CX44" s="133" t="str">
        <f>IF('Finalterm OVPAA-F-INS-055A RAW '!CT44="","",'Finalterm OVPAA-F-INS-055A RAW '!CT44/'Finalterm OVPAA-F-INS-055A RAW '!CT$17*100)</f>
        <v/>
      </c>
      <c r="CY44" s="133" t="str">
        <f>IF('Finalterm OVPAA-F-INS-055A RAW '!CU44="","",'Finalterm OVPAA-F-INS-055A RAW '!CU44/'Finalterm OVPAA-F-INS-055A RAW '!CU$17*100)</f>
        <v/>
      </c>
      <c r="CZ44" s="133" t="str">
        <f>IF('Finalterm OVPAA-F-INS-055A RAW '!CV44="","",'Finalterm OVPAA-F-INS-055A RAW '!CV44/'Finalterm OVPAA-F-INS-055A RAW '!CV$17*100)</f>
        <v/>
      </c>
      <c r="DA44" s="133" t="str">
        <f>IF('Finalterm OVPAA-F-INS-055A RAW '!CW44="","",'Finalterm OVPAA-F-INS-055A RAW '!CW44/'Finalterm OVPAA-F-INS-055A RAW '!CW$17*100)</f>
        <v/>
      </c>
      <c r="DB44" s="133" t="str">
        <f>IF('Finalterm OVPAA-F-INS-055A RAW '!CX44="","",'Finalterm OVPAA-F-INS-055A RAW '!CX44/'Finalterm OVPAA-F-INS-055A RAW '!CX$17*100)</f>
        <v/>
      </c>
      <c r="DC44" s="134" t="str">
        <f t="array" ref="DC44">IF('Midterm OVPAA-F-INS-055A RAW SC'!$G44="","",IF((SUMPRODUCT(--ISBLANK('Finalterm OVPAA-F-INS-055A RAW '!CO44:CX44))=COLUMNS('Finalterm OVPAA-F-INS-055A RAW '!CO44:CX44))=TRUE,"",(((COUNTA('Finalterm OVPAA-F-INS-055A RAW '!$CO$17:$CX$17)+COUNTBLANK('Finalterm OVPAA-F-INS-055A RAW '!CO44:CX44))-COLUMNS('Finalterm OVPAA-F-INS-055A RAW '!CO44:CX44))*5+SUM(CS44:DB44))/COUNTA('Finalterm OVPAA-F-INS-055A RAW '!$CO$17:$CX$17)))</f>
        <v/>
      </c>
      <c r="DD44" s="135" t="str">
        <f>IF(DC44="","",VLOOKUP(DC44,IF('Midterm OVPAA-F-INS-055A RAW SC'!$V$12=0.5,TRANSMUTATION!$C$4:$D$17,TRANSMUTATION!$G$4:$H$17),2,TRUE))</f>
        <v/>
      </c>
      <c r="DE44" s="136" t="str">
        <f t="shared" si="1"/>
        <v/>
      </c>
      <c r="DF44" s="166" t="str">
        <f t="shared" si="2"/>
        <v/>
      </c>
      <c r="DG44" s="167" t="str">
        <f t="shared" si="3"/>
        <v/>
      </c>
      <c r="DH44" s="168" t="str">
        <f t="shared" si="4"/>
        <v/>
      </c>
      <c r="DI44" s="169" t="str">
        <f t="shared" si="5"/>
        <v/>
      </c>
    </row>
    <row r="45" spans="5:113" ht="15.75" customHeight="1">
      <c r="E45" s="59">
        <v>28</v>
      </c>
      <c r="F45" s="124" t="str">
        <f>IF(NOT(ISBLANK('Midterm OVPAA-F-INS-055A RAW SC'!F45)),'Midterm OVPAA-F-INS-055A RAW SC'!F45,"")</f>
        <v/>
      </c>
      <c r="G45" s="125" t="str">
        <f>IF(NOT(ISBLANK('Midterm OVPAA-F-INS-055A RAW SC'!G45)),'Midterm OVPAA-F-INS-055A RAW SC'!G45,"")</f>
        <v/>
      </c>
      <c r="H45" s="126" t="str">
        <f>IF('Finalterm OVPAA-F-INS-055A RAW '!H45="","",'Finalterm OVPAA-F-INS-055A RAW '!H45/'Finalterm OVPAA-F-INS-055A RAW '!H$17*100)</f>
        <v/>
      </c>
      <c r="I45" s="126" t="str">
        <f>IF('Finalterm OVPAA-F-INS-055A RAW '!I45="","",'Finalterm OVPAA-F-INS-055A RAW '!I45/'Finalterm OVPAA-F-INS-055A RAW '!I$17*100)</f>
        <v/>
      </c>
      <c r="J45" s="126" t="str">
        <f>IF('Finalterm OVPAA-F-INS-055A RAW '!J45="","",'Finalterm OVPAA-F-INS-055A RAW '!J45/'Finalterm OVPAA-F-INS-055A RAW '!J$17*100)</f>
        <v/>
      </c>
      <c r="K45" s="126" t="str">
        <f>IF('Finalterm OVPAA-F-INS-055A RAW '!K45="","",'Finalterm OVPAA-F-INS-055A RAW '!K45/'Finalterm OVPAA-F-INS-055A RAW '!K$17*100)</f>
        <v/>
      </c>
      <c r="L45" s="126" t="str">
        <f>IF('Finalterm OVPAA-F-INS-055A RAW '!L45="","",'Finalterm OVPAA-F-INS-055A RAW '!L45/'Finalterm OVPAA-F-INS-055A RAW '!L$17*100)</f>
        <v/>
      </c>
      <c r="M45" s="126" t="str">
        <f>IF('Finalterm OVPAA-F-INS-055A RAW '!M45="","",'Finalterm OVPAA-F-INS-055A RAW '!M45/'Finalterm OVPAA-F-INS-055A RAW '!M$17*100)</f>
        <v/>
      </c>
      <c r="N45" s="126" t="str">
        <f>IF('Finalterm OVPAA-F-INS-055A RAW '!N45="","",'Finalterm OVPAA-F-INS-055A RAW '!N45/'Finalterm OVPAA-F-INS-055A RAW '!N$17*100)</f>
        <v/>
      </c>
      <c r="O45" s="126" t="str">
        <f>IF('Finalterm OVPAA-F-INS-055A RAW '!O45="","",'Finalterm OVPAA-F-INS-055A RAW '!O45/'Finalterm OVPAA-F-INS-055A RAW '!O$17*100)</f>
        <v/>
      </c>
      <c r="P45" s="126" t="str">
        <f>IF('Finalterm OVPAA-F-INS-055A RAW '!P45="","",'Finalterm OVPAA-F-INS-055A RAW '!P45/'Finalterm OVPAA-F-INS-055A RAW '!P$17*100)</f>
        <v/>
      </c>
      <c r="Q45" s="126" t="str">
        <f>IF('Finalterm OVPAA-F-INS-055A RAW '!Q45="","",'Finalterm OVPAA-F-INS-055A RAW '!Q45/'Finalterm OVPAA-F-INS-055A RAW '!Q$17*100)</f>
        <v/>
      </c>
      <c r="R45" s="126" t="str">
        <f>IF('Finalterm OVPAA-F-INS-055A RAW '!R45="","",'Finalterm OVPAA-F-INS-055A RAW '!R45/'Finalterm OVPAA-F-INS-055A RAW '!R$17*100)</f>
        <v/>
      </c>
      <c r="S45" s="126" t="str">
        <f>IF('Finalterm OVPAA-F-INS-055A RAW '!S45="","",'Finalterm OVPAA-F-INS-055A RAW '!S45/'Finalterm OVPAA-F-INS-055A RAW '!S$17*100)</f>
        <v/>
      </c>
      <c r="T45" s="126" t="str">
        <f>IF('Finalterm OVPAA-F-INS-055A RAW '!T45="","",'Finalterm OVPAA-F-INS-055A RAW '!T45/'Finalterm OVPAA-F-INS-055A RAW '!T$17*100)</f>
        <v/>
      </c>
      <c r="U45" s="126" t="str">
        <f>IF('Finalterm OVPAA-F-INS-055A RAW '!U45="","",'Finalterm OVPAA-F-INS-055A RAW '!U45/'Finalterm OVPAA-F-INS-055A RAW '!U$17*100)</f>
        <v/>
      </c>
      <c r="V45" s="126" t="str">
        <f>IF('Finalterm OVPAA-F-INS-055A RAW '!V45="","",'Finalterm OVPAA-F-INS-055A RAW '!V45/'Finalterm OVPAA-F-INS-055A RAW '!V$17*100)</f>
        <v/>
      </c>
      <c r="W45" s="126" t="str">
        <f>IF('Finalterm OVPAA-F-INS-055A RAW '!W45="","",'Finalterm OVPAA-F-INS-055A RAW '!W45/'Finalterm OVPAA-F-INS-055A RAW '!W$17*100)</f>
        <v/>
      </c>
      <c r="X45" s="126" t="str">
        <f>IF('Finalterm OVPAA-F-INS-055A RAW '!X45="","",'Finalterm OVPAA-F-INS-055A RAW '!X45/'Finalterm OVPAA-F-INS-055A RAW '!X$17*100)</f>
        <v/>
      </c>
      <c r="Y45" s="126" t="str">
        <f>IF('Finalterm OVPAA-F-INS-055A RAW '!Y45="","",'Finalterm OVPAA-F-INS-055A RAW '!Y45/'Finalterm OVPAA-F-INS-055A RAW '!Y$17*100)</f>
        <v/>
      </c>
      <c r="Z45" s="126" t="str">
        <f>IF('Finalterm OVPAA-F-INS-055A RAW '!Z45="","",'Finalterm OVPAA-F-INS-055A RAW '!Z45/'Finalterm OVPAA-F-INS-055A RAW '!Z$17*100)</f>
        <v/>
      </c>
      <c r="AA45" s="126" t="str">
        <f>IF('Finalterm OVPAA-F-INS-055A RAW '!AA45="","",'Finalterm OVPAA-F-INS-055A RAW '!AA45/'Finalterm OVPAA-F-INS-055A RAW '!AA$17*100)</f>
        <v/>
      </c>
      <c r="AB45" s="126" t="str">
        <f>IF('Finalterm OVPAA-F-INS-055A RAW '!AB45="","",'Finalterm OVPAA-F-INS-055A RAW '!AB45/'Finalterm OVPAA-F-INS-055A RAW '!AB$17*100)</f>
        <v/>
      </c>
      <c r="AC45" s="126" t="str">
        <f>IF('Finalterm OVPAA-F-INS-055A RAW '!AC45="","",'Finalterm OVPAA-F-INS-055A RAW '!AC45/'Finalterm OVPAA-F-INS-055A RAW '!AC$17*100)</f>
        <v/>
      </c>
      <c r="AD45" s="126" t="str">
        <f>IF('Finalterm OVPAA-F-INS-055A RAW '!AD45="","",'Finalterm OVPAA-F-INS-055A RAW '!AD45/'Finalterm OVPAA-F-INS-055A RAW '!AD$17*100)</f>
        <v/>
      </c>
      <c r="AE45" s="126" t="str">
        <f>IF('Finalterm OVPAA-F-INS-055A RAW '!AE45="","",'Finalterm OVPAA-F-INS-055A RAW '!AE45/'Finalterm OVPAA-F-INS-055A RAW '!AE$17*100)</f>
        <v/>
      </c>
      <c r="AF45" s="126" t="str">
        <f>IF('Finalterm OVPAA-F-INS-055A RAW '!AF45="","",'Finalterm OVPAA-F-INS-055A RAW '!AF45/'Finalterm OVPAA-F-INS-055A RAW '!AF$17*100)</f>
        <v/>
      </c>
      <c r="AG45" s="126" t="str">
        <f>IF('Finalterm OVPAA-F-INS-055A RAW '!AG45="","",'Finalterm OVPAA-F-INS-055A RAW '!AG45/'Finalterm OVPAA-F-INS-055A RAW '!AG$17*100)</f>
        <v/>
      </c>
      <c r="AH45" s="126" t="str">
        <f>IF('Finalterm OVPAA-F-INS-055A RAW '!AH45="","",'Finalterm OVPAA-F-INS-055A RAW '!AH45/'Finalterm OVPAA-F-INS-055A RAW '!AH$17*100)</f>
        <v/>
      </c>
      <c r="AI45" s="126" t="str">
        <f>IF('Finalterm OVPAA-F-INS-055A RAW '!AI45="","",'Finalterm OVPAA-F-INS-055A RAW '!AI45/'Finalterm OVPAA-F-INS-055A RAW '!AI$17*100)</f>
        <v/>
      </c>
      <c r="AJ45" s="126" t="str">
        <f>IF('Finalterm OVPAA-F-INS-055A RAW '!AJ45="","",'Finalterm OVPAA-F-INS-055A RAW '!AJ45/'Finalterm OVPAA-F-INS-055A RAW '!AJ$17*100)</f>
        <v/>
      </c>
      <c r="AK45" s="126" t="str">
        <f>IF('Finalterm OVPAA-F-INS-055A RAW '!AK45="","",'Finalterm OVPAA-F-INS-055A RAW '!AK45/'Finalterm OVPAA-F-INS-055A RAW '!AK$17*100)</f>
        <v/>
      </c>
      <c r="AL45" s="126" t="str">
        <f>IF('Finalterm OVPAA-F-INS-055A RAW '!AL45="","",'Finalterm OVPAA-F-INS-055A RAW '!AL45/'Finalterm OVPAA-F-INS-055A RAW '!AL$17*100)</f>
        <v/>
      </c>
      <c r="AM45" s="126" t="str">
        <f>IF('Finalterm OVPAA-F-INS-055A RAW '!AM45="","",'Finalterm OVPAA-F-INS-055A RAW '!AM45/'Finalterm OVPAA-F-INS-055A RAW '!AM$17*100)</f>
        <v/>
      </c>
      <c r="AN45" s="126" t="str">
        <f>IF('Finalterm OVPAA-F-INS-055A RAW '!AN45="","",'Finalterm OVPAA-F-INS-055A RAW '!AN45/'Finalterm OVPAA-F-INS-055A RAW '!AN$17*100)</f>
        <v/>
      </c>
      <c r="AO45" s="126" t="str">
        <f>IF('Finalterm OVPAA-F-INS-055A RAW '!AO45="","",'Finalterm OVPAA-F-INS-055A RAW '!AO45/'Finalterm OVPAA-F-INS-055A RAW '!AO$17*100)</f>
        <v/>
      </c>
      <c r="AP45" s="126" t="str">
        <f>IF('Finalterm OVPAA-F-INS-055A RAW '!AP45="","",'Finalterm OVPAA-F-INS-055A RAW '!AP45/'Finalterm OVPAA-F-INS-055A RAW '!AP$17*100)</f>
        <v/>
      </c>
      <c r="AQ45" s="126" t="str">
        <f>IF('Finalterm OVPAA-F-INS-055A RAW '!AQ45="","",'Finalterm OVPAA-F-INS-055A RAW '!AQ45/'Finalterm OVPAA-F-INS-055A RAW '!AQ$17*100)</f>
        <v/>
      </c>
      <c r="AR45" s="126" t="str">
        <f>IF('Finalterm OVPAA-F-INS-055A RAW '!AR45="","",'Finalterm OVPAA-F-INS-055A RAW '!AR45/'Finalterm OVPAA-F-INS-055A RAW '!AR$17*100)</f>
        <v/>
      </c>
      <c r="AS45" s="126" t="str">
        <f>IF('Finalterm OVPAA-F-INS-055A RAW '!AS45="","",'Finalterm OVPAA-F-INS-055A RAW '!AS45/'Finalterm OVPAA-F-INS-055A RAW '!AS$17*100)</f>
        <v/>
      </c>
      <c r="AT45" s="126" t="str">
        <f>IF('Finalterm OVPAA-F-INS-055A RAW '!AT45="","",'Finalterm OVPAA-F-INS-055A RAW '!AT45/'Finalterm OVPAA-F-INS-055A RAW '!AT$17*100)</f>
        <v/>
      </c>
      <c r="AU45" s="126" t="str">
        <f>IF('Finalterm OVPAA-F-INS-055A RAW '!AU45="","",'Finalterm OVPAA-F-INS-055A RAW '!AU45/'Finalterm OVPAA-F-INS-055A RAW '!AU$17*100)</f>
        <v/>
      </c>
      <c r="AV45" s="126" t="str">
        <f>IF('Finalterm OVPAA-F-INS-055A RAW '!AV45="","",'Finalterm OVPAA-F-INS-055A RAW '!AV45/'Finalterm OVPAA-F-INS-055A RAW '!AV$17*100)</f>
        <v/>
      </c>
      <c r="AW45" s="126" t="str">
        <f>IF('Finalterm OVPAA-F-INS-055A RAW '!AW45="","",'Finalterm OVPAA-F-INS-055A RAW '!AW45/'Finalterm OVPAA-F-INS-055A RAW '!AW$17*100)</f>
        <v/>
      </c>
      <c r="AX45" s="126" t="str">
        <f>IF('Finalterm OVPAA-F-INS-055A RAW '!AX45="","",'Finalterm OVPAA-F-INS-055A RAW '!AX45/'Finalterm OVPAA-F-INS-055A RAW '!AX$17*100)</f>
        <v/>
      </c>
      <c r="AY45" s="126" t="str">
        <f>IF('Finalterm OVPAA-F-INS-055A RAW '!AY45="","",'Finalterm OVPAA-F-INS-055A RAW '!AY45/'Finalterm OVPAA-F-INS-055A RAW '!AY$17*100)</f>
        <v/>
      </c>
      <c r="AZ45" s="126" t="str">
        <f>IF('Finalterm OVPAA-F-INS-055A RAW '!AZ45="","",'Finalterm OVPAA-F-INS-055A RAW '!AZ45/'Finalterm OVPAA-F-INS-055A RAW '!AZ$17*100)</f>
        <v/>
      </c>
      <c r="BA45" s="126" t="str">
        <f>IF('Finalterm OVPAA-F-INS-055A RAW '!BA45="","",'Finalterm OVPAA-F-INS-055A RAW '!BA45/'Finalterm OVPAA-F-INS-055A RAW '!BA$17*100)</f>
        <v/>
      </c>
      <c r="BB45" s="126" t="str">
        <f>IF('Finalterm OVPAA-F-INS-055A RAW '!BB45="","",'Finalterm OVPAA-F-INS-055A RAW '!BB45/'Finalterm OVPAA-F-INS-055A RAW '!BB$17*100)</f>
        <v/>
      </c>
      <c r="BC45" s="126" t="str">
        <f>IF('Finalterm OVPAA-F-INS-055A RAW '!BC45="","",'Finalterm OVPAA-F-INS-055A RAW '!BC45/'Finalterm OVPAA-F-INS-055A RAW '!BC$17*100)</f>
        <v/>
      </c>
      <c r="BD45" s="126" t="str">
        <f>IF('Finalterm OVPAA-F-INS-055A RAW '!BD45="","",'Finalterm OVPAA-F-INS-055A RAW '!BD45/'Finalterm OVPAA-F-INS-055A RAW '!BD$17*100)</f>
        <v/>
      </c>
      <c r="BE45" s="126" t="str">
        <f>IF('Finalterm OVPAA-F-INS-055A RAW '!BE45="","",'Finalterm OVPAA-F-INS-055A RAW '!BE45/'Finalterm OVPAA-F-INS-055A RAW '!BE$17*100)</f>
        <v/>
      </c>
      <c r="BF45" s="126" t="str">
        <f>IF('Finalterm OVPAA-F-INS-055A RAW '!BF45="","",'Finalterm OVPAA-F-INS-055A RAW '!BF45/'Finalterm OVPAA-F-INS-055A RAW '!BF$17*100)</f>
        <v/>
      </c>
      <c r="BG45" s="126" t="str">
        <f>IF('Finalterm OVPAA-F-INS-055A RAW '!BG45="","",'Finalterm OVPAA-F-INS-055A RAW '!BG45/'Finalterm OVPAA-F-INS-055A RAW '!BG$17*100)</f>
        <v/>
      </c>
      <c r="BH45" s="126" t="str">
        <f>IF('Finalterm OVPAA-F-INS-055A RAW '!BH45="","",'Finalterm OVPAA-F-INS-055A RAW '!BH45/'Finalterm OVPAA-F-INS-055A RAW '!BH$17*100)</f>
        <v/>
      </c>
      <c r="BI45" s="126" t="str">
        <f>IF('Finalterm OVPAA-F-INS-055A RAW '!BI45="","",'Finalterm OVPAA-F-INS-055A RAW '!BI45/'Finalterm OVPAA-F-INS-055A RAW '!BI$17*100)</f>
        <v/>
      </c>
      <c r="BJ45" s="126" t="str">
        <f>IF('Finalterm OVPAA-F-INS-055A RAW '!BJ45="","",'Finalterm OVPAA-F-INS-055A RAW '!BJ45/'Finalterm OVPAA-F-INS-055A RAW '!BJ$17*100)</f>
        <v/>
      </c>
      <c r="BK45" s="126" t="str">
        <f>IF('Finalterm OVPAA-F-INS-055A RAW '!BK45="","",'Finalterm OVPAA-F-INS-055A RAW '!BK45/'Finalterm OVPAA-F-INS-055A RAW '!BK$17*100)</f>
        <v/>
      </c>
      <c r="BL45" s="126" t="str">
        <f>IF('Finalterm OVPAA-F-INS-055A RAW '!BL45="","",'Finalterm OVPAA-F-INS-055A RAW '!BL45/'Finalterm OVPAA-F-INS-055A RAW '!BL$17*100)</f>
        <v/>
      </c>
      <c r="BM45" s="126" t="str">
        <f>IF('Finalterm OVPAA-F-INS-055A RAW '!BM45="","",'Finalterm OVPAA-F-INS-055A RAW '!BM45/'Finalterm OVPAA-F-INS-055A RAW '!BM$17*100)</f>
        <v/>
      </c>
      <c r="BN45" s="126" t="str">
        <f>IF('Finalterm OVPAA-F-INS-055A RAW '!BN45="","",'Finalterm OVPAA-F-INS-055A RAW '!BN45/'Finalterm OVPAA-F-INS-055A RAW '!BN$17*100)</f>
        <v/>
      </c>
      <c r="BO45" s="126" t="str">
        <f>IF('Finalterm OVPAA-F-INS-055A RAW '!BO45="","",'Finalterm OVPAA-F-INS-055A RAW '!BO45/'Finalterm OVPAA-F-INS-055A RAW '!BO$17*100)</f>
        <v/>
      </c>
      <c r="BP45" s="126" t="str">
        <f>IF('Finalterm OVPAA-F-INS-055A RAW '!BP45="","",'Finalterm OVPAA-F-INS-055A RAW '!BP45/'Finalterm OVPAA-F-INS-055A RAW '!BP$17*100)</f>
        <v/>
      </c>
      <c r="BQ45" s="126" t="str">
        <f>IF('Finalterm OVPAA-F-INS-055A RAW '!BQ45="","",'Finalterm OVPAA-F-INS-055A RAW '!BQ45/'Finalterm OVPAA-F-INS-055A RAW '!BQ$17*100)</f>
        <v/>
      </c>
      <c r="BR45" s="126" t="str">
        <f>IF('Finalterm OVPAA-F-INS-055A RAW '!BR45="","",'Finalterm OVPAA-F-INS-055A RAW '!BR45/'Finalterm OVPAA-F-INS-055A RAW '!BR$17*100)</f>
        <v/>
      </c>
      <c r="BS45" s="126" t="str">
        <f>IF('Finalterm OVPAA-F-INS-055A RAW '!BS45="","",'Finalterm OVPAA-F-INS-055A RAW '!BS45/'Finalterm OVPAA-F-INS-055A RAW '!BS$17*100)</f>
        <v/>
      </c>
      <c r="BT45" s="126" t="str">
        <f>IF('Finalterm OVPAA-F-INS-055A RAW '!BT45="","",'Finalterm OVPAA-F-INS-055A RAW '!BT45/'Finalterm OVPAA-F-INS-055A RAW '!BT$17*100)</f>
        <v/>
      </c>
      <c r="BU45" s="127" t="str">
        <f t="array" ref="BU45">IF('Finalterm OVPAA-F-INS-055A RAW '!$G45="","",IF((SUMPRODUCT(--ISBLANK('Finalterm OVPAA-F-INS-055A RAW '!H45:BT45))=COLUMNS('Finalterm OVPAA-F-INS-055A RAW '!H45:BT45))=TRUE,"",(((COUNTA('Finalterm OVPAA-F-INS-055A RAW '!$H$17:$BT$17)+COUNTBLANK('Finalterm OVPAA-F-INS-055A RAW '!H45:BT45))-COLUMNS('Finalterm OVPAA-F-INS-055A RAW '!H45:BT45))*5+SUM(H45:BT45))/COUNTA('Finalterm OVPAA-F-INS-055A RAW '!$H$17:$BT$17)))</f>
        <v/>
      </c>
      <c r="BV45" s="165" t="str">
        <f>IF(BU45="","",VLOOKUP(BU45,IF('Midterm OVPAA-F-INS-055A RAW SC'!$V$12=0.5,TRANSMUTATION!$C$4:$D$17,TRANSMUTATION!$G$4:$H$17),2,TRUE))</f>
        <v/>
      </c>
      <c r="BW45" s="129" t="str">
        <f>IF('Finalterm OVPAA-F-INS-055A RAW '!BU45="","",'Finalterm OVPAA-F-INS-055A RAW '!BU45/'Finalterm OVPAA-F-INS-055A RAW '!BU$17*100)</f>
        <v/>
      </c>
      <c r="BX45" s="130" t="str">
        <f>IF('Finalterm OVPAA-F-INS-055A RAW '!BV45="","",'Finalterm OVPAA-F-INS-055A RAW '!BV45/'Finalterm OVPAA-F-INS-055A RAW '!BV$17*100)</f>
        <v/>
      </c>
      <c r="BY45" s="130" t="str">
        <f>IF('Finalterm OVPAA-F-INS-055A RAW '!BW45="","",'Finalterm OVPAA-F-INS-055A RAW '!BW45/'Finalterm OVPAA-F-INS-055A RAW '!BW$17*100)</f>
        <v/>
      </c>
      <c r="BZ45" s="130" t="str">
        <f>IF('Finalterm OVPAA-F-INS-055A RAW '!BX45="","",'Finalterm OVPAA-F-INS-055A RAW '!BX45/'Finalterm OVPAA-F-INS-055A RAW '!BX$17*100)</f>
        <v/>
      </c>
      <c r="CA45" s="130" t="str">
        <f>IF('Finalterm OVPAA-F-INS-055A RAW '!BY45="","",'Finalterm OVPAA-F-INS-055A RAW '!BY45/'Finalterm OVPAA-F-INS-055A RAW '!BY$17*100)</f>
        <v/>
      </c>
      <c r="CB45" s="130" t="str">
        <f>IF('Finalterm OVPAA-F-INS-055A RAW '!BZ45="","",'Finalterm OVPAA-F-INS-055A RAW '!BZ45/'Finalterm OVPAA-F-INS-055A RAW '!BZ$17*100)</f>
        <v/>
      </c>
      <c r="CC45" s="130" t="str">
        <f>IF('Finalterm OVPAA-F-INS-055A RAW '!CA45="","",'Finalterm OVPAA-F-INS-055A RAW '!CA45/'Finalterm OVPAA-F-INS-055A RAW '!CA$17*100)</f>
        <v/>
      </c>
      <c r="CD45" s="130" t="str">
        <f>IF('Finalterm OVPAA-F-INS-055A RAW '!CB45="","",'Finalterm OVPAA-F-INS-055A RAW '!CB45/'Finalterm OVPAA-F-INS-055A RAW '!CB$17*100)</f>
        <v/>
      </c>
      <c r="CE45" s="130" t="str">
        <f>IF('Finalterm OVPAA-F-INS-055A RAW '!CC45="","",'Finalterm OVPAA-F-INS-055A RAW '!CC45/'Finalterm OVPAA-F-INS-055A RAW '!CC$17*100)</f>
        <v/>
      </c>
      <c r="CF45" s="130" t="str">
        <f>IF('Finalterm OVPAA-F-INS-055A RAW '!CD45="","",'Finalterm OVPAA-F-INS-055A RAW '!CD45/'Finalterm OVPAA-F-INS-055A RAW '!CD$17*100)</f>
        <v/>
      </c>
      <c r="CG45" s="130" t="str">
        <f>IF('Finalterm OVPAA-F-INS-055A RAW '!CE45="","",'Finalterm OVPAA-F-INS-055A RAW '!CE45/'Finalterm OVPAA-F-INS-055A RAW '!CE$17*100)</f>
        <v/>
      </c>
      <c r="CH45" s="130" t="str">
        <f>IF('Finalterm OVPAA-F-INS-055A RAW '!CF45="","",'Finalterm OVPAA-F-INS-055A RAW '!CF45/'Finalterm OVPAA-F-INS-055A RAW '!CF$17*100)</f>
        <v/>
      </c>
      <c r="CI45" s="130" t="str">
        <f>IF('Finalterm OVPAA-F-INS-055A RAW '!CG45="","",'Finalterm OVPAA-F-INS-055A RAW '!CG45/'Finalterm OVPAA-F-INS-055A RAW '!CG$17*100)</f>
        <v/>
      </c>
      <c r="CJ45" s="130" t="str">
        <f>IF('Finalterm OVPAA-F-INS-055A RAW '!CH45="","",'Finalterm OVPAA-F-INS-055A RAW '!CH45/'Finalterm OVPAA-F-INS-055A RAW '!CH$17*100)</f>
        <v/>
      </c>
      <c r="CK45" s="130" t="str">
        <f>IF('Finalterm OVPAA-F-INS-055A RAW '!CI45="","",'Finalterm OVPAA-F-INS-055A RAW '!CI45/'Finalterm OVPAA-F-INS-055A RAW '!CI$17*100)</f>
        <v/>
      </c>
      <c r="CL45" s="130" t="str">
        <f>IF('Finalterm OVPAA-F-INS-055A RAW '!CJ45="","",'Finalterm OVPAA-F-INS-055A RAW '!CJ45/'Finalterm OVPAA-F-INS-055A RAW '!CJ$17*100)</f>
        <v/>
      </c>
      <c r="CM45" s="130" t="str">
        <f>IF('Finalterm OVPAA-F-INS-055A RAW '!CK45="","",'Finalterm OVPAA-F-INS-055A RAW '!CK45/'Finalterm OVPAA-F-INS-055A RAW '!CK$17*100)</f>
        <v/>
      </c>
      <c r="CN45" s="130" t="str">
        <f>IF('Finalterm OVPAA-F-INS-055A RAW '!CL45="","",'Finalterm OVPAA-F-INS-055A RAW '!CL45/'Finalterm OVPAA-F-INS-055A RAW '!CL$17*100)</f>
        <v/>
      </c>
      <c r="CO45" s="130" t="str">
        <f>IF('Finalterm OVPAA-F-INS-055A RAW '!CM45="","",'Finalterm OVPAA-F-INS-055A RAW '!CM45/'Finalterm OVPAA-F-INS-055A RAW '!CM$17*100)</f>
        <v/>
      </c>
      <c r="CP45" s="130" t="str">
        <f>IF('Finalterm OVPAA-F-INS-055A RAW '!CN45="","",'Finalterm OVPAA-F-INS-055A RAW '!CN45/'Finalterm OVPAA-F-INS-055A RAW '!CN$17*100)</f>
        <v/>
      </c>
      <c r="CQ45" s="131" t="str">
        <f t="array" ref="CQ45">IF('Midterm OVPAA-F-INS-055A RAW SC'!G45="","",IF((SUMPRODUCT(--ISBLANK('Finalterm OVPAA-F-INS-055A RAW '!BU45:CN45))=COLUMNS('Finalterm OVPAA-F-INS-055A RAW '!BU45:CN45))=TRUE,"",(((COUNTA('Finalterm OVPAA-F-INS-055A RAW '!$BU$17:$CN$17)+COUNTBLANK('Finalterm OVPAA-F-INS-055A RAW '!BU45:CN45))-COLUMNS('Finalterm OVPAA-F-INS-055A RAW '!BU45:CN45))*5+SUM(BW45:CP45))/COUNTA('Finalterm OVPAA-F-INS-055A RAW '!$BU$17:$CN$17)))</f>
        <v/>
      </c>
      <c r="CR45" s="132" t="str">
        <f>IF(CQ45="","",VLOOKUP(CQ45,IF('Midterm OVPAA-F-INS-055A RAW SC'!$V$12=0.5,TRANSMUTATION!$C$4:$D$17,TRANSMUTATION!$G$4:$H$17),2,TRUE))</f>
        <v/>
      </c>
      <c r="CS45" s="133" t="str">
        <f>IF('Finalterm OVPAA-F-INS-055A RAW '!CO45="","",'Finalterm OVPAA-F-INS-055A RAW '!CO45/'Finalterm OVPAA-F-INS-055A RAW '!CO$17*100)</f>
        <v/>
      </c>
      <c r="CT45" s="133" t="str">
        <f>IF('Finalterm OVPAA-F-INS-055A RAW '!CP45="","",'Finalterm OVPAA-F-INS-055A RAW '!CP45/'Finalterm OVPAA-F-INS-055A RAW '!CP$17*100)</f>
        <v/>
      </c>
      <c r="CU45" s="133" t="str">
        <f>IF('Finalterm OVPAA-F-INS-055A RAW '!CQ45="","",'Finalterm OVPAA-F-INS-055A RAW '!CQ45/'Finalterm OVPAA-F-INS-055A RAW '!CQ$17*100)</f>
        <v/>
      </c>
      <c r="CV45" s="133" t="str">
        <f>IF('Finalterm OVPAA-F-INS-055A RAW '!CR45="","",'Finalterm OVPAA-F-INS-055A RAW '!CR45/'Finalterm OVPAA-F-INS-055A RAW '!CR$17*100)</f>
        <v/>
      </c>
      <c r="CW45" s="133" t="str">
        <f>IF('Finalterm OVPAA-F-INS-055A RAW '!CS45="","",'Finalterm OVPAA-F-INS-055A RAW '!CS45/'Finalterm OVPAA-F-INS-055A RAW '!CS$17*100)</f>
        <v/>
      </c>
      <c r="CX45" s="133" t="str">
        <f>IF('Finalterm OVPAA-F-INS-055A RAW '!CT45="","",'Finalterm OVPAA-F-INS-055A RAW '!CT45/'Finalterm OVPAA-F-INS-055A RAW '!CT$17*100)</f>
        <v/>
      </c>
      <c r="CY45" s="133" t="str">
        <f>IF('Finalterm OVPAA-F-INS-055A RAW '!CU45="","",'Finalterm OVPAA-F-INS-055A RAW '!CU45/'Finalterm OVPAA-F-INS-055A RAW '!CU$17*100)</f>
        <v/>
      </c>
      <c r="CZ45" s="133" t="str">
        <f>IF('Finalterm OVPAA-F-INS-055A RAW '!CV45="","",'Finalterm OVPAA-F-INS-055A RAW '!CV45/'Finalterm OVPAA-F-INS-055A RAW '!CV$17*100)</f>
        <v/>
      </c>
      <c r="DA45" s="133" t="str">
        <f>IF('Finalterm OVPAA-F-INS-055A RAW '!CW45="","",'Finalterm OVPAA-F-INS-055A RAW '!CW45/'Finalterm OVPAA-F-INS-055A RAW '!CW$17*100)</f>
        <v/>
      </c>
      <c r="DB45" s="133" t="str">
        <f>IF('Finalterm OVPAA-F-INS-055A RAW '!CX45="","",'Finalterm OVPAA-F-INS-055A RAW '!CX45/'Finalterm OVPAA-F-INS-055A RAW '!CX$17*100)</f>
        <v/>
      </c>
      <c r="DC45" s="134" t="str">
        <f t="array" ref="DC45">IF('Midterm OVPAA-F-INS-055A RAW SC'!$G45="","",IF((SUMPRODUCT(--ISBLANK('Finalterm OVPAA-F-INS-055A RAW '!CO45:CX45))=COLUMNS('Finalterm OVPAA-F-INS-055A RAW '!CO45:CX45))=TRUE,"",(((COUNTA('Finalterm OVPAA-F-INS-055A RAW '!$CO$17:$CX$17)+COUNTBLANK('Finalterm OVPAA-F-INS-055A RAW '!CO45:CX45))-COLUMNS('Finalterm OVPAA-F-INS-055A RAW '!CO45:CX45))*5+SUM(CS45:DB45))/COUNTA('Finalterm OVPAA-F-INS-055A RAW '!$CO$17:$CX$17)))</f>
        <v/>
      </c>
      <c r="DD45" s="135" t="str">
        <f>IF(DC45="","",VLOOKUP(DC45,IF('Midterm OVPAA-F-INS-055A RAW SC'!$V$12=0.5,TRANSMUTATION!$C$4:$D$17,TRANSMUTATION!$G$4:$H$17),2,TRUE))</f>
        <v/>
      </c>
      <c r="DE45" s="136" t="str">
        <f t="shared" si="1"/>
        <v/>
      </c>
      <c r="DF45" s="166" t="str">
        <f t="shared" si="2"/>
        <v/>
      </c>
      <c r="DG45" s="167" t="str">
        <f t="shared" si="3"/>
        <v/>
      </c>
      <c r="DH45" s="168" t="str">
        <f t="shared" si="4"/>
        <v/>
      </c>
      <c r="DI45" s="169" t="str">
        <f t="shared" si="5"/>
        <v/>
      </c>
    </row>
    <row r="46" spans="5:113" ht="15.75" customHeight="1">
      <c r="E46" s="59">
        <v>29</v>
      </c>
      <c r="F46" s="124" t="str">
        <f>IF(NOT(ISBLANK('Midterm OVPAA-F-INS-055A RAW SC'!F46)),'Midterm OVPAA-F-INS-055A RAW SC'!F46,"")</f>
        <v/>
      </c>
      <c r="G46" s="125" t="str">
        <f>IF(NOT(ISBLANK('Midterm OVPAA-F-INS-055A RAW SC'!G46)),'Midterm OVPAA-F-INS-055A RAW SC'!G46,"")</f>
        <v/>
      </c>
      <c r="H46" s="126" t="str">
        <f>IF('Finalterm OVPAA-F-INS-055A RAW '!H46="","",'Finalterm OVPAA-F-INS-055A RAW '!H46/'Finalterm OVPAA-F-INS-055A RAW '!H$17*100)</f>
        <v/>
      </c>
      <c r="I46" s="126" t="str">
        <f>IF('Finalterm OVPAA-F-INS-055A RAW '!I46="","",'Finalterm OVPAA-F-INS-055A RAW '!I46/'Finalterm OVPAA-F-INS-055A RAW '!I$17*100)</f>
        <v/>
      </c>
      <c r="J46" s="126" t="str">
        <f>IF('Finalterm OVPAA-F-INS-055A RAW '!J46="","",'Finalterm OVPAA-F-INS-055A RAW '!J46/'Finalterm OVPAA-F-INS-055A RAW '!J$17*100)</f>
        <v/>
      </c>
      <c r="K46" s="126" t="str">
        <f>IF('Finalterm OVPAA-F-INS-055A RAW '!K46="","",'Finalterm OVPAA-F-INS-055A RAW '!K46/'Finalterm OVPAA-F-INS-055A RAW '!K$17*100)</f>
        <v/>
      </c>
      <c r="L46" s="126" t="str">
        <f>IF('Finalterm OVPAA-F-INS-055A RAW '!L46="","",'Finalterm OVPAA-F-INS-055A RAW '!L46/'Finalterm OVPAA-F-INS-055A RAW '!L$17*100)</f>
        <v/>
      </c>
      <c r="M46" s="126" t="str">
        <f>IF('Finalterm OVPAA-F-INS-055A RAW '!M46="","",'Finalterm OVPAA-F-INS-055A RAW '!M46/'Finalterm OVPAA-F-INS-055A RAW '!M$17*100)</f>
        <v/>
      </c>
      <c r="N46" s="126" t="str">
        <f>IF('Finalterm OVPAA-F-INS-055A RAW '!N46="","",'Finalterm OVPAA-F-INS-055A RAW '!N46/'Finalterm OVPAA-F-INS-055A RAW '!N$17*100)</f>
        <v/>
      </c>
      <c r="O46" s="126" t="str">
        <f>IF('Finalterm OVPAA-F-INS-055A RAW '!O46="","",'Finalterm OVPAA-F-INS-055A RAW '!O46/'Finalterm OVPAA-F-INS-055A RAW '!O$17*100)</f>
        <v/>
      </c>
      <c r="P46" s="126" t="str">
        <f>IF('Finalterm OVPAA-F-INS-055A RAW '!P46="","",'Finalterm OVPAA-F-INS-055A RAW '!P46/'Finalterm OVPAA-F-INS-055A RAW '!P$17*100)</f>
        <v/>
      </c>
      <c r="Q46" s="126" t="str">
        <f>IF('Finalterm OVPAA-F-INS-055A RAW '!Q46="","",'Finalterm OVPAA-F-INS-055A RAW '!Q46/'Finalterm OVPAA-F-INS-055A RAW '!Q$17*100)</f>
        <v/>
      </c>
      <c r="R46" s="126" t="str">
        <f>IF('Finalterm OVPAA-F-INS-055A RAW '!R46="","",'Finalterm OVPAA-F-INS-055A RAW '!R46/'Finalterm OVPAA-F-INS-055A RAW '!R$17*100)</f>
        <v/>
      </c>
      <c r="S46" s="126" t="str">
        <f>IF('Finalterm OVPAA-F-INS-055A RAW '!S46="","",'Finalterm OVPAA-F-INS-055A RAW '!S46/'Finalterm OVPAA-F-INS-055A RAW '!S$17*100)</f>
        <v/>
      </c>
      <c r="T46" s="126" t="str">
        <f>IF('Finalterm OVPAA-F-INS-055A RAW '!T46="","",'Finalterm OVPAA-F-INS-055A RAW '!T46/'Finalterm OVPAA-F-INS-055A RAW '!T$17*100)</f>
        <v/>
      </c>
      <c r="U46" s="126" t="str">
        <f>IF('Finalterm OVPAA-F-INS-055A RAW '!U46="","",'Finalterm OVPAA-F-INS-055A RAW '!U46/'Finalterm OVPAA-F-INS-055A RAW '!U$17*100)</f>
        <v/>
      </c>
      <c r="V46" s="126" t="str">
        <f>IF('Finalterm OVPAA-F-INS-055A RAW '!V46="","",'Finalterm OVPAA-F-INS-055A RAW '!V46/'Finalterm OVPAA-F-INS-055A RAW '!V$17*100)</f>
        <v/>
      </c>
      <c r="W46" s="126" t="str">
        <f>IF('Finalterm OVPAA-F-INS-055A RAW '!W46="","",'Finalterm OVPAA-F-INS-055A RAW '!W46/'Finalterm OVPAA-F-INS-055A RAW '!W$17*100)</f>
        <v/>
      </c>
      <c r="X46" s="126" t="str">
        <f>IF('Finalterm OVPAA-F-INS-055A RAW '!X46="","",'Finalterm OVPAA-F-INS-055A RAW '!X46/'Finalterm OVPAA-F-INS-055A RAW '!X$17*100)</f>
        <v/>
      </c>
      <c r="Y46" s="126" t="str">
        <f>IF('Finalterm OVPAA-F-INS-055A RAW '!Y46="","",'Finalterm OVPAA-F-INS-055A RAW '!Y46/'Finalterm OVPAA-F-INS-055A RAW '!Y$17*100)</f>
        <v/>
      </c>
      <c r="Z46" s="126" t="str">
        <f>IF('Finalterm OVPAA-F-INS-055A RAW '!Z46="","",'Finalterm OVPAA-F-INS-055A RAW '!Z46/'Finalterm OVPAA-F-INS-055A RAW '!Z$17*100)</f>
        <v/>
      </c>
      <c r="AA46" s="126" t="str">
        <f>IF('Finalterm OVPAA-F-INS-055A RAW '!AA46="","",'Finalterm OVPAA-F-INS-055A RAW '!AA46/'Finalterm OVPAA-F-INS-055A RAW '!AA$17*100)</f>
        <v/>
      </c>
      <c r="AB46" s="126" t="str">
        <f>IF('Finalterm OVPAA-F-INS-055A RAW '!AB46="","",'Finalterm OVPAA-F-INS-055A RAW '!AB46/'Finalterm OVPAA-F-INS-055A RAW '!AB$17*100)</f>
        <v/>
      </c>
      <c r="AC46" s="126" t="str">
        <f>IF('Finalterm OVPAA-F-INS-055A RAW '!AC46="","",'Finalterm OVPAA-F-INS-055A RAW '!AC46/'Finalterm OVPAA-F-INS-055A RAW '!AC$17*100)</f>
        <v/>
      </c>
      <c r="AD46" s="126" t="str">
        <f>IF('Finalterm OVPAA-F-INS-055A RAW '!AD46="","",'Finalterm OVPAA-F-INS-055A RAW '!AD46/'Finalterm OVPAA-F-INS-055A RAW '!AD$17*100)</f>
        <v/>
      </c>
      <c r="AE46" s="126" t="str">
        <f>IF('Finalterm OVPAA-F-INS-055A RAW '!AE46="","",'Finalterm OVPAA-F-INS-055A RAW '!AE46/'Finalterm OVPAA-F-INS-055A RAW '!AE$17*100)</f>
        <v/>
      </c>
      <c r="AF46" s="126" t="str">
        <f>IF('Finalterm OVPAA-F-INS-055A RAW '!AF46="","",'Finalterm OVPAA-F-INS-055A RAW '!AF46/'Finalterm OVPAA-F-INS-055A RAW '!AF$17*100)</f>
        <v/>
      </c>
      <c r="AG46" s="126" t="str">
        <f>IF('Finalterm OVPAA-F-INS-055A RAW '!AG46="","",'Finalterm OVPAA-F-INS-055A RAW '!AG46/'Finalterm OVPAA-F-INS-055A RAW '!AG$17*100)</f>
        <v/>
      </c>
      <c r="AH46" s="126" t="str">
        <f>IF('Finalterm OVPAA-F-INS-055A RAW '!AH46="","",'Finalterm OVPAA-F-INS-055A RAW '!AH46/'Finalterm OVPAA-F-INS-055A RAW '!AH$17*100)</f>
        <v/>
      </c>
      <c r="AI46" s="126" t="str">
        <f>IF('Finalterm OVPAA-F-INS-055A RAW '!AI46="","",'Finalterm OVPAA-F-INS-055A RAW '!AI46/'Finalterm OVPAA-F-INS-055A RAW '!AI$17*100)</f>
        <v/>
      </c>
      <c r="AJ46" s="126" t="str">
        <f>IF('Finalterm OVPAA-F-INS-055A RAW '!AJ46="","",'Finalterm OVPAA-F-INS-055A RAW '!AJ46/'Finalterm OVPAA-F-INS-055A RAW '!AJ$17*100)</f>
        <v/>
      </c>
      <c r="AK46" s="126" t="str">
        <f>IF('Finalterm OVPAA-F-INS-055A RAW '!AK46="","",'Finalterm OVPAA-F-INS-055A RAW '!AK46/'Finalterm OVPAA-F-INS-055A RAW '!AK$17*100)</f>
        <v/>
      </c>
      <c r="AL46" s="126" t="str">
        <f>IF('Finalterm OVPAA-F-INS-055A RAW '!AL46="","",'Finalterm OVPAA-F-INS-055A RAW '!AL46/'Finalterm OVPAA-F-INS-055A RAW '!AL$17*100)</f>
        <v/>
      </c>
      <c r="AM46" s="126" t="str">
        <f>IF('Finalterm OVPAA-F-INS-055A RAW '!AM46="","",'Finalterm OVPAA-F-INS-055A RAW '!AM46/'Finalterm OVPAA-F-INS-055A RAW '!AM$17*100)</f>
        <v/>
      </c>
      <c r="AN46" s="126" t="str">
        <f>IF('Finalterm OVPAA-F-INS-055A RAW '!AN46="","",'Finalterm OVPAA-F-INS-055A RAW '!AN46/'Finalterm OVPAA-F-INS-055A RAW '!AN$17*100)</f>
        <v/>
      </c>
      <c r="AO46" s="126" t="str">
        <f>IF('Finalterm OVPAA-F-INS-055A RAW '!AO46="","",'Finalterm OVPAA-F-INS-055A RAW '!AO46/'Finalterm OVPAA-F-INS-055A RAW '!AO$17*100)</f>
        <v/>
      </c>
      <c r="AP46" s="126" t="str">
        <f>IF('Finalterm OVPAA-F-INS-055A RAW '!AP46="","",'Finalterm OVPAA-F-INS-055A RAW '!AP46/'Finalterm OVPAA-F-INS-055A RAW '!AP$17*100)</f>
        <v/>
      </c>
      <c r="AQ46" s="126" t="str">
        <f>IF('Finalterm OVPAA-F-INS-055A RAW '!AQ46="","",'Finalterm OVPAA-F-INS-055A RAW '!AQ46/'Finalterm OVPAA-F-INS-055A RAW '!AQ$17*100)</f>
        <v/>
      </c>
      <c r="AR46" s="126" t="str">
        <f>IF('Finalterm OVPAA-F-INS-055A RAW '!AR46="","",'Finalterm OVPAA-F-INS-055A RAW '!AR46/'Finalterm OVPAA-F-INS-055A RAW '!AR$17*100)</f>
        <v/>
      </c>
      <c r="AS46" s="126" t="str">
        <f>IF('Finalterm OVPAA-F-INS-055A RAW '!AS46="","",'Finalterm OVPAA-F-INS-055A RAW '!AS46/'Finalterm OVPAA-F-INS-055A RAW '!AS$17*100)</f>
        <v/>
      </c>
      <c r="AT46" s="126" t="str">
        <f>IF('Finalterm OVPAA-F-INS-055A RAW '!AT46="","",'Finalterm OVPAA-F-INS-055A RAW '!AT46/'Finalterm OVPAA-F-INS-055A RAW '!AT$17*100)</f>
        <v/>
      </c>
      <c r="AU46" s="126" t="str">
        <f>IF('Finalterm OVPAA-F-INS-055A RAW '!AU46="","",'Finalterm OVPAA-F-INS-055A RAW '!AU46/'Finalterm OVPAA-F-INS-055A RAW '!AU$17*100)</f>
        <v/>
      </c>
      <c r="AV46" s="126" t="str">
        <f>IF('Finalterm OVPAA-F-INS-055A RAW '!AV46="","",'Finalterm OVPAA-F-INS-055A RAW '!AV46/'Finalterm OVPAA-F-INS-055A RAW '!AV$17*100)</f>
        <v/>
      </c>
      <c r="AW46" s="126" t="str">
        <f>IF('Finalterm OVPAA-F-INS-055A RAW '!AW46="","",'Finalterm OVPAA-F-INS-055A RAW '!AW46/'Finalterm OVPAA-F-INS-055A RAW '!AW$17*100)</f>
        <v/>
      </c>
      <c r="AX46" s="126" t="str">
        <f>IF('Finalterm OVPAA-F-INS-055A RAW '!AX46="","",'Finalterm OVPAA-F-INS-055A RAW '!AX46/'Finalterm OVPAA-F-INS-055A RAW '!AX$17*100)</f>
        <v/>
      </c>
      <c r="AY46" s="126" t="str">
        <f>IF('Finalterm OVPAA-F-INS-055A RAW '!AY46="","",'Finalterm OVPAA-F-INS-055A RAW '!AY46/'Finalterm OVPAA-F-INS-055A RAW '!AY$17*100)</f>
        <v/>
      </c>
      <c r="AZ46" s="126" t="str">
        <f>IF('Finalterm OVPAA-F-INS-055A RAW '!AZ46="","",'Finalterm OVPAA-F-INS-055A RAW '!AZ46/'Finalterm OVPAA-F-INS-055A RAW '!AZ$17*100)</f>
        <v/>
      </c>
      <c r="BA46" s="126" t="str">
        <f>IF('Finalterm OVPAA-F-INS-055A RAW '!BA46="","",'Finalterm OVPAA-F-INS-055A RAW '!BA46/'Finalterm OVPAA-F-INS-055A RAW '!BA$17*100)</f>
        <v/>
      </c>
      <c r="BB46" s="126" t="str">
        <f>IF('Finalterm OVPAA-F-INS-055A RAW '!BB46="","",'Finalterm OVPAA-F-INS-055A RAW '!BB46/'Finalterm OVPAA-F-INS-055A RAW '!BB$17*100)</f>
        <v/>
      </c>
      <c r="BC46" s="126" t="str">
        <f>IF('Finalterm OVPAA-F-INS-055A RAW '!BC46="","",'Finalterm OVPAA-F-INS-055A RAW '!BC46/'Finalterm OVPAA-F-INS-055A RAW '!BC$17*100)</f>
        <v/>
      </c>
      <c r="BD46" s="126" t="str">
        <f>IF('Finalterm OVPAA-F-INS-055A RAW '!BD46="","",'Finalterm OVPAA-F-INS-055A RAW '!BD46/'Finalterm OVPAA-F-INS-055A RAW '!BD$17*100)</f>
        <v/>
      </c>
      <c r="BE46" s="126" t="str">
        <f>IF('Finalterm OVPAA-F-INS-055A RAW '!BE46="","",'Finalterm OVPAA-F-INS-055A RAW '!BE46/'Finalterm OVPAA-F-INS-055A RAW '!BE$17*100)</f>
        <v/>
      </c>
      <c r="BF46" s="126" t="str">
        <f>IF('Finalterm OVPAA-F-INS-055A RAW '!BF46="","",'Finalterm OVPAA-F-INS-055A RAW '!BF46/'Finalterm OVPAA-F-INS-055A RAW '!BF$17*100)</f>
        <v/>
      </c>
      <c r="BG46" s="126" t="str">
        <f>IF('Finalterm OVPAA-F-INS-055A RAW '!BG46="","",'Finalterm OVPAA-F-INS-055A RAW '!BG46/'Finalterm OVPAA-F-INS-055A RAW '!BG$17*100)</f>
        <v/>
      </c>
      <c r="BH46" s="126" t="str">
        <f>IF('Finalterm OVPAA-F-INS-055A RAW '!BH46="","",'Finalterm OVPAA-F-INS-055A RAW '!BH46/'Finalterm OVPAA-F-INS-055A RAW '!BH$17*100)</f>
        <v/>
      </c>
      <c r="BI46" s="126" t="str">
        <f>IF('Finalterm OVPAA-F-INS-055A RAW '!BI46="","",'Finalterm OVPAA-F-INS-055A RAW '!BI46/'Finalterm OVPAA-F-INS-055A RAW '!BI$17*100)</f>
        <v/>
      </c>
      <c r="BJ46" s="126" t="str">
        <f>IF('Finalterm OVPAA-F-INS-055A RAW '!BJ46="","",'Finalterm OVPAA-F-INS-055A RAW '!BJ46/'Finalterm OVPAA-F-INS-055A RAW '!BJ$17*100)</f>
        <v/>
      </c>
      <c r="BK46" s="126" t="str">
        <f>IF('Finalterm OVPAA-F-INS-055A RAW '!BK46="","",'Finalterm OVPAA-F-INS-055A RAW '!BK46/'Finalterm OVPAA-F-INS-055A RAW '!BK$17*100)</f>
        <v/>
      </c>
      <c r="BL46" s="126" t="str">
        <f>IF('Finalterm OVPAA-F-INS-055A RAW '!BL46="","",'Finalterm OVPAA-F-INS-055A RAW '!BL46/'Finalterm OVPAA-F-INS-055A RAW '!BL$17*100)</f>
        <v/>
      </c>
      <c r="BM46" s="126" t="str">
        <f>IF('Finalterm OVPAA-F-INS-055A RAW '!BM46="","",'Finalterm OVPAA-F-INS-055A RAW '!BM46/'Finalterm OVPAA-F-INS-055A RAW '!BM$17*100)</f>
        <v/>
      </c>
      <c r="BN46" s="126" t="str">
        <f>IF('Finalterm OVPAA-F-INS-055A RAW '!BN46="","",'Finalterm OVPAA-F-INS-055A RAW '!BN46/'Finalterm OVPAA-F-INS-055A RAW '!BN$17*100)</f>
        <v/>
      </c>
      <c r="BO46" s="126" t="str">
        <f>IF('Finalterm OVPAA-F-INS-055A RAW '!BO46="","",'Finalterm OVPAA-F-INS-055A RAW '!BO46/'Finalterm OVPAA-F-INS-055A RAW '!BO$17*100)</f>
        <v/>
      </c>
      <c r="BP46" s="126" t="str">
        <f>IF('Finalterm OVPAA-F-INS-055A RAW '!BP46="","",'Finalterm OVPAA-F-INS-055A RAW '!BP46/'Finalterm OVPAA-F-INS-055A RAW '!BP$17*100)</f>
        <v/>
      </c>
      <c r="BQ46" s="126" t="str">
        <f>IF('Finalterm OVPAA-F-INS-055A RAW '!BQ46="","",'Finalterm OVPAA-F-INS-055A RAW '!BQ46/'Finalterm OVPAA-F-INS-055A RAW '!BQ$17*100)</f>
        <v/>
      </c>
      <c r="BR46" s="126" t="str">
        <f>IF('Finalterm OVPAA-F-INS-055A RAW '!BR46="","",'Finalterm OVPAA-F-INS-055A RAW '!BR46/'Finalterm OVPAA-F-INS-055A RAW '!BR$17*100)</f>
        <v/>
      </c>
      <c r="BS46" s="126" t="str">
        <f>IF('Finalterm OVPAA-F-INS-055A RAW '!BS46="","",'Finalterm OVPAA-F-INS-055A RAW '!BS46/'Finalterm OVPAA-F-INS-055A RAW '!BS$17*100)</f>
        <v/>
      </c>
      <c r="BT46" s="126" t="str">
        <f>IF('Finalterm OVPAA-F-INS-055A RAW '!BT46="","",'Finalterm OVPAA-F-INS-055A RAW '!BT46/'Finalterm OVPAA-F-INS-055A RAW '!BT$17*100)</f>
        <v/>
      </c>
      <c r="BU46" s="127" t="str">
        <f t="array" ref="BU46">IF('Finalterm OVPAA-F-INS-055A RAW '!$G46="","",IF((SUMPRODUCT(--ISBLANK('Finalterm OVPAA-F-INS-055A RAW '!H46:BT46))=COLUMNS('Finalterm OVPAA-F-INS-055A RAW '!H46:BT46))=TRUE,"",(((COUNTA('Finalterm OVPAA-F-INS-055A RAW '!$H$17:$BT$17)+COUNTBLANK('Finalterm OVPAA-F-INS-055A RAW '!H46:BT46))-COLUMNS('Finalterm OVPAA-F-INS-055A RAW '!H46:BT46))*5+SUM(H46:BT46))/COUNTA('Finalterm OVPAA-F-INS-055A RAW '!$H$17:$BT$17)))</f>
        <v/>
      </c>
      <c r="BV46" s="165" t="str">
        <f>IF(BU46="","",VLOOKUP(BU46,IF('Midterm OVPAA-F-INS-055A RAW SC'!$V$12=0.5,TRANSMUTATION!$C$4:$D$17,TRANSMUTATION!$G$4:$H$17),2,TRUE))</f>
        <v/>
      </c>
      <c r="BW46" s="129" t="str">
        <f>IF('Finalterm OVPAA-F-INS-055A RAW '!BU46="","",'Finalterm OVPAA-F-INS-055A RAW '!BU46/'Finalterm OVPAA-F-INS-055A RAW '!BU$17*100)</f>
        <v/>
      </c>
      <c r="BX46" s="130" t="str">
        <f>IF('Finalterm OVPAA-F-INS-055A RAW '!BV46="","",'Finalterm OVPAA-F-INS-055A RAW '!BV46/'Finalterm OVPAA-F-INS-055A RAW '!BV$17*100)</f>
        <v/>
      </c>
      <c r="BY46" s="130" t="str">
        <f>IF('Finalterm OVPAA-F-INS-055A RAW '!BW46="","",'Finalterm OVPAA-F-INS-055A RAW '!BW46/'Finalterm OVPAA-F-INS-055A RAW '!BW$17*100)</f>
        <v/>
      </c>
      <c r="BZ46" s="130" t="str">
        <f>IF('Finalterm OVPAA-F-INS-055A RAW '!BX46="","",'Finalterm OVPAA-F-INS-055A RAW '!BX46/'Finalterm OVPAA-F-INS-055A RAW '!BX$17*100)</f>
        <v/>
      </c>
      <c r="CA46" s="130" t="str">
        <f>IF('Finalterm OVPAA-F-INS-055A RAW '!BY46="","",'Finalterm OVPAA-F-INS-055A RAW '!BY46/'Finalterm OVPAA-F-INS-055A RAW '!BY$17*100)</f>
        <v/>
      </c>
      <c r="CB46" s="130" t="str">
        <f>IF('Finalterm OVPAA-F-INS-055A RAW '!BZ46="","",'Finalterm OVPAA-F-INS-055A RAW '!BZ46/'Finalterm OVPAA-F-INS-055A RAW '!BZ$17*100)</f>
        <v/>
      </c>
      <c r="CC46" s="130" t="str">
        <f>IF('Finalterm OVPAA-F-INS-055A RAW '!CA46="","",'Finalterm OVPAA-F-INS-055A RAW '!CA46/'Finalterm OVPAA-F-INS-055A RAW '!CA$17*100)</f>
        <v/>
      </c>
      <c r="CD46" s="130" t="str">
        <f>IF('Finalterm OVPAA-F-INS-055A RAW '!CB46="","",'Finalterm OVPAA-F-INS-055A RAW '!CB46/'Finalterm OVPAA-F-INS-055A RAW '!CB$17*100)</f>
        <v/>
      </c>
      <c r="CE46" s="130" t="str">
        <f>IF('Finalterm OVPAA-F-INS-055A RAW '!CC46="","",'Finalterm OVPAA-F-INS-055A RAW '!CC46/'Finalterm OVPAA-F-INS-055A RAW '!CC$17*100)</f>
        <v/>
      </c>
      <c r="CF46" s="130" t="str">
        <f>IF('Finalterm OVPAA-F-INS-055A RAW '!CD46="","",'Finalterm OVPAA-F-INS-055A RAW '!CD46/'Finalterm OVPAA-F-INS-055A RAW '!CD$17*100)</f>
        <v/>
      </c>
      <c r="CG46" s="130" t="str">
        <f>IF('Finalterm OVPAA-F-INS-055A RAW '!CE46="","",'Finalterm OVPAA-F-INS-055A RAW '!CE46/'Finalterm OVPAA-F-INS-055A RAW '!CE$17*100)</f>
        <v/>
      </c>
      <c r="CH46" s="130" t="str">
        <f>IF('Finalterm OVPAA-F-INS-055A RAW '!CF46="","",'Finalterm OVPAA-F-INS-055A RAW '!CF46/'Finalterm OVPAA-F-INS-055A RAW '!CF$17*100)</f>
        <v/>
      </c>
      <c r="CI46" s="130" t="str">
        <f>IF('Finalterm OVPAA-F-INS-055A RAW '!CG46="","",'Finalterm OVPAA-F-INS-055A RAW '!CG46/'Finalterm OVPAA-F-INS-055A RAW '!CG$17*100)</f>
        <v/>
      </c>
      <c r="CJ46" s="130" t="str">
        <f>IF('Finalterm OVPAA-F-INS-055A RAW '!CH46="","",'Finalterm OVPAA-F-INS-055A RAW '!CH46/'Finalterm OVPAA-F-INS-055A RAW '!CH$17*100)</f>
        <v/>
      </c>
      <c r="CK46" s="130" t="str">
        <f>IF('Finalterm OVPAA-F-INS-055A RAW '!CI46="","",'Finalterm OVPAA-F-INS-055A RAW '!CI46/'Finalterm OVPAA-F-INS-055A RAW '!CI$17*100)</f>
        <v/>
      </c>
      <c r="CL46" s="130" t="str">
        <f>IF('Finalterm OVPAA-F-INS-055A RAW '!CJ46="","",'Finalterm OVPAA-F-INS-055A RAW '!CJ46/'Finalterm OVPAA-F-INS-055A RAW '!CJ$17*100)</f>
        <v/>
      </c>
      <c r="CM46" s="130" t="str">
        <f>IF('Finalterm OVPAA-F-INS-055A RAW '!CK46="","",'Finalterm OVPAA-F-INS-055A RAW '!CK46/'Finalterm OVPAA-F-INS-055A RAW '!CK$17*100)</f>
        <v/>
      </c>
      <c r="CN46" s="130" t="str">
        <f>IF('Finalterm OVPAA-F-INS-055A RAW '!CL46="","",'Finalterm OVPAA-F-INS-055A RAW '!CL46/'Finalterm OVPAA-F-INS-055A RAW '!CL$17*100)</f>
        <v/>
      </c>
      <c r="CO46" s="130" t="str">
        <f>IF('Finalterm OVPAA-F-INS-055A RAW '!CM46="","",'Finalterm OVPAA-F-INS-055A RAW '!CM46/'Finalterm OVPAA-F-INS-055A RAW '!CM$17*100)</f>
        <v/>
      </c>
      <c r="CP46" s="130" t="str">
        <f>IF('Finalterm OVPAA-F-INS-055A RAW '!CN46="","",'Finalterm OVPAA-F-INS-055A RAW '!CN46/'Finalterm OVPAA-F-INS-055A RAW '!CN$17*100)</f>
        <v/>
      </c>
      <c r="CQ46" s="131" t="str">
        <f t="array" ref="CQ46">IF('Midterm OVPAA-F-INS-055A RAW SC'!G46="","",IF((SUMPRODUCT(--ISBLANK('Finalterm OVPAA-F-INS-055A RAW '!BU46:CN46))=COLUMNS('Finalterm OVPAA-F-INS-055A RAW '!BU46:CN46))=TRUE,"",(((COUNTA('Finalterm OVPAA-F-INS-055A RAW '!$BU$17:$CN$17)+COUNTBLANK('Finalterm OVPAA-F-INS-055A RAW '!BU46:CN46))-COLUMNS('Finalterm OVPAA-F-INS-055A RAW '!BU46:CN46))*5+SUM(BW46:CP46))/COUNTA('Finalterm OVPAA-F-INS-055A RAW '!$BU$17:$CN$17)))</f>
        <v/>
      </c>
      <c r="CR46" s="132" t="str">
        <f>IF(CQ46="","",VLOOKUP(CQ46,IF('Midterm OVPAA-F-INS-055A RAW SC'!$V$12=0.5,TRANSMUTATION!$C$4:$D$17,TRANSMUTATION!$G$4:$H$17),2,TRUE))</f>
        <v/>
      </c>
      <c r="CS46" s="133" t="str">
        <f>IF('Finalterm OVPAA-F-INS-055A RAW '!CO46="","",'Finalterm OVPAA-F-INS-055A RAW '!CO46/'Finalterm OVPAA-F-INS-055A RAW '!CO$17*100)</f>
        <v/>
      </c>
      <c r="CT46" s="133" t="str">
        <f>IF('Finalterm OVPAA-F-INS-055A RAW '!CP46="","",'Finalterm OVPAA-F-INS-055A RAW '!CP46/'Finalterm OVPAA-F-INS-055A RAW '!CP$17*100)</f>
        <v/>
      </c>
      <c r="CU46" s="133" t="str">
        <f>IF('Finalterm OVPAA-F-INS-055A RAW '!CQ46="","",'Finalterm OVPAA-F-INS-055A RAW '!CQ46/'Finalterm OVPAA-F-INS-055A RAW '!CQ$17*100)</f>
        <v/>
      </c>
      <c r="CV46" s="133" t="str">
        <f>IF('Finalterm OVPAA-F-INS-055A RAW '!CR46="","",'Finalterm OVPAA-F-INS-055A RAW '!CR46/'Finalterm OVPAA-F-INS-055A RAW '!CR$17*100)</f>
        <v/>
      </c>
      <c r="CW46" s="133" t="str">
        <f>IF('Finalterm OVPAA-F-INS-055A RAW '!CS46="","",'Finalterm OVPAA-F-INS-055A RAW '!CS46/'Finalterm OVPAA-F-INS-055A RAW '!CS$17*100)</f>
        <v/>
      </c>
      <c r="CX46" s="133" t="str">
        <f>IF('Finalterm OVPAA-F-INS-055A RAW '!CT46="","",'Finalterm OVPAA-F-INS-055A RAW '!CT46/'Finalterm OVPAA-F-INS-055A RAW '!CT$17*100)</f>
        <v/>
      </c>
      <c r="CY46" s="133" t="str">
        <f>IF('Finalterm OVPAA-F-INS-055A RAW '!CU46="","",'Finalterm OVPAA-F-INS-055A RAW '!CU46/'Finalterm OVPAA-F-INS-055A RAW '!CU$17*100)</f>
        <v/>
      </c>
      <c r="CZ46" s="133" t="str">
        <f>IF('Finalterm OVPAA-F-INS-055A RAW '!CV46="","",'Finalterm OVPAA-F-INS-055A RAW '!CV46/'Finalterm OVPAA-F-INS-055A RAW '!CV$17*100)</f>
        <v/>
      </c>
      <c r="DA46" s="133" t="str">
        <f>IF('Finalterm OVPAA-F-INS-055A RAW '!CW46="","",'Finalterm OVPAA-F-INS-055A RAW '!CW46/'Finalterm OVPAA-F-INS-055A RAW '!CW$17*100)</f>
        <v/>
      </c>
      <c r="DB46" s="133" t="str">
        <f>IF('Finalterm OVPAA-F-INS-055A RAW '!CX46="","",'Finalterm OVPAA-F-INS-055A RAW '!CX46/'Finalterm OVPAA-F-INS-055A RAW '!CX$17*100)</f>
        <v/>
      </c>
      <c r="DC46" s="134" t="str">
        <f t="array" ref="DC46">IF('Midterm OVPAA-F-INS-055A RAW SC'!$G46="","",IF((SUMPRODUCT(--ISBLANK('Finalterm OVPAA-F-INS-055A RAW '!CO46:CX46))=COLUMNS('Finalterm OVPAA-F-INS-055A RAW '!CO46:CX46))=TRUE,"",(((COUNTA('Finalterm OVPAA-F-INS-055A RAW '!$CO$17:$CX$17)+COUNTBLANK('Finalterm OVPAA-F-INS-055A RAW '!CO46:CX46))-COLUMNS('Finalterm OVPAA-F-INS-055A RAW '!CO46:CX46))*5+SUM(CS46:DB46))/COUNTA('Finalterm OVPAA-F-INS-055A RAW '!$CO$17:$CX$17)))</f>
        <v/>
      </c>
      <c r="DD46" s="135" t="str">
        <f>IF(DC46="","",VLOOKUP(DC46,IF('Midterm OVPAA-F-INS-055A RAW SC'!$V$12=0.5,TRANSMUTATION!$C$4:$D$17,TRANSMUTATION!$G$4:$H$17),2,TRUE))</f>
        <v/>
      </c>
      <c r="DE46" s="136" t="str">
        <f t="shared" si="1"/>
        <v/>
      </c>
      <c r="DF46" s="166" t="str">
        <f t="shared" si="2"/>
        <v/>
      </c>
      <c r="DG46" s="167" t="str">
        <f t="shared" si="3"/>
        <v/>
      </c>
      <c r="DH46" s="168" t="str">
        <f t="shared" si="4"/>
        <v/>
      </c>
      <c r="DI46" s="169" t="str">
        <f t="shared" si="5"/>
        <v/>
      </c>
    </row>
    <row r="47" spans="5:113" ht="15.75" customHeight="1">
      <c r="E47" s="59">
        <v>30</v>
      </c>
      <c r="F47" s="124" t="str">
        <f>IF(NOT(ISBLANK('Midterm OVPAA-F-INS-055A RAW SC'!F47)),'Midterm OVPAA-F-INS-055A RAW SC'!F47,"")</f>
        <v/>
      </c>
      <c r="G47" s="125" t="str">
        <f>IF(NOT(ISBLANK('Midterm OVPAA-F-INS-055A RAW SC'!G47)),'Midterm OVPAA-F-INS-055A RAW SC'!G47,"")</f>
        <v/>
      </c>
      <c r="H47" s="126" t="str">
        <f>IF('Finalterm OVPAA-F-INS-055A RAW '!H47="","",'Finalterm OVPAA-F-INS-055A RAW '!H47/'Finalterm OVPAA-F-INS-055A RAW '!H$17*100)</f>
        <v/>
      </c>
      <c r="I47" s="126" t="str">
        <f>IF('Finalterm OVPAA-F-INS-055A RAW '!I47="","",'Finalterm OVPAA-F-INS-055A RAW '!I47/'Finalterm OVPAA-F-INS-055A RAW '!I$17*100)</f>
        <v/>
      </c>
      <c r="J47" s="126" t="str">
        <f>IF('Finalterm OVPAA-F-INS-055A RAW '!J47="","",'Finalterm OVPAA-F-INS-055A RAW '!J47/'Finalterm OVPAA-F-INS-055A RAW '!J$17*100)</f>
        <v/>
      </c>
      <c r="K47" s="126" t="str">
        <f>IF('Finalterm OVPAA-F-INS-055A RAW '!K47="","",'Finalterm OVPAA-F-INS-055A RAW '!K47/'Finalterm OVPAA-F-INS-055A RAW '!K$17*100)</f>
        <v/>
      </c>
      <c r="L47" s="126" t="str">
        <f>IF('Finalterm OVPAA-F-INS-055A RAW '!L47="","",'Finalterm OVPAA-F-INS-055A RAW '!L47/'Finalterm OVPAA-F-INS-055A RAW '!L$17*100)</f>
        <v/>
      </c>
      <c r="M47" s="126" t="str">
        <f>IF('Finalterm OVPAA-F-INS-055A RAW '!M47="","",'Finalterm OVPAA-F-INS-055A RAW '!M47/'Finalterm OVPAA-F-INS-055A RAW '!M$17*100)</f>
        <v/>
      </c>
      <c r="N47" s="126" t="str">
        <f>IF('Finalterm OVPAA-F-INS-055A RAW '!N47="","",'Finalterm OVPAA-F-INS-055A RAW '!N47/'Finalterm OVPAA-F-INS-055A RAW '!N$17*100)</f>
        <v/>
      </c>
      <c r="O47" s="126" t="str">
        <f>IF('Finalterm OVPAA-F-INS-055A RAW '!O47="","",'Finalterm OVPAA-F-INS-055A RAW '!O47/'Finalterm OVPAA-F-INS-055A RAW '!O$17*100)</f>
        <v/>
      </c>
      <c r="P47" s="126" t="str">
        <f>IF('Finalterm OVPAA-F-INS-055A RAW '!P47="","",'Finalterm OVPAA-F-INS-055A RAW '!P47/'Finalterm OVPAA-F-INS-055A RAW '!P$17*100)</f>
        <v/>
      </c>
      <c r="Q47" s="126" t="str">
        <f>IF('Finalterm OVPAA-F-INS-055A RAW '!Q47="","",'Finalterm OVPAA-F-INS-055A RAW '!Q47/'Finalterm OVPAA-F-INS-055A RAW '!Q$17*100)</f>
        <v/>
      </c>
      <c r="R47" s="126" t="str">
        <f>IF('Finalterm OVPAA-F-INS-055A RAW '!R47="","",'Finalterm OVPAA-F-INS-055A RAW '!R47/'Finalterm OVPAA-F-INS-055A RAW '!R$17*100)</f>
        <v/>
      </c>
      <c r="S47" s="126" t="str">
        <f>IF('Finalterm OVPAA-F-INS-055A RAW '!S47="","",'Finalterm OVPAA-F-INS-055A RAW '!S47/'Finalterm OVPAA-F-INS-055A RAW '!S$17*100)</f>
        <v/>
      </c>
      <c r="T47" s="126" t="str">
        <f>IF('Finalterm OVPAA-F-INS-055A RAW '!T47="","",'Finalterm OVPAA-F-INS-055A RAW '!T47/'Finalterm OVPAA-F-INS-055A RAW '!T$17*100)</f>
        <v/>
      </c>
      <c r="U47" s="126" t="str">
        <f>IF('Finalterm OVPAA-F-INS-055A RAW '!U47="","",'Finalterm OVPAA-F-INS-055A RAW '!U47/'Finalterm OVPAA-F-INS-055A RAW '!U$17*100)</f>
        <v/>
      </c>
      <c r="V47" s="126" t="str">
        <f>IF('Finalterm OVPAA-F-INS-055A RAW '!V47="","",'Finalterm OVPAA-F-INS-055A RAW '!V47/'Finalterm OVPAA-F-INS-055A RAW '!V$17*100)</f>
        <v/>
      </c>
      <c r="W47" s="126" t="str">
        <f>IF('Finalterm OVPAA-F-INS-055A RAW '!W47="","",'Finalterm OVPAA-F-INS-055A RAW '!W47/'Finalterm OVPAA-F-INS-055A RAW '!W$17*100)</f>
        <v/>
      </c>
      <c r="X47" s="126" t="str">
        <f>IF('Finalterm OVPAA-F-INS-055A RAW '!X47="","",'Finalterm OVPAA-F-INS-055A RAW '!X47/'Finalterm OVPAA-F-INS-055A RAW '!X$17*100)</f>
        <v/>
      </c>
      <c r="Y47" s="126" t="str">
        <f>IF('Finalterm OVPAA-F-INS-055A RAW '!Y47="","",'Finalterm OVPAA-F-INS-055A RAW '!Y47/'Finalterm OVPAA-F-INS-055A RAW '!Y$17*100)</f>
        <v/>
      </c>
      <c r="Z47" s="126" t="str">
        <f>IF('Finalterm OVPAA-F-INS-055A RAW '!Z47="","",'Finalterm OVPAA-F-INS-055A RAW '!Z47/'Finalterm OVPAA-F-INS-055A RAW '!Z$17*100)</f>
        <v/>
      </c>
      <c r="AA47" s="126" t="str">
        <f>IF('Finalterm OVPAA-F-INS-055A RAW '!AA47="","",'Finalterm OVPAA-F-INS-055A RAW '!AA47/'Finalterm OVPAA-F-INS-055A RAW '!AA$17*100)</f>
        <v/>
      </c>
      <c r="AB47" s="126" t="str">
        <f>IF('Finalterm OVPAA-F-INS-055A RAW '!AB47="","",'Finalterm OVPAA-F-INS-055A RAW '!AB47/'Finalterm OVPAA-F-INS-055A RAW '!AB$17*100)</f>
        <v/>
      </c>
      <c r="AC47" s="126" t="str">
        <f>IF('Finalterm OVPAA-F-INS-055A RAW '!AC47="","",'Finalterm OVPAA-F-INS-055A RAW '!AC47/'Finalterm OVPAA-F-INS-055A RAW '!AC$17*100)</f>
        <v/>
      </c>
      <c r="AD47" s="126" t="str">
        <f>IF('Finalterm OVPAA-F-INS-055A RAW '!AD47="","",'Finalterm OVPAA-F-INS-055A RAW '!AD47/'Finalterm OVPAA-F-INS-055A RAW '!AD$17*100)</f>
        <v/>
      </c>
      <c r="AE47" s="126" t="str">
        <f>IF('Finalterm OVPAA-F-INS-055A RAW '!AE47="","",'Finalterm OVPAA-F-INS-055A RAW '!AE47/'Finalterm OVPAA-F-INS-055A RAW '!AE$17*100)</f>
        <v/>
      </c>
      <c r="AF47" s="126" t="str">
        <f>IF('Finalterm OVPAA-F-INS-055A RAW '!AF47="","",'Finalterm OVPAA-F-INS-055A RAW '!AF47/'Finalterm OVPAA-F-INS-055A RAW '!AF$17*100)</f>
        <v/>
      </c>
      <c r="AG47" s="126" t="str">
        <f>IF('Finalterm OVPAA-F-INS-055A RAW '!AG47="","",'Finalterm OVPAA-F-INS-055A RAW '!AG47/'Finalterm OVPAA-F-INS-055A RAW '!AG$17*100)</f>
        <v/>
      </c>
      <c r="AH47" s="126" t="str">
        <f>IF('Finalterm OVPAA-F-INS-055A RAW '!AH47="","",'Finalterm OVPAA-F-INS-055A RAW '!AH47/'Finalterm OVPAA-F-INS-055A RAW '!AH$17*100)</f>
        <v/>
      </c>
      <c r="AI47" s="126" t="str">
        <f>IF('Finalterm OVPAA-F-INS-055A RAW '!AI47="","",'Finalterm OVPAA-F-INS-055A RAW '!AI47/'Finalterm OVPAA-F-INS-055A RAW '!AI$17*100)</f>
        <v/>
      </c>
      <c r="AJ47" s="126" t="str">
        <f>IF('Finalterm OVPAA-F-INS-055A RAW '!AJ47="","",'Finalterm OVPAA-F-INS-055A RAW '!AJ47/'Finalterm OVPAA-F-INS-055A RAW '!AJ$17*100)</f>
        <v/>
      </c>
      <c r="AK47" s="126" t="str">
        <f>IF('Finalterm OVPAA-F-INS-055A RAW '!AK47="","",'Finalterm OVPAA-F-INS-055A RAW '!AK47/'Finalterm OVPAA-F-INS-055A RAW '!AK$17*100)</f>
        <v/>
      </c>
      <c r="AL47" s="126" t="str">
        <f>IF('Finalterm OVPAA-F-INS-055A RAW '!AL47="","",'Finalterm OVPAA-F-INS-055A RAW '!AL47/'Finalterm OVPAA-F-INS-055A RAW '!AL$17*100)</f>
        <v/>
      </c>
      <c r="AM47" s="126" t="str">
        <f>IF('Finalterm OVPAA-F-INS-055A RAW '!AM47="","",'Finalterm OVPAA-F-INS-055A RAW '!AM47/'Finalterm OVPAA-F-INS-055A RAW '!AM$17*100)</f>
        <v/>
      </c>
      <c r="AN47" s="126" t="str">
        <f>IF('Finalterm OVPAA-F-INS-055A RAW '!AN47="","",'Finalterm OVPAA-F-INS-055A RAW '!AN47/'Finalterm OVPAA-F-INS-055A RAW '!AN$17*100)</f>
        <v/>
      </c>
      <c r="AO47" s="126" t="str">
        <f>IF('Finalterm OVPAA-F-INS-055A RAW '!AO47="","",'Finalterm OVPAA-F-INS-055A RAW '!AO47/'Finalterm OVPAA-F-INS-055A RAW '!AO$17*100)</f>
        <v/>
      </c>
      <c r="AP47" s="126" t="str">
        <f>IF('Finalterm OVPAA-F-INS-055A RAW '!AP47="","",'Finalterm OVPAA-F-INS-055A RAW '!AP47/'Finalterm OVPAA-F-INS-055A RAW '!AP$17*100)</f>
        <v/>
      </c>
      <c r="AQ47" s="126" t="str">
        <f>IF('Finalterm OVPAA-F-INS-055A RAW '!AQ47="","",'Finalterm OVPAA-F-INS-055A RAW '!AQ47/'Finalterm OVPAA-F-INS-055A RAW '!AQ$17*100)</f>
        <v/>
      </c>
      <c r="AR47" s="126" t="str">
        <f>IF('Finalterm OVPAA-F-INS-055A RAW '!AR47="","",'Finalterm OVPAA-F-INS-055A RAW '!AR47/'Finalterm OVPAA-F-INS-055A RAW '!AR$17*100)</f>
        <v/>
      </c>
      <c r="AS47" s="126" t="str">
        <f>IF('Finalterm OVPAA-F-INS-055A RAW '!AS47="","",'Finalterm OVPAA-F-INS-055A RAW '!AS47/'Finalterm OVPAA-F-INS-055A RAW '!AS$17*100)</f>
        <v/>
      </c>
      <c r="AT47" s="126" t="str">
        <f>IF('Finalterm OVPAA-F-INS-055A RAW '!AT47="","",'Finalterm OVPAA-F-INS-055A RAW '!AT47/'Finalterm OVPAA-F-INS-055A RAW '!AT$17*100)</f>
        <v/>
      </c>
      <c r="AU47" s="126" t="str">
        <f>IF('Finalterm OVPAA-F-INS-055A RAW '!AU47="","",'Finalterm OVPAA-F-INS-055A RAW '!AU47/'Finalterm OVPAA-F-INS-055A RAW '!AU$17*100)</f>
        <v/>
      </c>
      <c r="AV47" s="126" t="str">
        <f>IF('Finalterm OVPAA-F-INS-055A RAW '!AV47="","",'Finalterm OVPAA-F-INS-055A RAW '!AV47/'Finalterm OVPAA-F-INS-055A RAW '!AV$17*100)</f>
        <v/>
      </c>
      <c r="AW47" s="126" t="str">
        <f>IF('Finalterm OVPAA-F-INS-055A RAW '!AW47="","",'Finalterm OVPAA-F-INS-055A RAW '!AW47/'Finalterm OVPAA-F-INS-055A RAW '!AW$17*100)</f>
        <v/>
      </c>
      <c r="AX47" s="126" t="str">
        <f>IF('Finalterm OVPAA-F-INS-055A RAW '!AX47="","",'Finalterm OVPAA-F-INS-055A RAW '!AX47/'Finalterm OVPAA-F-INS-055A RAW '!AX$17*100)</f>
        <v/>
      </c>
      <c r="AY47" s="126" t="str">
        <f>IF('Finalterm OVPAA-F-INS-055A RAW '!AY47="","",'Finalterm OVPAA-F-INS-055A RAW '!AY47/'Finalterm OVPAA-F-INS-055A RAW '!AY$17*100)</f>
        <v/>
      </c>
      <c r="AZ47" s="126" t="str">
        <f>IF('Finalterm OVPAA-F-INS-055A RAW '!AZ47="","",'Finalterm OVPAA-F-INS-055A RAW '!AZ47/'Finalterm OVPAA-F-INS-055A RAW '!AZ$17*100)</f>
        <v/>
      </c>
      <c r="BA47" s="126" t="str">
        <f>IF('Finalterm OVPAA-F-INS-055A RAW '!BA47="","",'Finalterm OVPAA-F-INS-055A RAW '!BA47/'Finalterm OVPAA-F-INS-055A RAW '!BA$17*100)</f>
        <v/>
      </c>
      <c r="BB47" s="126" t="str">
        <f>IF('Finalterm OVPAA-F-INS-055A RAW '!BB47="","",'Finalterm OVPAA-F-INS-055A RAW '!BB47/'Finalterm OVPAA-F-INS-055A RAW '!BB$17*100)</f>
        <v/>
      </c>
      <c r="BC47" s="126" t="str">
        <f>IF('Finalterm OVPAA-F-INS-055A RAW '!BC47="","",'Finalterm OVPAA-F-INS-055A RAW '!BC47/'Finalterm OVPAA-F-INS-055A RAW '!BC$17*100)</f>
        <v/>
      </c>
      <c r="BD47" s="126" t="str">
        <f>IF('Finalterm OVPAA-F-INS-055A RAW '!BD47="","",'Finalterm OVPAA-F-INS-055A RAW '!BD47/'Finalterm OVPAA-F-INS-055A RAW '!BD$17*100)</f>
        <v/>
      </c>
      <c r="BE47" s="126" t="str">
        <f>IF('Finalterm OVPAA-F-INS-055A RAW '!BE47="","",'Finalterm OVPAA-F-INS-055A RAW '!BE47/'Finalterm OVPAA-F-INS-055A RAW '!BE$17*100)</f>
        <v/>
      </c>
      <c r="BF47" s="126" t="str">
        <f>IF('Finalterm OVPAA-F-INS-055A RAW '!BF47="","",'Finalterm OVPAA-F-INS-055A RAW '!BF47/'Finalterm OVPAA-F-INS-055A RAW '!BF$17*100)</f>
        <v/>
      </c>
      <c r="BG47" s="126" t="str">
        <f>IF('Finalterm OVPAA-F-INS-055A RAW '!BG47="","",'Finalterm OVPAA-F-INS-055A RAW '!BG47/'Finalterm OVPAA-F-INS-055A RAW '!BG$17*100)</f>
        <v/>
      </c>
      <c r="BH47" s="126" t="str">
        <f>IF('Finalterm OVPAA-F-INS-055A RAW '!BH47="","",'Finalterm OVPAA-F-INS-055A RAW '!BH47/'Finalterm OVPAA-F-INS-055A RAW '!BH$17*100)</f>
        <v/>
      </c>
      <c r="BI47" s="126" t="str">
        <f>IF('Finalterm OVPAA-F-INS-055A RAW '!BI47="","",'Finalterm OVPAA-F-INS-055A RAW '!BI47/'Finalterm OVPAA-F-INS-055A RAW '!BI$17*100)</f>
        <v/>
      </c>
      <c r="BJ47" s="126" t="str">
        <f>IF('Finalterm OVPAA-F-INS-055A RAW '!BJ47="","",'Finalterm OVPAA-F-INS-055A RAW '!BJ47/'Finalterm OVPAA-F-INS-055A RAW '!BJ$17*100)</f>
        <v/>
      </c>
      <c r="BK47" s="126" t="str">
        <f>IF('Finalterm OVPAA-F-INS-055A RAW '!BK47="","",'Finalterm OVPAA-F-INS-055A RAW '!BK47/'Finalterm OVPAA-F-INS-055A RAW '!BK$17*100)</f>
        <v/>
      </c>
      <c r="BL47" s="126" t="str">
        <f>IF('Finalterm OVPAA-F-INS-055A RAW '!BL47="","",'Finalterm OVPAA-F-INS-055A RAW '!BL47/'Finalterm OVPAA-F-INS-055A RAW '!BL$17*100)</f>
        <v/>
      </c>
      <c r="BM47" s="126" t="str">
        <f>IF('Finalterm OVPAA-F-INS-055A RAW '!BM47="","",'Finalterm OVPAA-F-INS-055A RAW '!BM47/'Finalterm OVPAA-F-INS-055A RAW '!BM$17*100)</f>
        <v/>
      </c>
      <c r="BN47" s="126" t="str">
        <f>IF('Finalterm OVPAA-F-INS-055A RAW '!BN47="","",'Finalterm OVPAA-F-INS-055A RAW '!BN47/'Finalterm OVPAA-F-INS-055A RAW '!BN$17*100)</f>
        <v/>
      </c>
      <c r="BO47" s="126" t="str">
        <f>IF('Finalterm OVPAA-F-INS-055A RAW '!BO47="","",'Finalterm OVPAA-F-INS-055A RAW '!BO47/'Finalterm OVPAA-F-INS-055A RAW '!BO$17*100)</f>
        <v/>
      </c>
      <c r="BP47" s="126" t="str">
        <f>IF('Finalterm OVPAA-F-INS-055A RAW '!BP47="","",'Finalterm OVPAA-F-INS-055A RAW '!BP47/'Finalterm OVPAA-F-INS-055A RAW '!BP$17*100)</f>
        <v/>
      </c>
      <c r="BQ47" s="126" t="str">
        <f>IF('Finalterm OVPAA-F-INS-055A RAW '!BQ47="","",'Finalterm OVPAA-F-INS-055A RAW '!BQ47/'Finalterm OVPAA-F-INS-055A RAW '!BQ$17*100)</f>
        <v/>
      </c>
      <c r="BR47" s="126" t="str">
        <f>IF('Finalterm OVPAA-F-INS-055A RAW '!BR47="","",'Finalterm OVPAA-F-INS-055A RAW '!BR47/'Finalterm OVPAA-F-INS-055A RAW '!BR$17*100)</f>
        <v/>
      </c>
      <c r="BS47" s="126" t="str">
        <f>IF('Finalterm OVPAA-F-INS-055A RAW '!BS47="","",'Finalterm OVPAA-F-INS-055A RAW '!BS47/'Finalterm OVPAA-F-INS-055A RAW '!BS$17*100)</f>
        <v/>
      </c>
      <c r="BT47" s="126" t="str">
        <f>IF('Finalterm OVPAA-F-INS-055A RAW '!BT47="","",'Finalterm OVPAA-F-INS-055A RAW '!BT47/'Finalterm OVPAA-F-INS-055A RAW '!BT$17*100)</f>
        <v/>
      </c>
      <c r="BU47" s="127" t="str">
        <f t="array" ref="BU47">IF('Finalterm OVPAA-F-INS-055A RAW '!$G47="","",IF((SUMPRODUCT(--ISBLANK('Finalterm OVPAA-F-INS-055A RAW '!H47:BT47))=COLUMNS('Finalterm OVPAA-F-INS-055A RAW '!H47:BT47))=TRUE,"",(((COUNTA('Finalterm OVPAA-F-INS-055A RAW '!$H$17:$BT$17)+COUNTBLANK('Finalterm OVPAA-F-INS-055A RAW '!H47:BT47))-COLUMNS('Finalterm OVPAA-F-INS-055A RAW '!H47:BT47))*5+SUM(H47:BT47))/COUNTA('Finalterm OVPAA-F-INS-055A RAW '!$H$17:$BT$17)))</f>
        <v/>
      </c>
      <c r="BV47" s="165" t="str">
        <f>IF(BU47="","",VLOOKUP(BU47,IF('Midterm OVPAA-F-INS-055A RAW SC'!$V$12=0.5,TRANSMUTATION!$C$4:$D$17,TRANSMUTATION!$G$4:$H$17),2,TRUE))</f>
        <v/>
      </c>
      <c r="BW47" s="129" t="str">
        <f>IF('Finalterm OVPAA-F-INS-055A RAW '!BU47="","",'Finalterm OVPAA-F-INS-055A RAW '!BU47/'Finalterm OVPAA-F-INS-055A RAW '!BU$17*100)</f>
        <v/>
      </c>
      <c r="BX47" s="130" t="str">
        <f>IF('Finalterm OVPAA-F-INS-055A RAW '!BV47="","",'Finalterm OVPAA-F-INS-055A RAW '!BV47/'Finalterm OVPAA-F-INS-055A RAW '!BV$17*100)</f>
        <v/>
      </c>
      <c r="BY47" s="130" t="str">
        <f>IF('Finalterm OVPAA-F-INS-055A RAW '!BW47="","",'Finalterm OVPAA-F-INS-055A RAW '!BW47/'Finalterm OVPAA-F-INS-055A RAW '!BW$17*100)</f>
        <v/>
      </c>
      <c r="BZ47" s="130" t="str">
        <f>IF('Finalterm OVPAA-F-INS-055A RAW '!BX47="","",'Finalterm OVPAA-F-INS-055A RAW '!BX47/'Finalterm OVPAA-F-INS-055A RAW '!BX$17*100)</f>
        <v/>
      </c>
      <c r="CA47" s="130" t="str">
        <f>IF('Finalterm OVPAA-F-INS-055A RAW '!BY47="","",'Finalterm OVPAA-F-INS-055A RAW '!BY47/'Finalterm OVPAA-F-INS-055A RAW '!BY$17*100)</f>
        <v/>
      </c>
      <c r="CB47" s="130" t="str">
        <f>IF('Finalterm OVPAA-F-INS-055A RAW '!BZ47="","",'Finalterm OVPAA-F-INS-055A RAW '!BZ47/'Finalterm OVPAA-F-INS-055A RAW '!BZ$17*100)</f>
        <v/>
      </c>
      <c r="CC47" s="130" t="str">
        <f>IF('Finalterm OVPAA-F-INS-055A RAW '!CA47="","",'Finalterm OVPAA-F-INS-055A RAW '!CA47/'Finalterm OVPAA-F-INS-055A RAW '!CA$17*100)</f>
        <v/>
      </c>
      <c r="CD47" s="130" t="str">
        <f>IF('Finalterm OVPAA-F-INS-055A RAW '!CB47="","",'Finalterm OVPAA-F-INS-055A RAW '!CB47/'Finalterm OVPAA-F-INS-055A RAW '!CB$17*100)</f>
        <v/>
      </c>
      <c r="CE47" s="130" t="str">
        <f>IF('Finalterm OVPAA-F-INS-055A RAW '!CC47="","",'Finalterm OVPAA-F-INS-055A RAW '!CC47/'Finalterm OVPAA-F-INS-055A RAW '!CC$17*100)</f>
        <v/>
      </c>
      <c r="CF47" s="130" t="str">
        <f>IF('Finalterm OVPAA-F-INS-055A RAW '!CD47="","",'Finalterm OVPAA-F-INS-055A RAW '!CD47/'Finalterm OVPAA-F-INS-055A RAW '!CD$17*100)</f>
        <v/>
      </c>
      <c r="CG47" s="130" t="str">
        <f>IF('Finalterm OVPAA-F-INS-055A RAW '!CE47="","",'Finalterm OVPAA-F-INS-055A RAW '!CE47/'Finalterm OVPAA-F-INS-055A RAW '!CE$17*100)</f>
        <v/>
      </c>
      <c r="CH47" s="130" t="str">
        <f>IF('Finalterm OVPAA-F-INS-055A RAW '!CF47="","",'Finalterm OVPAA-F-INS-055A RAW '!CF47/'Finalterm OVPAA-F-INS-055A RAW '!CF$17*100)</f>
        <v/>
      </c>
      <c r="CI47" s="130" t="str">
        <f>IF('Finalterm OVPAA-F-INS-055A RAW '!CG47="","",'Finalterm OVPAA-F-INS-055A RAW '!CG47/'Finalterm OVPAA-F-INS-055A RAW '!CG$17*100)</f>
        <v/>
      </c>
      <c r="CJ47" s="130" t="str">
        <f>IF('Finalterm OVPAA-F-INS-055A RAW '!CH47="","",'Finalterm OVPAA-F-INS-055A RAW '!CH47/'Finalterm OVPAA-F-INS-055A RAW '!CH$17*100)</f>
        <v/>
      </c>
      <c r="CK47" s="130" t="str">
        <f>IF('Finalterm OVPAA-F-INS-055A RAW '!CI47="","",'Finalterm OVPAA-F-INS-055A RAW '!CI47/'Finalterm OVPAA-F-INS-055A RAW '!CI$17*100)</f>
        <v/>
      </c>
      <c r="CL47" s="130" t="str">
        <f>IF('Finalterm OVPAA-F-INS-055A RAW '!CJ47="","",'Finalterm OVPAA-F-INS-055A RAW '!CJ47/'Finalterm OVPAA-F-INS-055A RAW '!CJ$17*100)</f>
        <v/>
      </c>
      <c r="CM47" s="130" t="str">
        <f>IF('Finalterm OVPAA-F-INS-055A RAW '!CK47="","",'Finalterm OVPAA-F-INS-055A RAW '!CK47/'Finalterm OVPAA-F-INS-055A RAW '!CK$17*100)</f>
        <v/>
      </c>
      <c r="CN47" s="130" t="str">
        <f>IF('Finalterm OVPAA-F-INS-055A RAW '!CL47="","",'Finalterm OVPAA-F-INS-055A RAW '!CL47/'Finalterm OVPAA-F-INS-055A RAW '!CL$17*100)</f>
        <v/>
      </c>
      <c r="CO47" s="130" t="str">
        <f>IF('Finalterm OVPAA-F-INS-055A RAW '!CM47="","",'Finalterm OVPAA-F-INS-055A RAW '!CM47/'Finalterm OVPAA-F-INS-055A RAW '!CM$17*100)</f>
        <v/>
      </c>
      <c r="CP47" s="130" t="str">
        <f>IF('Finalterm OVPAA-F-INS-055A RAW '!CN47="","",'Finalterm OVPAA-F-INS-055A RAW '!CN47/'Finalterm OVPAA-F-INS-055A RAW '!CN$17*100)</f>
        <v/>
      </c>
      <c r="CQ47" s="131" t="str">
        <f t="array" ref="CQ47">IF('Midterm OVPAA-F-INS-055A RAW SC'!G47="","",IF((SUMPRODUCT(--ISBLANK('Finalterm OVPAA-F-INS-055A RAW '!BU47:CN47))=COLUMNS('Finalterm OVPAA-F-INS-055A RAW '!BU47:CN47))=TRUE,"",(((COUNTA('Finalterm OVPAA-F-INS-055A RAW '!$BU$17:$CN$17)+COUNTBLANK('Finalterm OVPAA-F-INS-055A RAW '!BU47:CN47))-COLUMNS('Finalterm OVPAA-F-INS-055A RAW '!BU47:CN47))*5+SUM(BW47:CP47))/COUNTA('Finalterm OVPAA-F-INS-055A RAW '!$BU$17:$CN$17)))</f>
        <v/>
      </c>
      <c r="CR47" s="132" t="str">
        <f>IF(CQ47="","",VLOOKUP(CQ47,IF('Midterm OVPAA-F-INS-055A RAW SC'!$V$12=0.5,TRANSMUTATION!$C$4:$D$17,TRANSMUTATION!$G$4:$H$17),2,TRUE))</f>
        <v/>
      </c>
      <c r="CS47" s="133" t="str">
        <f>IF('Finalterm OVPAA-F-INS-055A RAW '!CO47="","",'Finalterm OVPAA-F-INS-055A RAW '!CO47/'Finalterm OVPAA-F-INS-055A RAW '!CO$17*100)</f>
        <v/>
      </c>
      <c r="CT47" s="133" t="str">
        <f>IF('Finalterm OVPAA-F-INS-055A RAW '!CP47="","",'Finalterm OVPAA-F-INS-055A RAW '!CP47/'Finalterm OVPAA-F-INS-055A RAW '!CP$17*100)</f>
        <v/>
      </c>
      <c r="CU47" s="133" t="str">
        <f>IF('Finalterm OVPAA-F-INS-055A RAW '!CQ47="","",'Finalterm OVPAA-F-INS-055A RAW '!CQ47/'Finalterm OVPAA-F-INS-055A RAW '!CQ$17*100)</f>
        <v/>
      </c>
      <c r="CV47" s="133" t="str">
        <f>IF('Finalterm OVPAA-F-INS-055A RAW '!CR47="","",'Finalterm OVPAA-F-INS-055A RAW '!CR47/'Finalterm OVPAA-F-INS-055A RAW '!CR$17*100)</f>
        <v/>
      </c>
      <c r="CW47" s="133" t="str">
        <f>IF('Finalterm OVPAA-F-INS-055A RAW '!CS47="","",'Finalterm OVPAA-F-INS-055A RAW '!CS47/'Finalterm OVPAA-F-INS-055A RAW '!CS$17*100)</f>
        <v/>
      </c>
      <c r="CX47" s="133" t="str">
        <f>IF('Finalterm OVPAA-F-INS-055A RAW '!CT47="","",'Finalterm OVPAA-F-INS-055A RAW '!CT47/'Finalterm OVPAA-F-INS-055A RAW '!CT$17*100)</f>
        <v/>
      </c>
      <c r="CY47" s="133" t="str">
        <f>IF('Finalterm OVPAA-F-INS-055A RAW '!CU47="","",'Finalterm OVPAA-F-INS-055A RAW '!CU47/'Finalterm OVPAA-F-INS-055A RAW '!CU$17*100)</f>
        <v/>
      </c>
      <c r="CZ47" s="133" t="str">
        <f>IF('Finalterm OVPAA-F-INS-055A RAW '!CV47="","",'Finalterm OVPAA-F-INS-055A RAW '!CV47/'Finalterm OVPAA-F-INS-055A RAW '!CV$17*100)</f>
        <v/>
      </c>
      <c r="DA47" s="133" t="str">
        <f>IF('Finalterm OVPAA-F-INS-055A RAW '!CW47="","",'Finalterm OVPAA-F-INS-055A RAW '!CW47/'Finalterm OVPAA-F-INS-055A RAW '!CW$17*100)</f>
        <v/>
      </c>
      <c r="DB47" s="133" t="str">
        <f>IF('Finalterm OVPAA-F-INS-055A RAW '!CX47="","",'Finalterm OVPAA-F-INS-055A RAW '!CX47/'Finalterm OVPAA-F-INS-055A RAW '!CX$17*100)</f>
        <v/>
      </c>
      <c r="DC47" s="134" t="str">
        <f t="array" ref="DC47">IF('Midterm OVPAA-F-INS-055A RAW SC'!$G47="","",IF((SUMPRODUCT(--ISBLANK('Finalterm OVPAA-F-INS-055A RAW '!CO47:CX47))=COLUMNS('Finalterm OVPAA-F-INS-055A RAW '!CO47:CX47))=TRUE,"",(((COUNTA('Finalterm OVPAA-F-INS-055A RAW '!$CO$17:$CX$17)+COUNTBLANK('Finalterm OVPAA-F-INS-055A RAW '!CO47:CX47))-COLUMNS('Finalterm OVPAA-F-INS-055A RAW '!CO47:CX47))*5+SUM(CS47:DB47))/COUNTA('Finalterm OVPAA-F-INS-055A RAW '!$CO$17:$CX$17)))</f>
        <v/>
      </c>
      <c r="DD47" s="135" t="str">
        <f>IF(DC47="","",VLOOKUP(DC47,IF('Midterm OVPAA-F-INS-055A RAW SC'!$V$12=0.5,TRANSMUTATION!$C$4:$D$17,TRANSMUTATION!$G$4:$H$17),2,TRUE))</f>
        <v/>
      </c>
      <c r="DE47" s="136" t="str">
        <f t="shared" si="1"/>
        <v/>
      </c>
      <c r="DF47" s="166" t="str">
        <f t="shared" si="2"/>
        <v/>
      </c>
      <c r="DG47" s="167" t="str">
        <f t="shared" si="3"/>
        <v/>
      </c>
      <c r="DH47" s="168" t="str">
        <f t="shared" si="4"/>
        <v/>
      </c>
      <c r="DI47" s="169" t="str">
        <f t="shared" si="5"/>
        <v/>
      </c>
    </row>
    <row r="48" spans="5:113" ht="15.75" hidden="1" customHeight="1">
      <c r="E48" s="59">
        <v>31</v>
      </c>
      <c r="F48" s="124" t="str">
        <f>IF(NOT(ISBLANK('Midterm OVPAA-F-INS-055A RAW SC'!F48)),'Midterm OVPAA-F-INS-055A RAW SC'!F48,"")</f>
        <v/>
      </c>
      <c r="G48" s="125" t="str">
        <f>IF(NOT(ISBLANK('Midterm OVPAA-F-INS-055A RAW SC'!G48)),'Midterm OVPAA-F-INS-055A RAW SC'!G48,"")</f>
        <v/>
      </c>
      <c r="H48" s="126" t="str">
        <f>IF('Finalterm OVPAA-F-INS-055A RAW '!H48="","",'Finalterm OVPAA-F-INS-055A RAW '!H48/'Finalterm OVPAA-F-INS-055A RAW '!H$17*100)</f>
        <v/>
      </c>
      <c r="I48" s="126" t="str">
        <f>IF('Finalterm OVPAA-F-INS-055A RAW '!I48="","",'Finalterm OVPAA-F-INS-055A RAW '!I48/'Finalterm OVPAA-F-INS-055A RAW '!I$17*100)</f>
        <v/>
      </c>
      <c r="J48" s="126" t="str">
        <f>IF('Finalterm OVPAA-F-INS-055A RAW '!J48="","",'Finalterm OVPAA-F-INS-055A RAW '!J48/'Finalterm OVPAA-F-INS-055A RAW '!J$17*100)</f>
        <v/>
      </c>
      <c r="K48" s="126" t="str">
        <f>IF('Finalterm OVPAA-F-INS-055A RAW '!K48="","",'Finalterm OVPAA-F-INS-055A RAW '!K48/'Finalterm OVPAA-F-INS-055A RAW '!K$17*100)</f>
        <v/>
      </c>
      <c r="L48" s="126" t="str">
        <f>IF('Finalterm OVPAA-F-INS-055A RAW '!L48="","",'Finalterm OVPAA-F-INS-055A RAW '!L48/'Finalterm OVPAA-F-INS-055A RAW '!L$17*100)</f>
        <v/>
      </c>
      <c r="M48" s="126" t="str">
        <f>IF('Finalterm OVPAA-F-INS-055A RAW '!M48="","",'Finalterm OVPAA-F-INS-055A RAW '!M48/'Finalterm OVPAA-F-INS-055A RAW '!M$17*100)</f>
        <v/>
      </c>
      <c r="N48" s="126" t="str">
        <f>IF('Finalterm OVPAA-F-INS-055A RAW '!N48="","",'Finalterm OVPAA-F-INS-055A RAW '!N48/'Finalterm OVPAA-F-INS-055A RAW '!N$17*100)</f>
        <v/>
      </c>
      <c r="O48" s="126" t="str">
        <f>IF('Finalterm OVPAA-F-INS-055A RAW '!O48="","",'Finalterm OVPAA-F-INS-055A RAW '!O48/'Finalterm OVPAA-F-INS-055A RAW '!O$17*100)</f>
        <v/>
      </c>
      <c r="P48" s="126" t="str">
        <f>IF('Finalterm OVPAA-F-INS-055A RAW '!P48="","",'Finalterm OVPAA-F-INS-055A RAW '!P48/'Finalterm OVPAA-F-INS-055A RAW '!P$17*100)</f>
        <v/>
      </c>
      <c r="Q48" s="126" t="str">
        <f>IF('Finalterm OVPAA-F-INS-055A RAW '!Q48="","",'Finalterm OVPAA-F-INS-055A RAW '!Q48/'Finalterm OVPAA-F-INS-055A RAW '!Q$17*100)</f>
        <v/>
      </c>
      <c r="R48" s="126" t="str">
        <f>IF('Finalterm OVPAA-F-INS-055A RAW '!R48="","",'Finalterm OVPAA-F-INS-055A RAW '!R48/'Finalterm OVPAA-F-INS-055A RAW '!R$17*100)</f>
        <v/>
      </c>
      <c r="S48" s="126" t="str">
        <f>IF('Finalterm OVPAA-F-INS-055A RAW '!S48="","",'Finalterm OVPAA-F-INS-055A RAW '!S48/'Finalterm OVPAA-F-INS-055A RAW '!S$17*100)</f>
        <v/>
      </c>
      <c r="T48" s="126" t="str">
        <f>IF('Finalterm OVPAA-F-INS-055A RAW '!T48="","",'Finalterm OVPAA-F-INS-055A RAW '!T48/'Finalterm OVPAA-F-INS-055A RAW '!T$17*100)</f>
        <v/>
      </c>
      <c r="U48" s="126" t="str">
        <f>IF('Finalterm OVPAA-F-INS-055A RAW '!U48="","",'Finalterm OVPAA-F-INS-055A RAW '!U48/'Finalterm OVPAA-F-INS-055A RAW '!U$17*100)</f>
        <v/>
      </c>
      <c r="V48" s="126" t="str">
        <f>IF('Finalterm OVPAA-F-INS-055A RAW '!V48="","",'Finalterm OVPAA-F-INS-055A RAW '!V48/'Finalterm OVPAA-F-INS-055A RAW '!V$17*100)</f>
        <v/>
      </c>
      <c r="W48" s="126" t="str">
        <f>IF('Finalterm OVPAA-F-INS-055A RAW '!W48="","",'Finalterm OVPAA-F-INS-055A RAW '!W48/'Finalterm OVPAA-F-INS-055A RAW '!W$17*100)</f>
        <v/>
      </c>
      <c r="X48" s="126" t="str">
        <f>IF('Finalterm OVPAA-F-INS-055A RAW '!X48="","",'Finalterm OVPAA-F-INS-055A RAW '!X48/'Finalterm OVPAA-F-INS-055A RAW '!X$17*100)</f>
        <v/>
      </c>
      <c r="Y48" s="126" t="str">
        <f>IF('Finalterm OVPAA-F-INS-055A RAW '!Y48="","",'Finalterm OVPAA-F-INS-055A RAW '!Y48/'Finalterm OVPAA-F-INS-055A RAW '!Y$17*100)</f>
        <v/>
      </c>
      <c r="Z48" s="126" t="str">
        <f>IF('Finalterm OVPAA-F-INS-055A RAW '!Z48="","",'Finalterm OVPAA-F-INS-055A RAW '!Z48/'Finalterm OVPAA-F-INS-055A RAW '!Z$17*100)</f>
        <v/>
      </c>
      <c r="AA48" s="126" t="str">
        <f>IF('Finalterm OVPAA-F-INS-055A RAW '!AA48="","",'Finalterm OVPAA-F-INS-055A RAW '!AA48/'Finalterm OVPAA-F-INS-055A RAW '!AA$17*100)</f>
        <v/>
      </c>
      <c r="AB48" s="126" t="str">
        <f>IF('Finalterm OVPAA-F-INS-055A RAW '!AB48="","",'Finalterm OVPAA-F-INS-055A RAW '!AB48/'Finalterm OVPAA-F-INS-055A RAW '!AB$17*100)</f>
        <v/>
      </c>
      <c r="AC48" s="126" t="str">
        <f>IF('Finalterm OVPAA-F-INS-055A RAW '!AC48="","",'Finalterm OVPAA-F-INS-055A RAW '!AC48/'Finalterm OVPAA-F-INS-055A RAW '!AC$17*100)</f>
        <v/>
      </c>
      <c r="AD48" s="126" t="str">
        <f>IF('Finalterm OVPAA-F-INS-055A RAW '!AD48="","",'Finalterm OVPAA-F-INS-055A RAW '!AD48/'Finalterm OVPAA-F-INS-055A RAW '!AD$17*100)</f>
        <v/>
      </c>
      <c r="AE48" s="126" t="str">
        <f>IF('Finalterm OVPAA-F-INS-055A RAW '!AE48="","",'Finalterm OVPAA-F-INS-055A RAW '!AE48/'Finalterm OVPAA-F-INS-055A RAW '!AE$17*100)</f>
        <v/>
      </c>
      <c r="AF48" s="126" t="str">
        <f>IF('Finalterm OVPAA-F-INS-055A RAW '!AF48="","",'Finalterm OVPAA-F-INS-055A RAW '!AF48/'Finalterm OVPAA-F-INS-055A RAW '!AF$17*100)</f>
        <v/>
      </c>
      <c r="AG48" s="126" t="str">
        <f>IF('Finalterm OVPAA-F-INS-055A RAW '!AG48="","",'Finalterm OVPAA-F-INS-055A RAW '!AG48/'Finalterm OVPAA-F-INS-055A RAW '!AG$17*100)</f>
        <v/>
      </c>
      <c r="AH48" s="126" t="str">
        <f>IF('Finalterm OVPAA-F-INS-055A RAW '!AH48="","",'Finalterm OVPAA-F-INS-055A RAW '!AH48/'Finalterm OVPAA-F-INS-055A RAW '!AH$17*100)</f>
        <v/>
      </c>
      <c r="AI48" s="126" t="str">
        <f>IF('Finalterm OVPAA-F-INS-055A RAW '!AI48="","",'Finalterm OVPAA-F-INS-055A RAW '!AI48/'Finalterm OVPAA-F-INS-055A RAW '!AI$17*100)</f>
        <v/>
      </c>
      <c r="AJ48" s="126" t="str">
        <f>IF('Finalterm OVPAA-F-INS-055A RAW '!AJ48="","",'Finalterm OVPAA-F-INS-055A RAW '!AJ48/'Finalterm OVPAA-F-INS-055A RAW '!AJ$17*100)</f>
        <v/>
      </c>
      <c r="AK48" s="126" t="str">
        <f>IF('Finalterm OVPAA-F-INS-055A RAW '!AK48="","",'Finalterm OVPAA-F-INS-055A RAW '!AK48/'Finalterm OVPAA-F-INS-055A RAW '!AK$17*100)</f>
        <v/>
      </c>
      <c r="AL48" s="126" t="str">
        <f>IF('Finalterm OVPAA-F-INS-055A RAW '!AL48="","",'Finalterm OVPAA-F-INS-055A RAW '!AL48/'Finalterm OVPAA-F-INS-055A RAW '!AL$17*100)</f>
        <v/>
      </c>
      <c r="AM48" s="126" t="str">
        <f>IF('Finalterm OVPAA-F-INS-055A RAW '!AM48="","",'Finalterm OVPAA-F-INS-055A RAW '!AM48/'Finalterm OVPAA-F-INS-055A RAW '!AM$17*100)</f>
        <v/>
      </c>
      <c r="AN48" s="126" t="str">
        <f>IF('Finalterm OVPAA-F-INS-055A RAW '!AN48="","",'Finalterm OVPAA-F-INS-055A RAW '!AN48/'Finalterm OVPAA-F-INS-055A RAW '!AN$17*100)</f>
        <v/>
      </c>
      <c r="AO48" s="126" t="str">
        <f>IF('Finalterm OVPAA-F-INS-055A RAW '!AO48="","",'Finalterm OVPAA-F-INS-055A RAW '!AO48/'Finalterm OVPAA-F-INS-055A RAW '!AO$17*100)</f>
        <v/>
      </c>
      <c r="AP48" s="126" t="str">
        <f>IF('Finalterm OVPAA-F-INS-055A RAW '!AP48="","",'Finalterm OVPAA-F-INS-055A RAW '!AP48/'Finalterm OVPAA-F-INS-055A RAW '!AP$17*100)</f>
        <v/>
      </c>
      <c r="AQ48" s="126" t="str">
        <f>IF('Finalterm OVPAA-F-INS-055A RAW '!AQ48="","",'Finalterm OVPAA-F-INS-055A RAW '!AQ48/'Finalterm OVPAA-F-INS-055A RAW '!AQ$17*100)</f>
        <v/>
      </c>
      <c r="AR48" s="126" t="str">
        <f>IF('Finalterm OVPAA-F-INS-055A RAW '!AR48="","",'Finalterm OVPAA-F-INS-055A RAW '!AR48/'Finalterm OVPAA-F-INS-055A RAW '!AR$17*100)</f>
        <v/>
      </c>
      <c r="AS48" s="126" t="str">
        <f>IF('Finalterm OVPAA-F-INS-055A RAW '!AS48="","",'Finalterm OVPAA-F-INS-055A RAW '!AS48/'Finalterm OVPAA-F-INS-055A RAW '!AS$17*100)</f>
        <v/>
      </c>
      <c r="AT48" s="126" t="str">
        <f>IF('Finalterm OVPAA-F-INS-055A RAW '!AT48="","",'Finalterm OVPAA-F-INS-055A RAW '!AT48/'Finalterm OVPAA-F-INS-055A RAW '!AT$17*100)</f>
        <v/>
      </c>
      <c r="AU48" s="126" t="str">
        <f>IF('Finalterm OVPAA-F-INS-055A RAW '!AU48="","",'Finalterm OVPAA-F-INS-055A RAW '!AU48/'Finalterm OVPAA-F-INS-055A RAW '!AU$17*100)</f>
        <v/>
      </c>
      <c r="AV48" s="126" t="str">
        <f>IF('Finalterm OVPAA-F-INS-055A RAW '!AV48="","",'Finalterm OVPAA-F-INS-055A RAW '!AV48/'Finalterm OVPAA-F-INS-055A RAW '!AV$17*100)</f>
        <v/>
      </c>
      <c r="AW48" s="126" t="str">
        <f>IF('Finalterm OVPAA-F-INS-055A RAW '!AW48="","",'Finalterm OVPAA-F-INS-055A RAW '!AW48/'Finalterm OVPAA-F-INS-055A RAW '!AW$17*100)</f>
        <v/>
      </c>
      <c r="AX48" s="126" t="str">
        <f>IF('Finalterm OVPAA-F-INS-055A RAW '!AX48="","",'Finalterm OVPAA-F-INS-055A RAW '!AX48/'Finalterm OVPAA-F-INS-055A RAW '!AX$17*100)</f>
        <v/>
      </c>
      <c r="AY48" s="126" t="str">
        <f>IF('Finalterm OVPAA-F-INS-055A RAW '!AY48="","",'Finalterm OVPAA-F-INS-055A RAW '!AY48/'Finalterm OVPAA-F-INS-055A RAW '!AY$17*100)</f>
        <v/>
      </c>
      <c r="AZ48" s="126" t="str">
        <f>IF('Finalterm OVPAA-F-INS-055A RAW '!AZ48="","",'Finalterm OVPAA-F-INS-055A RAW '!AZ48/'Finalterm OVPAA-F-INS-055A RAW '!AZ$17*100)</f>
        <v/>
      </c>
      <c r="BA48" s="126" t="str">
        <f>IF('Finalterm OVPAA-F-INS-055A RAW '!BA48="","",'Finalterm OVPAA-F-INS-055A RAW '!BA48/'Finalterm OVPAA-F-INS-055A RAW '!BA$17*100)</f>
        <v/>
      </c>
      <c r="BB48" s="126" t="str">
        <f>IF('Finalterm OVPAA-F-INS-055A RAW '!BB48="","",'Finalterm OVPAA-F-INS-055A RAW '!BB48/'Finalterm OVPAA-F-INS-055A RAW '!BB$17*100)</f>
        <v/>
      </c>
      <c r="BC48" s="126" t="str">
        <f>IF('Finalterm OVPAA-F-INS-055A RAW '!BC48="","",'Finalterm OVPAA-F-INS-055A RAW '!BC48/'Finalterm OVPAA-F-INS-055A RAW '!BC$17*100)</f>
        <v/>
      </c>
      <c r="BD48" s="126" t="str">
        <f>IF('Finalterm OVPAA-F-INS-055A RAW '!BD48="","",'Finalterm OVPAA-F-INS-055A RAW '!BD48/'Finalterm OVPAA-F-INS-055A RAW '!BD$17*100)</f>
        <v/>
      </c>
      <c r="BE48" s="126" t="str">
        <f>IF('Finalterm OVPAA-F-INS-055A RAW '!BE48="","",'Finalterm OVPAA-F-INS-055A RAW '!BE48/'Finalterm OVPAA-F-INS-055A RAW '!BE$17*100)</f>
        <v/>
      </c>
      <c r="BF48" s="126" t="str">
        <f>IF('Finalterm OVPAA-F-INS-055A RAW '!BF48="","",'Finalterm OVPAA-F-INS-055A RAW '!BF48/'Finalterm OVPAA-F-INS-055A RAW '!BF$17*100)</f>
        <v/>
      </c>
      <c r="BG48" s="126" t="str">
        <f>IF('Finalterm OVPAA-F-INS-055A RAW '!BG48="","",'Finalterm OVPAA-F-INS-055A RAW '!BG48/'Finalterm OVPAA-F-INS-055A RAW '!BG$17*100)</f>
        <v/>
      </c>
      <c r="BH48" s="126" t="str">
        <f>IF('Finalterm OVPAA-F-INS-055A RAW '!BH48="","",'Finalterm OVPAA-F-INS-055A RAW '!BH48/'Finalterm OVPAA-F-INS-055A RAW '!BH$17*100)</f>
        <v/>
      </c>
      <c r="BI48" s="126" t="str">
        <f>IF('Finalterm OVPAA-F-INS-055A RAW '!BI48="","",'Finalterm OVPAA-F-INS-055A RAW '!BI48/'Finalterm OVPAA-F-INS-055A RAW '!BI$17*100)</f>
        <v/>
      </c>
      <c r="BJ48" s="126" t="str">
        <f>IF('Finalterm OVPAA-F-INS-055A RAW '!BJ48="","",'Finalterm OVPAA-F-INS-055A RAW '!BJ48/'Finalterm OVPAA-F-INS-055A RAW '!BJ$17*100)</f>
        <v/>
      </c>
      <c r="BK48" s="126" t="str">
        <f>IF('Finalterm OVPAA-F-INS-055A RAW '!BK48="","",'Finalterm OVPAA-F-INS-055A RAW '!BK48/'Finalterm OVPAA-F-INS-055A RAW '!BK$17*100)</f>
        <v/>
      </c>
      <c r="BL48" s="126" t="str">
        <f>IF('Finalterm OVPAA-F-INS-055A RAW '!BL48="","",'Finalterm OVPAA-F-INS-055A RAW '!BL48/'Finalterm OVPAA-F-INS-055A RAW '!BL$17*100)</f>
        <v/>
      </c>
      <c r="BM48" s="126" t="str">
        <f>IF('Finalterm OVPAA-F-INS-055A RAW '!BM48="","",'Finalterm OVPAA-F-INS-055A RAW '!BM48/'Finalterm OVPAA-F-INS-055A RAW '!BM$17*100)</f>
        <v/>
      </c>
      <c r="BN48" s="126" t="str">
        <f>IF('Finalterm OVPAA-F-INS-055A RAW '!BN48="","",'Finalterm OVPAA-F-INS-055A RAW '!BN48/'Finalterm OVPAA-F-INS-055A RAW '!BN$17*100)</f>
        <v/>
      </c>
      <c r="BO48" s="126" t="str">
        <f>IF('Finalterm OVPAA-F-INS-055A RAW '!BO48="","",'Finalterm OVPAA-F-INS-055A RAW '!BO48/'Finalterm OVPAA-F-INS-055A RAW '!BO$17*100)</f>
        <v/>
      </c>
      <c r="BP48" s="126" t="str">
        <f>IF('Finalterm OVPAA-F-INS-055A RAW '!BP48="","",'Finalterm OVPAA-F-INS-055A RAW '!BP48/'Finalterm OVPAA-F-INS-055A RAW '!BP$17*100)</f>
        <v/>
      </c>
      <c r="BQ48" s="126" t="str">
        <f>IF('Finalterm OVPAA-F-INS-055A RAW '!BQ48="","",'Finalterm OVPAA-F-INS-055A RAW '!BQ48/'Finalterm OVPAA-F-INS-055A RAW '!BQ$17*100)</f>
        <v/>
      </c>
      <c r="BR48" s="126" t="str">
        <f>IF('Finalterm OVPAA-F-INS-055A RAW '!BR48="","",'Finalterm OVPAA-F-INS-055A RAW '!BR48/'Finalterm OVPAA-F-INS-055A RAW '!BR$17*100)</f>
        <v/>
      </c>
      <c r="BS48" s="126" t="str">
        <f>IF('Finalterm OVPAA-F-INS-055A RAW '!BS48="","",'Finalterm OVPAA-F-INS-055A RAW '!BS48/'Finalterm OVPAA-F-INS-055A RAW '!BS$17*100)</f>
        <v/>
      </c>
      <c r="BT48" s="126" t="str">
        <f>IF('Finalterm OVPAA-F-INS-055A RAW '!BT48="","",'Finalterm OVPAA-F-INS-055A RAW '!BT48/'Finalterm OVPAA-F-INS-055A RAW '!BT$17*100)</f>
        <v/>
      </c>
      <c r="BU48" s="127" t="str">
        <f t="array" ref="BU48">IF('Finalterm OVPAA-F-INS-055A RAW '!$G48="","",IF((SUMPRODUCT(--ISBLANK('Finalterm OVPAA-F-INS-055A RAW '!H48:BT48))=COLUMNS('Finalterm OVPAA-F-INS-055A RAW '!H48:BT48))=TRUE,"",(((COUNTA('Finalterm OVPAA-F-INS-055A RAW '!$H$17:$BT$17)+COUNTBLANK('Finalterm OVPAA-F-INS-055A RAW '!H48:BT48))-COLUMNS('Finalterm OVPAA-F-INS-055A RAW '!H48:BT48))*5+SUM(H48:BT48))/COUNTA('Finalterm OVPAA-F-INS-055A RAW '!$H$17:$BT$17)))</f>
        <v/>
      </c>
      <c r="BV48" s="165" t="str">
        <f>IF(BU48="","",VLOOKUP(BU48,IF('Midterm OVPAA-F-INS-055A RAW SC'!$V$12=0.5,TRANSMUTATION!$C$4:$D$17,TRANSMUTATION!$G$4:$H$17),2,TRUE))</f>
        <v/>
      </c>
      <c r="BW48" s="129" t="str">
        <f>IF('Finalterm OVPAA-F-INS-055A RAW '!BU48="","",'Finalterm OVPAA-F-INS-055A RAW '!BU48/'Finalterm OVPAA-F-INS-055A RAW '!BU$17*100)</f>
        <v/>
      </c>
      <c r="BX48" s="130" t="str">
        <f>IF('Finalterm OVPAA-F-INS-055A RAW '!BV48="","",'Finalterm OVPAA-F-INS-055A RAW '!BV48/'Finalterm OVPAA-F-INS-055A RAW '!BV$17*100)</f>
        <v/>
      </c>
      <c r="BY48" s="130" t="str">
        <f>IF('Finalterm OVPAA-F-INS-055A RAW '!BW48="","",'Finalterm OVPAA-F-INS-055A RAW '!BW48/'Finalterm OVPAA-F-INS-055A RAW '!BW$17*100)</f>
        <v/>
      </c>
      <c r="BZ48" s="130" t="str">
        <f>IF('Finalterm OVPAA-F-INS-055A RAW '!BX48="","",'Finalterm OVPAA-F-INS-055A RAW '!BX48/'Finalterm OVPAA-F-INS-055A RAW '!BX$17*100)</f>
        <v/>
      </c>
      <c r="CA48" s="130" t="str">
        <f>IF('Finalterm OVPAA-F-INS-055A RAW '!BY48="","",'Finalterm OVPAA-F-INS-055A RAW '!BY48/'Finalterm OVPAA-F-INS-055A RAW '!BY$17*100)</f>
        <v/>
      </c>
      <c r="CB48" s="130" t="str">
        <f>IF('Finalterm OVPAA-F-INS-055A RAW '!BZ48="","",'Finalterm OVPAA-F-INS-055A RAW '!BZ48/'Finalterm OVPAA-F-INS-055A RAW '!BZ$17*100)</f>
        <v/>
      </c>
      <c r="CC48" s="130" t="str">
        <f>IF('Finalterm OVPAA-F-INS-055A RAW '!CA48="","",'Finalterm OVPAA-F-INS-055A RAW '!CA48/'Finalterm OVPAA-F-INS-055A RAW '!CA$17*100)</f>
        <v/>
      </c>
      <c r="CD48" s="130" t="str">
        <f>IF('Finalterm OVPAA-F-INS-055A RAW '!CB48="","",'Finalterm OVPAA-F-INS-055A RAW '!CB48/'Finalterm OVPAA-F-INS-055A RAW '!CB$17*100)</f>
        <v/>
      </c>
      <c r="CE48" s="130" t="str">
        <f>IF('Finalterm OVPAA-F-INS-055A RAW '!CC48="","",'Finalterm OVPAA-F-INS-055A RAW '!CC48/'Finalterm OVPAA-F-INS-055A RAW '!CC$17*100)</f>
        <v/>
      </c>
      <c r="CF48" s="130" t="str">
        <f>IF('Finalterm OVPAA-F-INS-055A RAW '!CD48="","",'Finalterm OVPAA-F-INS-055A RAW '!CD48/'Finalterm OVPAA-F-INS-055A RAW '!CD$17*100)</f>
        <v/>
      </c>
      <c r="CG48" s="130" t="str">
        <f>IF('Finalterm OVPAA-F-INS-055A RAW '!CE48="","",'Finalterm OVPAA-F-INS-055A RAW '!CE48/'Finalterm OVPAA-F-INS-055A RAW '!CE$17*100)</f>
        <v/>
      </c>
      <c r="CH48" s="130" t="str">
        <f>IF('Finalterm OVPAA-F-INS-055A RAW '!CF48="","",'Finalterm OVPAA-F-INS-055A RAW '!CF48/'Finalterm OVPAA-F-INS-055A RAW '!CF$17*100)</f>
        <v/>
      </c>
      <c r="CI48" s="130" t="str">
        <f>IF('Finalterm OVPAA-F-INS-055A RAW '!CG48="","",'Finalterm OVPAA-F-INS-055A RAW '!CG48/'Finalterm OVPAA-F-INS-055A RAW '!CG$17*100)</f>
        <v/>
      </c>
      <c r="CJ48" s="130" t="str">
        <f>IF('Finalterm OVPAA-F-INS-055A RAW '!CH48="","",'Finalterm OVPAA-F-INS-055A RAW '!CH48/'Finalterm OVPAA-F-INS-055A RAW '!CH$17*100)</f>
        <v/>
      </c>
      <c r="CK48" s="130" t="str">
        <f>IF('Finalterm OVPAA-F-INS-055A RAW '!CI48="","",'Finalterm OVPAA-F-INS-055A RAW '!CI48/'Finalterm OVPAA-F-INS-055A RAW '!CI$17*100)</f>
        <v/>
      </c>
      <c r="CL48" s="130" t="str">
        <f>IF('Finalterm OVPAA-F-INS-055A RAW '!CJ48="","",'Finalterm OVPAA-F-INS-055A RAW '!CJ48/'Finalterm OVPAA-F-INS-055A RAW '!CJ$17*100)</f>
        <v/>
      </c>
      <c r="CM48" s="130" t="str">
        <f>IF('Finalterm OVPAA-F-INS-055A RAW '!CK48="","",'Finalterm OVPAA-F-INS-055A RAW '!CK48/'Finalterm OVPAA-F-INS-055A RAW '!CK$17*100)</f>
        <v/>
      </c>
      <c r="CN48" s="130" t="str">
        <f>IF('Finalterm OVPAA-F-INS-055A RAW '!CL48="","",'Finalterm OVPAA-F-INS-055A RAW '!CL48/'Finalterm OVPAA-F-INS-055A RAW '!CL$17*100)</f>
        <v/>
      </c>
      <c r="CO48" s="130" t="str">
        <f>IF('Finalterm OVPAA-F-INS-055A RAW '!CM48="","",'Finalterm OVPAA-F-INS-055A RAW '!CM48/'Finalterm OVPAA-F-INS-055A RAW '!CM$17*100)</f>
        <v/>
      </c>
      <c r="CP48" s="130" t="str">
        <f>IF('Finalterm OVPAA-F-INS-055A RAW '!CN48="","",'Finalterm OVPAA-F-INS-055A RAW '!CN48/'Finalterm OVPAA-F-INS-055A RAW '!CN$17*100)</f>
        <v/>
      </c>
      <c r="CQ48" s="131" t="str">
        <f t="array" ref="CQ48">IF('Midterm OVPAA-F-INS-055A RAW SC'!G48="","",IF((SUMPRODUCT(--ISBLANK('Finalterm OVPAA-F-INS-055A RAW '!BU48:CN48))=COLUMNS('Finalterm OVPAA-F-INS-055A RAW '!BU48:CN48))=TRUE,"",(((COUNTA('Finalterm OVPAA-F-INS-055A RAW '!$BU$17:$CN$17)+COUNTBLANK('Finalterm OVPAA-F-INS-055A RAW '!BU48:CN48))-COLUMNS('Finalterm OVPAA-F-INS-055A RAW '!BU48:CN48))*5+SUM(BW48:CP48))/COUNTA('Finalterm OVPAA-F-INS-055A RAW '!$BU$17:$CN$17)))</f>
        <v/>
      </c>
      <c r="CR48" s="132" t="str">
        <f>IF(CQ48="","",VLOOKUP(CQ48,IF('Midterm OVPAA-F-INS-055A RAW SC'!$V$12=0.5,TRANSMUTATION!$C$4:$D$17,TRANSMUTATION!$G$4:$H$17),2,TRUE))</f>
        <v/>
      </c>
      <c r="CS48" s="133" t="str">
        <f>IF('Finalterm OVPAA-F-INS-055A RAW '!CO48="","",'Finalterm OVPAA-F-INS-055A RAW '!CO48/'Finalterm OVPAA-F-INS-055A RAW '!CO$17*100)</f>
        <v/>
      </c>
      <c r="CT48" s="133" t="str">
        <f>IF('Finalterm OVPAA-F-INS-055A RAW '!CP48="","",'Finalterm OVPAA-F-INS-055A RAW '!CP48/'Finalterm OVPAA-F-INS-055A RAW '!CP$17*100)</f>
        <v/>
      </c>
      <c r="CU48" s="133" t="str">
        <f>IF('Finalterm OVPAA-F-INS-055A RAW '!CQ48="","",'Finalterm OVPAA-F-INS-055A RAW '!CQ48/'Finalterm OVPAA-F-INS-055A RAW '!CQ$17*100)</f>
        <v/>
      </c>
      <c r="CV48" s="133" t="str">
        <f>IF('Finalterm OVPAA-F-INS-055A RAW '!CR48="","",'Finalterm OVPAA-F-INS-055A RAW '!CR48/'Finalterm OVPAA-F-INS-055A RAW '!CR$17*100)</f>
        <v/>
      </c>
      <c r="CW48" s="133" t="str">
        <f>IF('Finalterm OVPAA-F-INS-055A RAW '!CS48="","",'Finalterm OVPAA-F-INS-055A RAW '!CS48/'Finalterm OVPAA-F-INS-055A RAW '!CS$17*100)</f>
        <v/>
      </c>
      <c r="CX48" s="133" t="str">
        <f>IF('Finalterm OVPAA-F-INS-055A RAW '!CT48="","",'Finalterm OVPAA-F-INS-055A RAW '!CT48/'Finalterm OVPAA-F-INS-055A RAW '!CT$17*100)</f>
        <v/>
      </c>
      <c r="CY48" s="133" t="str">
        <f>IF('Finalterm OVPAA-F-INS-055A RAW '!CU48="","",'Finalterm OVPAA-F-INS-055A RAW '!CU48/'Finalterm OVPAA-F-INS-055A RAW '!CU$17*100)</f>
        <v/>
      </c>
      <c r="CZ48" s="133" t="str">
        <f>IF('Finalterm OVPAA-F-INS-055A RAW '!CV48="","",'Finalterm OVPAA-F-INS-055A RAW '!CV48/'Finalterm OVPAA-F-INS-055A RAW '!CV$17*100)</f>
        <v/>
      </c>
      <c r="DA48" s="133" t="str">
        <f>IF('Finalterm OVPAA-F-INS-055A RAW '!CW48="","",'Finalterm OVPAA-F-INS-055A RAW '!CW48/'Finalterm OVPAA-F-INS-055A RAW '!CW$17*100)</f>
        <v/>
      </c>
      <c r="DB48" s="133" t="str">
        <f>IF('Finalterm OVPAA-F-INS-055A RAW '!CX48="","",'Finalterm OVPAA-F-INS-055A RAW '!CX48/'Finalterm OVPAA-F-INS-055A RAW '!CX$17*100)</f>
        <v/>
      </c>
      <c r="DC48" s="134" t="str">
        <f t="array" ref="DC48">IF('Midterm OVPAA-F-INS-055A RAW SC'!$G48="","",IF((SUMPRODUCT(--ISBLANK('Finalterm OVPAA-F-INS-055A RAW '!CO48:CX48))=COLUMNS('Finalterm OVPAA-F-INS-055A RAW '!CO48:CX48))=TRUE,"",(((COUNTA('Finalterm OVPAA-F-INS-055A RAW '!$CO$17:$CX$17)+COUNTBLANK('Finalterm OVPAA-F-INS-055A RAW '!CO48:CX48))-COLUMNS('Finalterm OVPAA-F-INS-055A RAW '!CO48:CX48))*5+SUM(CS48:DB48))/COUNTA('Finalterm OVPAA-F-INS-055A RAW '!$CO$17:$CX$17)))</f>
        <v/>
      </c>
      <c r="DD48" s="135" t="str">
        <f>IF(DC48="","",VLOOKUP(DC48,IF('Midterm OVPAA-F-INS-055A RAW SC'!$V$12=0.5,TRANSMUTATION!$C$4:$D$17,TRANSMUTATION!$G$4:$H$17),2,TRUE))</f>
        <v/>
      </c>
      <c r="DE48" s="136" t="str">
        <f t="shared" si="1"/>
        <v/>
      </c>
      <c r="DF48" s="166" t="str">
        <f t="shared" si="2"/>
        <v/>
      </c>
      <c r="DG48" s="167" t="str">
        <f t="shared" si="3"/>
        <v/>
      </c>
      <c r="DH48" s="168" t="str">
        <f t="shared" si="4"/>
        <v/>
      </c>
      <c r="DI48" s="169" t="str">
        <f t="shared" si="5"/>
        <v/>
      </c>
    </row>
    <row r="49" spans="5:113" ht="15.75" hidden="1" customHeight="1">
      <c r="E49" s="59">
        <v>32</v>
      </c>
      <c r="F49" s="124" t="str">
        <f>IF(NOT(ISBLANK('Midterm OVPAA-F-INS-055A RAW SC'!F49)),'Midterm OVPAA-F-INS-055A RAW SC'!F49,"")</f>
        <v/>
      </c>
      <c r="G49" s="125" t="str">
        <f>IF(NOT(ISBLANK('Midterm OVPAA-F-INS-055A RAW SC'!G49)),'Midterm OVPAA-F-INS-055A RAW SC'!G49,"")</f>
        <v/>
      </c>
      <c r="H49" s="126" t="str">
        <f>IF('Finalterm OVPAA-F-INS-055A RAW '!H49="","",'Finalterm OVPAA-F-INS-055A RAW '!H49/'Finalterm OVPAA-F-INS-055A RAW '!H$17*100)</f>
        <v/>
      </c>
      <c r="I49" s="126" t="str">
        <f>IF('Finalterm OVPAA-F-INS-055A RAW '!I49="","",'Finalterm OVPAA-F-INS-055A RAW '!I49/'Finalterm OVPAA-F-INS-055A RAW '!I$17*100)</f>
        <v/>
      </c>
      <c r="J49" s="126" t="str">
        <f>IF('Finalterm OVPAA-F-INS-055A RAW '!J49="","",'Finalterm OVPAA-F-INS-055A RAW '!J49/'Finalterm OVPAA-F-INS-055A RAW '!J$17*100)</f>
        <v/>
      </c>
      <c r="K49" s="126" t="str">
        <f>IF('Finalterm OVPAA-F-INS-055A RAW '!K49="","",'Finalterm OVPAA-F-INS-055A RAW '!K49/'Finalterm OVPAA-F-INS-055A RAW '!K$17*100)</f>
        <v/>
      </c>
      <c r="L49" s="126" t="str">
        <f>IF('Finalterm OVPAA-F-INS-055A RAW '!L49="","",'Finalterm OVPAA-F-INS-055A RAW '!L49/'Finalterm OVPAA-F-INS-055A RAW '!L$17*100)</f>
        <v/>
      </c>
      <c r="M49" s="126" t="str">
        <f>IF('Finalterm OVPAA-F-INS-055A RAW '!M49="","",'Finalterm OVPAA-F-INS-055A RAW '!M49/'Finalterm OVPAA-F-INS-055A RAW '!M$17*100)</f>
        <v/>
      </c>
      <c r="N49" s="126" t="str">
        <f>IF('Finalterm OVPAA-F-INS-055A RAW '!N49="","",'Finalterm OVPAA-F-INS-055A RAW '!N49/'Finalterm OVPAA-F-INS-055A RAW '!N$17*100)</f>
        <v/>
      </c>
      <c r="O49" s="126" t="str">
        <f>IF('Finalterm OVPAA-F-INS-055A RAW '!O49="","",'Finalterm OVPAA-F-INS-055A RAW '!O49/'Finalterm OVPAA-F-INS-055A RAW '!O$17*100)</f>
        <v/>
      </c>
      <c r="P49" s="126" t="str">
        <f>IF('Finalterm OVPAA-F-INS-055A RAW '!P49="","",'Finalterm OVPAA-F-INS-055A RAW '!P49/'Finalterm OVPAA-F-INS-055A RAW '!P$17*100)</f>
        <v/>
      </c>
      <c r="Q49" s="126" t="str">
        <f>IF('Finalterm OVPAA-F-INS-055A RAW '!Q49="","",'Finalterm OVPAA-F-INS-055A RAW '!Q49/'Finalterm OVPAA-F-INS-055A RAW '!Q$17*100)</f>
        <v/>
      </c>
      <c r="R49" s="126" t="str">
        <f>IF('Finalterm OVPAA-F-INS-055A RAW '!R49="","",'Finalterm OVPAA-F-INS-055A RAW '!R49/'Finalterm OVPAA-F-INS-055A RAW '!R$17*100)</f>
        <v/>
      </c>
      <c r="S49" s="126" t="str">
        <f>IF('Finalterm OVPAA-F-INS-055A RAW '!S49="","",'Finalterm OVPAA-F-INS-055A RAW '!S49/'Finalterm OVPAA-F-INS-055A RAW '!S$17*100)</f>
        <v/>
      </c>
      <c r="T49" s="126" t="str">
        <f>IF('Finalterm OVPAA-F-INS-055A RAW '!T49="","",'Finalterm OVPAA-F-INS-055A RAW '!T49/'Finalterm OVPAA-F-INS-055A RAW '!T$17*100)</f>
        <v/>
      </c>
      <c r="U49" s="126" t="str">
        <f>IF('Finalterm OVPAA-F-INS-055A RAW '!U49="","",'Finalterm OVPAA-F-INS-055A RAW '!U49/'Finalterm OVPAA-F-INS-055A RAW '!U$17*100)</f>
        <v/>
      </c>
      <c r="V49" s="126" t="str">
        <f>IF('Finalterm OVPAA-F-INS-055A RAW '!V49="","",'Finalterm OVPAA-F-INS-055A RAW '!V49/'Finalterm OVPAA-F-INS-055A RAW '!V$17*100)</f>
        <v/>
      </c>
      <c r="W49" s="126" t="str">
        <f>IF('Finalterm OVPAA-F-INS-055A RAW '!W49="","",'Finalterm OVPAA-F-INS-055A RAW '!W49/'Finalterm OVPAA-F-INS-055A RAW '!W$17*100)</f>
        <v/>
      </c>
      <c r="X49" s="126" t="str">
        <f>IF('Finalterm OVPAA-F-INS-055A RAW '!X49="","",'Finalterm OVPAA-F-INS-055A RAW '!X49/'Finalterm OVPAA-F-INS-055A RAW '!X$17*100)</f>
        <v/>
      </c>
      <c r="Y49" s="126" t="str">
        <f>IF('Finalterm OVPAA-F-INS-055A RAW '!Y49="","",'Finalterm OVPAA-F-INS-055A RAW '!Y49/'Finalterm OVPAA-F-INS-055A RAW '!Y$17*100)</f>
        <v/>
      </c>
      <c r="Z49" s="126" t="str">
        <f>IF('Finalterm OVPAA-F-INS-055A RAW '!Z49="","",'Finalterm OVPAA-F-INS-055A RAW '!Z49/'Finalterm OVPAA-F-INS-055A RAW '!Z$17*100)</f>
        <v/>
      </c>
      <c r="AA49" s="126" t="str">
        <f>IF('Finalterm OVPAA-F-INS-055A RAW '!AA49="","",'Finalterm OVPAA-F-INS-055A RAW '!AA49/'Finalterm OVPAA-F-INS-055A RAW '!AA$17*100)</f>
        <v/>
      </c>
      <c r="AB49" s="126" t="str">
        <f>IF('Finalterm OVPAA-F-INS-055A RAW '!AB49="","",'Finalterm OVPAA-F-INS-055A RAW '!AB49/'Finalterm OVPAA-F-INS-055A RAW '!AB$17*100)</f>
        <v/>
      </c>
      <c r="AC49" s="126" t="str">
        <f>IF('Finalterm OVPAA-F-INS-055A RAW '!AC49="","",'Finalterm OVPAA-F-INS-055A RAW '!AC49/'Finalterm OVPAA-F-INS-055A RAW '!AC$17*100)</f>
        <v/>
      </c>
      <c r="AD49" s="126" t="str">
        <f>IF('Finalterm OVPAA-F-INS-055A RAW '!AD49="","",'Finalterm OVPAA-F-INS-055A RAW '!AD49/'Finalterm OVPAA-F-INS-055A RAW '!AD$17*100)</f>
        <v/>
      </c>
      <c r="AE49" s="126" t="str">
        <f>IF('Finalterm OVPAA-F-INS-055A RAW '!AE49="","",'Finalterm OVPAA-F-INS-055A RAW '!AE49/'Finalterm OVPAA-F-INS-055A RAW '!AE$17*100)</f>
        <v/>
      </c>
      <c r="AF49" s="126" t="str">
        <f>IF('Finalterm OVPAA-F-INS-055A RAW '!AF49="","",'Finalterm OVPAA-F-INS-055A RAW '!AF49/'Finalterm OVPAA-F-INS-055A RAW '!AF$17*100)</f>
        <v/>
      </c>
      <c r="AG49" s="126" t="str">
        <f>IF('Finalterm OVPAA-F-INS-055A RAW '!AG49="","",'Finalterm OVPAA-F-INS-055A RAW '!AG49/'Finalterm OVPAA-F-INS-055A RAW '!AG$17*100)</f>
        <v/>
      </c>
      <c r="AH49" s="126" t="str">
        <f>IF('Finalterm OVPAA-F-INS-055A RAW '!AH49="","",'Finalterm OVPAA-F-INS-055A RAW '!AH49/'Finalterm OVPAA-F-INS-055A RAW '!AH$17*100)</f>
        <v/>
      </c>
      <c r="AI49" s="126" t="str">
        <f>IF('Finalterm OVPAA-F-INS-055A RAW '!AI49="","",'Finalterm OVPAA-F-INS-055A RAW '!AI49/'Finalterm OVPAA-F-INS-055A RAW '!AI$17*100)</f>
        <v/>
      </c>
      <c r="AJ49" s="126" t="str">
        <f>IF('Finalterm OVPAA-F-INS-055A RAW '!AJ49="","",'Finalterm OVPAA-F-INS-055A RAW '!AJ49/'Finalterm OVPAA-F-INS-055A RAW '!AJ$17*100)</f>
        <v/>
      </c>
      <c r="AK49" s="126" t="str">
        <f>IF('Finalterm OVPAA-F-INS-055A RAW '!AK49="","",'Finalterm OVPAA-F-INS-055A RAW '!AK49/'Finalterm OVPAA-F-INS-055A RAW '!AK$17*100)</f>
        <v/>
      </c>
      <c r="AL49" s="126" t="str">
        <f>IF('Finalterm OVPAA-F-INS-055A RAW '!AL49="","",'Finalterm OVPAA-F-INS-055A RAW '!AL49/'Finalterm OVPAA-F-INS-055A RAW '!AL$17*100)</f>
        <v/>
      </c>
      <c r="AM49" s="126" t="str">
        <f>IF('Finalterm OVPAA-F-INS-055A RAW '!AM49="","",'Finalterm OVPAA-F-INS-055A RAW '!AM49/'Finalterm OVPAA-F-INS-055A RAW '!AM$17*100)</f>
        <v/>
      </c>
      <c r="AN49" s="126" t="str">
        <f>IF('Finalterm OVPAA-F-INS-055A RAW '!AN49="","",'Finalterm OVPAA-F-INS-055A RAW '!AN49/'Finalterm OVPAA-F-INS-055A RAW '!AN$17*100)</f>
        <v/>
      </c>
      <c r="AO49" s="126" t="str">
        <f>IF('Finalterm OVPAA-F-INS-055A RAW '!AO49="","",'Finalterm OVPAA-F-INS-055A RAW '!AO49/'Finalterm OVPAA-F-INS-055A RAW '!AO$17*100)</f>
        <v/>
      </c>
      <c r="AP49" s="126" t="str">
        <f>IF('Finalterm OVPAA-F-INS-055A RAW '!AP49="","",'Finalterm OVPAA-F-INS-055A RAW '!AP49/'Finalterm OVPAA-F-INS-055A RAW '!AP$17*100)</f>
        <v/>
      </c>
      <c r="AQ49" s="126" t="str">
        <f>IF('Finalterm OVPAA-F-INS-055A RAW '!AQ49="","",'Finalterm OVPAA-F-INS-055A RAW '!AQ49/'Finalterm OVPAA-F-INS-055A RAW '!AQ$17*100)</f>
        <v/>
      </c>
      <c r="AR49" s="126" t="str">
        <f>IF('Finalterm OVPAA-F-INS-055A RAW '!AR49="","",'Finalterm OVPAA-F-INS-055A RAW '!AR49/'Finalterm OVPAA-F-INS-055A RAW '!AR$17*100)</f>
        <v/>
      </c>
      <c r="AS49" s="126" t="str">
        <f>IF('Finalterm OVPAA-F-INS-055A RAW '!AS49="","",'Finalterm OVPAA-F-INS-055A RAW '!AS49/'Finalterm OVPAA-F-INS-055A RAW '!AS$17*100)</f>
        <v/>
      </c>
      <c r="AT49" s="126" t="str">
        <f>IF('Finalterm OVPAA-F-INS-055A RAW '!AT49="","",'Finalterm OVPAA-F-INS-055A RAW '!AT49/'Finalterm OVPAA-F-INS-055A RAW '!AT$17*100)</f>
        <v/>
      </c>
      <c r="AU49" s="126" t="str">
        <f>IF('Finalterm OVPAA-F-INS-055A RAW '!AU49="","",'Finalterm OVPAA-F-INS-055A RAW '!AU49/'Finalterm OVPAA-F-INS-055A RAW '!AU$17*100)</f>
        <v/>
      </c>
      <c r="AV49" s="126" t="str">
        <f>IF('Finalterm OVPAA-F-INS-055A RAW '!AV49="","",'Finalterm OVPAA-F-INS-055A RAW '!AV49/'Finalterm OVPAA-F-INS-055A RAW '!AV$17*100)</f>
        <v/>
      </c>
      <c r="AW49" s="126" t="str">
        <f>IF('Finalterm OVPAA-F-INS-055A RAW '!AW49="","",'Finalterm OVPAA-F-INS-055A RAW '!AW49/'Finalterm OVPAA-F-INS-055A RAW '!AW$17*100)</f>
        <v/>
      </c>
      <c r="AX49" s="126" t="str">
        <f>IF('Finalterm OVPAA-F-INS-055A RAW '!AX49="","",'Finalterm OVPAA-F-INS-055A RAW '!AX49/'Finalterm OVPAA-F-INS-055A RAW '!AX$17*100)</f>
        <v/>
      </c>
      <c r="AY49" s="126" t="str">
        <f>IF('Finalterm OVPAA-F-INS-055A RAW '!AY49="","",'Finalterm OVPAA-F-INS-055A RAW '!AY49/'Finalterm OVPAA-F-INS-055A RAW '!AY$17*100)</f>
        <v/>
      </c>
      <c r="AZ49" s="126" t="str">
        <f>IF('Finalterm OVPAA-F-INS-055A RAW '!AZ49="","",'Finalterm OVPAA-F-INS-055A RAW '!AZ49/'Finalterm OVPAA-F-INS-055A RAW '!AZ$17*100)</f>
        <v/>
      </c>
      <c r="BA49" s="126" t="str">
        <f>IF('Finalterm OVPAA-F-INS-055A RAW '!BA49="","",'Finalterm OVPAA-F-INS-055A RAW '!BA49/'Finalterm OVPAA-F-INS-055A RAW '!BA$17*100)</f>
        <v/>
      </c>
      <c r="BB49" s="126" t="str">
        <f>IF('Finalterm OVPAA-F-INS-055A RAW '!BB49="","",'Finalterm OVPAA-F-INS-055A RAW '!BB49/'Finalterm OVPAA-F-INS-055A RAW '!BB$17*100)</f>
        <v/>
      </c>
      <c r="BC49" s="126" t="str">
        <f>IF('Finalterm OVPAA-F-INS-055A RAW '!BC49="","",'Finalterm OVPAA-F-INS-055A RAW '!BC49/'Finalterm OVPAA-F-INS-055A RAW '!BC$17*100)</f>
        <v/>
      </c>
      <c r="BD49" s="126" t="str">
        <f>IF('Finalterm OVPAA-F-INS-055A RAW '!BD49="","",'Finalterm OVPAA-F-INS-055A RAW '!BD49/'Finalterm OVPAA-F-INS-055A RAW '!BD$17*100)</f>
        <v/>
      </c>
      <c r="BE49" s="126" t="str">
        <f>IF('Finalterm OVPAA-F-INS-055A RAW '!BE49="","",'Finalterm OVPAA-F-INS-055A RAW '!BE49/'Finalterm OVPAA-F-INS-055A RAW '!BE$17*100)</f>
        <v/>
      </c>
      <c r="BF49" s="126" t="str">
        <f>IF('Finalterm OVPAA-F-INS-055A RAW '!BF49="","",'Finalterm OVPAA-F-INS-055A RAW '!BF49/'Finalterm OVPAA-F-INS-055A RAW '!BF$17*100)</f>
        <v/>
      </c>
      <c r="BG49" s="126" t="str">
        <f>IF('Finalterm OVPAA-F-INS-055A RAW '!BG49="","",'Finalterm OVPAA-F-INS-055A RAW '!BG49/'Finalterm OVPAA-F-INS-055A RAW '!BG$17*100)</f>
        <v/>
      </c>
      <c r="BH49" s="126" t="str">
        <f>IF('Finalterm OVPAA-F-INS-055A RAW '!BH49="","",'Finalterm OVPAA-F-INS-055A RAW '!BH49/'Finalterm OVPAA-F-INS-055A RAW '!BH$17*100)</f>
        <v/>
      </c>
      <c r="BI49" s="126" t="str">
        <f>IF('Finalterm OVPAA-F-INS-055A RAW '!BI49="","",'Finalterm OVPAA-F-INS-055A RAW '!BI49/'Finalterm OVPAA-F-INS-055A RAW '!BI$17*100)</f>
        <v/>
      </c>
      <c r="BJ49" s="126" t="str">
        <f>IF('Finalterm OVPAA-F-INS-055A RAW '!BJ49="","",'Finalterm OVPAA-F-INS-055A RAW '!BJ49/'Finalterm OVPAA-F-INS-055A RAW '!BJ$17*100)</f>
        <v/>
      </c>
      <c r="BK49" s="126" t="str">
        <f>IF('Finalterm OVPAA-F-INS-055A RAW '!BK49="","",'Finalterm OVPAA-F-INS-055A RAW '!BK49/'Finalterm OVPAA-F-INS-055A RAW '!BK$17*100)</f>
        <v/>
      </c>
      <c r="BL49" s="126" t="str">
        <f>IF('Finalterm OVPAA-F-INS-055A RAW '!BL49="","",'Finalterm OVPAA-F-INS-055A RAW '!BL49/'Finalterm OVPAA-F-INS-055A RAW '!BL$17*100)</f>
        <v/>
      </c>
      <c r="BM49" s="126" t="str">
        <f>IF('Finalterm OVPAA-F-INS-055A RAW '!BM49="","",'Finalterm OVPAA-F-INS-055A RAW '!BM49/'Finalterm OVPAA-F-INS-055A RAW '!BM$17*100)</f>
        <v/>
      </c>
      <c r="BN49" s="126" t="str">
        <f>IF('Finalterm OVPAA-F-INS-055A RAW '!BN49="","",'Finalterm OVPAA-F-INS-055A RAW '!BN49/'Finalterm OVPAA-F-INS-055A RAW '!BN$17*100)</f>
        <v/>
      </c>
      <c r="BO49" s="126" t="str">
        <f>IF('Finalterm OVPAA-F-INS-055A RAW '!BO49="","",'Finalterm OVPAA-F-INS-055A RAW '!BO49/'Finalterm OVPAA-F-INS-055A RAW '!BO$17*100)</f>
        <v/>
      </c>
      <c r="BP49" s="126" t="str">
        <f>IF('Finalterm OVPAA-F-INS-055A RAW '!BP49="","",'Finalterm OVPAA-F-INS-055A RAW '!BP49/'Finalterm OVPAA-F-INS-055A RAW '!BP$17*100)</f>
        <v/>
      </c>
      <c r="BQ49" s="126" t="str">
        <f>IF('Finalterm OVPAA-F-INS-055A RAW '!BQ49="","",'Finalterm OVPAA-F-INS-055A RAW '!BQ49/'Finalterm OVPAA-F-INS-055A RAW '!BQ$17*100)</f>
        <v/>
      </c>
      <c r="BR49" s="126" t="str">
        <f>IF('Finalterm OVPAA-F-INS-055A RAW '!BR49="","",'Finalterm OVPAA-F-INS-055A RAW '!BR49/'Finalterm OVPAA-F-INS-055A RAW '!BR$17*100)</f>
        <v/>
      </c>
      <c r="BS49" s="126" t="str">
        <f>IF('Finalterm OVPAA-F-INS-055A RAW '!BS49="","",'Finalterm OVPAA-F-INS-055A RAW '!BS49/'Finalterm OVPAA-F-INS-055A RAW '!BS$17*100)</f>
        <v/>
      </c>
      <c r="BT49" s="126" t="str">
        <f>IF('Finalterm OVPAA-F-INS-055A RAW '!BT49="","",'Finalterm OVPAA-F-INS-055A RAW '!BT49/'Finalterm OVPAA-F-INS-055A RAW '!BT$17*100)</f>
        <v/>
      </c>
      <c r="BU49" s="127" t="str">
        <f t="array" ref="BU49">IF('Finalterm OVPAA-F-INS-055A RAW '!$G49="","",IF((SUMPRODUCT(--ISBLANK('Finalterm OVPAA-F-INS-055A RAW '!H49:BT49))=COLUMNS('Finalterm OVPAA-F-INS-055A RAW '!H49:BT49))=TRUE,"",(((COUNTA('Finalterm OVPAA-F-INS-055A RAW '!$H$17:$BT$17)+COUNTBLANK('Finalterm OVPAA-F-INS-055A RAW '!H49:BT49))-COLUMNS('Finalterm OVPAA-F-INS-055A RAW '!H49:BT49))*5+SUM(H49:BT49))/COUNTA('Finalterm OVPAA-F-INS-055A RAW '!$H$17:$BT$17)))</f>
        <v/>
      </c>
      <c r="BV49" s="165" t="str">
        <f>IF(BU49="","",VLOOKUP(BU49,IF('Midterm OVPAA-F-INS-055A RAW SC'!$V$12=0.5,TRANSMUTATION!$C$4:$D$17,TRANSMUTATION!$G$4:$H$17),2,TRUE))</f>
        <v/>
      </c>
      <c r="BW49" s="129" t="str">
        <f>IF('Finalterm OVPAA-F-INS-055A RAW '!BU49="","",'Finalterm OVPAA-F-INS-055A RAW '!BU49/'Finalterm OVPAA-F-INS-055A RAW '!BU$17*100)</f>
        <v/>
      </c>
      <c r="BX49" s="130" t="str">
        <f>IF('Finalterm OVPAA-F-INS-055A RAW '!BV49="","",'Finalterm OVPAA-F-INS-055A RAW '!BV49/'Finalterm OVPAA-F-INS-055A RAW '!BV$17*100)</f>
        <v/>
      </c>
      <c r="BY49" s="130" t="str">
        <f>IF('Finalterm OVPAA-F-INS-055A RAW '!BW49="","",'Finalterm OVPAA-F-INS-055A RAW '!BW49/'Finalterm OVPAA-F-INS-055A RAW '!BW$17*100)</f>
        <v/>
      </c>
      <c r="BZ49" s="130" t="str">
        <f>IF('Finalterm OVPAA-F-INS-055A RAW '!BX49="","",'Finalterm OVPAA-F-INS-055A RAW '!BX49/'Finalterm OVPAA-F-INS-055A RAW '!BX$17*100)</f>
        <v/>
      </c>
      <c r="CA49" s="130" t="str">
        <f>IF('Finalterm OVPAA-F-INS-055A RAW '!BY49="","",'Finalterm OVPAA-F-INS-055A RAW '!BY49/'Finalterm OVPAA-F-INS-055A RAW '!BY$17*100)</f>
        <v/>
      </c>
      <c r="CB49" s="130" t="str">
        <f>IF('Finalterm OVPAA-F-INS-055A RAW '!BZ49="","",'Finalterm OVPAA-F-INS-055A RAW '!BZ49/'Finalterm OVPAA-F-INS-055A RAW '!BZ$17*100)</f>
        <v/>
      </c>
      <c r="CC49" s="130" t="str">
        <f>IF('Finalterm OVPAA-F-INS-055A RAW '!CA49="","",'Finalterm OVPAA-F-INS-055A RAW '!CA49/'Finalterm OVPAA-F-INS-055A RAW '!CA$17*100)</f>
        <v/>
      </c>
      <c r="CD49" s="130" t="str">
        <f>IF('Finalterm OVPAA-F-INS-055A RAW '!CB49="","",'Finalterm OVPAA-F-INS-055A RAW '!CB49/'Finalterm OVPAA-F-INS-055A RAW '!CB$17*100)</f>
        <v/>
      </c>
      <c r="CE49" s="130" t="str">
        <f>IF('Finalterm OVPAA-F-INS-055A RAW '!CC49="","",'Finalterm OVPAA-F-INS-055A RAW '!CC49/'Finalterm OVPAA-F-INS-055A RAW '!CC$17*100)</f>
        <v/>
      </c>
      <c r="CF49" s="130" t="str">
        <f>IF('Finalterm OVPAA-F-INS-055A RAW '!CD49="","",'Finalterm OVPAA-F-INS-055A RAW '!CD49/'Finalterm OVPAA-F-INS-055A RAW '!CD$17*100)</f>
        <v/>
      </c>
      <c r="CG49" s="130" t="str">
        <f>IF('Finalterm OVPAA-F-INS-055A RAW '!CE49="","",'Finalterm OVPAA-F-INS-055A RAW '!CE49/'Finalterm OVPAA-F-INS-055A RAW '!CE$17*100)</f>
        <v/>
      </c>
      <c r="CH49" s="130" t="str">
        <f>IF('Finalterm OVPAA-F-INS-055A RAW '!CF49="","",'Finalterm OVPAA-F-INS-055A RAW '!CF49/'Finalterm OVPAA-F-INS-055A RAW '!CF$17*100)</f>
        <v/>
      </c>
      <c r="CI49" s="130" t="str">
        <f>IF('Finalterm OVPAA-F-INS-055A RAW '!CG49="","",'Finalterm OVPAA-F-INS-055A RAW '!CG49/'Finalterm OVPAA-F-INS-055A RAW '!CG$17*100)</f>
        <v/>
      </c>
      <c r="CJ49" s="130" t="str">
        <f>IF('Finalterm OVPAA-F-INS-055A RAW '!CH49="","",'Finalterm OVPAA-F-INS-055A RAW '!CH49/'Finalterm OVPAA-F-INS-055A RAW '!CH$17*100)</f>
        <v/>
      </c>
      <c r="CK49" s="130" t="str">
        <f>IF('Finalterm OVPAA-F-INS-055A RAW '!CI49="","",'Finalterm OVPAA-F-INS-055A RAW '!CI49/'Finalterm OVPAA-F-INS-055A RAW '!CI$17*100)</f>
        <v/>
      </c>
      <c r="CL49" s="130" t="str">
        <f>IF('Finalterm OVPAA-F-INS-055A RAW '!CJ49="","",'Finalterm OVPAA-F-INS-055A RAW '!CJ49/'Finalterm OVPAA-F-INS-055A RAW '!CJ$17*100)</f>
        <v/>
      </c>
      <c r="CM49" s="130" t="str">
        <f>IF('Finalterm OVPAA-F-INS-055A RAW '!CK49="","",'Finalterm OVPAA-F-INS-055A RAW '!CK49/'Finalterm OVPAA-F-INS-055A RAW '!CK$17*100)</f>
        <v/>
      </c>
      <c r="CN49" s="130" t="str">
        <f>IF('Finalterm OVPAA-F-INS-055A RAW '!CL49="","",'Finalterm OVPAA-F-INS-055A RAW '!CL49/'Finalterm OVPAA-F-INS-055A RAW '!CL$17*100)</f>
        <v/>
      </c>
      <c r="CO49" s="130" t="str">
        <f>IF('Finalterm OVPAA-F-INS-055A RAW '!CM49="","",'Finalterm OVPAA-F-INS-055A RAW '!CM49/'Finalterm OVPAA-F-INS-055A RAW '!CM$17*100)</f>
        <v/>
      </c>
      <c r="CP49" s="130" t="str">
        <f>IF('Finalterm OVPAA-F-INS-055A RAW '!CN49="","",'Finalterm OVPAA-F-INS-055A RAW '!CN49/'Finalterm OVPAA-F-INS-055A RAW '!CN$17*100)</f>
        <v/>
      </c>
      <c r="CQ49" s="131" t="str">
        <f t="array" ref="CQ49">IF('Midterm OVPAA-F-INS-055A RAW SC'!G49="","",IF((SUMPRODUCT(--ISBLANK('Finalterm OVPAA-F-INS-055A RAW '!BU49:CN49))=COLUMNS('Finalterm OVPAA-F-INS-055A RAW '!BU49:CN49))=TRUE,"",(((COUNTA('Finalterm OVPAA-F-INS-055A RAW '!$BU$17:$CN$17)+COUNTBLANK('Finalterm OVPAA-F-INS-055A RAW '!BU49:CN49))-COLUMNS('Finalterm OVPAA-F-INS-055A RAW '!BU49:CN49))*5+SUM(BW49:CP49))/COUNTA('Finalterm OVPAA-F-INS-055A RAW '!$BU$17:$CN$17)))</f>
        <v/>
      </c>
      <c r="CR49" s="132" t="str">
        <f>IF(CQ49="","",VLOOKUP(CQ49,IF('Midterm OVPAA-F-INS-055A RAW SC'!$V$12=0.5,TRANSMUTATION!$C$4:$D$17,TRANSMUTATION!$G$4:$H$17),2,TRUE))</f>
        <v/>
      </c>
      <c r="CS49" s="133" t="str">
        <f>IF('Finalterm OVPAA-F-INS-055A RAW '!CO49="","",'Finalterm OVPAA-F-INS-055A RAW '!CO49/'Finalterm OVPAA-F-INS-055A RAW '!CO$17*100)</f>
        <v/>
      </c>
      <c r="CT49" s="133" t="str">
        <f>IF('Finalterm OVPAA-F-INS-055A RAW '!CP49="","",'Finalterm OVPAA-F-INS-055A RAW '!CP49/'Finalterm OVPAA-F-INS-055A RAW '!CP$17*100)</f>
        <v/>
      </c>
      <c r="CU49" s="133" t="str">
        <f>IF('Finalterm OVPAA-F-INS-055A RAW '!CQ49="","",'Finalterm OVPAA-F-INS-055A RAW '!CQ49/'Finalterm OVPAA-F-INS-055A RAW '!CQ$17*100)</f>
        <v/>
      </c>
      <c r="CV49" s="133" t="str">
        <f>IF('Finalterm OVPAA-F-INS-055A RAW '!CR49="","",'Finalterm OVPAA-F-INS-055A RAW '!CR49/'Finalterm OVPAA-F-INS-055A RAW '!CR$17*100)</f>
        <v/>
      </c>
      <c r="CW49" s="133" t="str">
        <f>IF('Finalterm OVPAA-F-INS-055A RAW '!CS49="","",'Finalterm OVPAA-F-INS-055A RAW '!CS49/'Finalterm OVPAA-F-INS-055A RAW '!CS$17*100)</f>
        <v/>
      </c>
      <c r="CX49" s="133" t="str">
        <f>IF('Finalterm OVPAA-F-INS-055A RAW '!CT49="","",'Finalterm OVPAA-F-INS-055A RAW '!CT49/'Finalterm OVPAA-F-INS-055A RAW '!CT$17*100)</f>
        <v/>
      </c>
      <c r="CY49" s="133" t="str">
        <f>IF('Finalterm OVPAA-F-INS-055A RAW '!CU49="","",'Finalterm OVPAA-F-INS-055A RAW '!CU49/'Finalterm OVPAA-F-INS-055A RAW '!CU$17*100)</f>
        <v/>
      </c>
      <c r="CZ49" s="133" t="str">
        <f>IF('Finalterm OVPAA-F-INS-055A RAW '!CV49="","",'Finalterm OVPAA-F-INS-055A RAW '!CV49/'Finalterm OVPAA-F-INS-055A RAW '!CV$17*100)</f>
        <v/>
      </c>
      <c r="DA49" s="133" t="str">
        <f>IF('Finalterm OVPAA-F-INS-055A RAW '!CW49="","",'Finalterm OVPAA-F-INS-055A RAW '!CW49/'Finalterm OVPAA-F-INS-055A RAW '!CW$17*100)</f>
        <v/>
      </c>
      <c r="DB49" s="133" t="str">
        <f>IF('Finalterm OVPAA-F-INS-055A RAW '!CX49="","",'Finalterm OVPAA-F-INS-055A RAW '!CX49/'Finalterm OVPAA-F-INS-055A RAW '!CX$17*100)</f>
        <v/>
      </c>
      <c r="DC49" s="134" t="str">
        <f t="array" ref="DC49">IF('Midterm OVPAA-F-INS-055A RAW SC'!$G49="","",IF((SUMPRODUCT(--ISBLANK('Finalterm OVPAA-F-INS-055A RAW '!CO49:CX49))=COLUMNS('Finalterm OVPAA-F-INS-055A RAW '!CO49:CX49))=TRUE,"",(((COUNTA('Finalterm OVPAA-F-INS-055A RAW '!$CO$17:$CX$17)+COUNTBLANK('Finalterm OVPAA-F-INS-055A RAW '!CO49:CX49))-COLUMNS('Finalterm OVPAA-F-INS-055A RAW '!CO49:CX49))*5+SUM(CS49:DB49))/COUNTA('Finalterm OVPAA-F-INS-055A RAW '!$CO$17:$CX$17)))</f>
        <v/>
      </c>
      <c r="DD49" s="135" t="str">
        <f>IF(DC49="","",VLOOKUP(DC49,IF('Midterm OVPAA-F-INS-055A RAW SC'!$V$12=0.5,TRANSMUTATION!$C$4:$D$17,TRANSMUTATION!$G$4:$H$17),2,TRUE))</f>
        <v/>
      </c>
      <c r="DE49" s="136" t="str">
        <f t="shared" si="1"/>
        <v/>
      </c>
      <c r="DF49" s="166" t="str">
        <f t="shared" si="2"/>
        <v/>
      </c>
      <c r="DG49" s="167" t="str">
        <f t="shared" si="3"/>
        <v/>
      </c>
      <c r="DH49" s="168" t="str">
        <f t="shared" si="4"/>
        <v/>
      </c>
      <c r="DI49" s="169" t="str">
        <f t="shared" si="5"/>
        <v/>
      </c>
    </row>
    <row r="50" spans="5:113" ht="15.75" hidden="1" customHeight="1">
      <c r="E50" s="59">
        <v>33</v>
      </c>
      <c r="F50" s="124" t="str">
        <f>IF(NOT(ISBLANK('Midterm OVPAA-F-INS-055A RAW SC'!F50)),'Midterm OVPAA-F-INS-055A RAW SC'!F50,"")</f>
        <v/>
      </c>
      <c r="G50" s="125" t="str">
        <f>IF(NOT(ISBLANK('Midterm OVPAA-F-INS-055A RAW SC'!G50)),'Midterm OVPAA-F-INS-055A RAW SC'!G50,"")</f>
        <v/>
      </c>
      <c r="H50" s="126" t="str">
        <f>IF('Finalterm OVPAA-F-INS-055A RAW '!H50="","",'Finalterm OVPAA-F-INS-055A RAW '!H50/'Finalterm OVPAA-F-INS-055A RAW '!H$17*100)</f>
        <v/>
      </c>
      <c r="I50" s="126" t="str">
        <f>IF('Finalterm OVPAA-F-INS-055A RAW '!I50="","",'Finalterm OVPAA-F-INS-055A RAW '!I50/'Finalterm OVPAA-F-INS-055A RAW '!I$17*100)</f>
        <v/>
      </c>
      <c r="J50" s="126" t="str">
        <f>IF('Finalterm OVPAA-F-INS-055A RAW '!J50="","",'Finalterm OVPAA-F-INS-055A RAW '!J50/'Finalterm OVPAA-F-INS-055A RAW '!J$17*100)</f>
        <v/>
      </c>
      <c r="K50" s="126" t="str">
        <f>IF('Finalterm OVPAA-F-INS-055A RAW '!K50="","",'Finalterm OVPAA-F-INS-055A RAW '!K50/'Finalterm OVPAA-F-INS-055A RAW '!K$17*100)</f>
        <v/>
      </c>
      <c r="L50" s="126" t="str">
        <f>IF('Finalterm OVPAA-F-INS-055A RAW '!L50="","",'Finalterm OVPAA-F-INS-055A RAW '!L50/'Finalterm OVPAA-F-INS-055A RAW '!L$17*100)</f>
        <v/>
      </c>
      <c r="M50" s="126" t="str">
        <f>IF('Finalterm OVPAA-F-INS-055A RAW '!M50="","",'Finalterm OVPAA-F-INS-055A RAW '!M50/'Finalterm OVPAA-F-INS-055A RAW '!M$17*100)</f>
        <v/>
      </c>
      <c r="N50" s="126" t="str">
        <f>IF('Finalterm OVPAA-F-INS-055A RAW '!N50="","",'Finalterm OVPAA-F-INS-055A RAW '!N50/'Finalterm OVPAA-F-INS-055A RAW '!N$17*100)</f>
        <v/>
      </c>
      <c r="O50" s="126" t="str">
        <f>IF('Finalterm OVPAA-F-INS-055A RAW '!O50="","",'Finalterm OVPAA-F-INS-055A RAW '!O50/'Finalterm OVPAA-F-INS-055A RAW '!O$17*100)</f>
        <v/>
      </c>
      <c r="P50" s="126" t="str">
        <f>IF('Finalterm OVPAA-F-INS-055A RAW '!P50="","",'Finalterm OVPAA-F-INS-055A RAW '!P50/'Finalterm OVPAA-F-INS-055A RAW '!P$17*100)</f>
        <v/>
      </c>
      <c r="Q50" s="126" t="str">
        <f>IF('Finalterm OVPAA-F-INS-055A RAW '!Q50="","",'Finalterm OVPAA-F-INS-055A RAW '!Q50/'Finalterm OVPAA-F-INS-055A RAW '!Q$17*100)</f>
        <v/>
      </c>
      <c r="R50" s="126" t="str">
        <f>IF('Finalterm OVPAA-F-INS-055A RAW '!R50="","",'Finalterm OVPAA-F-INS-055A RAW '!R50/'Finalterm OVPAA-F-INS-055A RAW '!R$17*100)</f>
        <v/>
      </c>
      <c r="S50" s="126" t="str">
        <f>IF('Finalterm OVPAA-F-INS-055A RAW '!S50="","",'Finalterm OVPAA-F-INS-055A RAW '!S50/'Finalterm OVPAA-F-INS-055A RAW '!S$17*100)</f>
        <v/>
      </c>
      <c r="T50" s="126" t="str">
        <f>IF('Finalterm OVPAA-F-INS-055A RAW '!T50="","",'Finalterm OVPAA-F-INS-055A RAW '!T50/'Finalterm OVPAA-F-INS-055A RAW '!T$17*100)</f>
        <v/>
      </c>
      <c r="U50" s="126" t="str">
        <f>IF('Finalterm OVPAA-F-INS-055A RAW '!U50="","",'Finalterm OVPAA-F-INS-055A RAW '!U50/'Finalterm OVPAA-F-INS-055A RAW '!U$17*100)</f>
        <v/>
      </c>
      <c r="V50" s="126" t="str">
        <f>IF('Finalterm OVPAA-F-INS-055A RAW '!V50="","",'Finalterm OVPAA-F-INS-055A RAW '!V50/'Finalterm OVPAA-F-INS-055A RAW '!V$17*100)</f>
        <v/>
      </c>
      <c r="W50" s="126" t="str">
        <f>IF('Finalterm OVPAA-F-INS-055A RAW '!W50="","",'Finalterm OVPAA-F-INS-055A RAW '!W50/'Finalterm OVPAA-F-INS-055A RAW '!W$17*100)</f>
        <v/>
      </c>
      <c r="X50" s="126" t="str">
        <f>IF('Finalterm OVPAA-F-INS-055A RAW '!X50="","",'Finalterm OVPAA-F-INS-055A RAW '!X50/'Finalterm OVPAA-F-INS-055A RAW '!X$17*100)</f>
        <v/>
      </c>
      <c r="Y50" s="126" t="str">
        <f>IF('Finalterm OVPAA-F-INS-055A RAW '!Y50="","",'Finalterm OVPAA-F-INS-055A RAW '!Y50/'Finalterm OVPAA-F-INS-055A RAW '!Y$17*100)</f>
        <v/>
      </c>
      <c r="Z50" s="126" t="str">
        <f>IF('Finalterm OVPAA-F-INS-055A RAW '!Z50="","",'Finalterm OVPAA-F-INS-055A RAW '!Z50/'Finalterm OVPAA-F-INS-055A RAW '!Z$17*100)</f>
        <v/>
      </c>
      <c r="AA50" s="126" t="str">
        <f>IF('Finalterm OVPAA-F-INS-055A RAW '!AA50="","",'Finalterm OVPAA-F-INS-055A RAW '!AA50/'Finalterm OVPAA-F-INS-055A RAW '!AA$17*100)</f>
        <v/>
      </c>
      <c r="AB50" s="126" t="str">
        <f>IF('Finalterm OVPAA-F-INS-055A RAW '!AB50="","",'Finalterm OVPAA-F-INS-055A RAW '!AB50/'Finalterm OVPAA-F-INS-055A RAW '!AB$17*100)</f>
        <v/>
      </c>
      <c r="AC50" s="126" t="str">
        <f>IF('Finalterm OVPAA-F-INS-055A RAW '!AC50="","",'Finalterm OVPAA-F-INS-055A RAW '!AC50/'Finalterm OVPAA-F-INS-055A RAW '!AC$17*100)</f>
        <v/>
      </c>
      <c r="AD50" s="126" t="str">
        <f>IF('Finalterm OVPAA-F-INS-055A RAW '!AD50="","",'Finalterm OVPAA-F-INS-055A RAW '!AD50/'Finalterm OVPAA-F-INS-055A RAW '!AD$17*100)</f>
        <v/>
      </c>
      <c r="AE50" s="126" t="str">
        <f>IF('Finalterm OVPAA-F-INS-055A RAW '!AE50="","",'Finalterm OVPAA-F-INS-055A RAW '!AE50/'Finalterm OVPAA-F-INS-055A RAW '!AE$17*100)</f>
        <v/>
      </c>
      <c r="AF50" s="126" t="str">
        <f>IF('Finalterm OVPAA-F-INS-055A RAW '!AF50="","",'Finalterm OVPAA-F-INS-055A RAW '!AF50/'Finalterm OVPAA-F-INS-055A RAW '!AF$17*100)</f>
        <v/>
      </c>
      <c r="AG50" s="126" t="str">
        <f>IF('Finalterm OVPAA-F-INS-055A RAW '!AG50="","",'Finalterm OVPAA-F-INS-055A RAW '!AG50/'Finalterm OVPAA-F-INS-055A RAW '!AG$17*100)</f>
        <v/>
      </c>
      <c r="AH50" s="126" t="str">
        <f>IF('Finalterm OVPAA-F-INS-055A RAW '!AH50="","",'Finalterm OVPAA-F-INS-055A RAW '!AH50/'Finalterm OVPAA-F-INS-055A RAW '!AH$17*100)</f>
        <v/>
      </c>
      <c r="AI50" s="126" t="str">
        <f>IF('Finalterm OVPAA-F-INS-055A RAW '!AI50="","",'Finalterm OVPAA-F-INS-055A RAW '!AI50/'Finalterm OVPAA-F-INS-055A RAW '!AI$17*100)</f>
        <v/>
      </c>
      <c r="AJ50" s="126" t="str">
        <f>IF('Finalterm OVPAA-F-INS-055A RAW '!AJ50="","",'Finalterm OVPAA-F-INS-055A RAW '!AJ50/'Finalterm OVPAA-F-INS-055A RAW '!AJ$17*100)</f>
        <v/>
      </c>
      <c r="AK50" s="126" t="str">
        <f>IF('Finalterm OVPAA-F-INS-055A RAW '!AK50="","",'Finalterm OVPAA-F-INS-055A RAW '!AK50/'Finalterm OVPAA-F-INS-055A RAW '!AK$17*100)</f>
        <v/>
      </c>
      <c r="AL50" s="126" t="str">
        <f>IF('Finalterm OVPAA-F-INS-055A RAW '!AL50="","",'Finalterm OVPAA-F-INS-055A RAW '!AL50/'Finalterm OVPAA-F-INS-055A RAW '!AL$17*100)</f>
        <v/>
      </c>
      <c r="AM50" s="126" t="str">
        <f>IF('Finalterm OVPAA-F-INS-055A RAW '!AM50="","",'Finalterm OVPAA-F-INS-055A RAW '!AM50/'Finalterm OVPAA-F-INS-055A RAW '!AM$17*100)</f>
        <v/>
      </c>
      <c r="AN50" s="126" t="str">
        <f>IF('Finalterm OVPAA-F-INS-055A RAW '!AN50="","",'Finalterm OVPAA-F-INS-055A RAW '!AN50/'Finalterm OVPAA-F-INS-055A RAW '!AN$17*100)</f>
        <v/>
      </c>
      <c r="AO50" s="126" t="str">
        <f>IF('Finalterm OVPAA-F-INS-055A RAW '!AO50="","",'Finalterm OVPAA-F-INS-055A RAW '!AO50/'Finalterm OVPAA-F-INS-055A RAW '!AO$17*100)</f>
        <v/>
      </c>
      <c r="AP50" s="126" t="str">
        <f>IF('Finalterm OVPAA-F-INS-055A RAW '!AP50="","",'Finalterm OVPAA-F-INS-055A RAW '!AP50/'Finalterm OVPAA-F-INS-055A RAW '!AP$17*100)</f>
        <v/>
      </c>
      <c r="AQ50" s="126" t="str">
        <f>IF('Finalterm OVPAA-F-INS-055A RAW '!AQ50="","",'Finalterm OVPAA-F-INS-055A RAW '!AQ50/'Finalterm OVPAA-F-INS-055A RAW '!AQ$17*100)</f>
        <v/>
      </c>
      <c r="AR50" s="126" t="str">
        <f>IF('Finalterm OVPAA-F-INS-055A RAW '!AR50="","",'Finalterm OVPAA-F-INS-055A RAW '!AR50/'Finalterm OVPAA-F-INS-055A RAW '!AR$17*100)</f>
        <v/>
      </c>
      <c r="AS50" s="126" t="str">
        <f>IF('Finalterm OVPAA-F-INS-055A RAW '!AS50="","",'Finalterm OVPAA-F-INS-055A RAW '!AS50/'Finalterm OVPAA-F-INS-055A RAW '!AS$17*100)</f>
        <v/>
      </c>
      <c r="AT50" s="126" t="str">
        <f>IF('Finalterm OVPAA-F-INS-055A RAW '!AT50="","",'Finalterm OVPAA-F-INS-055A RAW '!AT50/'Finalterm OVPAA-F-INS-055A RAW '!AT$17*100)</f>
        <v/>
      </c>
      <c r="AU50" s="126" t="str">
        <f>IF('Finalterm OVPAA-F-INS-055A RAW '!AU50="","",'Finalterm OVPAA-F-INS-055A RAW '!AU50/'Finalterm OVPAA-F-INS-055A RAW '!AU$17*100)</f>
        <v/>
      </c>
      <c r="AV50" s="126" t="str">
        <f>IF('Finalterm OVPAA-F-INS-055A RAW '!AV50="","",'Finalterm OVPAA-F-INS-055A RAW '!AV50/'Finalterm OVPAA-F-INS-055A RAW '!AV$17*100)</f>
        <v/>
      </c>
      <c r="AW50" s="126" t="str">
        <f>IF('Finalterm OVPAA-F-INS-055A RAW '!AW50="","",'Finalterm OVPAA-F-INS-055A RAW '!AW50/'Finalterm OVPAA-F-INS-055A RAW '!AW$17*100)</f>
        <v/>
      </c>
      <c r="AX50" s="126" t="str">
        <f>IF('Finalterm OVPAA-F-INS-055A RAW '!AX50="","",'Finalterm OVPAA-F-INS-055A RAW '!AX50/'Finalterm OVPAA-F-INS-055A RAW '!AX$17*100)</f>
        <v/>
      </c>
      <c r="AY50" s="126" t="str">
        <f>IF('Finalterm OVPAA-F-INS-055A RAW '!AY50="","",'Finalterm OVPAA-F-INS-055A RAW '!AY50/'Finalterm OVPAA-F-INS-055A RAW '!AY$17*100)</f>
        <v/>
      </c>
      <c r="AZ50" s="126" t="str">
        <f>IF('Finalterm OVPAA-F-INS-055A RAW '!AZ50="","",'Finalterm OVPAA-F-INS-055A RAW '!AZ50/'Finalterm OVPAA-F-INS-055A RAW '!AZ$17*100)</f>
        <v/>
      </c>
      <c r="BA50" s="126" t="str">
        <f>IF('Finalterm OVPAA-F-INS-055A RAW '!BA50="","",'Finalterm OVPAA-F-INS-055A RAW '!BA50/'Finalterm OVPAA-F-INS-055A RAW '!BA$17*100)</f>
        <v/>
      </c>
      <c r="BB50" s="126" t="str">
        <f>IF('Finalterm OVPAA-F-INS-055A RAW '!BB50="","",'Finalterm OVPAA-F-INS-055A RAW '!BB50/'Finalterm OVPAA-F-INS-055A RAW '!BB$17*100)</f>
        <v/>
      </c>
      <c r="BC50" s="126" t="str">
        <f>IF('Finalterm OVPAA-F-INS-055A RAW '!BC50="","",'Finalterm OVPAA-F-INS-055A RAW '!BC50/'Finalterm OVPAA-F-INS-055A RAW '!BC$17*100)</f>
        <v/>
      </c>
      <c r="BD50" s="126" t="str">
        <f>IF('Finalterm OVPAA-F-INS-055A RAW '!BD50="","",'Finalterm OVPAA-F-INS-055A RAW '!BD50/'Finalterm OVPAA-F-INS-055A RAW '!BD$17*100)</f>
        <v/>
      </c>
      <c r="BE50" s="126" t="str">
        <f>IF('Finalterm OVPAA-F-INS-055A RAW '!BE50="","",'Finalterm OVPAA-F-INS-055A RAW '!BE50/'Finalterm OVPAA-F-INS-055A RAW '!BE$17*100)</f>
        <v/>
      </c>
      <c r="BF50" s="126" t="str">
        <f>IF('Finalterm OVPAA-F-INS-055A RAW '!BF50="","",'Finalterm OVPAA-F-INS-055A RAW '!BF50/'Finalterm OVPAA-F-INS-055A RAW '!BF$17*100)</f>
        <v/>
      </c>
      <c r="BG50" s="126" t="str">
        <f>IF('Finalterm OVPAA-F-INS-055A RAW '!BG50="","",'Finalterm OVPAA-F-INS-055A RAW '!BG50/'Finalterm OVPAA-F-INS-055A RAW '!BG$17*100)</f>
        <v/>
      </c>
      <c r="BH50" s="126" t="str">
        <f>IF('Finalterm OVPAA-F-INS-055A RAW '!BH50="","",'Finalterm OVPAA-F-INS-055A RAW '!BH50/'Finalterm OVPAA-F-INS-055A RAW '!BH$17*100)</f>
        <v/>
      </c>
      <c r="BI50" s="126" t="str">
        <f>IF('Finalterm OVPAA-F-INS-055A RAW '!BI50="","",'Finalterm OVPAA-F-INS-055A RAW '!BI50/'Finalterm OVPAA-F-INS-055A RAW '!BI$17*100)</f>
        <v/>
      </c>
      <c r="BJ50" s="126" t="str">
        <f>IF('Finalterm OVPAA-F-INS-055A RAW '!BJ50="","",'Finalterm OVPAA-F-INS-055A RAW '!BJ50/'Finalterm OVPAA-F-INS-055A RAW '!BJ$17*100)</f>
        <v/>
      </c>
      <c r="BK50" s="126" t="str">
        <f>IF('Finalterm OVPAA-F-INS-055A RAW '!BK50="","",'Finalterm OVPAA-F-INS-055A RAW '!BK50/'Finalterm OVPAA-F-INS-055A RAW '!BK$17*100)</f>
        <v/>
      </c>
      <c r="BL50" s="126" t="str">
        <f>IF('Finalterm OVPAA-F-INS-055A RAW '!BL50="","",'Finalterm OVPAA-F-INS-055A RAW '!BL50/'Finalterm OVPAA-F-INS-055A RAW '!BL$17*100)</f>
        <v/>
      </c>
      <c r="BM50" s="126" t="str">
        <f>IF('Finalterm OVPAA-F-INS-055A RAW '!BM50="","",'Finalterm OVPAA-F-INS-055A RAW '!BM50/'Finalterm OVPAA-F-INS-055A RAW '!BM$17*100)</f>
        <v/>
      </c>
      <c r="BN50" s="126" t="str">
        <f>IF('Finalterm OVPAA-F-INS-055A RAW '!BN50="","",'Finalterm OVPAA-F-INS-055A RAW '!BN50/'Finalterm OVPAA-F-INS-055A RAW '!BN$17*100)</f>
        <v/>
      </c>
      <c r="BO50" s="126" t="str">
        <f>IF('Finalterm OVPAA-F-INS-055A RAW '!BO50="","",'Finalterm OVPAA-F-INS-055A RAW '!BO50/'Finalterm OVPAA-F-INS-055A RAW '!BO$17*100)</f>
        <v/>
      </c>
      <c r="BP50" s="126" t="str">
        <f>IF('Finalterm OVPAA-F-INS-055A RAW '!BP50="","",'Finalterm OVPAA-F-INS-055A RAW '!BP50/'Finalterm OVPAA-F-INS-055A RAW '!BP$17*100)</f>
        <v/>
      </c>
      <c r="BQ50" s="126" t="str">
        <f>IF('Finalterm OVPAA-F-INS-055A RAW '!BQ50="","",'Finalterm OVPAA-F-INS-055A RAW '!BQ50/'Finalterm OVPAA-F-INS-055A RAW '!BQ$17*100)</f>
        <v/>
      </c>
      <c r="BR50" s="126" t="str">
        <f>IF('Finalterm OVPAA-F-INS-055A RAW '!BR50="","",'Finalterm OVPAA-F-INS-055A RAW '!BR50/'Finalterm OVPAA-F-INS-055A RAW '!BR$17*100)</f>
        <v/>
      </c>
      <c r="BS50" s="126" t="str">
        <f>IF('Finalterm OVPAA-F-INS-055A RAW '!BS50="","",'Finalterm OVPAA-F-INS-055A RAW '!BS50/'Finalterm OVPAA-F-INS-055A RAW '!BS$17*100)</f>
        <v/>
      </c>
      <c r="BT50" s="126" t="str">
        <f>IF('Finalterm OVPAA-F-INS-055A RAW '!BT50="","",'Finalterm OVPAA-F-INS-055A RAW '!BT50/'Finalterm OVPAA-F-INS-055A RAW '!BT$17*100)</f>
        <v/>
      </c>
      <c r="BU50" s="127" t="str">
        <f t="array" ref="BU50">IF('Finalterm OVPAA-F-INS-055A RAW '!$G50="","",IF((SUMPRODUCT(--ISBLANK('Finalterm OVPAA-F-INS-055A RAW '!H50:BT50))=COLUMNS('Finalterm OVPAA-F-INS-055A RAW '!H50:BT50))=TRUE,"",(((COUNTA('Finalterm OVPAA-F-INS-055A RAW '!$H$17:$BT$17)+COUNTBLANK('Finalterm OVPAA-F-INS-055A RAW '!H50:BT50))-COLUMNS('Finalterm OVPAA-F-INS-055A RAW '!H50:BT50))*5+SUM(H50:BT50))/COUNTA('Finalterm OVPAA-F-INS-055A RAW '!$H$17:$BT$17)))</f>
        <v/>
      </c>
      <c r="BV50" s="165" t="str">
        <f>IF(BU50="","",VLOOKUP(BU50,IF('Midterm OVPAA-F-INS-055A RAW SC'!$V$12=0.5,TRANSMUTATION!$C$4:$D$17,TRANSMUTATION!$G$4:$H$17),2,TRUE))</f>
        <v/>
      </c>
      <c r="BW50" s="129" t="str">
        <f>IF('Finalterm OVPAA-F-INS-055A RAW '!BU50="","",'Finalterm OVPAA-F-INS-055A RAW '!BU50/'Finalterm OVPAA-F-INS-055A RAW '!BU$17*100)</f>
        <v/>
      </c>
      <c r="BX50" s="130" t="str">
        <f>IF('Finalterm OVPAA-F-INS-055A RAW '!BV50="","",'Finalterm OVPAA-F-INS-055A RAW '!BV50/'Finalterm OVPAA-F-INS-055A RAW '!BV$17*100)</f>
        <v/>
      </c>
      <c r="BY50" s="130" t="str">
        <f>IF('Finalterm OVPAA-F-INS-055A RAW '!BW50="","",'Finalterm OVPAA-F-INS-055A RAW '!BW50/'Finalterm OVPAA-F-INS-055A RAW '!BW$17*100)</f>
        <v/>
      </c>
      <c r="BZ50" s="130" t="str">
        <f>IF('Finalterm OVPAA-F-INS-055A RAW '!BX50="","",'Finalterm OVPAA-F-INS-055A RAW '!BX50/'Finalterm OVPAA-F-INS-055A RAW '!BX$17*100)</f>
        <v/>
      </c>
      <c r="CA50" s="130" t="str">
        <f>IF('Finalterm OVPAA-F-INS-055A RAW '!BY50="","",'Finalterm OVPAA-F-INS-055A RAW '!BY50/'Finalterm OVPAA-F-INS-055A RAW '!BY$17*100)</f>
        <v/>
      </c>
      <c r="CB50" s="130" t="str">
        <f>IF('Finalterm OVPAA-F-INS-055A RAW '!BZ50="","",'Finalterm OVPAA-F-INS-055A RAW '!BZ50/'Finalterm OVPAA-F-INS-055A RAW '!BZ$17*100)</f>
        <v/>
      </c>
      <c r="CC50" s="130" t="str">
        <f>IF('Finalterm OVPAA-F-INS-055A RAW '!CA50="","",'Finalterm OVPAA-F-INS-055A RAW '!CA50/'Finalterm OVPAA-F-INS-055A RAW '!CA$17*100)</f>
        <v/>
      </c>
      <c r="CD50" s="130" t="str">
        <f>IF('Finalterm OVPAA-F-INS-055A RAW '!CB50="","",'Finalterm OVPAA-F-INS-055A RAW '!CB50/'Finalterm OVPAA-F-INS-055A RAW '!CB$17*100)</f>
        <v/>
      </c>
      <c r="CE50" s="130" t="str">
        <f>IF('Finalterm OVPAA-F-INS-055A RAW '!CC50="","",'Finalterm OVPAA-F-INS-055A RAW '!CC50/'Finalterm OVPAA-F-INS-055A RAW '!CC$17*100)</f>
        <v/>
      </c>
      <c r="CF50" s="130" t="str">
        <f>IF('Finalterm OVPAA-F-INS-055A RAW '!CD50="","",'Finalterm OVPAA-F-INS-055A RAW '!CD50/'Finalterm OVPAA-F-INS-055A RAW '!CD$17*100)</f>
        <v/>
      </c>
      <c r="CG50" s="130" t="str">
        <f>IF('Finalterm OVPAA-F-INS-055A RAW '!CE50="","",'Finalterm OVPAA-F-INS-055A RAW '!CE50/'Finalterm OVPAA-F-INS-055A RAW '!CE$17*100)</f>
        <v/>
      </c>
      <c r="CH50" s="130" t="str">
        <f>IF('Finalterm OVPAA-F-INS-055A RAW '!CF50="","",'Finalterm OVPAA-F-INS-055A RAW '!CF50/'Finalterm OVPAA-F-INS-055A RAW '!CF$17*100)</f>
        <v/>
      </c>
      <c r="CI50" s="130" t="str">
        <f>IF('Finalterm OVPAA-F-INS-055A RAW '!CG50="","",'Finalterm OVPAA-F-INS-055A RAW '!CG50/'Finalterm OVPAA-F-INS-055A RAW '!CG$17*100)</f>
        <v/>
      </c>
      <c r="CJ50" s="130" t="str">
        <f>IF('Finalterm OVPAA-F-INS-055A RAW '!CH50="","",'Finalterm OVPAA-F-INS-055A RAW '!CH50/'Finalterm OVPAA-F-INS-055A RAW '!CH$17*100)</f>
        <v/>
      </c>
      <c r="CK50" s="130" t="str">
        <f>IF('Finalterm OVPAA-F-INS-055A RAW '!CI50="","",'Finalterm OVPAA-F-INS-055A RAW '!CI50/'Finalterm OVPAA-F-INS-055A RAW '!CI$17*100)</f>
        <v/>
      </c>
      <c r="CL50" s="130" t="str">
        <f>IF('Finalterm OVPAA-F-INS-055A RAW '!CJ50="","",'Finalterm OVPAA-F-INS-055A RAW '!CJ50/'Finalterm OVPAA-F-INS-055A RAW '!CJ$17*100)</f>
        <v/>
      </c>
      <c r="CM50" s="130" t="str">
        <f>IF('Finalterm OVPAA-F-INS-055A RAW '!CK50="","",'Finalterm OVPAA-F-INS-055A RAW '!CK50/'Finalterm OVPAA-F-INS-055A RAW '!CK$17*100)</f>
        <v/>
      </c>
      <c r="CN50" s="130" t="str">
        <f>IF('Finalterm OVPAA-F-INS-055A RAW '!CL50="","",'Finalterm OVPAA-F-INS-055A RAW '!CL50/'Finalterm OVPAA-F-INS-055A RAW '!CL$17*100)</f>
        <v/>
      </c>
      <c r="CO50" s="130" t="str">
        <f>IF('Finalterm OVPAA-F-INS-055A RAW '!CM50="","",'Finalterm OVPAA-F-INS-055A RAW '!CM50/'Finalterm OVPAA-F-INS-055A RAW '!CM$17*100)</f>
        <v/>
      </c>
      <c r="CP50" s="130" t="str">
        <f>IF('Finalterm OVPAA-F-INS-055A RAW '!CN50="","",'Finalterm OVPAA-F-INS-055A RAW '!CN50/'Finalterm OVPAA-F-INS-055A RAW '!CN$17*100)</f>
        <v/>
      </c>
      <c r="CQ50" s="131" t="str">
        <f t="array" ref="CQ50">IF('Midterm OVPAA-F-INS-055A RAW SC'!G50="","",IF((SUMPRODUCT(--ISBLANK('Finalterm OVPAA-F-INS-055A RAW '!BU50:CN50))=COLUMNS('Finalterm OVPAA-F-INS-055A RAW '!BU50:CN50))=TRUE,"",(((COUNTA('Finalterm OVPAA-F-INS-055A RAW '!$BU$17:$CN$17)+COUNTBLANK('Finalterm OVPAA-F-INS-055A RAW '!BU50:CN50))-COLUMNS('Finalterm OVPAA-F-INS-055A RAW '!BU50:CN50))*5+SUM(BW50:CP50))/COUNTA('Finalterm OVPAA-F-INS-055A RAW '!$BU$17:$CN$17)))</f>
        <v/>
      </c>
      <c r="CR50" s="132" t="str">
        <f>IF(CQ50="","",VLOOKUP(CQ50,IF('Midterm OVPAA-F-INS-055A RAW SC'!$V$12=0.5,TRANSMUTATION!$C$4:$D$17,TRANSMUTATION!$G$4:$H$17),2,TRUE))</f>
        <v/>
      </c>
      <c r="CS50" s="133" t="str">
        <f>IF('Finalterm OVPAA-F-INS-055A RAW '!CO50="","",'Finalterm OVPAA-F-INS-055A RAW '!CO50/'Finalterm OVPAA-F-INS-055A RAW '!CO$17*100)</f>
        <v/>
      </c>
      <c r="CT50" s="133" t="str">
        <f>IF('Finalterm OVPAA-F-INS-055A RAW '!CP50="","",'Finalterm OVPAA-F-INS-055A RAW '!CP50/'Finalterm OVPAA-F-INS-055A RAW '!CP$17*100)</f>
        <v/>
      </c>
      <c r="CU50" s="133" t="str">
        <f>IF('Finalterm OVPAA-F-INS-055A RAW '!CQ50="","",'Finalterm OVPAA-F-INS-055A RAW '!CQ50/'Finalterm OVPAA-F-INS-055A RAW '!CQ$17*100)</f>
        <v/>
      </c>
      <c r="CV50" s="133" t="str">
        <f>IF('Finalterm OVPAA-F-INS-055A RAW '!CR50="","",'Finalterm OVPAA-F-INS-055A RAW '!CR50/'Finalterm OVPAA-F-INS-055A RAW '!CR$17*100)</f>
        <v/>
      </c>
      <c r="CW50" s="133" t="str">
        <f>IF('Finalterm OVPAA-F-INS-055A RAW '!CS50="","",'Finalterm OVPAA-F-INS-055A RAW '!CS50/'Finalterm OVPAA-F-INS-055A RAW '!CS$17*100)</f>
        <v/>
      </c>
      <c r="CX50" s="133" t="str">
        <f>IF('Finalterm OVPAA-F-INS-055A RAW '!CT50="","",'Finalterm OVPAA-F-INS-055A RAW '!CT50/'Finalterm OVPAA-F-INS-055A RAW '!CT$17*100)</f>
        <v/>
      </c>
      <c r="CY50" s="133" t="str">
        <f>IF('Finalterm OVPAA-F-INS-055A RAW '!CU50="","",'Finalterm OVPAA-F-INS-055A RAW '!CU50/'Finalterm OVPAA-F-INS-055A RAW '!CU$17*100)</f>
        <v/>
      </c>
      <c r="CZ50" s="133" t="str">
        <f>IF('Finalterm OVPAA-F-INS-055A RAW '!CV50="","",'Finalterm OVPAA-F-INS-055A RAW '!CV50/'Finalterm OVPAA-F-INS-055A RAW '!CV$17*100)</f>
        <v/>
      </c>
      <c r="DA50" s="133" t="str">
        <f>IF('Finalterm OVPAA-F-INS-055A RAW '!CW50="","",'Finalterm OVPAA-F-INS-055A RAW '!CW50/'Finalterm OVPAA-F-INS-055A RAW '!CW$17*100)</f>
        <v/>
      </c>
      <c r="DB50" s="133" t="str">
        <f>IF('Finalterm OVPAA-F-INS-055A RAW '!CX50="","",'Finalterm OVPAA-F-INS-055A RAW '!CX50/'Finalterm OVPAA-F-INS-055A RAW '!CX$17*100)</f>
        <v/>
      </c>
      <c r="DC50" s="134" t="str">
        <f t="array" ref="DC50">IF('Midterm OVPAA-F-INS-055A RAW SC'!$G50="","",IF((SUMPRODUCT(--ISBLANK('Finalterm OVPAA-F-INS-055A RAW '!CO50:CX50))=COLUMNS('Finalterm OVPAA-F-INS-055A RAW '!CO50:CX50))=TRUE,"",(((COUNTA('Finalterm OVPAA-F-INS-055A RAW '!$CO$17:$CX$17)+COUNTBLANK('Finalterm OVPAA-F-INS-055A RAW '!CO50:CX50))-COLUMNS('Finalterm OVPAA-F-INS-055A RAW '!CO50:CX50))*5+SUM(CS50:DB50))/COUNTA('Finalterm OVPAA-F-INS-055A RAW '!$CO$17:$CX$17)))</f>
        <v/>
      </c>
      <c r="DD50" s="135" t="str">
        <f>IF(DC50="","",VLOOKUP(DC50,IF('Midterm OVPAA-F-INS-055A RAW SC'!$V$12=0.5,TRANSMUTATION!$C$4:$D$17,TRANSMUTATION!$G$4:$H$17),2,TRUE))</f>
        <v/>
      </c>
      <c r="DE50" s="136" t="str">
        <f t="shared" si="1"/>
        <v/>
      </c>
      <c r="DF50" s="166" t="str">
        <f t="shared" si="2"/>
        <v/>
      </c>
      <c r="DG50" s="167" t="str">
        <f t="shared" si="3"/>
        <v/>
      </c>
      <c r="DH50" s="168" t="str">
        <f t="shared" si="4"/>
        <v/>
      </c>
      <c r="DI50" s="169" t="str">
        <f t="shared" si="5"/>
        <v/>
      </c>
    </row>
    <row r="51" spans="5:113" ht="15.75" hidden="1" customHeight="1">
      <c r="E51" s="59">
        <v>34</v>
      </c>
      <c r="F51" s="124" t="str">
        <f>IF(NOT(ISBLANK('Midterm OVPAA-F-INS-055A RAW SC'!F51)),'Midterm OVPAA-F-INS-055A RAW SC'!F51,"")</f>
        <v/>
      </c>
      <c r="G51" s="125" t="str">
        <f>IF(NOT(ISBLANK('Midterm OVPAA-F-INS-055A RAW SC'!G51)),'Midterm OVPAA-F-INS-055A RAW SC'!G51,"")</f>
        <v/>
      </c>
      <c r="H51" s="126" t="str">
        <f>IF('Finalterm OVPAA-F-INS-055A RAW '!H51="","",'Finalterm OVPAA-F-INS-055A RAW '!H51/'Finalterm OVPAA-F-INS-055A RAW '!H$17*100)</f>
        <v/>
      </c>
      <c r="I51" s="126" t="str">
        <f>IF('Finalterm OVPAA-F-INS-055A RAW '!I51="","",'Finalterm OVPAA-F-INS-055A RAW '!I51/'Finalterm OVPAA-F-INS-055A RAW '!I$17*100)</f>
        <v/>
      </c>
      <c r="J51" s="126" t="str">
        <f>IF('Finalterm OVPAA-F-INS-055A RAW '!J51="","",'Finalterm OVPAA-F-INS-055A RAW '!J51/'Finalterm OVPAA-F-INS-055A RAW '!J$17*100)</f>
        <v/>
      </c>
      <c r="K51" s="126" t="str">
        <f>IF('Finalterm OVPAA-F-INS-055A RAW '!K51="","",'Finalterm OVPAA-F-INS-055A RAW '!K51/'Finalterm OVPAA-F-INS-055A RAW '!K$17*100)</f>
        <v/>
      </c>
      <c r="L51" s="126" t="str">
        <f>IF('Finalterm OVPAA-F-INS-055A RAW '!L51="","",'Finalterm OVPAA-F-INS-055A RAW '!L51/'Finalterm OVPAA-F-INS-055A RAW '!L$17*100)</f>
        <v/>
      </c>
      <c r="M51" s="126" t="str">
        <f>IF('Finalterm OVPAA-F-INS-055A RAW '!M51="","",'Finalterm OVPAA-F-INS-055A RAW '!M51/'Finalterm OVPAA-F-INS-055A RAW '!M$17*100)</f>
        <v/>
      </c>
      <c r="N51" s="126" t="str">
        <f>IF('Finalterm OVPAA-F-INS-055A RAW '!N51="","",'Finalterm OVPAA-F-INS-055A RAW '!N51/'Finalterm OVPAA-F-INS-055A RAW '!N$17*100)</f>
        <v/>
      </c>
      <c r="O51" s="126" t="str">
        <f>IF('Finalterm OVPAA-F-INS-055A RAW '!O51="","",'Finalterm OVPAA-F-INS-055A RAW '!O51/'Finalterm OVPAA-F-INS-055A RAW '!O$17*100)</f>
        <v/>
      </c>
      <c r="P51" s="126" t="str">
        <f>IF('Finalterm OVPAA-F-INS-055A RAW '!P51="","",'Finalterm OVPAA-F-INS-055A RAW '!P51/'Finalterm OVPAA-F-INS-055A RAW '!P$17*100)</f>
        <v/>
      </c>
      <c r="Q51" s="126" t="str">
        <f>IF('Finalterm OVPAA-F-INS-055A RAW '!Q51="","",'Finalterm OVPAA-F-INS-055A RAW '!Q51/'Finalterm OVPAA-F-INS-055A RAW '!Q$17*100)</f>
        <v/>
      </c>
      <c r="R51" s="126" t="str">
        <f>IF('Finalterm OVPAA-F-INS-055A RAW '!R51="","",'Finalterm OVPAA-F-INS-055A RAW '!R51/'Finalterm OVPAA-F-INS-055A RAW '!R$17*100)</f>
        <v/>
      </c>
      <c r="S51" s="126" t="str">
        <f>IF('Finalterm OVPAA-F-INS-055A RAW '!S51="","",'Finalterm OVPAA-F-INS-055A RAW '!S51/'Finalterm OVPAA-F-INS-055A RAW '!S$17*100)</f>
        <v/>
      </c>
      <c r="T51" s="126" t="str">
        <f>IF('Finalterm OVPAA-F-INS-055A RAW '!T51="","",'Finalterm OVPAA-F-INS-055A RAW '!T51/'Finalterm OVPAA-F-INS-055A RAW '!T$17*100)</f>
        <v/>
      </c>
      <c r="U51" s="126" t="str">
        <f>IF('Finalterm OVPAA-F-INS-055A RAW '!U51="","",'Finalterm OVPAA-F-INS-055A RAW '!U51/'Finalterm OVPAA-F-INS-055A RAW '!U$17*100)</f>
        <v/>
      </c>
      <c r="V51" s="126" t="str">
        <f>IF('Finalterm OVPAA-F-INS-055A RAW '!V51="","",'Finalterm OVPAA-F-INS-055A RAW '!V51/'Finalterm OVPAA-F-INS-055A RAW '!V$17*100)</f>
        <v/>
      </c>
      <c r="W51" s="126" t="str">
        <f>IF('Finalterm OVPAA-F-INS-055A RAW '!W51="","",'Finalterm OVPAA-F-INS-055A RAW '!W51/'Finalterm OVPAA-F-INS-055A RAW '!W$17*100)</f>
        <v/>
      </c>
      <c r="X51" s="126" t="str">
        <f>IF('Finalterm OVPAA-F-INS-055A RAW '!X51="","",'Finalterm OVPAA-F-INS-055A RAW '!X51/'Finalterm OVPAA-F-INS-055A RAW '!X$17*100)</f>
        <v/>
      </c>
      <c r="Y51" s="126" t="str">
        <f>IF('Finalterm OVPAA-F-INS-055A RAW '!Y51="","",'Finalterm OVPAA-F-INS-055A RAW '!Y51/'Finalterm OVPAA-F-INS-055A RAW '!Y$17*100)</f>
        <v/>
      </c>
      <c r="Z51" s="126" t="str">
        <f>IF('Finalterm OVPAA-F-INS-055A RAW '!Z51="","",'Finalterm OVPAA-F-INS-055A RAW '!Z51/'Finalterm OVPAA-F-INS-055A RAW '!Z$17*100)</f>
        <v/>
      </c>
      <c r="AA51" s="126" t="str">
        <f>IF('Finalterm OVPAA-F-INS-055A RAW '!AA51="","",'Finalterm OVPAA-F-INS-055A RAW '!AA51/'Finalterm OVPAA-F-INS-055A RAW '!AA$17*100)</f>
        <v/>
      </c>
      <c r="AB51" s="126" t="str">
        <f>IF('Finalterm OVPAA-F-INS-055A RAW '!AB51="","",'Finalterm OVPAA-F-INS-055A RAW '!AB51/'Finalterm OVPAA-F-INS-055A RAW '!AB$17*100)</f>
        <v/>
      </c>
      <c r="AC51" s="126" t="str">
        <f>IF('Finalterm OVPAA-F-INS-055A RAW '!AC51="","",'Finalterm OVPAA-F-INS-055A RAW '!AC51/'Finalterm OVPAA-F-INS-055A RAW '!AC$17*100)</f>
        <v/>
      </c>
      <c r="AD51" s="126" t="str">
        <f>IF('Finalterm OVPAA-F-INS-055A RAW '!AD51="","",'Finalterm OVPAA-F-INS-055A RAW '!AD51/'Finalterm OVPAA-F-INS-055A RAW '!AD$17*100)</f>
        <v/>
      </c>
      <c r="AE51" s="126" t="str">
        <f>IF('Finalterm OVPAA-F-INS-055A RAW '!AE51="","",'Finalterm OVPAA-F-INS-055A RAW '!AE51/'Finalterm OVPAA-F-INS-055A RAW '!AE$17*100)</f>
        <v/>
      </c>
      <c r="AF51" s="126" t="str">
        <f>IF('Finalterm OVPAA-F-INS-055A RAW '!AF51="","",'Finalterm OVPAA-F-INS-055A RAW '!AF51/'Finalterm OVPAA-F-INS-055A RAW '!AF$17*100)</f>
        <v/>
      </c>
      <c r="AG51" s="126" t="str">
        <f>IF('Finalterm OVPAA-F-INS-055A RAW '!AG51="","",'Finalterm OVPAA-F-INS-055A RAW '!AG51/'Finalterm OVPAA-F-INS-055A RAW '!AG$17*100)</f>
        <v/>
      </c>
      <c r="AH51" s="126" t="str">
        <f>IF('Finalterm OVPAA-F-INS-055A RAW '!AH51="","",'Finalterm OVPAA-F-INS-055A RAW '!AH51/'Finalterm OVPAA-F-INS-055A RAW '!AH$17*100)</f>
        <v/>
      </c>
      <c r="AI51" s="126" t="str">
        <f>IF('Finalterm OVPAA-F-INS-055A RAW '!AI51="","",'Finalterm OVPAA-F-INS-055A RAW '!AI51/'Finalterm OVPAA-F-INS-055A RAW '!AI$17*100)</f>
        <v/>
      </c>
      <c r="AJ51" s="126" t="str">
        <f>IF('Finalterm OVPAA-F-INS-055A RAW '!AJ51="","",'Finalterm OVPAA-F-INS-055A RAW '!AJ51/'Finalterm OVPAA-F-INS-055A RAW '!AJ$17*100)</f>
        <v/>
      </c>
      <c r="AK51" s="126" t="str">
        <f>IF('Finalterm OVPAA-F-INS-055A RAW '!AK51="","",'Finalterm OVPAA-F-INS-055A RAW '!AK51/'Finalterm OVPAA-F-INS-055A RAW '!AK$17*100)</f>
        <v/>
      </c>
      <c r="AL51" s="126" t="str">
        <f>IF('Finalterm OVPAA-F-INS-055A RAW '!AL51="","",'Finalterm OVPAA-F-INS-055A RAW '!AL51/'Finalterm OVPAA-F-INS-055A RAW '!AL$17*100)</f>
        <v/>
      </c>
      <c r="AM51" s="126" t="str">
        <f>IF('Finalterm OVPAA-F-INS-055A RAW '!AM51="","",'Finalterm OVPAA-F-INS-055A RAW '!AM51/'Finalterm OVPAA-F-INS-055A RAW '!AM$17*100)</f>
        <v/>
      </c>
      <c r="AN51" s="126" t="str">
        <f>IF('Finalterm OVPAA-F-INS-055A RAW '!AN51="","",'Finalterm OVPAA-F-INS-055A RAW '!AN51/'Finalterm OVPAA-F-INS-055A RAW '!AN$17*100)</f>
        <v/>
      </c>
      <c r="AO51" s="126" t="str">
        <f>IF('Finalterm OVPAA-F-INS-055A RAW '!AO51="","",'Finalterm OVPAA-F-INS-055A RAW '!AO51/'Finalterm OVPAA-F-INS-055A RAW '!AO$17*100)</f>
        <v/>
      </c>
      <c r="AP51" s="126" t="str">
        <f>IF('Finalterm OVPAA-F-INS-055A RAW '!AP51="","",'Finalterm OVPAA-F-INS-055A RAW '!AP51/'Finalterm OVPAA-F-INS-055A RAW '!AP$17*100)</f>
        <v/>
      </c>
      <c r="AQ51" s="126" t="str">
        <f>IF('Finalterm OVPAA-F-INS-055A RAW '!AQ51="","",'Finalterm OVPAA-F-INS-055A RAW '!AQ51/'Finalterm OVPAA-F-INS-055A RAW '!AQ$17*100)</f>
        <v/>
      </c>
      <c r="AR51" s="126" t="str">
        <f>IF('Finalterm OVPAA-F-INS-055A RAW '!AR51="","",'Finalterm OVPAA-F-INS-055A RAW '!AR51/'Finalterm OVPAA-F-INS-055A RAW '!AR$17*100)</f>
        <v/>
      </c>
      <c r="AS51" s="126" t="str">
        <f>IF('Finalterm OVPAA-F-INS-055A RAW '!AS51="","",'Finalterm OVPAA-F-INS-055A RAW '!AS51/'Finalterm OVPAA-F-INS-055A RAW '!AS$17*100)</f>
        <v/>
      </c>
      <c r="AT51" s="126" t="str">
        <f>IF('Finalterm OVPAA-F-INS-055A RAW '!AT51="","",'Finalterm OVPAA-F-INS-055A RAW '!AT51/'Finalterm OVPAA-F-INS-055A RAW '!AT$17*100)</f>
        <v/>
      </c>
      <c r="AU51" s="126" t="str">
        <f>IF('Finalterm OVPAA-F-INS-055A RAW '!AU51="","",'Finalterm OVPAA-F-INS-055A RAW '!AU51/'Finalterm OVPAA-F-INS-055A RAW '!AU$17*100)</f>
        <v/>
      </c>
      <c r="AV51" s="126" t="str">
        <f>IF('Finalterm OVPAA-F-INS-055A RAW '!AV51="","",'Finalterm OVPAA-F-INS-055A RAW '!AV51/'Finalterm OVPAA-F-INS-055A RAW '!AV$17*100)</f>
        <v/>
      </c>
      <c r="AW51" s="126" t="str">
        <f>IF('Finalterm OVPAA-F-INS-055A RAW '!AW51="","",'Finalterm OVPAA-F-INS-055A RAW '!AW51/'Finalterm OVPAA-F-INS-055A RAW '!AW$17*100)</f>
        <v/>
      </c>
      <c r="AX51" s="126" t="str">
        <f>IF('Finalterm OVPAA-F-INS-055A RAW '!AX51="","",'Finalterm OVPAA-F-INS-055A RAW '!AX51/'Finalterm OVPAA-F-INS-055A RAW '!AX$17*100)</f>
        <v/>
      </c>
      <c r="AY51" s="126" t="str">
        <f>IF('Finalterm OVPAA-F-INS-055A RAW '!AY51="","",'Finalterm OVPAA-F-INS-055A RAW '!AY51/'Finalterm OVPAA-F-INS-055A RAW '!AY$17*100)</f>
        <v/>
      </c>
      <c r="AZ51" s="126" t="str">
        <f>IF('Finalterm OVPAA-F-INS-055A RAW '!AZ51="","",'Finalterm OVPAA-F-INS-055A RAW '!AZ51/'Finalterm OVPAA-F-INS-055A RAW '!AZ$17*100)</f>
        <v/>
      </c>
      <c r="BA51" s="126" t="str">
        <f>IF('Finalterm OVPAA-F-INS-055A RAW '!BA51="","",'Finalterm OVPAA-F-INS-055A RAW '!BA51/'Finalterm OVPAA-F-INS-055A RAW '!BA$17*100)</f>
        <v/>
      </c>
      <c r="BB51" s="126" t="str">
        <f>IF('Finalterm OVPAA-F-INS-055A RAW '!BB51="","",'Finalterm OVPAA-F-INS-055A RAW '!BB51/'Finalterm OVPAA-F-INS-055A RAW '!BB$17*100)</f>
        <v/>
      </c>
      <c r="BC51" s="126" t="str">
        <f>IF('Finalterm OVPAA-F-INS-055A RAW '!BC51="","",'Finalterm OVPAA-F-INS-055A RAW '!BC51/'Finalterm OVPAA-F-INS-055A RAW '!BC$17*100)</f>
        <v/>
      </c>
      <c r="BD51" s="126" t="str">
        <f>IF('Finalterm OVPAA-F-INS-055A RAW '!BD51="","",'Finalterm OVPAA-F-INS-055A RAW '!BD51/'Finalterm OVPAA-F-INS-055A RAW '!BD$17*100)</f>
        <v/>
      </c>
      <c r="BE51" s="126" t="str">
        <f>IF('Finalterm OVPAA-F-INS-055A RAW '!BE51="","",'Finalterm OVPAA-F-INS-055A RAW '!BE51/'Finalterm OVPAA-F-INS-055A RAW '!BE$17*100)</f>
        <v/>
      </c>
      <c r="BF51" s="126" t="str">
        <f>IF('Finalterm OVPAA-F-INS-055A RAW '!BF51="","",'Finalterm OVPAA-F-INS-055A RAW '!BF51/'Finalterm OVPAA-F-INS-055A RAW '!BF$17*100)</f>
        <v/>
      </c>
      <c r="BG51" s="126" t="str">
        <f>IF('Finalterm OVPAA-F-INS-055A RAW '!BG51="","",'Finalterm OVPAA-F-INS-055A RAW '!BG51/'Finalterm OVPAA-F-INS-055A RAW '!BG$17*100)</f>
        <v/>
      </c>
      <c r="BH51" s="126" t="str">
        <f>IF('Finalterm OVPAA-F-INS-055A RAW '!BH51="","",'Finalterm OVPAA-F-INS-055A RAW '!BH51/'Finalterm OVPAA-F-INS-055A RAW '!BH$17*100)</f>
        <v/>
      </c>
      <c r="BI51" s="126" t="str">
        <f>IF('Finalterm OVPAA-F-INS-055A RAW '!BI51="","",'Finalterm OVPAA-F-INS-055A RAW '!BI51/'Finalterm OVPAA-F-INS-055A RAW '!BI$17*100)</f>
        <v/>
      </c>
      <c r="BJ51" s="126" t="str">
        <f>IF('Finalterm OVPAA-F-INS-055A RAW '!BJ51="","",'Finalterm OVPAA-F-INS-055A RAW '!BJ51/'Finalterm OVPAA-F-INS-055A RAW '!BJ$17*100)</f>
        <v/>
      </c>
      <c r="BK51" s="126" t="str">
        <f>IF('Finalterm OVPAA-F-INS-055A RAW '!BK51="","",'Finalterm OVPAA-F-INS-055A RAW '!BK51/'Finalterm OVPAA-F-INS-055A RAW '!BK$17*100)</f>
        <v/>
      </c>
      <c r="BL51" s="126" t="str">
        <f>IF('Finalterm OVPAA-F-INS-055A RAW '!BL51="","",'Finalterm OVPAA-F-INS-055A RAW '!BL51/'Finalterm OVPAA-F-INS-055A RAW '!BL$17*100)</f>
        <v/>
      </c>
      <c r="BM51" s="126" t="str">
        <f>IF('Finalterm OVPAA-F-INS-055A RAW '!BM51="","",'Finalterm OVPAA-F-INS-055A RAW '!BM51/'Finalterm OVPAA-F-INS-055A RAW '!BM$17*100)</f>
        <v/>
      </c>
      <c r="BN51" s="126" t="str">
        <f>IF('Finalterm OVPAA-F-INS-055A RAW '!BN51="","",'Finalterm OVPAA-F-INS-055A RAW '!BN51/'Finalterm OVPAA-F-INS-055A RAW '!BN$17*100)</f>
        <v/>
      </c>
      <c r="BO51" s="126" t="str">
        <f>IF('Finalterm OVPAA-F-INS-055A RAW '!BO51="","",'Finalterm OVPAA-F-INS-055A RAW '!BO51/'Finalterm OVPAA-F-INS-055A RAW '!BO$17*100)</f>
        <v/>
      </c>
      <c r="BP51" s="126" t="str">
        <f>IF('Finalterm OVPAA-F-INS-055A RAW '!BP51="","",'Finalterm OVPAA-F-INS-055A RAW '!BP51/'Finalterm OVPAA-F-INS-055A RAW '!BP$17*100)</f>
        <v/>
      </c>
      <c r="BQ51" s="126" t="str">
        <f>IF('Finalterm OVPAA-F-INS-055A RAW '!BQ51="","",'Finalterm OVPAA-F-INS-055A RAW '!BQ51/'Finalterm OVPAA-F-INS-055A RAW '!BQ$17*100)</f>
        <v/>
      </c>
      <c r="BR51" s="126" t="str">
        <f>IF('Finalterm OVPAA-F-INS-055A RAW '!BR51="","",'Finalterm OVPAA-F-INS-055A RAW '!BR51/'Finalterm OVPAA-F-INS-055A RAW '!BR$17*100)</f>
        <v/>
      </c>
      <c r="BS51" s="126" t="str">
        <f>IF('Finalterm OVPAA-F-INS-055A RAW '!BS51="","",'Finalterm OVPAA-F-INS-055A RAW '!BS51/'Finalterm OVPAA-F-INS-055A RAW '!BS$17*100)</f>
        <v/>
      </c>
      <c r="BT51" s="126" t="str">
        <f>IF('Finalterm OVPAA-F-INS-055A RAW '!BT51="","",'Finalterm OVPAA-F-INS-055A RAW '!BT51/'Finalterm OVPAA-F-INS-055A RAW '!BT$17*100)</f>
        <v/>
      </c>
      <c r="BU51" s="127" t="str">
        <f t="array" ref="BU51">IF('Finalterm OVPAA-F-INS-055A RAW '!$G51="","",IF((SUMPRODUCT(--ISBLANK('Finalterm OVPAA-F-INS-055A RAW '!H51:BT51))=COLUMNS('Finalterm OVPAA-F-INS-055A RAW '!H51:BT51))=TRUE,"",(((COUNTA('Finalterm OVPAA-F-INS-055A RAW '!$H$17:$BT$17)+COUNTBLANK('Finalterm OVPAA-F-INS-055A RAW '!H51:BT51))-COLUMNS('Finalterm OVPAA-F-INS-055A RAW '!H51:BT51))*5+SUM(H51:BT51))/COUNTA('Finalterm OVPAA-F-INS-055A RAW '!$H$17:$BT$17)))</f>
        <v/>
      </c>
      <c r="BV51" s="165" t="str">
        <f>IF(BU51="","",VLOOKUP(BU51,IF('Midterm OVPAA-F-INS-055A RAW SC'!$V$12=0.5,TRANSMUTATION!$C$4:$D$17,TRANSMUTATION!$G$4:$H$17),2,TRUE))</f>
        <v/>
      </c>
      <c r="BW51" s="129" t="str">
        <f>IF('Finalterm OVPAA-F-INS-055A RAW '!BU51="","",'Finalterm OVPAA-F-INS-055A RAW '!BU51/'Finalterm OVPAA-F-INS-055A RAW '!BU$17*100)</f>
        <v/>
      </c>
      <c r="BX51" s="130" t="str">
        <f>IF('Finalterm OVPAA-F-INS-055A RAW '!BV51="","",'Finalterm OVPAA-F-INS-055A RAW '!BV51/'Finalterm OVPAA-F-INS-055A RAW '!BV$17*100)</f>
        <v/>
      </c>
      <c r="BY51" s="130" t="str">
        <f>IF('Finalterm OVPAA-F-INS-055A RAW '!BW51="","",'Finalterm OVPAA-F-INS-055A RAW '!BW51/'Finalterm OVPAA-F-INS-055A RAW '!BW$17*100)</f>
        <v/>
      </c>
      <c r="BZ51" s="130" t="str">
        <f>IF('Finalterm OVPAA-F-INS-055A RAW '!BX51="","",'Finalterm OVPAA-F-INS-055A RAW '!BX51/'Finalterm OVPAA-F-INS-055A RAW '!BX$17*100)</f>
        <v/>
      </c>
      <c r="CA51" s="130" t="str">
        <f>IF('Finalterm OVPAA-F-INS-055A RAW '!BY51="","",'Finalterm OVPAA-F-INS-055A RAW '!BY51/'Finalterm OVPAA-F-INS-055A RAW '!BY$17*100)</f>
        <v/>
      </c>
      <c r="CB51" s="130" t="str">
        <f>IF('Finalterm OVPAA-F-INS-055A RAW '!BZ51="","",'Finalterm OVPAA-F-INS-055A RAW '!BZ51/'Finalterm OVPAA-F-INS-055A RAW '!BZ$17*100)</f>
        <v/>
      </c>
      <c r="CC51" s="130" t="str">
        <f>IF('Finalterm OVPAA-F-INS-055A RAW '!CA51="","",'Finalterm OVPAA-F-INS-055A RAW '!CA51/'Finalterm OVPAA-F-INS-055A RAW '!CA$17*100)</f>
        <v/>
      </c>
      <c r="CD51" s="130" t="str">
        <f>IF('Finalterm OVPAA-F-INS-055A RAW '!CB51="","",'Finalterm OVPAA-F-INS-055A RAW '!CB51/'Finalterm OVPAA-F-INS-055A RAW '!CB$17*100)</f>
        <v/>
      </c>
      <c r="CE51" s="130" t="str">
        <f>IF('Finalterm OVPAA-F-INS-055A RAW '!CC51="","",'Finalterm OVPAA-F-INS-055A RAW '!CC51/'Finalterm OVPAA-F-INS-055A RAW '!CC$17*100)</f>
        <v/>
      </c>
      <c r="CF51" s="130" t="str">
        <f>IF('Finalterm OVPAA-F-INS-055A RAW '!CD51="","",'Finalterm OVPAA-F-INS-055A RAW '!CD51/'Finalterm OVPAA-F-INS-055A RAW '!CD$17*100)</f>
        <v/>
      </c>
      <c r="CG51" s="130" t="str">
        <f>IF('Finalterm OVPAA-F-INS-055A RAW '!CE51="","",'Finalterm OVPAA-F-INS-055A RAW '!CE51/'Finalterm OVPAA-F-INS-055A RAW '!CE$17*100)</f>
        <v/>
      </c>
      <c r="CH51" s="130" t="str">
        <f>IF('Finalterm OVPAA-F-INS-055A RAW '!CF51="","",'Finalterm OVPAA-F-INS-055A RAW '!CF51/'Finalterm OVPAA-F-INS-055A RAW '!CF$17*100)</f>
        <v/>
      </c>
      <c r="CI51" s="130" t="str">
        <f>IF('Finalterm OVPAA-F-INS-055A RAW '!CG51="","",'Finalterm OVPAA-F-INS-055A RAW '!CG51/'Finalterm OVPAA-F-INS-055A RAW '!CG$17*100)</f>
        <v/>
      </c>
      <c r="CJ51" s="130" t="str">
        <f>IF('Finalterm OVPAA-F-INS-055A RAW '!CH51="","",'Finalterm OVPAA-F-INS-055A RAW '!CH51/'Finalterm OVPAA-F-INS-055A RAW '!CH$17*100)</f>
        <v/>
      </c>
      <c r="CK51" s="130" t="str">
        <f>IF('Finalterm OVPAA-F-INS-055A RAW '!CI51="","",'Finalterm OVPAA-F-INS-055A RAW '!CI51/'Finalterm OVPAA-F-INS-055A RAW '!CI$17*100)</f>
        <v/>
      </c>
      <c r="CL51" s="130" t="str">
        <f>IF('Finalterm OVPAA-F-INS-055A RAW '!CJ51="","",'Finalterm OVPAA-F-INS-055A RAW '!CJ51/'Finalterm OVPAA-F-INS-055A RAW '!CJ$17*100)</f>
        <v/>
      </c>
      <c r="CM51" s="130" t="str">
        <f>IF('Finalterm OVPAA-F-INS-055A RAW '!CK51="","",'Finalterm OVPAA-F-INS-055A RAW '!CK51/'Finalterm OVPAA-F-INS-055A RAW '!CK$17*100)</f>
        <v/>
      </c>
      <c r="CN51" s="130" t="str">
        <f>IF('Finalterm OVPAA-F-INS-055A RAW '!CL51="","",'Finalterm OVPAA-F-INS-055A RAW '!CL51/'Finalterm OVPAA-F-INS-055A RAW '!CL$17*100)</f>
        <v/>
      </c>
      <c r="CO51" s="130" t="str">
        <f>IF('Finalterm OVPAA-F-INS-055A RAW '!CM51="","",'Finalterm OVPAA-F-INS-055A RAW '!CM51/'Finalterm OVPAA-F-INS-055A RAW '!CM$17*100)</f>
        <v/>
      </c>
      <c r="CP51" s="130" t="str">
        <f>IF('Finalterm OVPAA-F-INS-055A RAW '!CN51="","",'Finalterm OVPAA-F-INS-055A RAW '!CN51/'Finalterm OVPAA-F-INS-055A RAW '!CN$17*100)</f>
        <v/>
      </c>
      <c r="CQ51" s="131" t="str">
        <f t="array" ref="CQ51">IF('Midterm OVPAA-F-INS-055A RAW SC'!G51="","",IF((SUMPRODUCT(--ISBLANK('Finalterm OVPAA-F-INS-055A RAW '!BU51:CN51))=COLUMNS('Finalterm OVPAA-F-INS-055A RAW '!BU51:CN51))=TRUE,"",(((COUNTA('Finalterm OVPAA-F-INS-055A RAW '!$BU$17:$CN$17)+COUNTBLANK('Finalterm OVPAA-F-INS-055A RAW '!BU51:CN51))-COLUMNS('Finalterm OVPAA-F-INS-055A RAW '!BU51:CN51))*5+SUM(BW51:CP51))/COUNTA('Finalterm OVPAA-F-INS-055A RAW '!$BU$17:$CN$17)))</f>
        <v/>
      </c>
      <c r="CR51" s="132" t="str">
        <f>IF(CQ51="","",VLOOKUP(CQ51,IF('Midterm OVPAA-F-INS-055A RAW SC'!$V$12=0.5,TRANSMUTATION!$C$4:$D$17,TRANSMUTATION!$G$4:$H$17),2,TRUE))</f>
        <v/>
      </c>
      <c r="CS51" s="133" t="str">
        <f>IF('Finalterm OVPAA-F-INS-055A RAW '!CO51="","",'Finalterm OVPAA-F-INS-055A RAW '!CO51/'Finalterm OVPAA-F-INS-055A RAW '!CO$17*100)</f>
        <v/>
      </c>
      <c r="CT51" s="133" t="str">
        <f>IF('Finalterm OVPAA-F-INS-055A RAW '!CP51="","",'Finalterm OVPAA-F-INS-055A RAW '!CP51/'Finalterm OVPAA-F-INS-055A RAW '!CP$17*100)</f>
        <v/>
      </c>
      <c r="CU51" s="133" t="str">
        <f>IF('Finalterm OVPAA-F-INS-055A RAW '!CQ51="","",'Finalterm OVPAA-F-INS-055A RAW '!CQ51/'Finalterm OVPAA-F-INS-055A RAW '!CQ$17*100)</f>
        <v/>
      </c>
      <c r="CV51" s="133" t="str">
        <f>IF('Finalterm OVPAA-F-INS-055A RAW '!CR51="","",'Finalterm OVPAA-F-INS-055A RAW '!CR51/'Finalterm OVPAA-F-INS-055A RAW '!CR$17*100)</f>
        <v/>
      </c>
      <c r="CW51" s="133" t="str">
        <f>IF('Finalterm OVPAA-F-INS-055A RAW '!CS51="","",'Finalterm OVPAA-F-INS-055A RAW '!CS51/'Finalterm OVPAA-F-INS-055A RAW '!CS$17*100)</f>
        <v/>
      </c>
      <c r="CX51" s="133" t="str">
        <f>IF('Finalterm OVPAA-F-INS-055A RAW '!CT51="","",'Finalterm OVPAA-F-INS-055A RAW '!CT51/'Finalterm OVPAA-F-INS-055A RAW '!CT$17*100)</f>
        <v/>
      </c>
      <c r="CY51" s="133" t="str">
        <f>IF('Finalterm OVPAA-F-INS-055A RAW '!CU51="","",'Finalterm OVPAA-F-INS-055A RAW '!CU51/'Finalterm OVPAA-F-INS-055A RAW '!CU$17*100)</f>
        <v/>
      </c>
      <c r="CZ51" s="133" t="str">
        <f>IF('Finalterm OVPAA-F-INS-055A RAW '!CV51="","",'Finalterm OVPAA-F-INS-055A RAW '!CV51/'Finalterm OVPAA-F-INS-055A RAW '!CV$17*100)</f>
        <v/>
      </c>
      <c r="DA51" s="133" t="str">
        <f>IF('Finalterm OVPAA-F-INS-055A RAW '!CW51="","",'Finalterm OVPAA-F-INS-055A RAW '!CW51/'Finalterm OVPAA-F-INS-055A RAW '!CW$17*100)</f>
        <v/>
      </c>
      <c r="DB51" s="133" t="str">
        <f>IF('Finalterm OVPAA-F-INS-055A RAW '!CX51="","",'Finalterm OVPAA-F-INS-055A RAW '!CX51/'Finalterm OVPAA-F-INS-055A RAW '!CX$17*100)</f>
        <v/>
      </c>
      <c r="DC51" s="134" t="str">
        <f t="array" ref="DC51">IF('Midterm OVPAA-F-INS-055A RAW SC'!$G51="","",IF((SUMPRODUCT(--ISBLANK('Finalterm OVPAA-F-INS-055A RAW '!CO51:CX51))=COLUMNS('Finalterm OVPAA-F-INS-055A RAW '!CO51:CX51))=TRUE,"",(((COUNTA('Finalterm OVPAA-F-INS-055A RAW '!$CO$17:$CX$17)+COUNTBLANK('Finalterm OVPAA-F-INS-055A RAW '!CO51:CX51))-COLUMNS('Finalterm OVPAA-F-INS-055A RAW '!CO51:CX51))*5+SUM(CS51:DB51))/COUNTA('Finalterm OVPAA-F-INS-055A RAW '!$CO$17:$CX$17)))</f>
        <v/>
      </c>
      <c r="DD51" s="135" t="str">
        <f>IF(DC51="","",VLOOKUP(DC51,IF('Midterm OVPAA-F-INS-055A RAW SC'!$V$12=0.5,TRANSMUTATION!$C$4:$D$17,TRANSMUTATION!$G$4:$H$17),2,TRUE))</f>
        <v/>
      </c>
      <c r="DE51" s="136" t="str">
        <f t="shared" si="1"/>
        <v/>
      </c>
      <c r="DF51" s="166" t="str">
        <f t="shared" si="2"/>
        <v/>
      </c>
      <c r="DG51" s="167" t="str">
        <f t="shared" si="3"/>
        <v/>
      </c>
      <c r="DH51" s="168" t="str">
        <f t="shared" si="4"/>
        <v/>
      </c>
      <c r="DI51" s="169" t="str">
        <f t="shared" si="5"/>
        <v/>
      </c>
    </row>
    <row r="52" spans="5:113" ht="15.75" hidden="1" customHeight="1">
      <c r="E52" s="59">
        <v>35</v>
      </c>
      <c r="F52" s="124" t="str">
        <f>IF(NOT(ISBLANK('Midterm OVPAA-F-INS-055A RAW SC'!F52)),'Midterm OVPAA-F-INS-055A RAW SC'!F52,"")</f>
        <v/>
      </c>
      <c r="G52" s="125" t="str">
        <f>IF(NOT(ISBLANK('Midterm OVPAA-F-INS-055A RAW SC'!G52)),'Midterm OVPAA-F-INS-055A RAW SC'!G52,"")</f>
        <v/>
      </c>
      <c r="H52" s="126" t="str">
        <f>IF('Finalterm OVPAA-F-INS-055A RAW '!H52="","",'Finalterm OVPAA-F-INS-055A RAW '!H52/'Finalterm OVPAA-F-INS-055A RAW '!H$17*100)</f>
        <v/>
      </c>
      <c r="I52" s="126" t="str">
        <f>IF('Finalterm OVPAA-F-INS-055A RAW '!I52="","",'Finalterm OVPAA-F-INS-055A RAW '!I52/'Finalterm OVPAA-F-INS-055A RAW '!I$17*100)</f>
        <v/>
      </c>
      <c r="J52" s="126" t="str">
        <f>IF('Finalterm OVPAA-F-INS-055A RAW '!J52="","",'Finalterm OVPAA-F-INS-055A RAW '!J52/'Finalterm OVPAA-F-INS-055A RAW '!J$17*100)</f>
        <v/>
      </c>
      <c r="K52" s="126" t="str">
        <f>IF('Finalterm OVPAA-F-INS-055A RAW '!K52="","",'Finalterm OVPAA-F-INS-055A RAW '!K52/'Finalterm OVPAA-F-INS-055A RAW '!K$17*100)</f>
        <v/>
      </c>
      <c r="L52" s="126" t="str">
        <f>IF('Finalterm OVPAA-F-INS-055A RAW '!L52="","",'Finalterm OVPAA-F-INS-055A RAW '!L52/'Finalterm OVPAA-F-INS-055A RAW '!L$17*100)</f>
        <v/>
      </c>
      <c r="M52" s="126" t="str">
        <f>IF('Finalterm OVPAA-F-INS-055A RAW '!M52="","",'Finalterm OVPAA-F-INS-055A RAW '!M52/'Finalterm OVPAA-F-INS-055A RAW '!M$17*100)</f>
        <v/>
      </c>
      <c r="N52" s="126" t="str">
        <f>IF('Finalterm OVPAA-F-INS-055A RAW '!N52="","",'Finalterm OVPAA-F-INS-055A RAW '!N52/'Finalterm OVPAA-F-INS-055A RAW '!N$17*100)</f>
        <v/>
      </c>
      <c r="O52" s="126" t="str">
        <f>IF('Finalterm OVPAA-F-INS-055A RAW '!O52="","",'Finalterm OVPAA-F-INS-055A RAW '!O52/'Finalterm OVPAA-F-INS-055A RAW '!O$17*100)</f>
        <v/>
      </c>
      <c r="P52" s="126" t="str">
        <f>IF('Finalterm OVPAA-F-INS-055A RAW '!P52="","",'Finalterm OVPAA-F-INS-055A RAW '!P52/'Finalterm OVPAA-F-INS-055A RAW '!P$17*100)</f>
        <v/>
      </c>
      <c r="Q52" s="126" t="str">
        <f>IF('Finalterm OVPAA-F-INS-055A RAW '!Q52="","",'Finalterm OVPAA-F-INS-055A RAW '!Q52/'Finalterm OVPAA-F-INS-055A RAW '!Q$17*100)</f>
        <v/>
      </c>
      <c r="R52" s="126" t="str">
        <f>IF('Finalterm OVPAA-F-INS-055A RAW '!R52="","",'Finalterm OVPAA-F-INS-055A RAW '!R52/'Finalterm OVPAA-F-INS-055A RAW '!R$17*100)</f>
        <v/>
      </c>
      <c r="S52" s="126" t="str">
        <f>IF('Finalterm OVPAA-F-INS-055A RAW '!S52="","",'Finalterm OVPAA-F-INS-055A RAW '!S52/'Finalterm OVPAA-F-INS-055A RAW '!S$17*100)</f>
        <v/>
      </c>
      <c r="T52" s="126" t="str">
        <f>IF('Finalterm OVPAA-F-INS-055A RAW '!T52="","",'Finalterm OVPAA-F-INS-055A RAW '!T52/'Finalterm OVPAA-F-INS-055A RAW '!T$17*100)</f>
        <v/>
      </c>
      <c r="U52" s="126" t="str">
        <f>IF('Finalterm OVPAA-F-INS-055A RAW '!U52="","",'Finalterm OVPAA-F-INS-055A RAW '!U52/'Finalterm OVPAA-F-INS-055A RAW '!U$17*100)</f>
        <v/>
      </c>
      <c r="V52" s="126" t="str">
        <f>IF('Finalterm OVPAA-F-INS-055A RAW '!V52="","",'Finalterm OVPAA-F-INS-055A RAW '!V52/'Finalterm OVPAA-F-INS-055A RAW '!V$17*100)</f>
        <v/>
      </c>
      <c r="W52" s="126" t="str">
        <f>IF('Finalterm OVPAA-F-INS-055A RAW '!W52="","",'Finalterm OVPAA-F-INS-055A RAW '!W52/'Finalterm OVPAA-F-INS-055A RAW '!W$17*100)</f>
        <v/>
      </c>
      <c r="X52" s="126" t="str">
        <f>IF('Finalterm OVPAA-F-INS-055A RAW '!X52="","",'Finalterm OVPAA-F-INS-055A RAW '!X52/'Finalterm OVPAA-F-INS-055A RAW '!X$17*100)</f>
        <v/>
      </c>
      <c r="Y52" s="126" t="str">
        <f>IF('Finalterm OVPAA-F-INS-055A RAW '!Y52="","",'Finalterm OVPAA-F-INS-055A RAW '!Y52/'Finalterm OVPAA-F-INS-055A RAW '!Y$17*100)</f>
        <v/>
      </c>
      <c r="Z52" s="126" t="str">
        <f>IF('Finalterm OVPAA-F-INS-055A RAW '!Z52="","",'Finalterm OVPAA-F-INS-055A RAW '!Z52/'Finalterm OVPAA-F-INS-055A RAW '!Z$17*100)</f>
        <v/>
      </c>
      <c r="AA52" s="126" t="str">
        <f>IF('Finalterm OVPAA-F-INS-055A RAW '!AA52="","",'Finalterm OVPAA-F-INS-055A RAW '!AA52/'Finalterm OVPAA-F-INS-055A RAW '!AA$17*100)</f>
        <v/>
      </c>
      <c r="AB52" s="126" t="str">
        <f>IF('Finalterm OVPAA-F-INS-055A RAW '!AB52="","",'Finalterm OVPAA-F-INS-055A RAW '!AB52/'Finalterm OVPAA-F-INS-055A RAW '!AB$17*100)</f>
        <v/>
      </c>
      <c r="AC52" s="126" t="str">
        <f>IF('Finalterm OVPAA-F-INS-055A RAW '!AC52="","",'Finalterm OVPAA-F-INS-055A RAW '!AC52/'Finalterm OVPAA-F-INS-055A RAW '!AC$17*100)</f>
        <v/>
      </c>
      <c r="AD52" s="126" t="str">
        <f>IF('Finalterm OVPAA-F-INS-055A RAW '!AD52="","",'Finalterm OVPAA-F-INS-055A RAW '!AD52/'Finalterm OVPAA-F-INS-055A RAW '!AD$17*100)</f>
        <v/>
      </c>
      <c r="AE52" s="126" t="str">
        <f>IF('Finalterm OVPAA-F-INS-055A RAW '!AE52="","",'Finalterm OVPAA-F-INS-055A RAW '!AE52/'Finalterm OVPAA-F-INS-055A RAW '!AE$17*100)</f>
        <v/>
      </c>
      <c r="AF52" s="126" t="str">
        <f>IF('Finalterm OVPAA-F-INS-055A RAW '!AF52="","",'Finalterm OVPAA-F-INS-055A RAW '!AF52/'Finalterm OVPAA-F-INS-055A RAW '!AF$17*100)</f>
        <v/>
      </c>
      <c r="AG52" s="126" t="str">
        <f>IF('Finalterm OVPAA-F-INS-055A RAW '!AG52="","",'Finalterm OVPAA-F-INS-055A RAW '!AG52/'Finalterm OVPAA-F-INS-055A RAW '!AG$17*100)</f>
        <v/>
      </c>
      <c r="AH52" s="126" t="str">
        <f>IF('Finalterm OVPAA-F-INS-055A RAW '!AH52="","",'Finalterm OVPAA-F-INS-055A RAW '!AH52/'Finalterm OVPAA-F-INS-055A RAW '!AH$17*100)</f>
        <v/>
      </c>
      <c r="AI52" s="126" t="str">
        <f>IF('Finalterm OVPAA-F-INS-055A RAW '!AI52="","",'Finalterm OVPAA-F-INS-055A RAW '!AI52/'Finalterm OVPAA-F-INS-055A RAW '!AI$17*100)</f>
        <v/>
      </c>
      <c r="AJ52" s="126" t="str">
        <f>IF('Finalterm OVPAA-F-INS-055A RAW '!AJ52="","",'Finalterm OVPAA-F-INS-055A RAW '!AJ52/'Finalterm OVPAA-F-INS-055A RAW '!AJ$17*100)</f>
        <v/>
      </c>
      <c r="AK52" s="126" t="str">
        <f>IF('Finalterm OVPAA-F-INS-055A RAW '!AK52="","",'Finalterm OVPAA-F-INS-055A RAW '!AK52/'Finalterm OVPAA-F-INS-055A RAW '!AK$17*100)</f>
        <v/>
      </c>
      <c r="AL52" s="126" t="str">
        <f>IF('Finalterm OVPAA-F-INS-055A RAW '!AL52="","",'Finalterm OVPAA-F-INS-055A RAW '!AL52/'Finalterm OVPAA-F-INS-055A RAW '!AL$17*100)</f>
        <v/>
      </c>
      <c r="AM52" s="126" t="str">
        <f>IF('Finalterm OVPAA-F-INS-055A RAW '!AM52="","",'Finalterm OVPAA-F-INS-055A RAW '!AM52/'Finalterm OVPAA-F-INS-055A RAW '!AM$17*100)</f>
        <v/>
      </c>
      <c r="AN52" s="126" t="str">
        <f>IF('Finalterm OVPAA-F-INS-055A RAW '!AN52="","",'Finalterm OVPAA-F-INS-055A RAW '!AN52/'Finalterm OVPAA-F-INS-055A RAW '!AN$17*100)</f>
        <v/>
      </c>
      <c r="AO52" s="126" t="str">
        <f>IF('Finalterm OVPAA-F-INS-055A RAW '!AO52="","",'Finalterm OVPAA-F-INS-055A RAW '!AO52/'Finalterm OVPAA-F-INS-055A RAW '!AO$17*100)</f>
        <v/>
      </c>
      <c r="AP52" s="126" t="str">
        <f>IF('Finalterm OVPAA-F-INS-055A RAW '!AP52="","",'Finalterm OVPAA-F-INS-055A RAW '!AP52/'Finalterm OVPAA-F-INS-055A RAW '!AP$17*100)</f>
        <v/>
      </c>
      <c r="AQ52" s="126" t="str">
        <f>IF('Finalterm OVPAA-F-INS-055A RAW '!AQ52="","",'Finalterm OVPAA-F-INS-055A RAW '!AQ52/'Finalterm OVPAA-F-INS-055A RAW '!AQ$17*100)</f>
        <v/>
      </c>
      <c r="AR52" s="126" t="str">
        <f>IF('Finalterm OVPAA-F-INS-055A RAW '!AR52="","",'Finalterm OVPAA-F-INS-055A RAW '!AR52/'Finalterm OVPAA-F-INS-055A RAW '!AR$17*100)</f>
        <v/>
      </c>
      <c r="AS52" s="126" t="str">
        <f>IF('Finalterm OVPAA-F-INS-055A RAW '!AS52="","",'Finalterm OVPAA-F-INS-055A RAW '!AS52/'Finalterm OVPAA-F-INS-055A RAW '!AS$17*100)</f>
        <v/>
      </c>
      <c r="AT52" s="126" t="str">
        <f>IF('Finalterm OVPAA-F-INS-055A RAW '!AT52="","",'Finalterm OVPAA-F-INS-055A RAW '!AT52/'Finalterm OVPAA-F-INS-055A RAW '!AT$17*100)</f>
        <v/>
      </c>
      <c r="AU52" s="126" t="str">
        <f>IF('Finalterm OVPAA-F-INS-055A RAW '!AU52="","",'Finalterm OVPAA-F-INS-055A RAW '!AU52/'Finalterm OVPAA-F-INS-055A RAW '!AU$17*100)</f>
        <v/>
      </c>
      <c r="AV52" s="126" t="str">
        <f>IF('Finalterm OVPAA-F-INS-055A RAW '!AV52="","",'Finalterm OVPAA-F-INS-055A RAW '!AV52/'Finalterm OVPAA-F-INS-055A RAW '!AV$17*100)</f>
        <v/>
      </c>
      <c r="AW52" s="126" t="str">
        <f>IF('Finalterm OVPAA-F-INS-055A RAW '!AW52="","",'Finalterm OVPAA-F-INS-055A RAW '!AW52/'Finalterm OVPAA-F-INS-055A RAW '!AW$17*100)</f>
        <v/>
      </c>
      <c r="AX52" s="126" t="str">
        <f>IF('Finalterm OVPAA-F-INS-055A RAW '!AX52="","",'Finalterm OVPAA-F-INS-055A RAW '!AX52/'Finalterm OVPAA-F-INS-055A RAW '!AX$17*100)</f>
        <v/>
      </c>
      <c r="AY52" s="126" t="str">
        <f>IF('Finalterm OVPAA-F-INS-055A RAW '!AY52="","",'Finalterm OVPAA-F-INS-055A RAW '!AY52/'Finalterm OVPAA-F-INS-055A RAW '!AY$17*100)</f>
        <v/>
      </c>
      <c r="AZ52" s="126" t="str">
        <f>IF('Finalterm OVPAA-F-INS-055A RAW '!AZ52="","",'Finalterm OVPAA-F-INS-055A RAW '!AZ52/'Finalterm OVPAA-F-INS-055A RAW '!AZ$17*100)</f>
        <v/>
      </c>
      <c r="BA52" s="126" t="str">
        <f>IF('Finalterm OVPAA-F-INS-055A RAW '!BA52="","",'Finalterm OVPAA-F-INS-055A RAW '!BA52/'Finalterm OVPAA-F-INS-055A RAW '!BA$17*100)</f>
        <v/>
      </c>
      <c r="BB52" s="126" t="str">
        <f>IF('Finalterm OVPAA-F-INS-055A RAW '!BB52="","",'Finalterm OVPAA-F-INS-055A RAW '!BB52/'Finalterm OVPAA-F-INS-055A RAW '!BB$17*100)</f>
        <v/>
      </c>
      <c r="BC52" s="126" t="str">
        <f>IF('Finalterm OVPAA-F-INS-055A RAW '!BC52="","",'Finalterm OVPAA-F-INS-055A RAW '!BC52/'Finalterm OVPAA-F-INS-055A RAW '!BC$17*100)</f>
        <v/>
      </c>
      <c r="BD52" s="126" t="str">
        <f>IF('Finalterm OVPAA-F-INS-055A RAW '!BD52="","",'Finalterm OVPAA-F-INS-055A RAW '!BD52/'Finalterm OVPAA-F-INS-055A RAW '!BD$17*100)</f>
        <v/>
      </c>
      <c r="BE52" s="126" t="str">
        <f>IF('Finalterm OVPAA-F-INS-055A RAW '!BE52="","",'Finalterm OVPAA-F-INS-055A RAW '!BE52/'Finalterm OVPAA-F-INS-055A RAW '!BE$17*100)</f>
        <v/>
      </c>
      <c r="BF52" s="126" t="str">
        <f>IF('Finalterm OVPAA-F-INS-055A RAW '!BF52="","",'Finalterm OVPAA-F-INS-055A RAW '!BF52/'Finalterm OVPAA-F-INS-055A RAW '!BF$17*100)</f>
        <v/>
      </c>
      <c r="BG52" s="126" t="str">
        <f>IF('Finalterm OVPAA-F-INS-055A RAW '!BG52="","",'Finalterm OVPAA-F-INS-055A RAW '!BG52/'Finalterm OVPAA-F-INS-055A RAW '!BG$17*100)</f>
        <v/>
      </c>
      <c r="BH52" s="126" t="str">
        <f>IF('Finalterm OVPAA-F-INS-055A RAW '!BH52="","",'Finalterm OVPAA-F-INS-055A RAW '!BH52/'Finalterm OVPAA-F-INS-055A RAW '!BH$17*100)</f>
        <v/>
      </c>
      <c r="BI52" s="126" t="str">
        <f>IF('Finalterm OVPAA-F-INS-055A RAW '!BI52="","",'Finalterm OVPAA-F-INS-055A RAW '!BI52/'Finalterm OVPAA-F-INS-055A RAW '!BI$17*100)</f>
        <v/>
      </c>
      <c r="BJ52" s="126" t="str">
        <f>IF('Finalterm OVPAA-F-INS-055A RAW '!BJ52="","",'Finalterm OVPAA-F-INS-055A RAW '!BJ52/'Finalterm OVPAA-F-INS-055A RAW '!BJ$17*100)</f>
        <v/>
      </c>
      <c r="BK52" s="126" t="str">
        <f>IF('Finalterm OVPAA-F-INS-055A RAW '!BK52="","",'Finalterm OVPAA-F-INS-055A RAW '!BK52/'Finalterm OVPAA-F-INS-055A RAW '!BK$17*100)</f>
        <v/>
      </c>
      <c r="BL52" s="126" t="str">
        <f>IF('Finalterm OVPAA-F-INS-055A RAW '!BL52="","",'Finalterm OVPAA-F-INS-055A RAW '!BL52/'Finalterm OVPAA-F-INS-055A RAW '!BL$17*100)</f>
        <v/>
      </c>
      <c r="BM52" s="126" t="str">
        <f>IF('Finalterm OVPAA-F-INS-055A RAW '!BM52="","",'Finalterm OVPAA-F-INS-055A RAW '!BM52/'Finalterm OVPAA-F-INS-055A RAW '!BM$17*100)</f>
        <v/>
      </c>
      <c r="BN52" s="126" t="str">
        <f>IF('Finalterm OVPAA-F-INS-055A RAW '!BN52="","",'Finalterm OVPAA-F-INS-055A RAW '!BN52/'Finalterm OVPAA-F-INS-055A RAW '!BN$17*100)</f>
        <v/>
      </c>
      <c r="BO52" s="126" t="str">
        <f>IF('Finalterm OVPAA-F-INS-055A RAW '!BO52="","",'Finalterm OVPAA-F-INS-055A RAW '!BO52/'Finalterm OVPAA-F-INS-055A RAW '!BO$17*100)</f>
        <v/>
      </c>
      <c r="BP52" s="126" t="str">
        <f>IF('Finalterm OVPAA-F-INS-055A RAW '!BP52="","",'Finalterm OVPAA-F-INS-055A RAW '!BP52/'Finalterm OVPAA-F-INS-055A RAW '!BP$17*100)</f>
        <v/>
      </c>
      <c r="BQ52" s="126" t="str">
        <f>IF('Finalterm OVPAA-F-INS-055A RAW '!BQ52="","",'Finalterm OVPAA-F-INS-055A RAW '!BQ52/'Finalterm OVPAA-F-INS-055A RAW '!BQ$17*100)</f>
        <v/>
      </c>
      <c r="BR52" s="126" t="str">
        <f>IF('Finalterm OVPAA-F-INS-055A RAW '!BR52="","",'Finalterm OVPAA-F-INS-055A RAW '!BR52/'Finalterm OVPAA-F-INS-055A RAW '!BR$17*100)</f>
        <v/>
      </c>
      <c r="BS52" s="126" t="str">
        <f>IF('Finalterm OVPAA-F-INS-055A RAW '!BS52="","",'Finalterm OVPAA-F-INS-055A RAW '!BS52/'Finalterm OVPAA-F-INS-055A RAW '!BS$17*100)</f>
        <v/>
      </c>
      <c r="BT52" s="126" t="str">
        <f>IF('Finalterm OVPAA-F-INS-055A RAW '!BT52="","",'Finalterm OVPAA-F-INS-055A RAW '!BT52/'Finalterm OVPAA-F-INS-055A RAW '!BT$17*100)</f>
        <v/>
      </c>
      <c r="BU52" s="127" t="str">
        <f t="array" ref="BU52">IF('Finalterm OVPAA-F-INS-055A RAW '!$G52="","",IF((SUMPRODUCT(--ISBLANK('Finalterm OVPAA-F-INS-055A RAW '!H52:BT52))=COLUMNS('Finalterm OVPAA-F-INS-055A RAW '!H52:BT52))=TRUE,"",(((COUNTA('Finalterm OVPAA-F-INS-055A RAW '!$H$17:$BT$17)+COUNTBLANK('Finalterm OVPAA-F-INS-055A RAW '!H52:BT52))-COLUMNS('Finalterm OVPAA-F-INS-055A RAW '!H52:BT52))*5+SUM(H52:BT52))/COUNTA('Finalterm OVPAA-F-INS-055A RAW '!$H$17:$BT$17)))</f>
        <v/>
      </c>
      <c r="BV52" s="165" t="str">
        <f>IF(BU52="","",VLOOKUP(BU52,IF('Midterm OVPAA-F-INS-055A RAW SC'!$V$12=0.5,TRANSMUTATION!$C$4:$D$17,TRANSMUTATION!$G$4:$H$17),2,TRUE))</f>
        <v/>
      </c>
      <c r="BW52" s="129" t="str">
        <f>IF('Finalterm OVPAA-F-INS-055A RAW '!BU52="","",'Finalterm OVPAA-F-INS-055A RAW '!BU52/'Finalterm OVPAA-F-INS-055A RAW '!BU$17*100)</f>
        <v/>
      </c>
      <c r="BX52" s="130" t="str">
        <f>IF('Finalterm OVPAA-F-INS-055A RAW '!BV52="","",'Finalterm OVPAA-F-INS-055A RAW '!BV52/'Finalterm OVPAA-F-INS-055A RAW '!BV$17*100)</f>
        <v/>
      </c>
      <c r="BY52" s="130" t="str">
        <f>IF('Finalterm OVPAA-F-INS-055A RAW '!BW52="","",'Finalterm OVPAA-F-INS-055A RAW '!BW52/'Finalterm OVPAA-F-INS-055A RAW '!BW$17*100)</f>
        <v/>
      </c>
      <c r="BZ52" s="130" t="str">
        <f>IF('Finalterm OVPAA-F-INS-055A RAW '!BX52="","",'Finalterm OVPAA-F-INS-055A RAW '!BX52/'Finalterm OVPAA-F-INS-055A RAW '!BX$17*100)</f>
        <v/>
      </c>
      <c r="CA52" s="130" t="str">
        <f>IF('Finalterm OVPAA-F-INS-055A RAW '!BY52="","",'Finalterm OVPAA-F-INS-055A RAW '!BY52/'Finalterm OVPAA-F-INS-055A RAW '!BY$17*100)</f>
        <v/>
      </c>
      <c r="CB52" s="130" t="str">
        <f>IF('Finalterm OVPAA-F-INS-055A RAW '!BZ52="","",'Finalterm OVPAA-F-INS-055A RAW '!BZ52/'Finalterm OVPAA-F-INS-055A RAW '!BZ$17*100)</f>
        <v/>
      </c>
      <c r="CC52" s="130" t="str">
        <f>IF('Finalterm OVPAA-F-INS-055A RAW '!CA52="","",'Finalterm OVPAA-F-INS-055A RAW '!CA52/'Finalterm OVPAA-F-INS-055A RAW '!CA$17*100)</f>
        <v/>
      </c>
      <c r="CD52" s="130" t="str">
        <f>IF('Finalterm OVPAA-F-INS-055A RAW '!CB52="","",'Finalterm OVPAA-F-INS-055A RAW '!CB52/'Finalterm OVPAA-F-INS-055A RAW '!CB$17*100)</f>
        <v/>
      </c>
      <c r="CE52" s="130" t="str">
        <f>IF('Finalterm OVPAA-F-INS-055A RAW '!CC52="","",'Finalterm OVPAA-F-INS-055A RAW '!CC52/'Finalterm OVPAA-F-INS-055A RAW '!CC$17*100)</f>
        <v/>
      </c>
      <c r="CF52" s="130" t="str">
        <f>IF('Finalterm OVPAA-F-INS-055A RAW '!CD52="","",'Finalterm OVPAA-F-INS-055A RAW '!CD52/'Finalterm OVPAA-F-INS-055A RAW '!CD$17*100)</f>
        <v/>
      </c>
      <c r="CG52" s="130" t="str">
        <f>IF('Finalterm OVPAA-F-INS-055A RAW '!CE52="","",'Finalterm OVPAA-F-INS-055A RAW '!CE52/'Finalterm OVPAA-F-INS-055A RAW '!CE$17*100)</f>
        <v/>
      </c>
      <c r="CH52" s="130" t="str">
        <f>IF('Finalterm OVPAA-F-INS-055A RAW '!CF52="","",'Finalterm OVPAA-F-INS-055A RAW '!CF52/'Finalterm OVPAA-F-INS-055A RAW '!CF$17*100)</f>
        <v/>
      </c>
      <c r="CI52" s="130" t="str">
        <f>IF('Finalterm OVPAA-F-INS-055A RAW '!CG52="","",'Finalterm OVPAA-F-INS-055A RAW '!CG52/'Finalterm OVPAA-F-INS-055A RAW '!CG$17*100)</f>
        <v/>
      </c>
      <c r="CJ52" s="130" t="str">
        <f>IF('Finalterm OVPAA-F-INS-055A RAW '!CH52="","",'Finalterm OVPAA-F-INS-055A RAW '!CH52/'Finalterm OVPAA-F-INS-055A RAW '!CH$17*100)</f>
        <v/>
      </c>
      <c r="CK52" s="130" t="str">
        <f>IF('Finalterm OVPAA-F-INS-055A RAW '!CI52="","",'Finalterm OVPAA-F-INS-055A RAW '!CI52/'Finalterm OVPAA-F-INS-055A RAW '!CI$17*100)</f>
        <v/>
      </c>
      <c r="CL52" s="130" t="str">
        <f>IF('Finalterm OVPAA-F-INS-055A RAW '!CJ52="","",'Finalterm OVPAA-F-INS-055A RAW '!CJ52/'Finalterm OVPAA-F-INS-055A RAW '!CJ$17*100)</f>
        <v/>
      </c>
      <c r="CM52" s="130" t="str">
        <f>IF('Finalterm OVPAA-F-INS-055A RAW '!CK52="","",'Finalterm OVPAA-F-INS-055A RAW '!CK52/'Finalterm OVPAA-F-INS-055A RAW '!CK$17*100)</f>
        <v/>
      </c>
      <c r="CN52" s="130" t="str">
        <f>IF('Finalterm OVPAA-F-INS-055A RAW '!CL52="","",'Finalterm OVPAA-F-INS-055A RAW '!CL52/'Finalterm OVPAA-F-INS-055A RAW '!CL$17*100)</f>
        <v/>
      </c>
      <c r="CO52" s="130" t="str">
        <f>IF('Finalterm OVPAA-F-INS-055A RAW '!CM52="","",'Finalterm OVPAA-F-INS-055A RAW '!CM52/'Finalterm OVPAA-F-INS-055A RAW '!CM$17*100)</f>
        <v/>
      </c>
      <c r="CP52" s="130" t="str">
        <f>IF('Finalterm OVPAA-F-INS-055A RAW '!CN52="","",'Finalterm OVPAA-F-INS-055A RAW '!CN52/'Finalterm OVPAA-F-INS-055A RAW '!CN$17*100)</f>
        <v/>
      </c>
      <c r="CQ52" s="131" t="str">
        <f t="array" ref="CQ52">IF('Midterm OVPAA-F-INS-055A RAW SC'!G52="","",IF((SUMPRODUCT(--ISBLANK('Finalterm OVPAA-F-INS-055A RAW '!BU52:CN52))=COLUMNS('Finalterm OVPAA-F-INS-055A RAW '!BU52:CN52))=TRUE,"",(((COUNTA('Finalterm OVPAA-F-INS-055A RAW '!$BU$17:$CN$17)+COUNTBLANK('Finalterm OVPAA-F-INS-055A RAW '!BU52:CN52))-COLUMNS('Finalterm OVPAA-F-INS-055A RAW '!BU52:CN52))*5+SUM(BW52:CP52))/COUNTA('Finalterm OVPAA-F-INS-055A RAW '!$BU$17:$CN$17)))</f>
        <v/>
      </c>
      <c r="CR52" s="132" t="str">
        <f>IF(CQ52="","",VLOOKUP(CQ52,IF('Midterm OVPAA-F-INS-055A RAW SC'!$V$12=0.5,TRANSMUTATION!$C$4:$D$17,TRANSMUTATION!$G$4:$H$17),2,TRUE))</f>
        <v/>
      </c>
      <c r="CS52" s="133" t="str">
        <f>IF('Finalterm OVPAA-F-INS-055A RAW '!CO52="","",'Finalterm OVPAA-F-INS-055A RAW '!CO52/'Finalterm OVPAA-F-INS-055A RAW '!CO$17*100)</f>
        <v/>
      </c>
      <c r="CT52" s="133" t="str">
        <f>IF('Finalterm OVPAA-F-INS-055A RAW '!CP52="","",'Finalterm OVPAA-F-INS-055A RAW '!CP52/'Finalterm OVPAA-F-INS-055A RAW '!CP$17*100)</f>
        <v/>
      </c>
      <c r="CU52" s="133" t="str">
        <f>IF('Finalterm OVPAA-F-INS-055A RAW '!CQ52="","",'Finalterm OVPAA-F-INS-055A RAW '!CQ52/'Finalterm OVPAA-F-INS-055A RAW '!CQ$17*100)</f>
        <v/>
      </c>
      <c r="CV52" s="133" t="str">
        <f>IF('Finalterm OVPAA-F-INS-055A RAW '!CR52="","",'Finalterm OVPAA-F-INS-055A RAW '!CR52/'Finalterm OVPAA-F-INS-055A RAW '!CR$17*100)</f>
        <v/>
      </c>
      <c r="CW52" s="133" t="str">
        <f>IF('Finalterm OVPAA-F-INS-055A RAW '!CS52="","",'Finalterm OVPAA-F-INS-055A RAW '!CS52/'Finalterm OVPAA-F-INS-055A RAW '!CS$17*100)</f>
        <v/>
      </c>
      <c r="CX52" s="133" t="str">
        <f>IF('Finalterm OVPAA-F-INS-055A RAW '!CT52="","",'Finalterm OVPAA-F-INS-055A RAW '!CT52/'Finalterm OVPAA-F-INS-055A RAW '!CT$17*100)</f>
        <v/>
      </c>
      <c r="CY52" s="133" t="str">
        <f>IF('Finalterm OVPAA-F-INS-055A RAW '!CU52="","",'Finalterm OVPAA-F-INS-055A RAW '!CU52/'Finalterm OVPAA-F-INS-055A RAW '!CU$17*100)</f>
        <v/>
      </c>
      <c r="CZ52" s="133" t="str">
        <f>IF('Finalterm OVPAA-F-INS-055A RAW '!CV52="","",'Finalterm OVPAA-F-INS-055A RAW '!CV52/'Finalterm OVPAA-F-INS-055A RAW '!CV$17*100)</f>
        <v/>
      </c>
      <c r="DA52" s="133" t="str">
        <f>IF('Finalterm OVPAA-F-INS-055A RAW '!CW52="","",'Finalterm OVPAA-F-INS-055A RAW '!CW52/'Finalterm OVPAA-F-INS-055A RAW '!CW$17*100)</f>
        <v/>
      </c>
      <c r="DB52" s="133" t="str">
        <f>IF('Finalterm OVPAA-F-INS-055A RAW '!CX52="","",'Finalterm OVPAA-F-INS-055A RAW '!CX52/'Finalterm OVPAA-F-INS-055A RAW '!CX$17*100)</f>
        <v/>
      </c>
      <c r="DC52" s="134" t="str">
        <f t="array" ref="DC52">IF('Midterm OVPAA-F-INS-055A RAW SC'!$G52="","",IF((SUMPRODUCT(--ISBLANK('Finalterm OVPAA-F-INS-055A RAW '!CO52:CX52))=COLUMNS('Finalterm OVPAA-F-INS-055A RAW '!CO52:CX52))=TRUE,"",(((COUNTA('Finalterm OVPAA-F-INS-055A RAW '!$CO$17:$CX$17)+COUNTBLANK('Finalterm OVPAA-F-INS-055A RAW '!CO52:CX52))-COLUMNS('Finalterm OVPAA-F-INS-055A RAW '!CO52:CX52))*5+SUM(CS52:DB52))/COUNTA('Finalterm OVPAA-F-INS-055A RAW '!$CO$17:$CX$17)))</f>
        <v/>
      </c>
      <c r="DD52" s="135" t="str">
        <f>IF(DC52="","",VLOOKUP(DC52,IF('Midterm OVPAA-F-INS-055A RAW SC'!$V$12=0.5,TRANSMUTATION!$C$4:$D$17,TRANSMUTATION!$G$4:$H$17),2,TRUE))</f>
        <v/>
      </c>
      <c r="DE52" s="136" t="str">
        <f t="shared" si="1"/>
        <v/>
      </c>
      <c r="DF52" s="166" t="str">
        <f t="shared" si="2"/>
        <v/>
      </c>
      <c r="DG52" s="167" t="str">
        <f t="shared" si="3"/>
        <v/>
      </c>
      <c r="DH52" s="168" t="str">
        <f t="shared" si="4"/>
        <v/>
      </c>
      <c r="DI52" s="169" t="str">
        <f t="shared" si="5"/>
        <v/>
      </c>
    </row>
    <row r="53" spans="5:113" ht="15.75" hidden="1" customHeight="1">
      <c r="E53" s="59">
        <v>36</v>
      </c>
      <c r="F53" s="124" t="str">
        <f>IF(NOT(ISBLANK('Midterm OVPAA-F-INS-055A RAW SC'!F53)),'Midterm OVPAA-F-INS-055A RAW SC'!F53,"")</f>
        <v/>
      </c>
      <c r="G53" s="125" t="str">
        <f>IF(NOT(ISBLANK('Midterm OVPAA-F-INS-055A RAW SC'!G53)),'Midterm OVPAA-F-INS-055A RAW SC'!G53,"")</f>
        <v/>
      </c>
      <c r="H53" s="126" t="str">
        <f>IF('Finalterm OVPAA-F-INS-055A RAW '!H53="","",'Finalterm OVPAA-F-INS-055A RAW '!H53/'Finalterm OVPAA-F-INS-055A RAW '!H$17*100)</f>
        <v/>
      </c>
      <c r="I53" s="126" t="str">
        <f>IF('Finalterm OVPAA-F-INS-055A RAW '!I53="","",'Finalterm OVPAA-F-INS-055A RAW '!I53/'Finalterm OVPAA-F-INS-055A RAW '!I$17*100)</f>
        <v/>
      </c>
      <c r="J53" s="126" t="str">
        <f>IF('Finalterm OVPAA-F-INS-055A RAW '!J53="","",'Finalterm OVPAA-F-INS-055A RAW '!J53/'Finalterm OVPAA-F-INS-055A RAW '!J$17*100)</f>
        <v/>
      </c>
      <c r="K53" s="126" t="str">
        <f>IF('Finalterm OVPAA-F-INS-055A RAW '!K53="","",'Finalterm OVPAA-F-INS-055A RAW '!K53/'Finalterm OVPAA-F-INS-055A RAW '!K$17*100)</f>
        <v/>
      </c>
      <c r="L53" s="126" t="str">
        <f>IF('Finalterm OVPAA-F-INS-055A RAW '!L53="","",'Finalterm OVPAA-F-INS-055A RAW '!L53/'Finalterm OVPAA-F-INS-055A RAW '!L$17*100)</f>
        <v/>
      </c>
      <c r="M53" s="126" t="str">
        <f>IF('Finalterm OVPAA-F-INS-055A RAW '!M53="","",'Finalterm OVPAA-F-INS-055A RAW '!M53/'Finalterm OVPAA-F-INS-055A RAW '!M$17*100)</f>
        <v/>
      </c>
      <c r="N53" s="126" t="str">
        <f>IF('Finalterm OVPAA-F-INS-055A RAW '!N53="","",'Finalterm OVPAA-F-INS-055A RAW '!N53/'Finalterm OVPAA-F-INS-055A RAW '!N$17*100)</f>
        <v/>
      </c>
      <c r="O53" s="126" t="str">
        <f>IF('Finalterm OVPAA-F-INS-055A RAW '!O53="","",'Finalterm OVPAA-F-INS-055A RAW '!O53/'Finalterm OVPAA-F-INS-055A RAW '!O$17*100)</f>
        <v/>
      </c>
      <c r="P53" s="126" t="str">
        <f>IF('Finalterm OVPAA-F-INS-055A RAW '!P53="","",'Finalterm OVPAA-F-INS-055A RAW '!P53/'Finalterm OVPAA-F-INS-055A RAW '!P$17*100)</f>
        <v/>
      </c>
      <c r="Q53" s="126" t="str">
        <f>IF('Finalterm OVPAA-F-INS-055A RAW '!Q53="","",'Finalterm OVPAA-F-INS-055A RAW '!Q53/'Finalterm OVPAA-F-INS-055A RAW '!Q$17*100)</f>
        <v/>
      </c>
      <c r="R53" s="126" t="str">
        <f>IF('Finalterm OVPAA-F-INS-055A RAW '!R53="","",'Finalterm OVPAA-F-INS-055A RAW '!R53/'Finalterm OVPAA-F-INS-055A RAW '!R$17*100)</f>
        <v/>
      </c>
      <c r="S53" s="126" t="str">
        <f>IF('Finalterm OVPAA-F-INS-055A RAW '!S53="","",'Finalterm OVPAA-F-INS-055A RAW '!S53/'Finalterm OVPAA-F-INS-055A RAW '!S$17*100)</f>
        <v/>
      </c>
      <c r="T53" s="126" t="str">
        <f>IF('Finalterm OVPAA-F-INS-055A RAW '!T53="","",'Finalterm OVPAA-F-INS-055A RAW '!T53/'Finalterm OVPAA-F-INS-055A RAW '!T$17*100)</f>
        <v/>
      </c>
      <c r="U53" s="126" t="str">
        <f>IF('Finalterm OVPAA-F-INS-055A RAW '!U53="","",'Finalterm OVPAA-F-INS-055A RAW '!U53/'Finalterm OVPAA-F-INS-055A RAW '!U$17*100)</f>
        <v/>
      </c>
      <c r="V53" s="126" t="str">
        <f>IF('Finalterm OVPAA-F-INS-055A RAW '!V53="","",'Finalterm OVPAA-F-INS-055A RAW '!V53/'Finalterm OVPAA-F-INS-055A RAW '!V$17*100)</f>
        <v/>
      </c>
      <c r="W53" s="126" t="str">
        <f>IF('Finalterm OVPAA-F-INS-055A RAW '!W53="","",'Finalterm OVPAA-F-INS-055A RAW '!W53/'Finalterm OVPAA-F-INS-055A RAW '!W$17*100)</f>
        <v/>
      </c>
      <c r="X53" s="126" t="str">
        <f>IF('Finalterm OVPAA-F-INS-055A RAW '!X53="","",'Finalterm OVPAA-F-INS-055A RAW '!X53/'Finalterm OVPAA-F-INS-055A RAW '!X$17*100)</f>
        <v/>
      </c>
      <c r="Y53" s="126" t="str">
        <f>IF('Finalterm OVPAA-F-INS-055A RAW '!Y53="","",'Finalterm OVPAA-F-INS-055A RAW '!Y53/'Finalterm OVPAA-F-INS-055A RAW '!Y$17*100)</f>
        <v/>
      </c>
      <c r="Z53" s="126" t="str">
        <f>IF('Finalterm OVPAA-F-INS-055A RAW '!Z53="","",'Finalterm OVPAA-F-INS-055A RAW '!Z53/'Finalterm OVPAA-F-INS-055A RAW '!Z$17*100)</f>
        <v/>
      </c>
      <c r="AA53" s="126" t="str">
        <f>IF('Finalterm OVPAA-F-INS-055A RAW '!AA53="","",'Finalterm OVPAA-F-INS-055A RAW '!AA53/'Finalterm OVPAA-F-INS-055A RAW '!AA$17*100)</f>
        <v/>
      </c>
      <c r="AB53" s="126" t="str">
        <f>IF('Finalterm OVPAA-F-INS-055A RAW '!AB53="","",'Finalterm OVPAA-F-INS-055A RAW '!AB53/'Finalterm OVPAA-F-INS-055A RAW '!AB$17*100)</f>
        <v/>
      </c>
      <c r="AC53" s="126" t="str">
        <f>IF('Finalterm OVPAA-F-INS-055A RAW '!AC53="","",'Finalterm OVPAA-F-INS-055A RAW '!AC53/'Finalterm OVPAA-F-INS-055A RAW '!AC$17*100)</f>
        <v/>
      </c>
      <c r="AD53" s="126" t="str">
        <f>IF('Finalterm OVPAA-F-INS-055A RAW '!AD53="","",'Finalterm OVPAA-F-INS-055A RAW '!AD53/'Finalterm OVPAA-F-INS-055A RAW '!AD$17*100)</f>
        <v/>
      </c>
      <c r="AE53" s="126" t="str">
        <f>IF('Finalterm OVPAA-F-INS-055A RAW '!AE53="","",'Finalterm OVPAA-F-INS-055A RAW '!AE53/'Finalterm OVPAA-F-INS-055A RAW '!AE$17*100)</f>
        <v/>
      </c>
      <c r="AF53" s="126" t="str">
        <f>IF('Finalterm OVPAA-F-INS-055A RAW '!AF53="","",'Finalterm OVPAA-F-INS-055A RAW '!AF53/'Finalterm OVPAA-F-INS-055A RAW '!AF$17*100)</f>
        <v/>
      </c>
      <c r="AG53" s="126" t="str">
        <f>IF('Finalterm OVPAA-F-INS-055A RAW '!AG53="","",'Finalterm OVPAA-F-INS-055A RAW '!AG53/'Finalterm OVPAA-F-INS-055A RAW '!AG$17*100)</f>
        <v/>
      </c>
      <c r="AH53" s="126" t="str">
        <f>IF('Finalterm OVPAA-F-INS-055A RAW '!AH53="","",'Finalterm OVPAA-F-INS-055A RAW '!AH53/'Finalterm OVPAA-F-INS-055A RAW '!AH$17*100)</f>
        <v/>
      </c>
      <c r="AI53" s="126" t="str">
        <f>IF('Finalterm OVPAA-F-INS-055A RAW '!AI53="","",'Finalterm OVPAA-F-INS-055A RAW '!AI53/'Finalterm OVPAA-F-INS-055A RAW '!AI$17*100)</f>
        <v/>
      </c>
      <c r="AJ53" s="126" t="str">
        <f>IF('Finalterm OVPAA-F-INS-055A RAW '!AJ53="","",'Finalterm OVPAA-F-INS-055A RAW '!AJ53/'Finalterm OVPAA-F-INS-055A RAW '!AJ$17*100)</f>
        <v/>
      </c>
      <c r="AK53" s="126" t="str">
        <f>IF('Finalterm OVPAA-F-INS-055A RAW '!AK53="","",'Finalterm OVPAA-F-INS-055A RAW '!AK53/'Finalterm OVPAA-F-INS-055A RAW '!AK$17*100)</f>
        <v/>
      </c>
      <c r="AL53" s="126" t="str">
        <f>IF('Finalterm OVPAA-F-INS-055A RAW '!AL53="","",'Finalterm OVPAA-F-INS-055A RAW '!AL53/'Finalterm OVPAA-F-INS-055A RAW '!AL$17*100)</f>
        <v/>
      </c>
      <c r="AM53" s="126" t="str">
        <f>IF('Finalterm OVPAA-F-INS-055A RAW '!AM53="","",'Finalterm OVPAA-F-INS-055A RAW '!AM53/'Finalterm OVPAA-F-INS-055A RAW '!AM$17*100)</f>
        <v/>
      </c>
      <c r="AN53" s="126" t="str">
        <f>IF('Finalterm OVPAA-F-INS-055A RAW '!AN53="","",'Finalterm OVPAA-F-INS-055A RAW '!AN53/'Finalterm OVPAA-F-INS-055A RAW '!AN$17*100)</f>
        <v/>
      </c>
      <c r="AO53" s="126" t="str">
        <f>IF('Finalterm OVPAA-F-INS-055A RAW '!AO53="","",'Finalterm OVPAA-F-INS-055A RAW '!AO53/'Finalterm OVPAA-F-INS-055A RAW '!AO$17*100)</f>
        <v/>
      </c>
      <c r="AP53" s="126" t="str">
        <f>IF('Finalterm OVPAA-F-INS-055A RAW '!AP53="","",'Finalterm OVPAA-F-INS-055A RAW '!AP53/'Finalterm OVPAA-F-INS-055A RAW '!AP$17*100)</f>
        <v/>
      </c>
      <c r="AQ53" s="126" t="str">
        <f>IF('Finalterm OVPAA-F-INS-055A RAW '!AQ53="","",'Finalterm OVPAA-F-INS-055A RAW '!AQ53/'Finalterm OVPAA-F-INS-055A RAW '!AQ$17*100)</f>
        <v/>
      </c>
      <c r="AR53" s="126" t="str">
        <f>IF('Finalterm OVPAA-F-INS-055A RAW '!AR53="","",'Finalterm OVPAA-F-INS-055A RAW '!AR53/'Finalterm OVPAA-F-INS-055A RAW '!AR$17*100)</f>
        <v/>
      </c>
      <c r="AS53" s="126" t="str">
        <f>IF('Finalterm OVPAA-F-INS-055A RAW '!AS53="","",'Finalterm OVPAA-F-INS-055A RAW '!AS53/'Finalterm OVPAA-F-INS-055A RAW '!AS$17*100)</f>
        <v/>
      </c>
      <c r="AT53" s="126" t="str">
        <f>IF('Finalterm OVPAA-F-INS-055A RAW '!AT53="","",'Finalterm OVPAA-F-INS-055A RAW '!AT53/'Finalterm OVPAA-F-INS-055A RAW '!AT$17*100)</f>
        <v/>
      </c>
      <c r="AU53" s="126" t="str">
        <f>IF('Finalterm OVPAA-F-INS-055A RAW '!AU53="","",'Finalterm OVPAA-F-INS-055A RAW '!AU53/'Finalterm OVPAA-F-INS-055A RAW '!AU$17*100)</f>
        <v/>
      </c>
      <c r="AV53" s="126" t="str">
        <f>IF('Finalterm OVPAA-F-INS-055A RAW '!AV53="","",'Finalterm OVPAA-F-INS-055A RAW '!AV53/'Finalterm OVPAA-F-INS-055A RAW '!AV$17*100)</f>
        <v/>
      </c>
      <c r="AW53" s="126" t="str">
        <f>IF('Finalterm OVPAA-F-INS-055A RAW '!AW53="","",'Finalterm OVPAA-F-INS-055A RAW '!AW53/'Finalterm OVPAA-F-INS-055A RAW '!AW$17*100)</f>
        <v/>
      </c>
      <c r="AX53" s="126" t="str">
        <f>IF('Finalterm OVPAA-F-INS-055A RAW '!AX53="","",'Finalterm OVPAA-F-INS-055A RAW '!AX53/'Finalterm OVPAA-F-INS-055A RAW '!AX$17*100)</f>
        <v/>
      </c>
      <c r="AY53" s="126" t="str">
        <f>IF('Finalterm OVPAA-F-INS-055A RAW '!AY53="","",'Finalterm OVPAA-F-INS-055A RAW '!AY53/'Finalterm OVPAA-F-INS-055A RAW '!AY$17*100)</f>
        <v/>
      </c>
      <c r="AZ53" s="126" t="str">
        <f>IF('Finalterm OVPAA-F-INS-055A RAW '!AZ53="","",'Finalterm OVPAA-F-INS-055A RAW '!AZ53/'Finalterm OVPAA-F-INS-055A RAW '!AZ$17*100)</f>
        <v/>
      </c>
      <c r="BA53" s="126" t="str">
        <f>IF('Finalterm OVPAA-F-INS-055A RAW '!BA53="","",'Finalterm OVPAA-F-INS-055A RAW '!BA53/'Finalterm OVPAA-F-INS-055A RAW '!BA$17*100)</f>
        <v/>
      </c>
      <c r="BB53" s="126" t="str">
        <f>IF('Finalterm OVPAA-F-INS-055A RAW '!BB53="","",'Finalterm OVPAA-F-INS-055A RAW '!BB53/'Finalterm OVPAA-F-INS-055A RAW '!BB$17*100)</f>
        <v/>
      </c>
      <c r="BC53" s="126" t="str">
        <f>IF('Finalterm OVPAA-F-INS-055A RAW '!BC53="","",'Finalterm OVPAA-F-INS-055A RAW '!BC53/'Finalterm OVPAA-F-INS-055A RAW '!BC$17*100)</f>
        <v/>
      </c>
      <c r="BD53" s="126" t="str">
        <f>IF('Finalterm OVPAA-F-INS-055A RAW '!BD53="","",'Finalterm OVPAA-F-INS-055A RAW '!BD53/'Finalterm OVPAA-F-INS-055A RAW '!BD$17*100)</f>
        <v/>
      </c>
      <c r="BE53" s="126" t="str">
        <f>IF('Finalterm OVPAA-F-INS-055A RAW '!BE53="","",'Finalterm OVPAA-F-INS-055A RAW '!BE53/'Finalterm OVPAA-F-INS-055A RAW '!BE$17*100)</f>
        <v/>
      </c>
      <c r="BF53" s="126" t="str">
        <f>IF('Finalterm OVPAA-F-INS-055A RAW '!BF53="","",'Finalterm OVPAA-F-INS-055A RAW '!BF53/'Finalterm OVPAA-F-INS-055A RAW '!BF$17*100)</f>
        <v/>
      </c>
      <c r="BG53" s="126" t="str">
        <f>IF('Finalterm OVPAA-F-INS-055A RAW '!BG53="","",'Finalterm OVPAA-F-INS-055A RAW '!BG53/'Finalterm OVPAA-F-INS-055A RAW '!BG$17*100)</f>
        <v/>
      </c>
      <c r="BH53" s="126" t="str">
        <f>IF('Finalterm OVPAA-F-INS-055A RAW '!BH53="","",'Finalterm OVPAA-F-INS-055A RAW '!BH53/'Finalterm OVPAA-F-INS-055A RAW '!BH$17*100)</f>
        <v/>
      </c>
      <c r="BI53" s="126" t="str">
        <f>IF('Finalterm OVPAA-F-INS-055A RAW '!BI53="","",'Finalterm OVPAA-F-INS-055A RAW '!BI53/'Finalterm OVPAA-F-INS-055A RAW '!BI$17*100)</f>
        <v/>
      </c>
      <c r="BJ53" s="126" t="str">
        <f>IF('Finalterm OVPAA-F-INS-055A RAW '!BJ53="","",'Finalterm OVPAA-F-INS-055A RAW '!BJ53/'Finalterm OVPAA-F-INS-055A RAW '!BJ$17*100)</f>
        <v/>
      </c>
      <c r="BK53" s="126" t="str">
        <f>IF('Finalterm OVPAA-F-INS-055A RAW '!BK53="","",'Finalterm OVPAA-F-INS-055A RAW '!BK53/'Finalterm OVPAA-F-INS-055A RAW '!BK$17*100)</f>
        <v/>
      </c>
      <c r="BL53" s="126" t="str">
        <f>IF('Finalterm OVPAA-F-INS-055A RAW '!BL53="","",'Finalterm OVPAA-F-INS-055A RAW '!BL53/'Finalterm OVPAA-F-INS-055A RAW '!BL$17*100)</f>
        <v/>
      </c>
      <c r="BM53" s="126" t="str">
        <f>IF('Finalterm OVPAA-F-INS-055A RAW '!BM53="","",'Finalterm OVPAA-F-INS-055A RAW '!BM53/'Finalterm OVPAA-F-INS-055A RAW '!BM$17*100)</f>
        <v/>
      </c>
      <c r="BN53" s="126" t="str">
        <f>IF('Finalterm OVPAA-F-INS-055A RAW '!BN53="","",'Finalterm OVPAA-F-INS-055A RAW '!BN53/'Finalterm OVPAA-F-INS-055A RAW '!BN$17*100)</f>
        <v/>
      </c>
      <c r="BO53" s="126" t="str">
        <f>IF('Finalterm OVPAA-F-INS-055A RAW '!BO53="","",'Finalterm OVPAA-F-INS-055A RAW '!BO53/'Finalterm OVPAA-F-INS-055A RAW '!BO$17*100)</f>
        <v/>
      </c>
      <c r="BP53" s="126" t="str">
        <f>IF('Finalterm OVPAA-F-INS-055A RAW '!BP53="","",'Finalterm OVPAA-F-INS-055A RAW '!BP53/'Finalterm OVPAA-F-INS-055A RAW '!BP$17*100)</f>
        <v/>
      </c>
      <c r="BQ53" s="126" t="str">
        <f>IF('Finalterm OVPAA-F-INS-055A RAW '!BQ53="","",'Finalterm OVPAA-F-INS-055A RAW '!BQ53/'Finalterm OVPAA-F-INS-055A RAW '!BQ$17*100)</f>
        <v/>
      </c>
      <c r="BR53" s="126" t="str">
        <f>IF('Finalterm OVPAA-F-INS-055A RAW '!BR53="","",'Finalterm OVPAA-F-INS-055A RAW '!BR53/'Finalterm OVPAA-F-INS-055A RAW '!BR$17*100)</f>
        <v/>
      </c>
      <c r="BS53" s="126" t="str">
        <f>IF('Finalterm OVPAA-F-INS-055A RAW '!BS53="","",'Finalterm OVPAA-F-INS-055A RAW '!BS53/'Finalterm OVPAA-F-INS-055A RAW '!BS$17*100)</f>
        <v/>
      </c>
      <c r="BT53" s="126" t="str">
        <f>IF('Finalterm OVPAA-F-INS-055A RAW '!BT53="","",'Finalterm OVPAA-F-INS-055A RAW '!BT53/'Finalterm OVPAA-F-INS-055A RAW '!BT$17*100)</f>
        <v/>
      </c>
      <c r="BU53" s="127" t="str">
        <f t="array" ref="BU53">IF('Finalterm OVPAA-F-INS-055A RAW '!$G53="","",IF((SUMPRODUCT(--ISBLANK('Finalterm OVPAA-F-INS-055A RAW '!H53:BT53))=COLUMNS('Finalterm OVPAA-F-INS-055A RAW '!H53:BT53))=TRUE,"",(((COUNTA('Finalterm OVPAA-F-INS-055A RAW '!$H$17:$BT$17)+COUNTBLANK('Finalterm OVPAA-F-INS-055A RAW '!H53:BT53))-COLUMNS('Finalterm OVPAA-F-INS-055A RAW '!H53:BT53))*5+SUM(H53:BT53))/COUNTA('Finalterm OVPAA-F-INS-055A RAW '!$H$17:$BT$17)))</f>
        <v/>
      </c>
      <c r="BV53" s="165" t="str">
        <f>IF(BU53="","",VLOOKUP(BU53,IF('Midterm OVPAA-F-INS-055A RAW SC'!$V$12=0.5,TRANSMUTATION!$C$4:$D$17,TRANSMUTATION!$G$4:$H$17),2,TRUE))</f>
        <v/>
      </c>
      <c r="BW53" s="129" t="str">
        <f>IF('Finalterm OVPAA-F-INS-055A RAW '!BU53="","",'Finalterm OVPAA-F-INS-055A RAW '!BU53/'Finalterm OVPAA-F-INS-055A RAW '!BU$17*100)</f>
        <v/>
      </c>
      <c r="BX53" s="130" t="str">
        <f>IF('Finalterm OVPAA-F-INS-055A RAW '!BV53="","",'Finalterm OVPAA-F-INS-055A RAW '!BV53/'Finalterm OVPAA-F-INS-055A RAW '!BV$17*100)</f>
        <v/>
      </c>
      <c r="BY53" s="130" t="str">
        <f>IF('Finalterm OVPAA-F-INS-055A RAW '!BW53="","",'Finalterm OVPAA-F-INS-055A RAW '!BW53/'Finalterm OVPAA-F-INS-055A RAW '!BW$17*100)</f>
        <v/>
      </c>
      <c r="BZ53" s="130" t="str">
        <f>IF('Finalterm OVPAA-F-INS-055A RAW '!BX53="","",'Finalterm OVPAA-F-INS-055A RAW '!BX53/'Finalterm OVPAA-F-INS-055A RAW '!BX$17*100)</f>
        <v/>
      </c>
      <c r="CA53" s="130" t="str">
        <f>IF('Finalterm OVPAA-F-INS-055A RAW '!BY53="","",'Finalterm OVPAA-F-INS-055A RAW '!BY53/'Finalterm OVPAA-F-INS-055A RAW '!BY$17*100)</f>
        <v/>
      </c>
      <c r="CB53" s="130" t="str">
        <f>IF('Finalterm OVPAA-F-INS-055A RAW '!BZ53="","",'Finalterm OVPAA-F-INS-055A RAW '!BZ53/'Finalterm OVPAA-F-INS-055A RAW '!BZ$17*100)</f>
        <v/>
      </c>
      <c r="CC53" s="130" t="str">
        <f>IF('Finalterm OVPAA-F-INS-055A RAW '!CA53="","",'Finalterm OVPAA-F-INS-055A RAW '!CA53/'Finalterm OVPAA-F-INS-055A RAW '!CA$17*100)</f>
        <v/>
      </c>
      <c r="CD53" s="130" t="str">
        <f>IF('Finalterm OVPAA-F-INS-055A RAW '!CB53="","",'Finalterm OVPAA-F-INS-055A RAW '!CB53/'Finalterm OVPAA-F-INS-055A RAW '!CB$17*100)</f>
        <v/>
      </c>
      <c r="CE53" s="130" t="str">
        <f>IF('Finalterm OVPAA-F-INS-055A RAW '!CC53="","",'Finalterm OVPAA-F-INS-055A RAW '!CC53/'Finalterm OVPAA-F-INS-055A RAW '!CC$17*100)</f>
        <v/>
      </c>
      <c r="CF53" s="130" t="str">
        <f>IF('Finalterm OVPAA-F-INS-055A RAW '!CD53="","",'Finalterm OVPAA-F-INS-055A RAW '!CD53/'Finalterm OVPAA-F-INS-055A RAW '!CD$17*100)</f>
        <v/>
      </c>
      <c r="CG53" s="130" t="str">
        <f>IF('Finalterm OVPAA-F-INS-055A RAW '!CE53="","",'Finalterm OVPAA-F-INS-055A RAW '!CE53/'Finalterm OVPAA-F-INS-055A RAW '!CE$17*100)</f>
        <v/>
      </c>
      <c r="CH53" s="130" t="str">
        <f>IF('Finalterm OVPAA-F-INS-055A RAW '!CF53="","",'Finalterm OVPAA-F-INS-055A RAW '!CF53/'Finalterm OVPAA-F-INS-055A RAW '!CF$17*100)</f>
        <v/>
      </c>
      <c r="CI53" s="130" t="str">
        <f>IF('Finalterm OVPAA-F-INS-055A RAW '!CG53="","",'Finalterm OVPAA-F-INS-055A RAW '!CG53/'Finalterm OVPAA-F-INS-055A RAW '!CG$17*100)</f>
        <v/>
      </c>
      <c r="CJ53" s="130" t="str">
        <f>IF('Finalterm OVPAA-F-INS-055A RAW '!CH53="","",'Finalterm OVPAA-F-INS-055A RAW '!CH53/'Finalterm OVPAA-F-INS-055A RAW '!CH$17*100)</f>
        <v/>
      </c>
      <c r="CK53" s="130" t="str">
        <f>IF('Finalterm OVPAA-F-INS-055A RAW '!CI53="","",'Finalterm OVPAA-F-INS-055A RAW '!CI53/'Finalterm OVPAA-F-INS-055A RAW '!CI$17*100)</f>
        <v/>
      </c>
      <c r="CL53" s="130" t="str">
        <f>IF('Finalterm OVPAA-F-INS-055A RAW '!CJ53="","",'Finalterm OVPAA-F-INS-055A RAW '!CJ53/'Finalterm OVPAA-F-INS-055A RAW '!CJ$17*100)</f>
        <v/>
      </c>
      <c r="CM53" s="130" t="str">
        <f>IF('Finalterm OVPAA-F-INS-055A RAW '!CK53="","",'Finalterm OVPAA-F-INS-055A RAW '!CK53/'Finalterm OVPAA-F-INS-055A RAW '!CK$17*100)</f>
        <v/>
      </c>
      <c r="CN53" s="130" t="str">
        <f>IF('Finalterm OVPAA-F-INS-055A RAW '!CL53="","",'Finalterm OVPAA-F-INS-055A RAW '!CL53/'Finalterm OVPAA-F-INS-055A RAW '!CL$17*100)</f>
        <v/>
      </c>
      <c r="CO53" s="130" t="str">
        <f>IF('Finalterm OVPAA-F-INS-055A RAW '!CM53="","",'Finalterm OVPAA-F-INS-055A RAW '!CM53/'Finalterm OVPAA-F-INS-055A RAW '!CM$17*100)</f>
        <v/>
      </c>
      <c r="CP53" s="130" t="str">
        <f>IF('Finalterm OVPAA-F-INS-055A RAW '!CN53="","",'Finalterm OVPAA-F-INS-055A RAW '!CN53/'Finalterm OVPAA-F-INS-055A RAW '!CN$17*100)</f>
        <v/>
      </c>
      <c r="CQ53" s="131" t="str">
        <f t="array" ref="CQ53">IF('Midterm OVPAA-F-INS-055A RAW SC'!G53="","",IF((SUMPRODUCT(--ISBLANK('Finalterm OVPAA-F-INS-055A RAW '!BU53:CN53))=COLUMNS('Finalterm OVPAA-F-INS-055A RAW '!BU53:CN53))=TRUE,"",(((COUNTA('Finalterm OVPAA-F-INS-055A RAW '!$BU$17:$CN$17)+COUNTBLANK('Finalterm OVPAA-F-INS-055A RAW '!BU53:CN53))-COLUMNS('Finalterm OVPAA-F-INS-055A RAW '!BU53:CN53))*5+SUM(BW53:CP53))/COUNTA('Finalterm OVPAA-F-INS-055A RAW '!$BU$17:$CN$17)))</f>
        <v/>
      </c>
      <c r="CR53" s="132" t="str">
        <f>IF(CQ53="","",VLOOKUP(CQ53,IF('Midterm OVPAA-F-INS-055A RAW SC'!$V$12=0.5,TRANSMUTATION!$C$4:$D$17,TRANSMUTATION!$G$4:$H$17),2,TRUE))</f>
        <v/>
      </c>
      <c r="CS53" s="133" t="str">
        <f>IF('Finalterm OVPAA-F-INS-055A RAW '!CO53="","",'Finalterm OVPAA-F-INS-055A RAW '!CO53/'Finalterm OVPAA-F-INS-055A RAW '!CO$17*100)</f>
        <v/>
      </c>
      <c r="CT53" s="133" t="str">
        <f>IF('Finalterm OVPAA-F-INS-055A RAW '!CP53="","",'Finalterm OVPAA-F-INS-055A RAW '!CP53/'Finalterm OVPAA-F-INS-055A RAW '!CP$17*100)</f>
        <v/>
      </c>
      <c r="CU53" s="133" t="str">
        <f>IF('Finalterm OVPAA-F-INS-055A RAW '!CQ53="","",'Finalterm OVPAA-F-INS-055A RAW '!CQ53/'Finalterm OVPAA-F-INS-055A RAW '!CQ$17*100)</f>
        <v/>
      </c>
      <c r="CV53" s="133" t="str">
        <f>IF('Finalterm OVPAA-F-INS-055A RAW '!CR53="","",'Finalterm OVPAA-F-INS-055A RAW '!CR53/'Finalterm OVPAA-F-INS-055A RAW '!CR$17*100)</f>
        <v/>
      </c>
      <c r="CW53" s="133" t="str">
        <f>IF('Finalterm OVPAA-F-INS-055A RAW '!CS53="","",'Finalterm OVPAA-F-INS-055A RAW '!CS53/'Finalterm OVPAA-F-INS-055A RAW '!CS$17*100)</f>
        <v/>
      </c>
      <c r="CX53" s="133" t="str">
        <f>IF('Finalterm OVPAA-F-INS-055A RAW '!CT53="","",'Finalterm OVPAA-F-INS-055A RAW '!CT53/'Finalterm OVPAA-F-INS-055A RAW '!CT$17*100)</f>
        <v/>
      </c>
      <c r="CY53" s="133" t="str">
        <f>IF('Finalterm OVPAA-F-INS-055A RAW '!CU53="","",'Finalterm OVPAA-F-INS-055A RAW '!CU53/'Finalterm OVPAA-F-INS-055A RAW '!CU$17*100)</f>
        <v/>
      </c>
      <c r="CZ53" s="133" t="str">
        <f>IF('Finalterm OVPAA-F-INS-055A RAW '!CV53="","",'Finalterm OVPAA-F-INS-055A RAW '!CV53/'Finalterm OVPAA-F-INS-055A RAW '!CV$17*100)</f>
        <v/>
      </c>
      <c r="DA53" s="133" t="str">
        <f>IF('Finalterm OVPAA-F-INS-055A RAW '!CW53="","",'Finalterm OVPAA-F-INS-055A RAW '!CW53/'Finalterm OVPAA-F-INS-055A RAW '!CW$17*100)</f>
        <v/>
      </c>
      <c r="DB53" s="133" t="str">
        <f>IF('Finalterm OVPAA-F-INS-055A RAW '!CX53="","",'Finalterm OVPAA-F-INS-055A RAW '!CX53/'Finalterm OVPAA-F-INS-055A RAW '!CX$17*100)</f>
        <v/>
      </c>
      <c r="DC53" s="134" t="str">
        <f t="array" ref="DC53">IF('Midterm OVPAA-F-INS-055A RAW SC'!$G53="","",IF((SUMPRODUCT(--ISBLANK('Finalterm OVPAA-F-INS-055A RAW '!CO53:CX53))=COLUMNS('Finalterm OVPAA-F-INS-055A RAW '!CO53:CX53))=TRUE,"",(((COUNTA('Finalterm OVPAA-F-INS-055A RAW '!$CO$17:$CX$17)+COUNTBLANK('Finalterm OVPAA-F-INS-055A RAW '!CO53:CX53))-COLUMNS('Finalterm OVPAA-F-INS-055A RAW '!CO53:CX53))*5+SUM(CS53:DB53))/COUNTA('Finalterm OVPAA-F-INS-055A RAW '!$CO$17:$CX$17)))</f>
        <v/>
      </c>
      <c r="DD53" s="135" t="str">
        <f>IF(DC53="","",VLOOKUP(DC53,IF('Midterm OVPAA-F-INS-055A RAW SC'!$V$12=0.5,TRANSMUTATION!$C$4:$D$17,TRANSMUTATION!$G$4:$H$17),2,TRUE))</f>
        <v/>
      </c>
      <c r="DE53" s="136" t="str">
        <f t="shared" si="1"/>
        <v/>
      </c>
      <c r="DF53" s="166" t="str">
        <f t="shared" si="2"/>
        <v/>
      </c>
      <c r="DG53" s="167" t="str">
        <f t="shared" si="3"/>
        <v/>
      </c>
      <c r="DH53" s="168" t="str">
        <f t="shared" si="4"/>
        <v/>
      </c>
      <c r="DI53" s="169" t="str">
        <f t="shared" si="5"/>
        <v/>
      </c>
    </row>
    <row r="54" spans="5:113" ht="15.75" hidden="1" customHeight="1">
      <c r="E54" s="59">
        <v>37</v>
      </c>
      <c r="F54" s="124" t="str">
        <f>IF(NOT(ISBLANK('Midterm OVPAA-F-INS-055A RAW SC'!F54)),'Midterm OVPAA-F-INS-055A RAW SC'!F54,"")</f>
        <v/>
      </c>
      <c r="G54" s="125" t="str">
        <f>IF(NOT(ISBLANK('Midterm OVPAA-F-INS-055A RAW SC'!G54)),'Midterm OVPAA-F-INS-055A RAW SC'!G54,"")</f>
        <v/>
      </c>
      <c r="H54" s="126" t="str">
        <f>IF('Finalterm OVPAA-F-INS-055A RAW '!H54="","",'Finalterm OVPAA-F-INS-055A RAW '!H54/'Finalterm OVPAA-F-INS-055A RAW '!H$17*100)</f>
        <v/>
      </c>
      <c r="I54" s="126" t="str">
        <f>IF('Finalterm OVPAA-F-INS-055A RAW '!I54="","",'Finalterm OVPAA-F-INS-055A RAW '!I54/'Finalterm OVPAA-F-INS-055A RAW '!I$17*100)</f>
        <v/>
      </c>
      <c r="J54" s="126" t="str">
        <f>IF('Finalterm OVPAA-F-INS-055A RAW '!J54="","",'Finalterm OVPAA-F-INS-055A RAW '!J54/'Finalterm OVPAA-F-INS-055A RAW '!J$17*100)</f>
        <v/>
      </c>
      <c r="K54" s="126" t="str">
        <f>IF('Finalterm OVPAA-F-INS-055A RAW '!K54="","",'Finalterm OVPAA-F-INS-055A RAW '!K54/'Finalterm OVPAA-F-INS-055A RAW '!K$17*100)</f>
        <v/>
      </c>
      <c r="L54" s="126" t="str">
        <f>IF('Finalterm OVPAA-F-INS-055A RAW '!L54="","",'Finalterm OVPAA-F-INS-055A RAW '!L54/'Finalterm OVPAA-F-INS-055A RAW '!L$17*100)</f>
        <v/>
      </c>
      <c r="M54" s="126" t="str">
        <f>IF('Finalterm OVPAA-F-INS-055A RAW '!M54="","",'Finalterm OVPAA-F-INS-055A RAW '!M54/'Finalterm OVPAA-F-INS-055A RAW '!M$17*100)</f>
        <v/>
      </c>
      <c r="N54" s="126" t="str">
        <f>IF('Finalterm OVPAA-F-INS-055A RAW '!N54="","",'Finalterm OVPAA-F-INS-055A RAW '!N54/'Finalterm OVPAA-F-INS-055A RAW '!N$17*100)</f>
        <v/>
      </c>
      <c r="O54" s="126" t="str">
        <f>IF('Finalterm OVPAA-F-INS-055A RAW '!O54="","",'Finalterm OVPAA-F-INS-055A RAW '!O54/'Finalterm OVPAA-F-INS-055A RAW '!O$17*100)</f>
        <v/>
      </c>
      <c r="P54" s="126" t="str">
        <f>IF('Finalterm OVPAA-F-INS-055A RAW '!P54="","",'Finalterm OVPAA-F-INS-055A RAW '!P54/'Finalterm OVPAA-F-INS-055A RAW '!P$17*100)</f>
        <v/>
      </c>
      <c r="Q54" s="126" t="str">
        <f>IF('Finalterm OVPAA-F-INS-055A RAW '!Q54="","",'Finalterm OVPAA-F-INS-055A RAW '!Q54/'Finalterm OVPAA-F-INS-055A RAW '!Q$17*100)</f>
        <v/>
      </c>
      <c r="R54" s="126" t="str">
        <f>IF('Finalterm OVPAA-F-INS-055A RAW '!R54="","",'Finalterm OVPAA-F-INS-055A RAW '!R54/'Finalterm OVPAA-F-INS-055A RAW '!R$17*100)</f>
        <v/>
      </c>
      <c r="S54" s="126" t="str">
        <f>IF('Finalterm OVPAA-F-INS-055A RAW '!S54="","",'Finalterm OVPAA-F-INS-055A RAW '!S54/'Finalterm OVPAA-F-INS-055A RAW '!S$17*100)</f>
        <v/>
      </c>
      <c r="T54" s="126" t="str">
        <f>IF('Finalterm OVPAA-F-INS-055A RAW '!T54="","",'Finalterm OVPAA-F-INS-055A RAW '!T54/'Finalterm OVPAA-F-INS-055A RAW '!T$17*100)</f>
        <v/>
      </c>
      <c r="U54" s="126" t="str">
        <f>IF('Finalterm OVPAA-F-INS-055A RAW '!U54="","",'Finalterm OVPAA-F-INS-055A RAW '!U54/'Finalterm OVPAA-F-INS-055A RAW '!U$17*100)</f>
        <v/>
      </c>
      <c r="V54" s="126" t="str">
        <f>IF('Finalterm OVPAA-F-INS-055A RAW '!V54="","",'Finalterm OVPAA-F-INS-055A RAW '!V54/'Finalterm OVPAA-F-INS-055A RAW '!V$17*100)</f>
        <v/>
      </c>
      <c r="W54" s="126" t="str">
        <f>IF('Finalterm OVPAA-F-INS-055A RAW '!W54="","",'Finalterm OVPAA-F-INS-055A RAW '!W54/'Finalterm OVPAA-F-INS-055A RAW '!W$17*100)</f>
        <v/>
      </c>
      <c r="X54" s="126" t="str">
        <f>IF('Finalterm OVPAA-F-INS-055A RAW '!X54="","",'Finalterm OVPAA-F-INS-055A RAW '!X54/'Finalterm OVPAA-F-INS-055A RAW '!X$17*100)</f>
        <v/>
      </c>
      <c r="Y54" s="126" t="str">
        <f>IF('Finalterm OVPAA-F-INS-055A RAW '!Y54="","",'Finalterm OVPAA-F-INS-055A RAW '!Y54/'Finalterm OVPAA-F-INS-055A RAW '!Y$17*100)</f>
        <v/>
      </c>
      <c r="Z54" s="126" t="str">
        <f>IF('Finalterm OVPAA-F-INS-055A RAW '!Z54="","",'Finalterm OVPAA-F-INS-055A RAW '!Z54/'Finalterm OVPAA-F-INS-055A RAW '!Z$17*100)</f>
        <v/>
      </c>
      <c r="AA54" s="126" t="str">
        <f>IF('Finalterm OVPAA-F-INS-055A RAW '!AA54="","",'Finalterm OVPAA-F-INS-055A RAW '!AA54/'Finalterm OVPAA-F-INS-055A RAW '!AA$17*100)</f>
        <v/>
      </c>
      <c r="AB54" s="126" t="str">
        <f>IF('Finalterm OVPAA-F-INS-055A RAW '!AB54="","",'Finalterm OVPAA-F-INS-055A RAW '!AB54/'Finalterm OVPAA-F-INS-055A RAW '!AB$17*100)</f>
        <v/>
      </c>
      <c r="AC54" s="126" t="str">
        <f>IF('Finalterm OVPAA-F-INS-055A RAW '!AC54="","",'Finalterm OVPAA-F-INS-055A RAW '!AC54/'Finalterm OVPAA-F-INS-055A RAW '!AC$17*100)</f>
        <v/>
      </c>
      <c r="AD54" s="126" t="str">
        <f>IF('Finalterm OVPAA-F-INS-055A RAW '!AD54="","",'Finalterm OVPAA-F-INS-055A RAW '!AD54/'Finalterm OVPAA-F-INS-055A RAW '!AD$17*100)</f>
        <v/>
      </c>
      <c r="AE54" s="126" t="str">
        <f>IF('Finalterm OVPAA-F-INS-055A RAW '!AE54="","",'Finalterm OVPAA-F-INS-055A RAW '!AE54/'Finalterm OVPAA-F-INS-055A RAW '!AE$17*100)</f>
        <v/>
      </c>
      <c r="AF54" s="126" t="str">
        <f>IF('Finalterm OVPAA-F-INS-055A RAW '!AF54="","",'Finalterm OVPAA-F-INS-055A RAW '!AF54/'Finalterm OVPAA-F-INS-055A RAW '!AF$17*100)</f>
        <v/>
      </c>
      <c r="AG54" s="126" t="str">
        <f>IF('Finalterm OVPAA-F-INS-055A RAW '!AG54="","",'Finalterm OVPAA-F-INS-055A RAW '!AG54/'Finalterm OVPAA-F-INS-055A RAW '!AG$17*100)</f>
        <v/>
      </c>
      <c r="AH54" s="126" t="str">
        <f>IF('Finalterm OVPAA-F-INS-055A RAW '!AH54="","",'Finalterm OVPAA-F-INS-055A RAW '!AH54/'Finalterm OVPAA-F-INS-055A RAW '!AH$17*100)</f>
        <v/>
      </c>
      <c r="AI54" s="126" t="str">
        <f>IF('Finalterm OVPAA-F-INS-055A RAW '!AI54="","",'Finalterm OVPAA-F-INS-055A RAW '!AI54/'Finalterm OVPAA-F-INS-055A RAW '!AI$17*100)</f>
        <v/>
      </c>
      <c r="AJ54" s="126" t="str">
        <f>IF('Finalterm OVPAA-F-INS-055A RAW '!AJ54="","",'Finalterm OVPAA-F-INS-055A RAW '!AJ54/'Finalterm OVPAA-F-INS-055A RAW '!AJ$17*100)</f>
        <v/>
      </c>
      <c r="AK54" s="126" t="str">
        <f>IF('Finalterm OVPAA-F-INS-055A RAW '!AK54="","",'Finalterm OVPAA-F-INS-055A RAW '!AK54/'Finalterm OVPAA-F-INS-055A RAW '!AK$17*100)</f>
        <v/>
      </c>
      <c r="AL54" s="126" t="str">
        <f>IF('Finalterm OVPAA-F-INS-055A RAW '!AL54="","",'Finalterm OVPAA-F-INS-055A RAW '!AL54/'Finalterm OVPAA-F-INS-055A RAW '!AL$17*100)</f>
        <v/>
      </c>
      <c r="AM54" s="126" t="str">
        <f>IF('Finalterm OVPAA-F-INS-055A RAW '!AM54="","",'Finalterm OVPAA-F-INS-055A RAW '!AM54/'Finalterm OVPAA-F-INS-055A RAW '!AM$17*100)</f>
        <v/>
      </c>
      <c r="AN54" s="126" t="str">
        <f>IF('Finalterm OVPAA-F-INS-055A RAW '!AN54="","",'Finalterm OVPAA-F-INS-055A RAW '!AN54/'Finalterm OVPAA-F-INS-055A RAW '!AN$17*100)</f>
        <v/>
      </c>
      <c r="AO54" s="126" t="str">
        <f>IF('Finalterm OVPAA-F-INS-055A RAW '!AO54="","",'Finalterm OVPAA-F-INS-055A RAW '!AO54/'Finalterm OVPAA-F-INS-055A RAW '!AO$17*100)</f>
        <v/>
      </c>
      <c r="AP54" s="126" t="str">
        <f>IF('Finalterm OVPAA-F-INS-055A RAW '!AP54="","",'Finalterm OVPAA-F-INS-055A RAW '!AP54/'Finalterm OVPAA-F-INS-055A RAW '!AP$17*100)</f>
        <v/>
      </c>
      <c r="AQ54" s="126" t="str">
        <f>IF('Finalterm OVPAA-F-INS-055A RAW '!AQ54="","",'Finalterm OVPAA-F-INS-055A RAW '!AQ54/'Finalterm OVPAA-F-INS-055A RAW '!AQ$17*100)</f>
        <v/>
      </c>
      <c r="AR54" s="126" t="str">
        <f>IF('Finalterm OVPAA-F-INS-055A RAW '!AR54="","",'Finalterm OVPAA-F-INS-055A RAW '!AR54/'Finalterm OVPAA-F-INS-055A RAW '!AR$17*100)</f>
        <v/>
      </c>
      <c r="AS54" s="126" t="str">
        <f>IF('Finalterm OVPAA-F-INS-055A RAW '!AS54="","",'Finalterm OVPAA-F-INS-055A RAW '!AS54/'Finalterm OVPAA-F-INS-055A RAW '!AS$17*100)</f>
        <v/>
      </c>
      <c r="AT54" s="126" t="str">
        <f>IF('Finalterm OVPAA-F-INS-055A RAW '!AT54="","",'Finalterm OVPAA-F-INS-055A RAW '!AT54/'Finalterm OVPAA-F-INS-055A RAW '!AT$17*100)</f>
        <v/>
      </c>
      <c r="AU54" s="126" t="str">
        <f>IF('Finalterm OVPAA-F-INS-055A RAW '!AU54="","",'Finalterm OVPAA-F-INS-055A RAW '!AU54/'Finalterm OVPAA-F-INS-055A RAW '!AU$17*100)</f>
        <v/>
      </c>
      <c r="AV54" s="126" t="str">
        <f>IF('Finalterm OVPAA-F-INS-055A RAW '!AV54="","",'Finalterm OVPAA-F-INS-055A RAW '!AV54/'Finalterm OVPAA-F-INS-055A RAW '!AV$17*100)</f>
        <v/>
      </c>
      <c r="AW54" s="126" t="str">
        <f>IF('Finalterm OVPAA-F-INS-055A RAW '!AW54="","",'Finalterm OVPAA-F-INS-055A RAW '!AW54/'Finalterm OVPAA-F-INS-055A RAW '!AW$17*100)</f>
        <v/>
      </c>
      <c r="AX54" s="126" t="str">
        <f>IF('Finalterm OVPAA-F-INS-055A RAW '!AX54="","",'Finalterm OVPAA-F-INS-055A RAW '!AX54/'Finalterm OVPAA-F-INS-055A RAW '!AX$17*100)</f>
        <v/>
      </c>
      <c r="AY54" s="126" t="str">
        <f>IF('Finalterm OVPAA-F-INS-055A RAW '!AY54="","",'Finalterm OVPAA-F-INS-055A RAW '!AY54/'Finalterm OVPAA-F-INS-055A RAW '!AY$17*100)</f>
        <v/>
      </c>
      <c r="AZ54" s="126" t="str">
        <f>IF('Finalterm OVPAA-F-INS-055A RAW '!AZ54="","",'Finalterm OVPAA-F-INS-055A RAW '!AZ54/'Finalterm OVPAA-F-INS-055A RAW '!AZ$17*100)</f>
        <v/>
      </c>
      <c r="BA54" s="126" t="str">
        <f>IF('Finalterm OVPAA-F-INS-055A RAW '!BA54="","",'Finalterm OVPAA-F-INS-055A RAW '!BA54/'Finalterm OVPAA-F-INS-055A RAW '!BA$17*100)</f>
        <v/>
      </c>
      <c r="BB54" s="126" t="str">
        <f>IF('Finalterm OVPAA-F-INS-055A RAW '!BB54="","",'Finalterm OVPAA-F-INS-055A RAW '!BB54/'Finalterm OVPAA-F-INS-055A RAW '!BB$17*100)</f>
        <v/>
      </c>
      <c r="BC54" s="126" t="str">
        <f>IF('Finalterm OVPAA-F-INS-055A RAW '!BC54="","",'Finalterm OVPAA-F-INS-055A RAW '!BC54/'Finalterm OVPAA-F-INS-055A RAW '!BC$17*100)</f>
        <v/>
      </c>
      <c r="BD54" s="126" t="str">
        <f>IF('Finalterm OVPAA-F-INS-055A RAW '!BD54="","",'Finalterm OVPAA-F-INS-055A RAW '!BD54/'Finalterm OVPAA-F-INS-055A RAW '!BD$17*100)</f>
        <v/>
      </c>
      <c r="BE54" s="126" t="str">
        <f>IF('Finalterm OVPAA-F-INS-055A RAW '!BE54="","",'Finalterm OVPAA-F-INS-055A RAW '!BE54/'Finalterm OVPAA-F-INS-055A RAW '!BE$17*100)</f>
        <v/>
      </c>
      <c r="BF54" s="126" t="str">
        <f>IF('Finalterm OVPAA-F-INS-055A RAW '!BF54="","",'Finalterm OVPAA-F-INS-055A RAW '!BF54/'Finalterm OVPAA-F-INS-055A RAW '!BF$17*100)</f>
        <v/>
      </c>
      <c r="BG54" s="126" t="str">
        <f>IF('Finalterm OVPAA-F-INS-055A RAW '!BG54="","",'Finalterm OVPAA-F-INS-055A RAW '!BG54/'Finalterm OVPAA-F-INS-055A RAW '!BG$17*100)</f>
        <v/>
      </c>
      <c r="BH54" s="126" t="str">
        <f>IF('Finalterm OVPAA-F-INS-055A RAW '!BH54="","",'Finalterm OVPAA-F-INS-055A RAW '!BH54/'Finalterm OVPAA-F-INS-055A RAW '!BH$17*100)</f>
        <v/>
      </c>
      <c r="BI54" s="126" t="str">
        <f>IF('Finalterm OVPAA-F-INS-055A RAW '!BI54="","",'Finalterm OVPAA-F-INS-055A RAW '!BI54/'Finalterm OVPAA-F-INS-055A RAW '!BI$17*100)</f>
        <v/>
      </c>
      <c r="BJ54" s="126" t="str">
        <f>IF('Finalterm OVPAA-F-INS-055A RAW '!BJ54="","",'Finalterm OVPAA-F-INS-055A RAW '!BJ54/'Finalterm OVPAA-F-INS-055A RAW '!BJ$17*100)</f>
        <v/>
      </c>
      <c r="BK54" s="126" t="str">
        <f>IF('Finalterm OVPAA-F-INS-055A RAW '!BK54="","",'Finalterm OVPAA-F-INS-055A RAW '!BK54/'Finalterm OVPAA-F-INS-055A RAW '!BK$17*100)</f>
        <v/>
      </c>
      <c r="BL54" s="126" t="str">
        <f>IF('Finalterm OVPAA-F-INS-055A RAW '!BL54="","",'Finalterm OVPAA-F-INS-055A RAW '!BL54/'Finalterm OVPAA-F-INS-055A RAW '!BL$17*100)</f>
        <v/>
      </c>
      <c r="BM54" s="126" t="str">
        <f>IF('Finalterm OVPAA-F-INS-055A RAW '!BM54="","",'Finalterm OVPAA-F-INS-055A RAW '!BM54/'Finalterm OVPAA-F-INS-055A RAW '!BM$17*100)</f>
        <v/>
      </c>
      <c r="BN54" s="126" t="str">
        <f>IF('Finalterm OVPAA-F-INS-055A RAW '!BN54="","",'Finalterm OVPAA-F-INS-055A RAW '!BN54/'Finalterm OVPAA-F-INS-055A RAW '!BN$17*100)</f>
        <v/>
      </c>
      <c r="BO54" s="126" t="str">
        <f>IF('Finalterm OVPAA-F-INS-055A RAW '!BO54="","",'Finalterm OVPAA-F-INS-055A RAW '!BO54/'Finalterm OVPAA-F-INS-055A RAW '!BO$17*100)</f>
        <v/>
      </c>
      <c r="BP54" s="126" t="str">
        <f>IF('Finalterm OVPAA-F-INS-055A RAW '!BP54="","",'Finalterm OVPAA-F-INS-055A RAW '!BP54/'Finalterm OVPAA-F-INS-055A RAW '!BP$17*100)</f>
        <v/>
      </c>
      <c r="BQ54" s="126" t="str">
        <f>IF('Finalterm OVPAA-F-INS-055A RAW '!BQ54="","",'Finalterm OVPAA-F-INS-055A RAW '!BQ54/'Finalterm OVPAA-F-INS-055A RAW '!BQ$17*100)</f>
        <v/>
      </c>
      <c r="BR54" s="126" t="str">
        <f>IF('Finalterm OVPAA-F-INS-055A RAW '!BR54="","",'Finalterm OVPAA-F-INS-055A RAW '!BR54/'Finalterm OVPAA-F-INS-055A RAW '!BR$17*100)</f>
        <v/>
      </c>
      <c r="BS54" s="126" t="str">
        <f>IF('Finalterm OVPAA-F-INS-055A RAW '!BS54="","",'Finalterm OVPAA-F-INS-055A RAW '!BS54/'Finalterm OVPAA-F-INS-055A RAW '!BS$17*100)</f>
        <v/>
      </c>
      <c r="BT54" s="126" t="str">
        <f>IF('Finalterm OVPAA-F-INS-055A RAW '!BT54="","",'Finalterm OVPAA-F-INS-055A RAW '!BT54/'Finalterm OVPAA-F-INS-055A RAW '!BT$17*100)</f>
        <v/>
      </c>
      <c r="BU54" s="127" t="str">
        <f t="array" ref="BU54">IF('Finalterm OVPAA-F-INS-055A RAW '!$G54="","",IF((SUMPRODUCT(--ISBLANK('Finalterm OVPAA-F-INS-055A RAW '!H54:BT54))=COLUMNS('Finalterm OVPAA-F-INS-055A RAW '!H54:BT54))=TRUE,"",(((COUNTA('Finalterm OVPAA-F-INS-055A RAW '!$H$17:$BT$17)+COUNTBLANK('Finalterm OVPAA-F-INS-055A RAW '!H54:BT54))-COLUMNS('Finalterm OVPAA-F-INS-055A RAW '!H54:BT54))*5+SUM(H54:BT54))/COUNTA('Finalterm OVPAA-F-INS-055A RAW '!$H$17:$BT$17)))</f>
        <v/>
      </c>
      <c r="BV54" s="165" t="str">
        <f>IF(BU54="","",VLOOKUP(BU54,IF('Midterm OVPAA-F-INS-055A RAW SC'!$V$12=0.5,TRANSMUTATION!$C$4:$D$17,TRANSMUTATION!$G$4:$H$17),2,TRUE))</f>
        <v/>
      </c>
      <c r="BW54" s="129" t="str">
        <f>IF('Finalterm OVPAA-F-INS-055A RAW '!BU54="","",'Finalterm OVPAA-F-INS-055A RAW '!BU54/'Finalterm OVPAA-F-INS-055A RAW '!BU$17*100)</f>
        <v/>
      </c>
      <c r="BX54" s="130" t="str">
        <f>IF('Finalterm OVPAA-F-INS-055A RAW '!BV54="","",'Finalterm OVPAA-F-INS-055A RAW '!BV54/'Finalterm OVPAA-F-INS-055A RAW '!BV$17*100)</f>
        <v/>
      </c>
      <c r="BY54" s="130" t="str">
        <f>IF('Finalterm OVPAA-F-INS-055A RAW '!BW54="","",'Finalterm OVPAA-F-INS-055A RAW '!BW54/'Finalterm OVPAA-F-INS-055A RAW '!BW$17*100)</f>
        <v/>
      </c>
      <c r="BZ54" s="130" t="str">
        <f>IF('Finalterm OVPAA-F-INS-055A RAW '!BX54="","",'Finalterm OVPAA-F-INS-055A RAW '!BX54/'Finalterm OVPAA-F-INS-055A RAW '!BX$17*100)</f>
        <v/>
      </c>
      <c r="CA54" s="130" t="str">
        <f>IF('Finalterm OVPAA-F-INS-055A RAW '!BY54="","",'Finalterm OVPAA-F-INS-055A RAW '!BY54/'Finalterm OVPAA-F-INS-055A RAW '!BY$17*100)</f>
        <v/>
      </c>
      <c r="CB54" s="130" t="str">
        <f>IF('Finalterm OVPAA-F-INS-055A RAW '!BZ54="","",'Finalterm OVPAA-F-INS-055A RAW '!BZ54/'Finalterm OVPAA-F-INS-055A RAW '!BZ$17*100)</f>
        <v/>
      </c>
      <c r="CC54" s="130" t="str">
        <f>IF('Finalterm OVPAA-F-INS-055A RAW '!CA54="","",'Finalterm OVPAA-F-INS-055A RAW '!CA54/'Finalterm OVPAA-F-INS-055A RAW '!CA$17*100)</f>
        <v/>
      </c>
      <c r="CD54" s="130" t="str">
        <f>IF('Finalterm OVPAA-F-INS-055A RAW '!CB54="","",'Finalterm OVPAA-F-INS-055A RAW '!CB54/'Finalterm OVPAA-F-INS-055A RAW '!CB$17*100)</f>
        <v/>
      </c>
      <c r="CE54" s="130" t="str">
        <f>IF('Finalterm OVPAA-F-INS-055A RAW '!CC54="","",'Finalterm OVPAA-F-INS-055A RAW '!CC54/'Finalterm OVPAA-F-INS-055A RAW '!CC$17*100)</f>
        <v/>
      </c>
      <c r="CF54" s="130" t="str">
        <f>IF('Finalterm OVPAA-F-INS-055A RAW '!CD54="","",'Finalterm OVPAA-F-INS-055A RAW '!CD54/'Finalterm OVPAA-F-INS-055A RAW '!CD$17*100)</f>
        <v/>
      </c>
      <c r="CG54" s="130" t="str">
        <f>IF('Finalterm OVPAA-F-INS-055A RAW '!CE54="","",'Finalterm OVPAA-F-INS-055A RAW '!CE54/'Finalterm OVPAA-F-INS-055A RAW '!CE$17*100)</f>
        <v/>
      </c>
      <c r="CH54" s="130" t="str">
        <f>IF('Finalterm OVPAA-F-INS-055A RAW '!CF54="","",'Finalterm OVPAA-F-INS-055A RAW '!CF54/'Finalterm OVPAA-F-INS-055A RAW '!CF$17*100)</f>
        <v/>
      </c>
      <c r="CI54" s="130" t="str">
        <f>IF('Finalterm OVPAA-F-INS-055A RAW '!CG54="","",'Finalterm OVPAA-F-INS-055A RAW '!CG54/'Finalterm OVPAA-F-INS-055A RAW '!CG$17*100)</f>
        <v/>
      </c>
      <c r="CJ54" s="130" t="str">
        <f>IF('Finalterm OVPAA-F-INS-055A RAW '!CH54="","",'Finalterm OVPAA-F-INS-055A RAW '!CH54/'Finalterm OVPAA-F-INS-055A RAW '!CH$17*100)</f>
        <v/>
      </c>
      <c r="CK54" s="130" t="str">
        <f>IF('Finalterm OVPAA-F-INS-055A RAW '!CI54="","",'Finalterm OVPAA-F-INS-055A RAW '!CI54/'Finalterm OVPAA-F-INS-055A RAW '!CI$17*100)</f>
        <v/>
      </c>
      <c r="CL54" s="130" t="str">
        <f>IF('Finalterm OVPAA-F-INS-055A RAW '!CJ54="","",'Finalterm OVPAA-F-INS-055A RAW '!CJ54/'Finalterm OVPAA-F-INS-055A RAW '!CJ$17*100)</f>
        <v/>
      </c>
      <c r="CM54" s="130" t="str">
        <f>IF('Finalterm OVPAA-F-INS-055A RAW '!CK54="","",'Finalterm OVPAA-F-INS-055A RAW '!CK54/'Finalterm OVPAA-F-INS-055A RAW '!CK$17*100)</f>
        <v/>
      </c>
      <c r="CN54" s="130" t="str">
        <f>IF('Finalterm OVPAA-F-INS-055A RAW '!CL54="","",'Finalterm OVPAA-F-INS-055A RAW '!CL54/'Finalterm OVPAA-F-INS-055A RAW '!CL$17*100)</f>
        <v/>
      </c>
      <c r="CO54" s="130" t="str">
        <f>IF('Finalterm OVPAA-F-INS-055A RAW '!CM54="","",'Finalterm OVPAA-F-INS-055A RAW '!CM54/'Finalterm OVPAA-F-INS-055A RAW '!CM$17*100)</f>
        <v/>
      </c>
      <c r="CP54" s="130" t="str">
        <f>IF('Finalterm OVPAA-F-INS-055A RAW '!CN54="","",'Finalterm OVPAA-F-INS-055A RAW '!CN54/'Finalterm OVPAA-F-INS-055A RAW '!CN$17*100)</f>
        <v/>
      </c>
      <c r="CQ54" s="131" t="str">
        <f t="array" ref="CQ54">IF('Midterm OVPAA-F-INS-055A RAW SC'!G54="","",IF((SUMPRODUCT(--ISBLANK('Finalterm OVPAA-F-INS-055A RAW '!BU54:CN54))=COLUMNS('Finalterm OVPAA-F-INS-055A RAW '!BU54:CN54))=TRUE,"",(((COUNTA('Finalterm OVPAA-F-INS-055A RAW '!$BU$17:$CN$17)+COUNTBLANK('Finalterm OVPAA-F-INS-055A RAW '!BU54:CN54))-COLUMNS('Finalterm OVPAA-F-INS-055A RAW '!BU54:CN54))*5+SUM(BW54:CP54))/COUNTA('Finalterm OVPAA-F-INS-055A RAW '!$BU$17:$CN$17)))</f>
        <v/>
      </c>
      <c r="CR54" s="132" t="str">
        <f>IF(CQ54="","",VLOOKUP(CQ54,IF('Midterm OVPAA-F-INS-055A RAW SC'!$V$12=0.5,TRANSMUTATION!$C$4:$D$17,TRANSMUTATION!$G$4:$H$17),2,TRUE))</f>
        <v/>
      </c>
      <c r="CS54" s="133" t="str">
        <f>IF('Finalterm OVPAA-F-INS-055A RAW '!CO54="","",'Finalterm OVPAA-F-INS-055A RAW '!CO54/'Finalterm OVPAA-F-INS-055A RAW '!CO$17*100)</f>
        <v/>
      </c>
      <c r="CT54" s="133" t="str">
        <f>IF('Finalterm OVPAA-F-INS-055A RAW '!CP54="","",'Finalterm OVPAA-F-INS-055A RAW '!CP54/'Finalterm OVPAA-F-INS-055A RAW '!CP$17*100)</f>
        <v/>
      </c>
      <c r="CU54" s="133" t="str">
        <f>IF('Finalterm OVPAA-F-INS-055A RAW '!CQ54="","",'Finalterm OVPAA-F-INS-055A RAW '!CQ54/'Finalterm OVPAA-F-INS-055A RAW '!CQ$17*100)</f>
        <v/>
      </c>
      <c r="CV54" s="133" t="str">
        <f>IF('Finalterm OVPAA-F-INS-055A RAW '!CR54="","",'Finalterm OVPAA-F-INS-055A RAW '!CR54/'Finalterm OVPAA-F-INS-055A RAW '!CR$17*100)</f>
        <v/>
      </c>
      <c r="CW54" s="133" t="str">
        <f>IF('Finalterm OVPAA-F-INS-055A RAW '!CS54="","",'Finalterm OVPAA-F-INS-055A RAW '!CS54/'Finalterm OVPAA-F-INS-055A RAW '!CS$17*100)</f>
        <v/>
      </c>
      <c r="CX54" s="133" t="str">
        <f>IF('Finalterm OVPAA-F-INS-055A RAW '!CT54="","",'Finalterm OVPAA-F-INS-055A RAW '!CT54/'Finalterm OVPAA-F-INS-055A RAW '!CT$17*100)</f>
        <v/>
      </c>
      <c r="CY54" s="133" t="str">
        <f>IF('Finalterm OVPAA-F-INS-055A RAW '!CU54="","",'Finalterm OVPAA-F-INS-055A RAW '!CU54/'Finalterm OVPAA-F-INS-055A RAW '!CU$17*100)</f>
        <v/>
      </c>
      <c r="CZ54" s="133" t="str">
        <f>IF('Finalterm OVPAA-F-INS-055A RAW '!CV54="","",'Finalterm OVPAA-F-INS-055A RAW '!CV54/'Finalterm OVPAA-F-INS-055A RAW '!CV$17*100)</f>
        <v/>
      </c>
      <c r="DA54" s="133" t="str">
        <f>IF('Finalterm OVPAA-F-INS-055A RAW '!CW54="","",'Finalterm OVPAA-F-INS-055A RAW '!CW54/'Finalterm OVPAA-F-INS-055A RAW '!CW$17*100)</f>
        <v/>
      </c>
      <c r="DB54" s="133" t="str">
        <f>IF('Finalterm OVPAA-F-INS-055A RAW '!CX54="","",'Finalterm OVPAA-F-INS-055A RAW '!CX54/'Finalterm OVPAA-F-INS-055A RAW '!CX$17*100)</f>
        <v/>
      </c>
      <c r="DC54" s="134" t="str">
        <f t="array" ref="DC54">IF('Midterm OVPAA-F-INS-055A RAW SC'!$G54="","",IF((SUMPRODUCT(--ISBLANK('Finalterm OVPAA-F-INS-055A RAW '!CO54:CX54))=COLUMNS('Finalterm OVPAA-F-INS-055A RAW '!CO54:CX54))=TRUE,"",(((COUNTA('Finalterm OVPAA-F-INS-055A RAW '!$CO$17:$CX$17)+COUNTBLANK('Finalterm OVPAA-F-INS-055A RAW '!CO54:CX54))-COLUMNS('Finalterm OVPAA-F-INS-055A RAW '!CO54:CX54))*5+SUM(CS54:DB54))/COUNTA('Finalterm OVPAA-F-INS-055A RAW '!$CO$17:$CX$17)))</f>
        <v/>
      </c>
      <c r="DD54" s="135" t="str">
        <f>IF(DC54="","",VLOOKUP(DC54,IF('Midterm OVPAA-F-INS-055A RAW SC'!$V$12=0.5,TRANSMUTATION!$C$4:$D$17,TRANSMUTATION!$G$4:$H$17),2,TRUE))</f>
        <v/>
      </c>
      <c r="DE54" s="136" t="str">
        <f t="shared" si="1"/>
        <v/>
      </c>
      <c r="DF54" s="166" t="str">
        <f t="shared" si="2"/>
        <v/>
      </c>
      <c r="DG54" s="167" t="str">
        <f t="shared" si="3"/>
        <v/>
      </c>
      <c r="DH54" s="168" t="str">
        <f t="shared" si="4"/>
        <v/>
      </c>
      <c r="DI54" s="169" t="str">
        <f t="shared" si="5"/>
        <v/>
      </c>
    </row>
    <row r="55" spans="5:113" ht="15.75" hidden="1" customHeight="1">
      <c r="E55" s="59">
        <v>38</v>
      </c>
      <c r="F55" s="124" t="str">
        <f>IF(NOT(ISBLANK('Midterm OVPAA-F-INS-055A RAW SC'!F55)),'Midterm OVPAA-F-INS-055A RAW SC'!F55,"")</f>
        <v/>
      </c>
      <c r="G55" s="125" t="str">
        <f>IF(NOT(ISBLANK('Midterm OVPAA-F-INS-055A RAW SC'!G55)),'Midterm OVPAA-F-INS-055A RAW SC'!G55,"")</f>
        <v/>
      </c>
      <c r="H55" s="126" t="str">
        <f>IF('Finalterm OVPAA-F-INS-055A RAW '!H55="","",'Finalterm OVPAA-F-INS-055A RAW '!H55/'Finalterm OVPAA-F-INS-055A RAW '!H$17*100)</f>
        <v/>
      </c>
      <c r="I55" s="126" t="str">
        <f>IF('Finalterm OVPAA-F-INS-055A RAW '!I55="","",'Finalterm OVPAA-F-INS-055A RAW '!I55/'Finalterm OVPAA-F-INS-055A RAW '!I$17*100)</f>
        <v/>
      </c>
      <c r="J55" s="126" t="str">
        <f>IF('Finalterm OVPAA-F-INS-055A RAW '!J55="","",'Finalterm OVPAA-F-INS-055A RAW '!J55/'Finalterm OVPAA-F-INS-055A RAW '!J$17*100)</f>
        <v/>
      </c>
      <c r="K55" s="126" t="str">
        <f>IF('Finalterm OVPAA-F-INS-055A RAW '!K55="","",'Finalterm OVPAA-F-INS-055A RAW '!K55/'Finalterm OVPAA-F-INS-055A RAW '!K$17*100)</f>
        <v/>
      </c>
      <c r="L55" s="126" t="str">
        <f>IF('Finalterm OVPAA-F-INS-055A RAW '!L55="","",'Finalterm OVPAA-F-INS-055A RAW '!L55/'Finalterm OVPAA-F-INS-055A RAW '!L$17*100)</f>
        <v/>
      </c>
      <c r="M55" s="126" t="str">
        <f>IF('Finalterm OVPAA-F-INS-055A RAW '!M55="","",'Finalterm OVPAA-F-INS-055A RAW '!M55/'Finalterm OVPAA-F-INS-055A RAW '!M$17*100)</f>
        <v/>
      </c>
      <c r="N55" s="126" t="str">
        <f>IF('Finalterm OVPAA-F-INS-055A RAW '!N55="","",'Finalterm OVPAA-F-INS-055A RAW '!N55/'Finalterm OVPAA-F-INS-055A RAW '!N$17*100)</f>
        <v/>
      </c>
      <c r="O55" s="126" t="str">
        <f>IF('Finalterm OVPAA-F-INS-055A RAW '!O55="","",'Finalterm OVPAA-F-INS-055A RAW '!O55/'Finalterm OVPAA-F-INS-055A RAW '!O$17*100)</f>
        <v/>
      </c>
      <c r="P55" s="126" t="str">
        <f>IF('Finalterm OVPAA-F-INS-055A RAW '!P55="","",'Finalterm OVPAA-F-INS-055A RAW '!P55/'Finalterm OVPAA-F-INS-055A RAW '!P$17*100)</f>
        <v/>
      </c>
      <c r="Q55" s="126" t="str">
        <f>IF('Finalterm OVPAA-F-INS-055A RAW '!Q55="","",'Finalterm OVPAA-F-INS-055A RAW '!Q55/'Finalterm OVPAA-F-INS-055A RAW '!Q$17*100)</f>
        <v/>
      </c>
      <c r="R55" s="126" t="str">
        <f>IF('Finalterm OVPAA-F-INS-055A RAW '!R55="","",'Finalterm OVPAA-F-INS-055A RAW '!R55/'Finalterm OVPAA-F-INS-055A RAW '!R$17*100)</f>
        <v/>
      </c>
      <c r="S55" s="126" t="str">
        <f>IF('Finalterm OVPAA-F-INS-055A RAW '!S55="","",'Finalterm OVPAA-F-INS-055A RAW '!S55/'Finalterm OVPAA-F-INS-055A RAW '!S$17*100)</f>
        <v/>
      </c>
      <c r="T55" s="126" t="str">
        <f>IF('Finalterm OVPAA-F-INS-055A RAW '!T55="","",'Finalterm OVPAA-F-INS-055A RAW '!T55/'Finalterm OVPAA-F-INS-055A RAW '!T$17*100)</f>
        <v/>
      </c>
      <c r="U55" s="126" t="str">
        <f>IF('Finalterm OVPAA-F-INS-055A RAW '!U55="","",'Finalterm OVPAA-F-INS-055A RAW '!U55/'Finalterm OVPAA-F-INS-055A RAW '!U$17*100)</f>
        <v/>
      </c>
      <c r="V55" s="126" t="str">
        <f>IF('Finalterm OVPAA-F-INS-055A RAW '!V55="","",'Finalterm OVPAA-F-INS-055A RAW '!V55/'Finalterm OVPAA-F-INS-055A RAW '!V$17*100)</f>
        <v/>
      </c>
      <c r="W55" s="126" t="str">
        <f>IF('Finalterm OVPAA-F-INS-055A RAW '!W55="","",'Finalterm OVPAA-F-INS-055A RAW '!W55/'Finalterm OVPAA-F-INS-055A RAW '!W$17*100)</f>
        <v/>
      </c>
      <c r="X55" s="126" t="str">
        <f>IF('Finalterm OVPAA-F-INS-055A RAW '!X55="","",'Finalterm OVPAA-F-INS-055A RAW '!X55/'Finalterm OVPAA-F-INS-055A RAW '!X$17*100)</f>
        <v/>
      </c>
      <c r="Y55" s="126" t="str">
        <f>IF('Finalterm OVPAA-F-INS-055A RAW '!Y55="","",'Finalterm OVPAA-F-INS-055A RAW '!Y55/'Finalterm OVPAA-F-INS-055A RAW '!Y$17*100)</f>
        <v/>
      </c>
      <c r="Z55" s="126" t="str">
        <f>IF('Finalterm OVPAA-F-INS-055A RAW '!Z55="","",'Finalterm OVPAA-F-INS-055A RAW '!Z55/'Finalterm OVPAA-F-INS-055A RAW '!Z$17*100)</f>
        <v/>
      </c>
      <c r="AA55" s="126" t="str">
        <f>IF('Finalterm OVPAA-F-INS-055A RAW '!AA55="","",'Finalterm OVPAA-F-INS-055A RAW '!AA55/'Finalterm OVPAA-F-INS-055A RAW '!AA$17*100)</f>
        <v/>
      </c>
      <c r="AB55" s="126" t="str">
        <f>IF('Finalterm OVPAA-F-INS-055A RAW '!AB55="","",'Finalterm OVPAA-F-INS-055A RAW '!AB55/'Finalterm OVPAA-F-INS-055A RAW '!AB$17*100)</f>
        <v/>
      </c>
      <c r="AC55" s="126" t="str">
        <f>IF('Finalterm OVPAA-F-INS-055A RAW '!AC55="","",'Finalterm OVPAA-F-INS-055A RAW '!AC55/'Finalterm OVPAA-F-INS-055A RAW '!AC$17*100)</f>
        <v/>
      </c>
      <c r="AD55" s="126" t="str">
        <f>IF('Finalterm OVPAA-F-INS-055A RAW '!AD55="","",'Finalterm OVPAA-F-INS-055A RAW '!AD55/'Finalterm OVPAA-F-INS-055A RAW '!AD$17*100)</f>
        <v/>
      </c>
      <c r="AE55" s="126" t="str">
        <f>IF('Finalterm OVPAA-F-INS-055A RAW '!AE55="","",'Finalterm OVPAA-F-INS-055A RAW '!AE55/'Finalterm OVPAA-F-INS-055A RAW '!AE$17*100)</f>
        <v/>
      </c>
      <c r="AF55" s="126" t="str">
        <f>IF('Finalterm OVPAA-F-INS-055A RAW '!AF55="","",'Finalterm OVPAA-F-INS-055A RAW '!AF55/'Finalterm OVPAA-F-INS-055A RAW '!AF$17*100)</f>
        <v/>
      </c>
      <c r="AG55" s="126" t="str">
        <f>IF('Finalterm OVPAA-F-INS-055A RAW '!AG55="","",'Finalterm OVPAA-F-INS-055A RAW '!AG55/'Finalterm OVPAA-F-INS-055A RAW '!AG$17*100)</f>
        <v/>
      </c>
      <c r="AH55" s="126" t="str">
        <f>IF('Finalterm OVPAA-F-INS-055A RAW '!AH55="","",'Finalterm OVPAA-F-INS-055A RAW '!AH55/'Finalterm OVPAA-F-INS-055A RAW '!AH$17*100)</f>
        <v/>
      </c>
      <c r="AI55" s="126" t="str">
        <f>IF('Finalterm OVPAA-F-INS-055A RAW '!AI55="","",'Finalterm OVPAA-F-INS-055A RAW '!AI55/'Finalterm OVPAA-F-INS-055A RAW '!AI$17*100)</f>
        <v/>
      </c>
      <c r="AJ55" s="126" t="str">
        <f>IF('Finalterm OVPAA-F-INS-055A RAW '!AJ55="","",'Finalterm OVPAA-F-INS-055A RAW '!AJ55/'Finalterm OVPAA-F-INS-055A RAW '!AJ$17*100)</f>
        <v/>
      </c>
      <c r="AK55" s="126" t="str">
        <f>IF('Finalterm OVPAA-F-INS-055A RAW '!AK55="","",'Finalterm OVPAA-F-INS-055A RAW '!AK55/'Finalterm OVPAA-F-INS-055A RAW '!AK$17*100)</f>
        <v/>
      </c>
      <c r="AL55" s="126" t="str">
        <f>IF('Finalterm OVPAA-F-INS-055A RAW '!AL55="","",'Finalterm OVPAA-F-INS-055A RAW '!AL55/'Finalterm OVPAA-F-INS-055A RAW '!AL$17*100)</f>
        <v/>
      </c>
      <c r="AM55" s="126" t="str">
        <f>IF('Finalterm OVPAA-F-INS-055A RAW '!AM55="","",'Finalterm OVPAA-F-INS-055A RAW '!AM55/'Finalterm OVPAA-F-INS-055A RAW '!AM$17*100)</f>
        <v/>
      </c>
      <c r="AN55" s="126" t="str">
        <f>IF('Finalterm OVPAA-F-INS-055A RAW '!AN55="","",'Finalterm OVPAA-F-INS-055A RAW '!AN55/'Finalterm OVPAA-F-INS-055A RAW '!AN$17*100)</f>
        <v/>
      </c>
      <c r="AO55" s="126" t="str">
        <f>IF('Finalterm OVPAA-F-INS-055A RAW '!AO55="","",'Finalterm OVPAA-F-INS-055A RAW '!AO55/'Finalterm OVPAA-F-INS-055A RAW '!AO$17*100)</f>
        <v/>
      </c>
      <c r="AP55" s="126" t="str">
        <f>IF('Finalterm OVPAA-F-INS-055A RAW '!AP55="","",'Finalterm OVPAA-F-INS-055A RAW '!AP55/'Finalterm OVPAA-F-INS-055A RAW '!AP$17*100)</f>
        <v/>
      </c>
      <c r="AQ55" s="126" t="str">
        <f>IF('Finalterm OVPAA-F-INS-055A RAW '!AQ55="","",'Finalterm OVPAA-F-INS-055A RAW '!AQ55/'Finalterm OVPAA-F-INS-055A RAW '!AQ$17*100)</f>
        <v/>
      </c>
      <c r="AR55" s="126" t="str">
        <f>IF('Finalterm OVPAA-F-INS-055A RAW '!AR55="","",'Finalterm OVPAA-F-INS-055A RAW '!AR55/'Finalterm OVPAA-F-INS-055A RAW '!AR$17*100)</f>
        <v/>
      </c>
      <c r="AS55" s="126" t="str">
        <f>IF('Finalterm OVPAA-F-INS-055A RAW '!AS55="","",'Finalterm OVPAA-F-INS-055A RAW '!AS55/'Finalterm OVPAA-F-INS-055A RAW '!AS$17*100)</f>
        <v/>
      </c>
      <c r="AT55" s="126" t="str">
        <f>IF('Finalterm OVPAA-F-INS-055A RAW '!AT55="","",'Finalterm OVPAA-F-INS-055A RAW '!AT55/'Finalterm OVPAA-F-INS-055A RAW '!AT$17*100)</f>
        <v/>
      </c>
      <c r="AU55" s="126" t="str">
        <f>IF('Finalterm OVPAA-F-INS-055A RAW '!AU55="","",'Finalterm OVPAA-F-INS-055A RAW '!AU55/'Finalterm OVPAA-F-INS-055A RAW '!AU$17*100)</f>
        <v/>
      </c>
      <c r="AV55" s="126" t="str">
        <f>IF('Finalterm OVPAA-F-INS-055A RAW '!AV55="","",'Finalterm OVPAA-F-INS-055A RAW '!AV55/'Finalterm OVPAA-F-INS-055A RAW '!AV$17*100)</f>
        <v/>
      </c>
      <c r="AW55" s="126" t="str">
        <f>IF('Finalterm OVPAA-F-INS-055A RAW '!AW55="","",'Finalterm OVPAA-F-INS-055A RAW '!AW55/'Finalterm OVPAA-F-INS-055A RAW '!AW$17*100)</f>
        <v/>
      </c>
      <c r="AX55" s="126" t="str">
        <f>IF('Finalterm OVPAA-F-INS-055A RAW '!AX55="","",'Finalterm OVPAA-F-INS-055A RAW '!AX55/'Finalterm OVPAA-F-INS-055A RAW '!AX$17*100)</f>
        <v/>
      </c>
      <c r="AY55" s="126" t="str">
        <f>IF('Finalterm OVPAA-F-INS-055A RAW '!AY55="","",'Finalterm OVPAA-F-INS-055A RAW '!AY55/'Finalterm OVPAA-F-INS-055A RAW '!AY$17*100)</f>
        <v/>
      </c>
      <c r="AZ55" s="126" t="str">
        <f>IF('Finalterm OVPAA-F-INS-055A RAW '!AZ55="","",'Finalterm OVPAA-F-INS-055A RAW '!AZ55/'Finalterm OVPAA-F-INS-055A RAW '!AZ$17*100)</f>
        <v/>
      </c>
      <c r="BA55" s="126" t="str">
        <f>IF('Finalterm OVPAA-F-INS-055A RAW '!BA55="","",'Finalterm OVPAA-F-INS-055A RAW '!BA55/'Finalterm OVPAA-F-INS-055A RAW '!BA$17*100)</f>
        <v/>
      </c>
      <c r="BB55" s="126" t="str">
        <f>IF('Finalterm OVPAA-F-INS-055A RAW '!BB55="","",'Finalterm OVPAA-F-INS-055A RAW '!BB55/'Finalterm OVPAA-F-INS-055A RAW '!BB$17*100)</f>
        <v/>
      </c>
      <c r="BC55" s="126" t="str">
        <f>IF('Finalterm OVPAA-F-INS-055A RAW '!BC55="","",'Finalterm OVPAA-F-INS-055A RAW '!BC55/'Finalterm OVPAA-F-INS-055A RAW '!BC$17*100)</f>
        <v/>
      </c>
      <c r="BD55" s="126" t="str">
        <f>IF('Finalterm OVPAA-F-INS-055A RAW '!BD55="","",'Finalterm OVPAA-F-INS-055A RAW '!BD55/'Finalterm OVPAA-F-INS-055A RAW '!BD$17*100)</f>
        <v/>
      </c>
      <c r="BE55" s="126" t="str">
        <f>IF('Finalterm OVPAA-F-INS-055A RAW '!BE55="","",'Finalterm OVPAA-F-INS-055A RAW '!BE55/'Finalterm OVPAA-F-INS-055A RAW '!BE$17*100)</f>
        <v/>
      </c>
      <c r="BF55" s="126" t="str">
        <f>IF('Finalterm OVPAA-F-INS-055A RAW '!BF55="","",'Finalterm OVPAA-F-INS-055A RAW '!BF55/'Finalterm OVPAA-F-INS-055A RAW '!BF$17*100)</f>
        <v/>
      </c>
      <c r="BG55" s="126" t="str">
        <f>IF('Finalterm OVPAA-F-INS-055A RAW '!BG55="","",'Finalterm OVPAA-F-INS-055A RAW '!BG55/'Finalterm OVPAA-F-INS-055A RAW '!BG$17*100)</f>
        <v/>
      </c>
      <c r="BH55" s="126" t="str">
        <f>IF('Finalterm OVPAA-F-INS-055A RAW '!BH55="","",'Finalterm OVPAA-F-INS-055A RAW '!BH55/'Finalterm OVPAA-F-INS-055A RAW '!BH$17*100)</f>
        <v/>
      </c>
      <c r="BI55" s="126" t="str">
        <f>IF('Finalterm OVPAA-F-INS-055A RAW '!BI55="","",'Finalterm OVPAA-F-INS-055A RAW '!BI55/'Finalterm OVPAA-F-INS-055A RAW '!BI$17*100)</f>
        <v/>
      </c>
      <c r="BJ55" s="126" t="str">
        <f>IF('Finalterm OVPAA-F-INS-055A RAW '!BJ55="","",'Finalterm OVPAA-F-INS-055A RAW '!BJ55/'Finalterm OVPAA-F-INS-055A RAW '!BJ$17*100)</f>
        <v/>
      </c>
      <c r="BK55" s="126" t="str">
        <f>IF('Finalterm OVPAA-F-INS-055A RAW '!BK55="","",'Finalterm OVPAA-F-INS-055A RAW '!BK55/'Finalterm OVPAA-F-INS-055A RAW '!BK$17*100)</f>
        <v/>
      </c>
      <c r="BL55" s="126" t="str">
        <f>IF('Finalterm OVPAA-F-INS-055A RAW '!BL55="","",'Finalterm OVPAA-F-INS-055A RAW '!BL55/'Finalterm OVPAA-F-INS-055A RAW '!BL$17*100)</f>
        <v/>
      </c>
      <c r="BM55" s="126" t="str">
        <f>IF('Finalterm OVPAA-F-INS-055A RAW '!BM55="","",'Finalterm OVPAA-F-INS-055A RAW '!BM55/'Finalterm OVPAA-F-INS-055A RAW '!BM$17*100)</f>
        <v/>
      </c>
      <c r="BN55" s="126" t="str">
        <f>IF('Finalterm OVPAA-F-INS-055A RAW '!BN55="","",'Finalterm OVPAA-F-INS-055A RAW '!BN55/'Finalterm OVPAA-F-INS-055A RAW '!BN$17*100)</f>
        <v/>
      </c>
      <c r="BO55" s="126" t="str">
        <f>IF('Finalterm OVPAA-F-INS-055A RAW '!BO55="","",'Finalterm OVPAA-F-INS-055A RAW '!BO55/'Finalterm OVPAA-F-INS-055A RAW '!BO$17*100)</f>
        <v/>
      </c>
      <c r="BP55" s="126" t="str">
        <f>IF('Finalterm OVPAA-F-INS-055A RAW '!BP55="","",'Finalterm OVPAA-F-INS-055A RAW '!BP55/'Finalterm OVPAA-F-INS-055A RAW '!BP$17*100)</f>
        <v/>
      </c>
      <c r="BQ55" s="126" t="str">
        <f>IF('Finalterm OVPAA-F-INS-055A RAW '!BQ55="","",'Finalterm OVPAA-F-INS-055A RAW '!BQ55/'Finalterm OVPAA-F-INS-055A RAW '!BQ$17*100)</f>
        <v/>
      </c>
      <c r="BR55" s="126" t="str">
        <f>IF('Finalterm OVPAA-F-INS-055A RAW '!BR55="","",'Finalterm OVPAA-F-INS-055A RAW '!BR55/'Finalterm OVPAA-F-INS-055A RAW '!BR$17*100)</f>
        <v/>
      </c>
      <c r="BS55" s="126" t="str">
        <f>IF('Finalterm OVPAA-F-INS-055A RAW '!BS55="","",'Finalterm OVPAA-F-INS-055A RAW '!BS55/'Finalterm OVPAA-F-INS-055A RAW '!BS$17*100)</f>
        <v/>
      </c>
      <c r="BT55" s="126" t="str">
        <f>IF('Finalterm OVPAA-F-INS-055A RAW '!BT55="","",'Finalterm OVPAA-F-INS-055A RAW '!BT55/'Finalterm OVPAA-F-INS-055A RAW '!BT$17*100)</f>
        <v/>
      </c>
      <c r="BU55" s="127" t="str">
        <f t="array" ref="BU55">IF('Finalterm OVPAA-F-INS-055A RAW '!$G55="","",IF((SUMPRODUCT(--ISBLANK('Finalterm OVPAA-F-INS-055A RAW '!H55:BT55))=COLUMNS('Finalterm OVPAA-F-INS-055A RAW '!H55:BT55))=TRUE,"",(((COUNTA('Finalterm OVPAA-F-INS-055A RAW '!$H$17:$BT$17)+COUNTBLANK('Finalterm OVPAA-F-INS-055A RAW '!H55:BT55))-COLUMNS('Finalterm OVPAA-F-INS-055A RAW '!H55:BT55))*5+SUM(H55:BT55))/COUNTA('Finalterm OVPAA-F-INS-055A RAW '!$H$17:$BT$17)))</f>
        <v/>
      </c>
      <c r="BV55" s="165" t="str">
        <f>IF(BU55="","",VLOOKUP(BU55,IF('Midterm OVPAA-F-INS-055A RAW SC'!$V$12=0.5,TRANSMUTATION!$C$4:$D$17,TRANSMUTATION!$G$4:$H$17),2,TRUE))</f>
        <v/>
      </c>
      <c r="BW55" s="129" t="str">
        <f>IF('Finalterm OVPAA-F-INS-055A RAW '!BU55="","",'Finalterm OVPAA-F-INS-055A RAW '!BU55/'Finalterm OVPAA-F-INS-055A RAW '!BU$17*100)</f>
        <v/>
      </c>
      <c r="BX55" s="130" t="str">
        <f>IF('Finalterm OVPAA-F-INS-055A RAW '!BV55="","",'Finalterm OVPAA-F-INS-055A RAW '!BV55/'Finalterm OVPAA-F-INS-055A RAW '!BV$17*100)</f>
        <v/>
      </c>
      <c r="BY55" s="130" t="str">
        <f>IF('Finalterm OVPAA-F-INS-055A RAW '!BW55="","",'Finalterm OVPAA-F-INS-055A RAW '!BW55/'Finalterm OVPAA-F-INS-055A RAW '!BW$17*100)</f>
        <v/>
      </c>
      <c r="BZ55" s="130" t="str">
        <f>IF('Finalterm OVPAA-F-INS-055A RAW '!BX55="","",'Finalterm OVPAA-F-INS-055A RAW '!BX55/'Finalterm OVPAA-F-INS-055A RAW '!BX$17*100)</f>
        <v/>
      </c>
      <c r="CA55" s="130" t="str">
        <f>IF('Finalterm OVPAA-F-INS-055A RAW '!BY55="","",'Finalterm OVPAA-F-INS-055A RAW '!BY55/'Finalterm OVPAA-F-INS-055A RAW '!BY$17*100)</f>
        <v/>
      </c>
      <c r="CB55" s="130" t="str">
        <f>IF('Finalterm OVPAA-F-INS-055A RAW '!BZ55="","",'Finalterm OVPAA-F-INS-055A RAW '!BZ55/'Finalterm OVPAA-F-INS-055A RAW '!BZ$17*100)</f>
        <v/>
      </c>
      <c r="CC55" s="130" t="str">
        <f>IF('Finalterm OVPAA-F-INS-055A RAW '!CA55="","",'Finalterm OVPAA-F-INS-055A RAW '!CA55/'Finalterm OVPAA-F-INS-055A RAW '!CA$17*100)</f>
        <v/>
      </c>
      <c r="CD55" s="130" t="str">
        <f>IF('Finalterm OVPAA-F-INS-055A RAW '!CB55="","",'Finalterm OVPAA-F-INS-055A RAW '!CB55/'Finalterm OVPAA-F-INS-055A RAW '!CB$17*100)</f>
        <v/>
      </c>
      <c r="CE55" s="130" t="str">
        <f>IF('Finalterm OVPAA-F-INS-055A RAW '!CC55="","",'Finalterm OVPAA-F-INS-055A RAW '!CC55/'Finalterm OVPAA-F-INS-055A RAW '!CC$17*100)</f>
        <v/>
      </c>
      <c r="CF55" s="130" t="str">
        <f>IF('Finalterm OVPAA-F-INS-055A RAW '!CD55="","",'Finalterm OVPAA-F-INS-055A RAW '!CD55/'Finalterm OVPAA-F-INS-055A RAW '!CD$17*100)</f>
        <v/>
      </c>
      <c r="CG55" s="130" t="str">
        <f>IF('Finalterm OVPAA-F-INS-055A RAW '!CE55="","",'Finalterm OVPAA-F-INS-055A RAW '!CE55/'Finalterm OVPAA-F-INS-055A RAW '!CE$17*100)</f>
        <v/>
      </c>
      <c r="CH55" s="130" t="str">
        <f>IF('Finalterm OVPAA-F-INS-055A RAW '!CF55="","",'Finalterm OVPAA-F-INS-055A RAW '!CF55/'Finalterm OVPAA-F-INS-055A RAW '!CF$17*100)</f>
        <v/>
      </c>
      <c r="CI55" s="130" t="str">
        <f>IF('Finalterm OVPAA-F-INS-055A RAW '!CG55="","",'Finalterm OVPAA-F-INS-055A RAW '!CG55/'Finalterm OVPAA-F-INS-055A RAW '!CG$17*100)</f>
        <v/>
      </c>
      <c r="CJ55" s="130" t="str">
        <f>IF('Finalterm OVPAA-F-INS-055A RAW '!CH55="","",'Finalterm OVPAA-F-INS-055A RAW '!CH55/'Finalterm OVPAA-F-INS-055A RAW '!CH$17*100)</f>
        <v/>
      </c>
      <c r="CK55" s="130" t="str">
        <f>IF('Finalterm OVPAA-F-INS-055A RAW '!CI55="","",'Finalterm OVPAA-F-INS-055A RAW '!CI55/'Finalterm OVPAA-F-INS-055A RAW '!CI$17*100)</f>
        <v/>
      </c>
      <c r="CL55" s="130" t="str">
        <f>IF('Finalterm OVPAA-F-INS-055A RAW '!CJ55="","",'Finalterm OVPAA-F-INS-055A RAW '!CJ55/'Finalterm OVPAA-F-INS-055A RAW '!CJ$17*100)</f>
        <v/>
      </c>
      <c r="CM55" s="130" t="str">
        <f>IF('Finalterm OVPAA-F-INS-055A RAW '!CK55="","",'Finalterm OVPAA-F-INS-055A RAW '!CK55/'Finalterm OVPAA-F-INS-055A RAW '!CK$17*100)</f>
        <v/>
      </c>
      <c r="CN55" s="130" t="str">
        <f>IF('Finalterm OVPAA-F-INS-055A RAW '!CL55="","",'Finalterm OVPAA-F-INS-055A RAW '!CL55/'Finalterm OVPAA-F-INS-055A RAW '!CL$17*100)</f>
        <v/>
      </c>
      <c r="CO55" s="130" t="str">
        <f>IF('Finalterm OVPAA-F-INS-055A RAW '!CM55="","",'Finalterm OVPAA-F-INS-055A RAW '!CM55/'Finalterm OVPAA-F-INS-055A RAW '!CM$17*100)</f>
        <v/>
      </c>
      <c r="CP55" s="130" t="str">
        <f>IF('Finalterm OVPAA-F-INS-055A RAW '!CN55="","",'Finalterm OVPAA-F-INS-055A RAW '!CN55/'Finalterm OVPAA-F-INS-055A RAW '!CN$17*100)</f>
        <v/>
      </c>
      <c r="CQ55" s="131" t="str">
        <f t="array" ref="CQ55">IF('Midterm OVPAA-F-INS-055A RAW SC'!G55="","",IF((SUMPRODUCT(--ISBLANK('Finalterm OVPAA-F-INS-055A RAW '!BU55:CN55))=COLUMNS('Finalterm OVPAA-F-INS-055A RAW '!BU55:CN55))=TRUE,"",(((COUNTA('Finalterm OVPAA-F-INS-055A RAW '!$BU$17:$CN$17)+COUNTBLANK('Finalterm OVPAA-F-INS-055A RAW '!BU55:CN55))-COLUMNS('Finalterm OVPAA-F-INS-055A RAW '!BU55:CN55))*5+SUM(BW55:CP55))/COUNTA('Finalterm OVPAA-F-INS-055A RAW '!$BU$17:$CN$17)))</f>
        <v/>
      </c>
      <c r="CR55" s="132" t="str">
        <f>IF(CQ55="","",VLOOKUP(CQ55,IF('Midterm OVPAA-F-INS-055A RAW SC'!$V$12=0.5,TRANSMUTATION!$C$4:$D$17,TRANSMUTATION!$G$4:$H$17),2,TRUE))</f>
        <v/>
      </c>
      <c r="CS55" s="133" t="str">
        <f>IF('Finalterm OVPAA-F-INS-055A RAW '!CO55="","",'Finalterm OVPAA-F-INS-055A RAW '!CO55/'Finalterm OVPAA-F-INS-055A RAW '!CO$17*100)</f>
        <v/>
      </c>
      <c r="CT55" s="133" t="str">
        <f>IF('Finalterm OVPAA-F-INS-055A RAW '!CP55="","",'Finalterm OVPAA-F-INS-055A RAW '!CP55/'Finalterm OVPAA-F-INS-055A RAW '!CP$17*100)</f>
        <v/>
      </c>
      <c r="CU55" s="133" t="str">
        <f>IF('Finalterm OVPAA-F-INS-055A RAW '!CQ55="","",'Finalterm OVPAA-F-INS-055A RAW '!CQ55/'Finalterm OVPAA-F-INS-055A RAW '!CQ$17*100)</f>
        <v/>
      </c>
      <c r="CV55" s="133" t="str">
        <f>IF('Finalterm OVPAA-F-INS-055A RAW '!CR55="","",'Finalterm OVPAA-F-INS-055A RAW '!CR55/'Finalterm OVPAA-F-INS-055A RAW '!CR$17*100)</f>
        <v/>
      </c>
      <c r="CW55" s="133" t="str">
        <f>IF('Finalterm OVPAA-F-INS-055A RAW '!CS55="","",'Finalterm OVPAA-F-INS-055A RAW '!CS55/'Finalterm OVPAA-F-INS-055A RAW '!CS$17*100)</f>
        <v/>
      </c>
      <c r="CX55" s="133" t="str">
        <f>IF('Finalterm OVPAA-F-INS-055A RAW '!CT55="","",'Finalterm OVPAA-F-INS-055A RAW '!CT55/'Finalterm OVPAA-F-INS-055A RAW '!CT$17*100)</f>
        <v/>
      </c>
      <c r="CY55" s="133" t="str">
        <f>IF('Finalterm OVPAA-F-INS-055A RAW '!CU55="","",'Finalterm OVPAA-F-INS-055A RAW '!CU55/'Finalterm OVPAA-F-INS-055A RAW '!CU$17*100)</f>
        <v/>
      </c>
      <c r="CZ55" s="133" t="str">
        <f>IF('Finalterm OVPAA-F-INS-055A RAW '!CV55="","",'Finalterm OVPAA-F-INS-055A RAW '!CV55/'Finalterm OVPAA-F-INS-055A RAW '!CV$17*100)</f>
        <v/>
      </c>
      <c r="DA55" s="133" t="str">
        <f>IF('Finalterm OVPAA-F-INS-055A RAW '!CW55="","",'Finalterm OVPAA-F-INS-055A RAW '!CW55/'Finalterm OVPAA-F-INS-055A RAW '!CW$17*100)</f>
        <v/>
      </c>
      <c r="DB55" s="133" t="str">
        <f>IF('Finalterm OVPAA-F-INS-055A RAW '!CX55="","",'Finalterm OVPAA-F-INS-055A RAW '!CX55/'Finalterm OVPAA-F-INS-055A RAW '!CX$17*100)</f>
        <v/>
      </c>
      <c r="DC55" s="134" t="str">
        <f t="array" ref="DC55">IF('Midterm OVPAA-F-INS-055A RAW SC'!$G55="","",IF((SUMPRODUCT(--ISBLANK('Finalterm OVPAA-F-INS-055A RAW '!CO55:CX55))=COLUMNS('Finalterm OVPAA-F-INS-055A RAW '!CO55:CX55))=TRUE,"",(((COUNTA('Finalterm OVPAA-F-INS-055A RAW '!$CO$17:$CX$17)+COUNTBLANK('Finalterm OVPAA-F-INS-055A RAW '!CO55:CX55))-COLUMNS('Finalterm OVPAA-F-INS-055A RAW '!CO55:CX55))*5+SUM(CS55:DB55))/COUNTA('Finalterm OVPAA-F-INS-055A RAW '!$CO$17:$CX$17)))</f>
        <v/>
      </c>
      <c r="DD55" s="135" t="str">
        <f>IF(DC55="","",VLOOKUP(DC55,IF('Midterm OVPAA-F-INS-055A RAW SC'!$V$12=0.5,TRANSMUTATION!$C$4:$D$17,TRANSMUTATION!$G$4:$H$17),2,TRUE))</f>
        <v/>
      </c>
      <c r="DE55" s="136" t="str">
        <f t="shared" si="1"/>
        <v/>
      </c>
      <c r="DF55" s="166" t="str">
        <f t="shared" si="2"/>
        <v/>
      </c>
      <c r="DG55" s="167" t="str">
        <f t="shared" si="3"/>
        <v/>
      </c>
      <c r="DH55" s="168" t="str">
        <f t="shared" si="4"/>
        <v/>
      </c>
      <c r="DI55" s="169" t="str">
        <f t="shared" si="5"/>
        <v/>
      </c>
    </row>
    <row r="56" spans="5:113" ht="15.75" hidden="1" customHeight="1">
      <c r="E56" s="59">
        <v>39</v>
      </c>
      <c r="F56" s="124" t="str">
        <f>IF(NOT(ISBLANK('Midterm OVPAA-F-INS-055A RAW SC'!F56)),'Midterm OVPAA-F-INS-055A RAW SC'!F56,"")</f>
        <v/>
      </c>
      <c r="G56" s="125" t="str">
        <f>IF(NOT(ISBLANK('Midterm OVPAA-F-INS-055A RAW SC'!G56)),'Midterm OVPAA-F-INS-055A RAW SC'!G56,"")</f>
        <v/>
      </c>
      <c r="H56" s="126" t="str">
        <f>IF('Finalterm OVPAA-F-INS-055A RAW '!H56="","",'Finalterm OVPAA-F-INS-055A RAW '!H56/'Finalterm OVPAA-F-INS-055A RAW '!H$17*100)</f>
        <v/>
      </c>
      <c r="I56" s="126" t="str">
        <f>IF('Finalterm OVPAA-F-INS-055A RAW '!I56="","",'Finalterm OVPAA-F-INS-055A RAW '!I56/'Finalterm OVPAA-F-INS-055A RAW '!I$17*100)</f>
        <v/>
      </c>
      <c r="J56" s="126" t="str">
        <f>IF('Finalterm OVPAA-F-INS-055A RAW '!J56="","",'Finalterm OVPAA-F-INS-055A RAW '!J56/'Finalterm OVPAA-F-INS-055A RAW '!J$17*100)</f>
        <v/>
      </c>
      <c r="K56" s="126" t="str">
        <f>IF('Finalterm OVPAA-F-INS-055A RAW '!K56="","",'Finalterm OVPAA-F-INS-055A RAW '!K56/'Finalterm OVPAA-F-INS-055A RAW '!K$17*100)</f>
        <v/>
      </c>
      <c r="L56" s="126" t="str">
        <f>IF('Finalterm OVPAA-F-INS-055A RAW '!L56="","",'Finalterm OVPAA-F-INS-055A RAW '!L56/'Finalterm OVPAA-F-INS-055A RAW '!L$17*100)</f>
        <v/>
      </c>
      <c r="M56" s="126" t="str">
        <f>IF('Finalterm OVPAA-F-INS-055A RAW '!M56="","",'Finalterm OVPAA-F-INS-055A RAW '!M56/'Finalterm OVPAA-F-INS-055A RAW '!M$17*100)</f>
        <v/>
      </c>
      <c r="N56" s="126" t="str">
        <f>IF('Finalterm OVPAA-F-INS-055A RAW '!N56="","",'Finalterm OVPAA-F-INS-055A RAW '!N56/'Finalterm OVPAA-F-INS-055A RAW '!N$17*100)</f>
        <v/>
      </c>
      <c r="O56" s="126" t="str">
        <f>IF('Finalterm OVPAA-F-INS-055A RAW '!O56="","",'Finalterm OVPAA-F-INS-055A RAW '!O56/'Finalterm OVPAA-F-INS-055A RAW '!O$17*100)</f>
        <v/>
      </c>
      <c r="P56" s="126" t="str">
        <f>IF('Finalterm OVPAA-F-INS-055A RAW '!P56="","",'Finalterm OVPAA-F-INS-055A RAW '!P56/'Finalterm OVPAA-F-INS-055A RAW '!P$17*100)</f>
        <v/>
      </c>
      <c r="Q56" s="126" t="str">
        <f>IF('Finalterm OVPAA-F-INS-055A RAW '!Q56="","",'Finalterm OVPAA-F-INS-055A RAW '!Q56/'Finalterm OVPAA-F-INS-055A RAW '!Q$17*100)</f>
        <v/>
      </c>
      <c r="R56" s="126" t="str">
        <f>IF('Finalterm OVPAA-F-INS-055A RAW '!R56="","",'Finalterm OVPAA-F-INS-055A RAW '!R56/'Finalterm OVPAA-F-INS-055A RAW '!R$17*100)</f>
        <v/>
      </c>
      <c r="S56" s="126" t="str">
        <f>IF('Finalterm OVPAA-F-INS-055A RAW '!S56="","",'Finalterm OVPAA-F-INS-055A RAW '!S56/'Finalterm OVPAA-F-INS-055A RAW '!S$17*100)</f>
        <v/>
      </c>
      <c r="T56" s="126" t="str">
        <f>IF('Finalterm OVPAA-F-INS-055A RAW '!T56="","",'Finalterm OVPAA-F-INS-055A RAW '!T56/'Finalterm OVPAA-F-INS-055A RAW '!T$17*100)</f>
        <v/>
      </c>
      <c r="U56" s="126" t="str">
        <f>IF('Finalterm OVPAA-F-INS-055A RAW '!U56="","",'Finalterm OVPAA-F-INS-055A RAW '!U56/'Finalterm OVPAA-F-INS-055A RAW '!U$17*100)</f>
        <v/>
      </c>
      <c r="V56" s="126" t="str">
        <f>IF('Finalterm OVPAA-F-INS-055A RAW '!V56="","",'Finalterm OVPAA-F-INS-055A RAW '!V56/'Finalterm OVPAA-F-INS-055A RAW '!V$17*100)</f>
        <v/>
      </c>
      <c r="W56" s="126" t="str">
        <f>IF('Finalterm OVPAA-F-INS-055A RAW '!W56="","",'Finalterm OVPAA-F-INS-055A RAW '!W56/'Finalterm OVPAA-F-INS-055A RAW '!W$17*100)</f>
        <v/>
      </c>
      <c r="X56" s="126" t="str">
        <f>IF('Finalterm OVPAA-F-INS-055A RAW '!X56="","",'Finalterm OVPAA-F-INS-055A RAW '!X56/'Finalterm OVPAA-F-INS-055A RAW '!X$17*100)</f>
        <v/>
      </c>
      <c r="Y56" s="126" t="str">
        <f>IF('Finalterm OVPAA-F-INS-055A RAW '!Y56="","",'Finalterm OVPAA-F-INS-055A RAW '!Y56/'Finalterm OVPAA-F-INS-055A RAW '!Y$17*100)</f>
        <v/>
      </c>
      <c r="Z56" s="126" t="str">
        <f>IF('Finalterm OVPAA-F-INS-055A RAW '!Z56="","",'Finalterm OVPAA-F-INS-055A RAW '!Z56/'Finalterm OVPAA-F-INS-055A RAW '!Z$17*100)</f>
        <v/>
      </c>
      <c r="AA56" s="126" t="str">
        <f>IF('Finalterm OVPAA-F-INS-055A RAW '!AA56="","",'Finalterm OVPAA-F-INS-055A RAW '!AA56/'Finalterm OVPAA-F-INS-055A RAW '!AA$17*100)</f>
        <v/>
      </c>
      <c r="AB56" s="126" t="str">
        <f>IF('Finalterm OVPAA-F-INS-055A RAW '!AB56="","",'Finalterm OVPAA-F-INS-055A RAW '!AB56/'Finalterm OVPAA-F-INS-055A RAW '!AB$17*100)</f>
        <v/>
      </c>
      <c r="AC56" s="126" t="str">
        <f>IF('Finalterm OVPAA-F-INS-055A RAW '!AC56="","",'Finalterm OVPAA-F-INS-055A RAW '!AC56/'Finalterm OVPAA-F-INS-055A RAW '!AC$17*100)</f>
        <v/>
      </c>
      <c r="AD56" s="126" t="str">
        <f>IF('Finalterm OVPAA-F-INS-055A RAW '!AD56="","",'Finalterm OVPAA-F-INS-055A RAW '!AD56/'Finalterm OVPAA-F-INS-055A RAW '!AD$17*100)</f>
        <v/>
      </c>
      <c r="AE56" s="126" t="str">
        <f>IF('Finalterm OVPAA-F-INS-055A RAW '!AE56="","",'Finalterm OVPAA-F-INS-055A RAW '!AE56/'Finalterm OVPAA-F-INS-055A RAW '!AE$17*100)</f>
        <v/>
      </c>
      <c r="AF56" s="126" t="str">
        <f>IF('Finalterm OVPAA-F-INS-055A RAW '!AF56="","",'Finalterm OVPAA-F-INS-055A RAW '!AF56/'Finalterm OVPAA-F-INS-055A RAW '!AF$17*100)</f>
        <v/>
      </c>
      <c r="AG56" s="126" t="str">
        <f>IF('Finalterm OVPAA-F-INS-055A RAW '!AG56="","",'Finalterm OVPAA-F-INS-055A RAW '!AG56/'Finalterm OVPAA-F-INS-055A RAW '!AG$17*100)</f>
        <v/>
      </c>
      <c r="AH56" s="126" t="str">
        <f>IF('Finalterm OVPAA-F-INS-055A RAW '!AH56="","",'Finalterm OVPAA-F-INS-055A RAW '!AH56/'Finalterm OVPAA-F-INS-055A RAW '!AH$17*100)</f>
        <v/>
      </c>
      <c r="AI56" s="126" t="str">
        <f>IF('Finalterm OVPAA-F-INS-055A RAW '!AI56="","",'Finalterm OVPAA-F-INS-055A RAW '!AI56/'Finalterm OVPAA-F-INS-055A RAW '!AI$17*100)</f>
        <v/>
      </c>
      <c r="AJ56" s="126" t="str">
        <f>IF('Finalterm OVPAA-F-INS-055A RAW '!AJ56="","",'Finalterm OVPAA-F-INS-055A RAW '!AJ56/'Finalterm OVPAA-F-INS-055A RAW '!AJ$17*100)</f>
        <v/>
      </c>
      <c r="AK56" s="126" t="str">
        <f>IF('Finalterm OVPAA-F-INS-055A RAW '!AK56="","",'Finalterm OVPAA-F-INS-055A RAW '!AK56/'Finalterm OVPAA-F-INS-055A RAW '!AK$17*100)</f>
        <v/>
      </c>
      <c r="AL56" s="126" t="str">
        <f>IF('Finalterm OVPAA-F-INS-055A RAW '!AL56="","",'Finalterm OVPAA-F-INS-055A RAW '!AL56/'Finalterm OVPAA-F-INS-055A RAW '!AL$17*100)</f>
        <v/>
      </c>
      <c r="AM56" s="126" t="str">
        <f>IF('Finalterm OVPAA-F-INS-055A RAW '!AM56="","",'Finalterm OVPAA-F-INS-055A RAW '!AM56/'Finalterm OVPAA-F-INS-055A RAW '!AM$17*100)</f>
        <v/>
      </c>
      <c r="AN56" s="126" t="str">
        <f>IF('Finalterm OVPAA-F-INS-055A RAW '!AN56="","",'Finalterm OVPAA-F-INS-055A RAW '!AN56/'Finalterm OVPAA-F-INS-055A RAW '!AN$17*100)</f>
        <v/>
      </c>
      <c r="AO56" s="126" t="str">
        <f>IF('Finalterm OVPAA-F-INS-055A RAW '!AO56="","",'Finalterm OVPAA-F-INS-055A RAW '!AO56/'Finalterm OVPAA-F-INS-055A RAW '!AO$17*100)</f>
        <v/>
      </c>
      <c r="AP56" s="126" t="str">
        <f>IF('Finalterm OVPAA-F-INS-055A RAW '!AP56="","",'Finalterm OVPAA-F-INS-055A RAW '!AP56/'Finalterm OVPAA-F-INS-055A RAW '!AP$17*100)</f>
        <v/>
      </c>
      <c r="AQ56" s="126" t="str">
        <f>IF('Finalterm OVPAA-F-INS-055A RAW '!AQ56="","",'Finalterm OVPAA-F-INS-055A RAW '!AQ56/'Finalterm OVPAA-F-INS-055A RAW '!AQ$17*100)</f>
        <v/>
      </c>
      <c r="AR56" s="126" t="str">
        <f>IF('Finalterm OVPAA-F-INS-055A RAW '!AR56="","",'Finalterm OVPAA-F-INS-055A RAW '!AR56/'Finalterm OVPAA-F-INS-055A RAW '!AR$17*100)</f>
        <v/>
      </c>
      <c r="AS56" s="126" t="str">
        <f>IF('Finalterm OVPAA-F-INS-055A RAW '!AS56="","",'Finalterm OVPAA-F-INS-055A RAW '!AS56/'Finalterm OVPAA-F-INS-055A RAW '!AS$17*100)</f>
        <v/>
      </c>
      <c r="AT56" s="126" t="str">
        <f>IF('Finalterm OVPAA-F-INS-055A RAW '!AT56="","",'Finalterm OVPAA-F-INS-055A RAW '!AT56/'Finalterm OVPAA-F-INS-055A RAW '!AT$17*100)</f>
        <v/>
      </c>
      <c r="AU56" s="126" t="str">
        <f>IF('Finalterm OVPAA-F-INS-055A RAW '!AU56="","",'Finalterm OVPAA-F-INS-055A RAW '!AU56/'Finalterm OVPAA-F-INS-055A RAW '!AU$17*100)</f>
        <v/>
      </c>
      <c r="AV56" s="126" t="str">
        <f>IF('Finalterm OVPAA-F-INS-055A RAW '!AV56="","",'Finalterm OVPAA-F-INS-055A RAW '!AV56/'Finalterm OVPAA-F-INS-055A RAW '!AV$17*100)</f>
        <v/>
      </c>
      <c r="AW56" s="126" t="str">
        <f>IF('Finalterm OVPAA-F-INS-055A RAW '!AW56="","",'Finalterm OVPAA-F-INS-055A RAW '!AW56/'Finalterm OVPAA-F-INS-055A RAW '!AW$17*100)</f>
        <v/>
      </c>
      <c r="AX56" s="126" t="str">
        <f>IF('Finalterm OVPAA-F-INS-055A RAW '!AX56="","",'Finalterm OVPAA-F-INS-055A RAW '!AX56/'Finalterm OVPAA-F-INS-055A RAW '!AX$17*100)</f>
        <v/>
      </c>
      <c r="AY56" s="126" t="str">
        <f>IF('Finalterm OVPAA-F-INS-055A RAW '!AY56="","",'Finalterm OVPAA-F-INS-055A RAW '!AY56/'Finalterm OVPAA-F-INS-055A RAW '!AY$17*100)</f>
        <v/>
      </c>
      <c r="AZ56" s="126" t="str">
        <f>IF('Finalterm OVPAA-F-INS-055A RAW '!AZ56="","",'Finalterm OVPAA-F-INS-055A RAW '!AZ56/'Finalterm OVPAA-F-INS-055A RAW '!AZ$17*100)</f>
        <v/>
      </c>
      <c r="BA56" s="126" t="str">
        <f>IF('Finalterm OVPAA-F-INS-055A RAW '!BA56="","",'Finalterm OVPAA-F-INS-055A RAW '!BA56/'Finalterm OVPAA-F-INS-055A RAW '!BA$17*100)</f>
        <v/>
      </c>
      <c r="BB56" s="126" t="str">
        <f>IF('Finalterm OVPAA-F-INS-055A RAW '!BB56="","",'Finalterm OVPAA-F-INS-055A RAW '!BB56/'Finalterm OVPAA-F-INS-055A RAW '!BB$17*100)</f>
        <v/>
      </c>
      <c r="BC56" s="126" t="str">
        <f>IF('Finalterm OVPAA-F-INS-055A RAW '!BC56="","",'Finalterm OVPAA-F-INS-055A RAW '!BC56/'Finalterm OVPAA-F-INS-055A RAW '!BC$17*100)</f>
        <v/>
      </c>
      <c r="BD56" s="126" t="str">
        <f>IF('Finalterm OVPAA-F-INS-055A RAW '!BD56="","",'Finalterm OVPAA-F-INS-055A RAW '!BD56/'Finalterm OVPAA-F-INS-055A RAW '!BD$17*100)</f>
        <v/>
      </c>
      <c r="BE56" s="126" t="str">
        <f>IF('Finalterm OVPAA-F-INS-055A RAW '!BE56="","",'Finalterm OVPAA-F-INS-055A RAW '!BE56/'Finalterm OVPAA-F-INS-055A RAW '!BE$17*100)</f>
        <v/>
      </c>
      <c r="BF56" s="126" t="str">
        <f>IF('Finalterm OVPAA-F-INS-055A RAW '!BF56="","",'Finalterm OVPAA-F-INS-055A RAW '!BF56/'Finalterm OVPAA-F-INS-055A RAW '!BF$17*100)</f>
        <v/>
      </c>
      <c r="BG56" s="126" t="str">
        <f>IF('Finalterm OVPAA-F-INS-055A RAW '!BG56="","",'Finalterm OVPAA-F-INS-055A RAW '!BG56/'Finalterm OVPAA-F-INS-055A RAW '!BG$17*100)</f>
        <v/>
      </c>
      <c r="BH56" s="126" t="str">
        <f>IF('Finalterm OVPAA-F-INS-055A RAW '!BH56="","",'Finalterm OVPAA-F-INS-055A RAW '!BH56/'Finalterm OVPAA-F-INS-055A RAW '!BH$17*100)</f>
        <v/>
      </c>
      <c r="BI56" s="126" t="str">
        <f>IF('Finalterm OVPAA-F-INS-055A RAW '!BI56="","",'Finalterm OVPAA-F-INS-055A RAW '!BI56/'Finalterm OVPAA-F-INS-055A RAW '!BI$17*100)</f>
        <v/>
      </c>
      <c r="BJ56" s="126" t="str">
        <f>IF('Finalterm OVPAA-F-INS-055A RAW '!BJ56="","",'Finalterm OVPAA-F-INS-055A RAW '!BJ56/'Finalterm OVPAA-F-INS-055A RAW '!BJ$17*100)</f>
        <v/>
      </c>
      <c r="BK56" s="126" t="str">
        <f>IF('Finalterm OVPAA-F-INS-055A RAW '!BK56="","",'Finalterm OVPAA-F-INS-055A RAW '!BK56/'Finalterm OVPAA-F-INS-055A RAW '!BK$17*100)</f>
        <v/>
      </c>
      <c r="BL56" s="126" t="str">
        <f>IF('Finalterm OVPAA-F-INS-055A RAW '!BL56="","",'Finalterm OVPAA-F-INS-055A RAW '!BL56/'Finalterm OVPAA-F-INS-055A RAW '!BL$17*100)</f>
        <v/>
      </c>
      <c r="BM56" s="126" t="str">
        <f>IF('Finalterm OVPAA-F-INS-055A RAW '!BM56="","",'Finalterm OVPAA-F-INS-055A RAW '!BM56/'Finalterm OVPAA-F-INS-055A RAW '!BM$17*100)</f>
        <v/>
      </c>
      <c r="BN56" s="126" t="str">
        <f>IF('Finalterm OVPAA-F-INS-055A RAW '!BN56="","",'Finalterm OVPAA-F-INS-055A RAW '!BN56/'Finalterm OVPAA-F-INS-055A RAW '!BN$17*100)</f>
        <v/>
      </c>
      <c r="BO56" s="126" t="str">
        <f>IF('Finalterm OVPAA-F-INS-055A RAW '!BO56="","",'Finalterm OVPAA-F-INS-055A RAW '!BO56/'Finalterm OVPAA-F-INS-055A RAW '!BO$17*100)</f>
        <v/>
      </c>
      <c r="BP56" s="126" t="str">
        <f>IF('Finalterm OVPAA-F-INS-055A RAW '!BP56="","",'Finalterm OVPAA-F-INS-055A RAW '!BP56/'Finalterm OVPAA-F-INS-055A RAW '!BP$17*100)</f>
        <v/>
      </c>
      <c r="BQ56" s="126" t="str">
        <f>IF('Finalterm OVPAA-F-INS-055A RAW '!BQ56="","",'Finalterm OVPAA-F-INS-055A RAW '!BQ56/'Finalterm OVPAA-F-INS-055A RAW '!BQ$17*100)</f>
        <v/>
      </c>
      <c r="BR56" s="126" t="str">
        <f>IF('Finalterm OVPAA-F-INS-055A RAW '!BR56="","",'Finalterm OVPAA-F-INS-055A RAW '!BR56/'Finalterm OVPAA-F-INS-055A RAW '!BR$17*100)</f>
        <v/>
      </c>
      <c r="BS56" s="126" t="str">
        <f>IF('Finalterm OVPAA-F-INS-055A RAW '!BS56="","",'Finalterm OVPAA-F-INS-055A RAW '!BS56/'Finalterm OVPAA-F-INS-055A RAW '!BS$17*100)</f>
        <v/>
      </c>
      <c r="BT56" s="126" t="str">
        <f>IF('Finalterm OVPAA-F-INS-055A RAW '!BT56="","",'Finalterm OVPAA-F-INS-055A RAW '!BT56/'Finalterm OVPAA-F-INS-055A RAW '!BT$17*100)</f>
        <v/>
      </c>
      <c r="BU56" s="127" t="str">
        <f t="array" ref="BU56">IF('Finalterm OVPAA-F-INS-055A RAW '!$G56="","",IF((SUMPRODUCT(--ISBLANK('Finalterm OVPAA-F-INS-055A RAW '!H56:BT56))=COLUMNS('Finalterm OVPAA-F-INS-055A RAW '!H56:BT56))=TRUE,"",(((COUNTA('Finalterm OVPAA-F-INS-055A RAW '!$H$17:$BT$17)+COUNTBLANK('Finalterm OVPAA-F-INS-055A RAW '!H56:BT56))-COLUMNS('Finalterm OVPAA-F-INS-055A RAW '!H56:BT56))*5+SUM(H56:BT56))/COUNTA('Finalterm OVPAA-F-INS-055A RAW '!$H$17:$BT$17)))</f>
        <v/>
      </c>
      <c r="BV56" s="165" t="str">
        <f>IF(BU56="","",VLOOKUP(BU56,IF('Midterm OVPAA-F-INS-055A RAW SC'!$V$12=0.5,TRANSMUTATION!$C$4:$D$17,TRANSMUTATION!$G$4:$H$17),2,TRUE))</f>
        <v/>
      </c>
      <c r="BW56" s="129" t="str">
        <f>IF('Finalterm OVPAA-F-INS-055A RAW '!BU56="","",'Finalterm OVPAA-F-INS-055A RAW '!BU56/'Finalterm OVPAA-F-INS-055A RAW '!BU$17*100)</f>
        <v/>
      </c>
      <c r="BX56" s="130" t="str">
        <f>IF('Finalterm OVPAA-F-INS-055A RAW '!BV56="","",'Finalterm OVPAA-F-INS-055A RAW '!BV56/'Finalterm OVPAA-F-INS-055A RAW '!BV$17*100)</f>
        <v/>
      </c>
      <c r="BY56" s="130" t="str">
        <f>IF('Finalterm OVPAA-F-INS-055A RAW '!BW56="","",'Finalterm OVPAA-F-INS-055A RAW '!BW56/'Finalterm OVPAA-F-INS-055A RAW '!BW$17*100)</f>
        <v/>
      </c>
      <c r="BZ56" s="130" t="str">
        <f>IF('Finalterm OVPAA-F-INS-055A RAW '!BX56="","",'Finalterm OVPAA-F-INS-055A RAW '!BX56/'Finalterm OVPAA-F-INS-055A RAW '!BX$17*100)</f>
        <v/>
      </c>
      <c r="CA56" s="130" t="str">
        <f>IF('Finalterm OVPAA-F-INS-055A RAW '!BY56="","",'Finalterm OVPAA-F-INS-055A RAW '!BY56/'Finalterm OVPAA-F-INS-055A RAW '!BY$17*100)</f>
        <v/>
      </c>
      <c r="CB56" s="130" t="str">
        <f>IF('Finalterm OVPAA-F-INS-055A RAW '!BZ56="","",'Finalterm OVPAA-F-INS-055A RAW '!BZ56/'Finalterm OVPAA-F-INS-055A RAW '!BZ$17*100)</f>
        <v/>
      </c>
      <c r="CC56" s="130" t="str">
        <f>IF('Finalterm OVPAA-F-INS-055A RAW '!CA56="","",'Finalterm OVPAA-F-INS-055A RAW '!CA56/'Finalterm OVPAA-F-INS-055A RAW '!CA$17*100)</f>
        <v/>
      </c>
      <c r="CD56" s="130" t="str">
        <f>IF('Finalterm OVPAA-F-INS-055A RAW '!CB56="","",'Finalterm OVPAA-F-INS-055A RAW '!CB56/'Finalterm OVPAA-F-INS-055A RAW '!CB$17*100)</f>
        <v/>
      </c>
      <c r="CE56" s="130" t="str">
        <f>IF('Finalterm OVPAA-F-INS-055A RAW '!CC56="","",'Finalterm OVPAA-F-INS-055A RAW '!CC56/'Finalterm OVPAA-F-INS-055A RAW '!CC$17*100)</f>
        <v/>
      </c>
      <c r="CF56" s="130" t="str">
        <f>IF('Finalterm OVPAA-F-INS-055A RAW '!CD56="","",'Finalterm OVPAA-F-INS-055A RAW '!CD56/'Finalterm OVPAA-F-INS-055A RAW '!CD$17*100)</f>
        <v/>
      </c>
      <c r="CG56" s="130" t="str">
        <f>IF('Finalterm OVPAA-F-INS-055A RAW '!CE56="","",'Finalterm OVPAA-F-INS-055A RAW '!CE56/'Finalterm OVPAA-F-INS-055A RAW '!CE$17*100)</f>
        <v/>
      </c>
      <c r="CH56" s="130" t="str">
        <f>IF('Finalterm OVPAA-F-INS-055A RAW '!CF56="","",'Finalterm OVPAA-F-INS-055A RAW '!CF56/'Finalterm OVPAA-F-INS-055A RAW '!CF$17*100)</f>
        <v/>
      </c>
      <c r="CI56" s="130" t="str">
        <f>IF('Finalterm OVPAA-F-INS-055A RAW '!CG56="","",'Finalterm OVPAA-F-INS-055A RAW '!CG56/'Finalterm OVPAA-F-INS-055A RAW '!CG$17*100)</f>
        <v/>
      </c>
      <c r="CJ56" s="130" t="str">
        <f>IF('Finalterm OVPAA-F-INS-055A RAW '!CH56="","",'Finalterm OVPAA-F-INS-055A RAW '!CH56/'Finalterm OVPAA-F-INS-055A RAW '!CH$17*100)</f>
        <v/>
      </c>
      <c r="CK56" s="130" t="str">
        <f>IF('Finalterm OVPAA-F-INS-055A RAW '!CI56="","",'Finalterm OVPAA-F-INS-055A RAW '!CI56/'Finalterm OVPAA-F-INS-055A RAW '!CI$17*100)</f>
        <v/>
      </c>
      <c r="CL56" s="130" t="str">
        <f>IF('Finalterm OVPAA-F-INS-055A RAW '!CJ56="","",'Finalterm OVPAA-F-INS-055A RAW '!CJ56/'Finalterm OVPAA-F-INS-055A RAW '!CJ$17*100)</f>
        <v/>
      </c>
      <c r="CM56" s="130" t="str">
        <f>IF('Finalterm OVPAA-F-INS-055A RAW '!CK56="","",'Finalterm OVPAA-F-INS-055A RAW '!CK56/'Finalterm OVPAA-F-INS-055A RAW '!CK$17*100)</f>
        <v/>
      </c>
      <c r="CN56" s="130" t="str">
        <f>IF('Finalterm OVPAA-F-INS-055A RAW '!CL56="","",'Finalterm OVPAA-F-INS-055A RAW '!CL56/'Finalterm OVPAA-F-INS-055A RAW '!CL$17*100)</f>
        <v/>
      </c>
      <c r="CO56" s="130" t="str">
        <f>IF('Finalterm OVPAA-F-INS-055A RAW '!CM56="","",'Finalterm OVPAA-F-INS-055A RAW '!CM56/'Finalterm OVPAA-F-INS-055A RAW '!CM$17*100)</f>
        <v/>
      </c>
      <c r="CP56" s="130" t="str">
        <f>IF('Finalterm OVPAA-F-INS-055A RAW '!CN56="","",'Finalterm OVPAA-F-INS-055A RAW '!CN56/'Finalterm OVPAA-F-INS-055A RAW '!CN$17*100)</f>
        <v/>
      </c>
      <c r="CQ56" s="131" t="str">
        <f t="array" ref="CQ56">IF('Midterm OVPAA-F-INS-055A RAW SC'!G56="","",IF((SUMPRODUCT(--ISBLANK('Finalterm OVPAA-F-INS-055A RAW '!BU56:CN56))=COLUMNS('Finalterm OVPAA-F-INS-055A RAW '!BU56:CN56))=TRUE,"",(((COUNTA('Finalterm OVPAA-F-INS-055A RAW '!$BU$17:$CN$17)+COUNTBLANK('Finalterm OVPAA-F-INS-055A RAW '!BU56:CN56))-COLUMNS('Finalterm OVPAA-F-INS-055A RAW '!BU56:CN56))*5+SUM(BW56:CP56))/COUNTA('Finalterm OVPAA-F-INS-055A RAW '!$BU$17:$CN$17)))</f>
        <v/>
      </c>
      <c r="CR56" s="132" t="str">
        <f>IF(CQ56="","",VLOOKUP(CQ56,IF('Midterm OVPAA-F-INS-055A RAW SC'!$V$12=0.5,TRANSMUTATION!$C$4:$D$17,TRANSMUTATION!$G$4:$H$17),2,TRUE))</f>
        <v/>
      </c>
      <c r="CS56" s="133" t="str">
        <f>IF('Finalterm OVPAA-F-INS-055A RAW '!CO56="","",'Finalterm OVPAA-F-INS-055A RAW '!CO56/'Finalterm OVPAA-F-INS-055A RAW '!CO$17*100)</f>
        <v/>
      </c>
      <c r="CT56" s="133" t="str">
        <f>IF('Finalterm OVPAA-F-INS-055A RAW '!CP56="","",'Finalterm OVPAA-F-INS-055A RAW '!CP56/'Finalterm OVPAA-F-INS-055A RAW '!CP$17*100)</f>
        <v/>
      </c>
      <c r="CU56" s="133" t="str">
        <f>IF('Finalterm OVPAA-F-INS-055A RAW '!CQ56="","",'Finalterm OVPAA-F-INS-055A RAW '!CQ56/'Finalterm OVPAA-F-INS-055A RAW '!CQ$17*100)</f>
        <v/>
      </c>
      <c r="CV56" s="133" t="str">
        <f>IF('Finalterm OVPAA-F-INS-055A RAW '!CR56="","",'Finalterm OVPAA-F-INS-055A RAW '!CR56/'Finalterm OVPAA-F-INS-055A RAW '!CR$17*100)</f>
        <v/>
      </c>
      <c r="CW56" s="133" t="str">
        <f>IF('Finalterm OVPAA-F-INS-055A RAW '!CS56="","",'Finalterm OVPAA-F-INS-055A RAW '!CS56/'Finalterm OVPAA-F-INS-055A RAW '!CS$17*100)</f>
        <v/>
      </c>
      <c r="CX56" s="133" t="str">
        <f>IF('Finalterm OVPAA-F-INS-055A RAW '!CT56="","",'Finalterm OVPAA-F-INS-055A RAW '!CT56/'Finalterm OVPAA-F-INS-055A RAW '!CT$17*100)</f>
        <v/>
      </c>
      <c r="CY56" s="133" t="str">
        <f>IF('Finalterm OVPAA-F-INS-055A RAW '!CU56="","",'Finalterm OVPAA-F-INS-055A RAW '!CU56/'Finalterm OVPAA-F-INS-055A RAW '!CU$17*100)</f>
        <v/>
      </c>
      <c r="CZ56" s="133" t="str">
        <f>IF('Finalterm OVPAA-F-INS-055A RAW '!CV56="","",'Finalterm OVPAA-F-INS-055A RAW '!CV56/'Finalterm OVPAA-F-INS-055A RAW '!CV$17*100)</f>
        <v/>
      </c>
      <c r="DA56" s="133" t="str">
        <f>IF('Finalterm OVPAA-F-INS-055A RAW '!CW56="","",'Finalterm OVPAA-F-INS-055A RAW '!CW56/'Finalterm OVPAA-F-INS-055A RAW '!CW$17*100)</f>
        <v/>
      </c>
      <c r="DB56" s="133" t="str">
        <f>IF('Finalterm OVPAA-F-INS-055A RAW '!CX56="","",'Finalterm OVPAA-F-INS-055A RAW '!CX56/'Finalterm OVPAA-F-INS-055A RAW '!CX$17*100)</f>
        <v/>
      </c>
      <c r="DC56" s="134" t="str">
        <f t="array" ref="DC56">IF('Midterm OVPAA-F-INS-055A RAW SC'!$G56="","",IF((SUMPRODUCT(--ISBLANK('Finalterm OVPAA-F-INS-055A RAW '!CO56:CX56))=COLUMNS('Finalterm OVPAA-F-INS-055A RAW '!CO56:CX56))=TRUE,"",(((COUNTA('Finalterm OVPAA-F-INS-055A RAW '!$CO$17:$CX$17)+COUNTBLANK('Finalterm OVPAA-F-INS-055A RAW '!CO56:CX56))-COLUMNS('Finalterm OVPAA-F-INS-055A RAW '!CO56:CX56))*5+SUM(CS56:DB56))/COUNTA('Finalterm OVPAA-F-INS-055A RAW '!$CO$17:$CX$17)))</f>
        <v/>
      </c>
      <c r="DD56" s="135" t="str">
        <f>IF(DC56="","",VLOOKUP(DC56,IF('Midterm OVPAA-F-INS-055A RAW SC'!$V$12=0.5,TRANSMUTATION!$C$4:$D$17,TRANSMUTATION!$G$4:$H$17),2,TRUE))</f>
        <v/>
      </c>
      <c r="DE56" s="136" t="str">
        <f t="shared" si="1"/>
        <v/>
      </c>
      <c r="DF56" s="166" t="str">
        <f t="shared" si="2"/>
        <v/>
      </c>
      <c r="DG56" s="167" t="str">
        <f t="shared" si="3"/>
        <v/>
      </c>
      <c r="DH56" s="168" t="str">
        <f t="shared" si="4"/>
        <v/>
      </c>
      <c r="DI56" s="169" t="str">
        <f t="shared" si="5"/>
        <v/>
      </c>
    </row>
    <row r="57" spans="5:113" ht="15.75" hidden="1" customHeight="1">
      <c r="E57" s="59">
        <v>40</v>
      </c>
      <c r="F57" s="124" t="str">
        <f>IF(NOT(ISBLANK('Midterm OVPAA-F-INS-055A RAW SC'!F57)),'Midterm OVPAA-F-INS-055A RAW SC'!F57,"")</f>
        <v/>
      </c>
      <c r="G57" s="125" t="str">
        <f>IF(NOT(ISBLANK('Midterm OVPAA-F-INS-055A RAW SC'!G57)),'Midterm OVPAA-F-INS-055A RAW SC'!G57,"")</f>
        <v/>
      </c>
      <c r="H57" s="126" t="str">
        <f>IF('Finalterm OVPAA-F-INS-055A RAW '!H57="","",'Finalterm OVPAA-F-INS-055A RAW '!H57/'Finalterm OVPAA-F-INS-055A RAW '!H$17*100)</f>
        <v/>
      </c>
      <c r="I57" s="126" t="str">
        <f>IF('Finalterm OVPAA-F-INS-055A RAW '!I57="","",'Finalterm OVPAA-F-INS-055A RAW '!I57/'Finalterm OVPAA-F-INS-055A RAW '!I$17*100)</f>
        <v/>
      </c>
      <c r="J57" s="126" t="str">
        <f>IF('Finalterm OVPAA-F-INS-055A RAW '!J57="","",'Finalterm OVPAA-F-INS-055A RAW '!J57/'Finalterm OVPAA-F-INS-055A RAW '!J$17*100)</f>
        <v/>
      </c>
      <c r="K57" s="126" t="str">
        <f>IF('Finalterm OVPAA-F-INS-055A RAW '!K57="","",'Finalterm OVPAA-F-INS-055A RAW '!K57/'Finalterm OVPAA-F-INS-055A RAW '!K$17*100)</f>
        <v/>
      </c>
      <c r="L57" s="126" t="str">
        <f>IF('Finalterm OVPAA-F-INS-055A RAW '!L57="","",'Finalterm OVPAA-F-INS-055A RAW '!L57/'Finalterm OVPAA-F-INS-055A RAW '!L$17*100)</f>
        <v/>
      </c>
      <c r="M57" s="126" t="str">
        <f>IF('Finalterm OVPAA-F-INS-055A RAW '!M57="","",'Finalterm OVPAA-F-INS-055A RAW '!M57/'Finalterm OVPAA-F-INS-055A RAW '!M$17*100)</f>
        <v/>
      </c>
      <c r="N57" s="126" t="str">
        <f>IF('Finalterm OVPAA-F-INS-055A RAW '!N57="","",'Finalterm OVPAA-F-INS-055A RAW '!N57/'Finalterm OVPAA-F-INS-055A RAW '!N$17*100)</f>
        <v/>
      </c>
      <c r="O57" s="126" t="str">
        <f>IF('Finalterm OVPAA-F-INS-055A RAW '!O57="","",'Finalterm OVPAA-F-INS-055A RAW '!O57/'Finalterm OVPAA-F-INS-055A RAW '!O$17*100)</f>
        <v/>
      </c>
      <c r="P57" s="126" t="str">
        <f>IF('Finalterm OVPAA-F-INS-055A RAW '!P57="","",'Finalterm OVPAA-F-INS-055A RAW '!P57/'Finalterm OVPAA-F-INS-055A RAW '!P$17*100)</f>
        <v/>
      </c>
      <c r="Q57" s="126" t="str">
        <f>IF('Finalterm OVPAA-F-INS-055A RAW '!Q57="","",'Finalterm OVPAA-F-INS-055A RAW '!Q57/'Finalterm OVPAA-F-INS-055A RAW '!Q$17*100)</f>
        <v/>
      </c>
      <c r="R57" s="126" t="str">
        <f>IF('Finalterm OVPAA-F-INS-055A RAW '!R57="","",'Finalterm OVPAA-F-INS-055A RAW '!R57/'Finalterm OVPAA-F-INS-055A RAW '!R$17*100)</f>
        <v/>
      </c>
      <c r="S57" s="126" t="str">
        <f>IF('Finalterm OVPAA-F-INS-055A RAW '!S57="","",'Finalterm OVPAA-F-INS-055A RAW '!S57/'Finalterm OVPAA-F-INS-055A RAW '!S$17*100)</f>
        <v/>
      </c>
      <c r="T57" s="126" t="str">
        <f>IF('Finalterm OVPAA-F-INS-055A RAW '!T57="","",'Finalterm OVPAA-F-INS-055A RAW '!T57/'Finalterm OVPAA-F-INS-055A RAW '!T$17*100)</f>
        <v/>
      </c>
      <c r="U57" s="126" t="str">
        <f>IF('Finalterm OVPAA-F-INS-055A RAW '!U57="","",'Finalterm OVPAA-F-INS-055A RAW '!U57/'Finalterm OVPAA-F-INS-055A RAW '!U$17*100)</f>
        <v/>
      </c>
      <c r="V57" s="126" t="str">
        <f>IF('Finalterm OVPAA-F-INS-055A RAW '!V57="","",'Finalterm OVPAA-F-INS-055A RAW '!V57/'Finalterm OVPAA-F-INS-055A RAW '!V$17*100)</f>
        <v/>
      </c>
      <c r="W57" s="126" t="str">
        <f>IF('Finalterm OVPAA-F-INS-055A RAW '!W57="","",'Finalterm OVPAA-F-INS-055A RAW '!W57/'Finalterm OVPAA-F-INS-055A RAW '!W$17*100)</f>
        <v/>
      </c>
      <c r="X57" s="126" t="str">
        <f>IF('Finalterm OVPAA-F-INS-055A RAW '!X57="","",'Finalterm OVPAA-F-INS-055A RAW '!X57/'Finalterm OVPAA-F-INS-055A RAW '!X$17*100)</f>
        <v/>
      </c>
      <c r="Y57" s="126" t="str">
        <f>IF('Finalterm OVPAA-F-INS-055A RAW '!Y57="","",'Finalterm OVPAA-F-INS-055A RAW '!Y57/'Finalterm OVPAA-F-INS-055A RAW '!Y$17*100)</f>
        <v/>
      </c>
      <c r="Z57" s="126" t="str">
        <f>IF('Finalterm OVPAA-F-INS-055A RAW '!Z57="","",'Finalterm OVPAA-F-INS-055A RAW '!Z57/'Finalterm OVPAA-F-INS-055A RAW '!Z$17*100)</f>
        <v/>
      </c>
      <c r="AA57" s="126" t="str">
        <f>IF('Finalterm OVPAA-F-INS-055A RAW '!AA57="","",'Finalterm OVPAA-F-INS-055A RAW '!AA57/'Finalterm OVPAA-F-INS-055A RAW '!AA$17*100)</f>
        <v/>
      </c>
      <c r="AB57" s="126" t="str">
        <f>IF('Finalterm OVPAA-F-INS-055A RAW '!AB57="","",'Finalterm OVPAA-F-INS-055A RAW '!AB57/'Finalterm OVPAA-F-INS-055A RAW '!AB$17*100)</f>
        <v/>
      </c>
      <c r="AC57" s="126" t="str">
        <f>IF('Finalterm OVPAA-F-INS-055A RAW '!AC57="","",'Finalterm OVPAA-F-INS-055A RAW '!AC57/'Finalterm OVPAA-F-INS-055A RAW '!AC$17*100)</f>
        <v/>
      </c>
      <c r="AD57" s="126" t="str">
        <f>IF('Finalterm OVPAA-F-INS-055A RAW '!AD57="","",'Finalterm OVPAA-F-INS-055A RAW '!AD57/'Finalterm OVPAA-F-INS-055A RAW '!AD$17*100)</f>
        <v/>
      </c>
      <c r="AE57" s="126" t="str">
        <f>IF('Finalterm OVPAA-F-INS-055A RAW '!AE57="","",'Finalterm OVPAA-F-INS-055A RAW '!AE57/'Finalterm OVPAA-F-INS-055A RAW '!AE$17*100)</f>
        <v/>
      </c>
      <c r="AF57" s="126" t="str">
        <f>IF('Finalterm OVPAA-F-INS-055A RAW '!AF57="","",'Finalterm OVPAA-F-INS-055A RAW '!AF57/'Finalterm OVPAA-F-INS-055A RAW '!AF$17*100)</f>
        <v/>
      </c>
      <c r="AG57" s="126" t="str">
        <f>IF('Finalterm OVPAA-F-INS-055A RAW '!AG57="","",'Finalterm OVPAA-F-INS-055A RAW '!AG57/'Finalterm OVPAA-F-INS-055A RAW '!AG$17*100)</f>
        <v/>
      </c>
      <c r="AH57" s="126" t="str">
        <f>IF('Finalterm OVPAA-F-INS-055A RAW '!AH57="","",'Finalterm OVPAA-F-INS-055A RAW '!AH57/'Finalterm OVPAA-F-INS-055A RAW '!AH$17*100)</f>
        <v/>
      </c>
      <c r="AI57" s="126" t="str">
        <f>IF('Finalterm OVPAA-F-INS-055A RAW '!AI57="","",'Finalterm OVPAA-F-INS-055A RAW '!AI57/'Finalterm OVPAA-F-INS-055A RAW '!AI$17*100)</f>
        <v/>
      </c>
      <c r="AJ57" s="126" t="str">
        <f>IF('Finalterm OVPAA-F-INS-055A RAW '!AJ57="","",'Finalterm OVPAA-F-INS-055A RAW '!AJ57/'Finalterm OVPAA-F-INS-055A RAW '!AJ$17*100)</f>
        <v/>
      </c>
      <c r="AK57" s="126" t="str">
        <f>IF('Finalterm OVPAA-F-INS-055A RAW '!AK57="","",'Finalterm OVPAA-F-INS-055A RAW '!AK57/'Finalterm OVPAA-F-INS-055A RAW '!AK$17*100)</f>
        <v/>
      </c>
      <c r="AL57" s="126" t="str">
        <f>IF('Finalterm OVPAA-F-INS-055A RAW '!AL57="","",'Finalterm OVPAA-F-INS-055A RAW '!AL57/'Finalterm OVPAA-F-INS-055A RAW '!AL$17*100)</f>
        <v/>
      </c>
      <c r="AM57" s="126" t="str">
        <f>IF('Finalterm OVPAA-F-INS-055A RAW '!AM57="","",'Finalterm OVPAA-F-INS-055A RAW '!AM57/'Finalterm OVPAA-F-INS-055A RAW '!AM$17*100)</f>
        <v/>
      </c>
      <c r="AN57" s="126" t="str">
        <f>IF('Finalterm OVPAA-F-INS-055A RAW '!AN57="","",'Finalterm OVPAA-F-INS-055A RAW '!AN57/'Finalterm OVPAA-F-INS-055A RAW '!AN$17*100)</f>
        <v/>
      </c>
      <c r="AO57" s="126" t="str">
        <f>IF('Finalterm OVPAA-F-INS-055A RAW '!AO57="","",'Finalterm OVPAA-F-INS-055A RAW '!AO57/'Finalterm OVPAA-F-INS-055A RAW '!AO$17*100)</f>
        <v/>
      </c>
      <c r="AP57" s="126" t="str">
        <f>IF('Finalterm OVPAA-F-INS-055A RAW '!AP57="","",'Finalterm OVPAA-F-INS-055A RAW '!AP57/'Finalterm OVPAA-F-INS-055A RAW '!AP$17*100)</f>
        <v/>
      </c>
      <c r="AQ57" s="126" t="str">
        <f>IF('Finalterm OVPAA-F-INS-055A RAW '!AQ57="","",'Finalterm OVPAA-F-INS-055A RAW '!AQ57/'Finalterm OVPAA-F-INS-055A RAW '!AQ$17*100)</f>
        <v/>
      </c>
      <c r="AR57" s="126" t="str">
        <f>IF('Finalterm OVPAA-F-INS-055A RAW '!AR57="","",'Finalterm OVPAA-F-INS-055A RAW '!AR57/'Finalterm OVPAA-F-INS-055A RAW '!AR$17*100)</f>
        <v/>
      </c>
      <c r="AS57" s="126" t="str">
        <f>IF('Finalterm OVPAA-F-INS-055A RAW '!AS57="","",'Finalterm OVPAA-F-INS-055A RAW '!AS57/'Finalterm OVPAA-F-INS-055A RAW '!AS$17*100)</f>
        <v/>
      </c>
      <c r="AT57" s="126" t="str">
        <f>IF('Finalterm OVPAA-F-INS-055A RAW '!AT57="","",'Finalterm OVPAA-F-INS-055A RAW '!AT57/'Finalterm OVPAA-F-INS-055A RAW '!AT$17*100)</f>
        <v/>
      </c>
      <c r="AU57" s="126" t="str">
        <f>IF('Finalterm OVPAA-F-INS-055A RAW '!AU57="","",'Finalterm OVPAA-F-INS-055A RAW '!AU57/'Finalterm OVPAA-F-INS-055A RAW '!AU$17*100)</f>
        <v/>
      </c>
      <c r="AV57" s="126" t="str">
        <f>IF('Finalterm OVPAA-F-INS-055A RAW '!AV57="","",'Finalterm OVPAA-F-INS-055A RAW '!AV57/'Finalterm OVPAA-F-INS-055A RAW '!AV$17*100)</f>
        <v/>
      </c>
      <c r="AW57" s="126" t="str">
        <f>IF('Finalterm OVPAA-F-INS-055A RAW '!AW57="","",'Finalterm OVPAA-F-INS-055A RAW '!AW57/'Finalterm OVPAA-F-INS-055A RAW '!AW$17*100)</f>
        <v/>
      </c>
      <c r="AX57" s="126" t="str">
        <f>IF('Finalterm OVPAA-F-INS-055A RAW '!AX57="","",'Finalterm OVPAA-F-INS-055A RAW '!AX57/'Finalterm OVPAA-F-INS-055A RAW '!AX$17*100)</f>
        <v/>
      </c>
      <c r="AY57" s="126" t="str">
        <f>IF('Finalterm OVPAA-F-INS-055A RAW '!AY57="","",'Finalterm OVPAA-F-INS-055A RAW '!AY57/'Finalterm OVPAA-F-INS-055A RAW '!AY$17*100)</f>
        <v/>
      </c>
      <c r="AZ57" s="126" t="str">
        <f>IF('Finalterm OVPAA-F-INS-055A RAW '!AZ57="","",'Finalterm OVPAA-F-INS-055A RAW '!AZ57/'Finalterm OVPAA-F-INS-055A RAW '!AZ$17*100)</f>
        <v/>
      </c>
      <c r="BA57" s="126" t="str">
        <f>IF('Finalterm OVPAA-F-INS-055A RAW '!BA57="","",'Finalterm OVPAA-F-INS-055A RAW '!BA57/'Finalterm OVPAA-F-INS-055A RAW '!BA$17*100)</f>
        <v/>
      </c>
      <c r="BB57" s="126" t="str">
        <f>IF('Finalterm OVPAA-F-INS-055A RAW '!BB57="","",'Finalterm OVPAA-F-INS-055A RAW '!BB57/'Finalterm OVPAA-F-INS-055A RAW '!BB$17*100)</f>
        <v/>
      </c>
      <c r="BC57" s="126" t="str">
        <f>IF('Finalterm OVPAA-F-INS-055A RAW '!BC57="","",'Finalterm OVPAA-F-INS-055A RAW '!BC57/'Finalterm OVPAA-F-INS-055A RAW '!BC$17*100)</f>
        <v/>
      </c>
      <c r="BD57" s="126" t="str">
        <f>IF('Finalterm OVPAA-F-INS-055A RAW '!BD57="","",'Finalterm OVPAA-F-INS-055A RAW '!BD57/'Finalterm OVPAA-F-INS-055A RAW '!BD$17*100)</f>
        <v/>
      </c>
      <c r="BE57" s="126" t="str">
        <f>IF('Finalterm OVPAA-F-INS-055A RAW '!BE57="","",'Finalterm OVPAA-F-INS-055A RAW '!BE57/'Finalterm OVPAA-F-INS-055A RAW '!BE$17*100)</f>
        <v/>
      </c>
      <c r="BF57" s="126" t="str">
        <f>IF('Finalterm OVPAA-F-INS-055A RAW '!BF57="","",'Finalterm OVPAA-F-INS-055A RAW '!BF57/'Finalterm OVPAA-F-INS-055A RAW '!BF$17*100)</f>
        <v/>
      </c>
      <c r="BG57" s="126" t="str">
        <f>IF('Finalterm OVPAA-F-INS-055A RAW '!BG57="","",'Finalterm OVPAA-F-INS-055A RAW '!BG57/'Finalterm OVPAA-F-INS-055A RAW '!BG$17*100)</f>
        <v/>
      </c>
      <c r="BH57" s="126" t="str">
        <f>IF('Finalterm OVPAA-F-INS-055A RAW '!BH57="","",'Finalterm OVPAA-F-INS-055A RAW '!BH57/'Finalterm OVPAA-F-INS-055A RAW '!BH$17*100)</f>
        <v/>
      </c>
      <c r="BI57" s="126" t="str">
        <f>IF('Finalterm OVPAA-F-INS-055A RAW '!BI57="","",'Finalterm OVPAA-F-INS-055A RAW '!BI57/'Finalterm OVPAA-F-INS-055A RAW '!BI$17*100)</f>
        <v/>
      </c>
      <c r="BJ57" s="126" t="str">
        <f>IF('Finalterm OVPAA-F-INS-055A RAW '!BJ57="","",'Finalterm OVPAA-F-INS-055A RAW '!BJ57/'Finalterm OVPAA-F-INS-055A RAW '!BJ$17*100)</f>
        <v/>
      </c>
      <c r="BK57" s="126" t="str">
        <f>IF('Finalterm OVPAA-F-INS-055A RAW '!BK57="","",'Finalterm OVPAA-F-INS-055A RAW '!BK57/'Finalterm OVPAA-F-INS-055A RAW '!BK$17*100)</f>
        <v/>
      </c>
      <c r="BL57" s="126" t="str">
        <f>IF('Finalterm OVPAA-F-INS-055A RAW '!BL57="","",'Finalterm OVPAA-F-INS-055A RAW '!BL57/'Finalterm OVPAA-F-INS-055A RAW '!BL$17*100)</f>
        <v/>
      </c>
      <c r="BM57" s="126" t="str">
        <f>IF('Finalterm OVPAA-F-INS-055A RAW '!BM57="","",'Finalterm OVPAA-F-INS-055A RAW '!BM57/'Finalterm OVPAA-F-INS-055A RAW '!BM$17*100)</f>
        <v/>
      </c>
      <c r="BN57" s="126" t="str">
        <f>IF('Finalterm OVPAA-F-INS-055A RAW '!BN57="","",'Finalterm OVPAA-F-INS-055A RAW '!BN57/'Finalterm OVPAA-F-INS-055A RAW '!BN$17*100)</f>
        <v/>
      </c>
      <c r="BO57" s="126" t="str">
        <f>IF('Finalterm OVPAA-F-INS-055A RAW '!BO57="","",'Finalterm OVPAA-F-INS-055A RAW '!BO57/'Finalterm OVPAA-F-INS-055A RAW '!BO$17*100)</f>
        <v/>
      </c>
      <c r="BP57" s="126" t="str">
        <f>IF('Finalterm OVPAA-F-INS-055A RAW '!BP57="","",'Finalterm OVPAA-F-INS-055A RAW '!BP57/'Finalterm OVPAA-F-INS-055A RAW '!BP$17*100)</f>
        <v/>
      </c>
      <c r="BQ57" s="126" t="str">
        <f>IF('Finalterm OVPAA-F-INS-055A RAW '!BQ57="","",'Finalterm OVPAA-F-INS-055A RAW '!BQ57/'Finalterm OVPAA-F-INS-055A RAW '!BQ$17*100)</f>
        <v/>
      </c>
      <c r="BR57" s="126" t="str">
        <f>IF('Finalterm OVPAA-F-INS-055A RAW '!BR57="","",'Finalterm OVPAA-F-INS-055A RAW '!BR57/'Finalterm OVPAA-F-INS-055A RAW '!BR$17*100)</f>
        <v/>
      </c>
      <c r="BS57" s="126" t="str">
        <f>IF('Finalterm OVPAA-F-INS-055A RAW '!BS57="","",'Finalterm OVPAA-F-INS-055A RAW '!BS57/'Finalterm OVPAA-F-INS-055A RAW '!BS$17*100)</f>
        <v/>
      </c>
      <c r="BT57" s="126" t="str">
        <f>IF('Finalterm OVPAA-F-INS-055A RAW '!BT57="","",'Finalterm OVPAA-F-INS-055A RAW '!BT57/'Finalterm OVPAA-F-INS-055A RAW '!BT$17*100)</f>
        <v/>
      </c>
      <c r="BU57" s="127" t="str">
        <f t="array" ref="BU57">IF('Finalterm OVPAA-F-INS-055A RAW '!$G57="","",IF((SUMPRODUCT(--ISBLANK('Finalterm OVPAA-F-INS-055A RAW '!H57:BT57))=COLUMNS('Finalterm OVPAA-F-INS-055A RAW '!H57:BT57))=TRUE,"",(((COUNTA('Finalterm OVPAA-F-INS-055A RAW '!$H$17:$BT$17)+COUNTBLANK('Finalterm OVPAA-F-INS-055A RAW '!H57:BT57))-COLUMNS('Finalterm OVPAA-F-INS-055A RAW '!H57:BT57))*5+SUM(H57:BT57))/COUNTA('Finalterm OVPAA-F-INS-055A RAW '!$H$17:$BT$17)))</f>
        <v/>
      </c>
      <c r="BV57" s="165" t="str">
        <f>IF(BU57="","",VLOOKUP(BU57,IF('Midterm OVPAA-F-INS-055A RAW SC'!$V$12=0.5,TRANSMUTATION!$C$4:$D$17,TRANSMUTATION!$G$4:$H$17),2,TRUE))</f>
        <v/>
      </c>
      <c r="BW57" s="129" t="str">
        <f>IF('Finalterm OVPAA-F-INS-055A RAW '!BU57="","",'Finalterm OVPAA-F-INS-055A RAW '!BU57/'Finalterm OVPAA-F-INS-055A RAW '!BU$17*100)</f>
        <v/>
      </c>
      <c r="BX57" s="130" t="str">
        <f>IF('Finalterm OVPAA-F-INS-055A RAW '!BV57="","",'Finalterm OVPAA-F-INS-055A RAW '!BV57/'Finalterm OVPAA-F-INS-055A RAW '!BV$17*100)</f>
        <v/>
      </c>
      <c r="BY57" s="130" t="str">
        <f>IF('Finalterm OVPAA-F-INS-055A RAW '!BW57="","",'Finalterm OVPAA-F-INS-055A RAW '!BW57/'Finalterm OVPAA-F-INS-055A RAW '!BW$17*100)</f>
        <v/>
      </c>
      <c r="BZ57" s="130" t="str">
        <f>IF('Finalterm OVPAA-F-INS-055A RAW '!BX57="","",'Finalterm OVPAA-F-INS-055A RAW '!BX57/'Finalterm OVPAA-F-INS-055A RAW '!BX$17*100)</f>
        <v/>
      </c>
      <c r="CA57" s="130" t="str">
        <f>IF('Finalterm OVPAA-F-INS-055A RAW '!BY57="","",'Finalterm OVPAA-F-INS-055A RAW '!BY57/'Finalterm OVPAA-F-INS-055A RAW '!BY$17*100)</f>
        <v/>
      </c>
      <c r="CB57" s="130" t="str">
        <f>IF('Finalterm OVPAA-F-INS-055A RAW '!BZ57="","",'Finalterm OVPAA-F-INS-055A RAW '!BZ57/'Finalterm OVPAA-F-INS-055A RAW '!BZ$17*100)</f>
        <v/>
      </c>
      <c r="CC57" s="130" t="str">
        <f>IF('Finalterm OVPAA-F-INS-055A RAW '!CA57="","",'Finalterm OVPAA-F-INS-055A RAW '!CA57/'Finalterm OVPAA-F-INS-055A RAW '!CA$17*100)</f>
        <v/>
      </c>
      <c r="CD57" s="130" t="str">
        <f>IF('Finalterm OVPAA-F-INS-055A RAW '!CB57="","",'Finalterm OVPAA-F-INS-055A RAW '!CB57/'Finalterm OVPAA-F-INS-055A RAW '!CB$17*100)</f>
        <v/>
      </c>
      <c r="CE57" s="130" t="str">
        <f>IF('Finalterm OVPAA-F-INS-055A RAW '!CC57="","",'Finalterm OVPAA-F-INS-055A RAW '!CC57/'Finalterm OVPAA-F-INS-055A RAW '!CC$17*100)</f>
        <v/>
      </c>
      <c r="CF57" s="130" t="str">
        <f>IF('Finalterm OVPAA-F-INS-055A RAW '!CD57="","",'Finalterm OVPAA-F-INS-055A RAW '!CD57/'Finalterm OVPAA-F-INS-055A RAW '!CD$17*100)</f>
        <v/>
      </c>
      <c r="CG57" s="130" t="str">
        <f>IF('Finalterm OVPAA-F-INS-055A RAW '!CE57="","",'Finalterm OVPAA-F-INS-055A RAW '!CE57/'Finalterm OVPAA-F-INS-055A RAW '!CE$17*100)</f>
        <v/>
      </c>
      <c r="CH57" s="130" t="str">
        <f>IF('Finalterm OVPAA-F-INS-055A RAW '!CF57="","",'Finalterm OVPAA-F-INS-055A RAW '!CF57/'Finalterm OVPAA-F-INS-055A RAW '!CF$17*100)</f>
        <v/>
      </c>
      <c r="CI57" s="130" t="str">
        <f>IF('Finalterm OVPAA-F-INS-055A RAW '!CG57="","",'Finalterm OVPAA-F-INS-055A RAW '!CG57/'Finalterm OVPAA-F-INS-055A RAW '!CG$17*100)</f>
        <v/>
      </c>
      <c r="CJ57" s="130" t="str">
        <f>IF('Finalterm OVPAA-F-INS-055A RAW '!CH57="","",'Finalterm OVPAA-F-INS-055A RAW '!CH57/'Finalterm OVPAA-F-INS-055A RAW '!CH$17*100)</f>
        <v/>
      </c>
      <c r="CK57" s="130" t="str">
        <f>IF('Finalterm OVPAA-F-INS-055A RAW '!CI57="","",'Finalterm OVPAA-F-INS-055A RAW '!CI57/'Finalterm OVPAA-F-INS-055A RAW '!CI$17*100)</f>
        <v/>
      </c>
      <c r="CL57" s="130" t="str">
        <f>IF('Finalterm OVPAA-F-INS-055A RAW '!CJ57="","",'Finalterm OVPAA-F-INS-055A RAW '!CJ57/'Finalterm OVPAA-F-INS-055A RAW '!CJ$17*100)</f>
        <v/>
      </c>
      <c r="CM57" s="130" t="str">
        <f>IF('Finalterm OVPAA-F-INS-055A RAW '!CK57="","",'Finalterm OVPAA-F-INS-055A RAW '!CK57/'Finalterm OVPAA-F-INS-055A RAW '!CK$17*100)</f>
        <v/>
      </c>
      <c r="CN57" s="130" t="str">
        <f>IF('Finalterm OVPAA-F-INS-055A RAW '!CL57="","",'Finalterm OVPAA-F-INS-055A RAW '!CL57/'Finalterm OVPAA-F-INS-055A RAW '!CL$17*100)</f>
        <v/>
      </c>
      <c r="CO57" s="130" t="str">
        <f>IF('Finalterm OVPAA-F-INS-055A RAW '!CM57="","",'Finalterm OVPAA-F-INS-055A RAW '!CM57/'Finalterm OVPAA-F-INS-055A RAW '!CM$17*100)</f>
        <v/>
      </c>
      <c r="CP57" s="130" t="str">
        <f>IF('Finalterm OVPAA-F-INS-055A RAW '!CN57="","",'Finalterm OVPAA-F-INS-055A RAW '!CN57/'Finalterm OVPAA-F-INS-055A RAW '!CN$17*100)</f>
        <v/>
      </c>
      <c r="CQ57" s="131" t="str">
        <f t="array" ref="CQ57">IF('Midterm OVPAA-F-INS-055A RAW SC'!G57="","",IF((SUMPRODUCT(--ISBLANK('Finalterm OVPAA-F-INS-055A RAW '!BU57:CN57))=COLUMNS('Finalterm OVPAA-F-INS-055A RAW '!BU57:CN57))=TRUE,"",(((COUNTA('Finalterm OVPAA-F-INS-055A RAW '!$BU$17:$CN$17)+COUNTBLANK('Finalterm OVPAA-F-INS-055A RAW '!BU57:CN57))-COLUMNS('Finalterm OVPAA-F-INS-055A RAW '!BU57:CN57))*5+SUM(BW57:CP57))/COUNTA('Finalterm OVPAA-F-INS-055A RAW '!$BU$17:$CN$17)))</f>
        <v/>
      </c>
      <c r="CR57" s="132" t="str">
        <f>IF(CQ57="","",VLOOKUP(CQ57,IF('Midterm OVPAA-F-INS-055A RAW SC'!$V$12=0.5,TRANSMUTATION!$C$4:$D$17,TRANSMUTATION!$G$4:$H$17),2,TRUE))</f>
        <v/>
      </c>
      <c r="CS57" s="133" t="str">
        <f>IF('Finalterm OVPAA-F-INS-055A RAW '!CO57="","",'Finalterm OVPAA-F-INS-055A RAW '!CO57/'Finalterm OVPAA-F-INS-055A RAW '!CO$17*100)</f>
        <v/>
      </c>
      <c r="CT57" s="133" t="str">
        <f>IF('Finalterm OVPAA-F-INS-055A RAW '!CP57="","",'Finalterm OVPAA-F-INS-055A RAW '!CP57/'Finalterm OVPAA-F-INS-055A RAW '!CP$17*100)</f>
        <v/>
      </c>
      <c r="CU57" s="133" t="str">
        <f>IF('Finalterm OVPAA-F-INS-055A RAW '!CQ57="","",'Finalterm OVPAA-F-INS-055A RAW '!CQ57/'Finalterm OVPAA-F-INS-055A RAW '!CQ$17*100)</f>
        <v/>
      </c>
      <c r="CV57" s="133" t="str">
        <f>IF('Finalterm OVPAA-F-INS-055A RAW '!CR57="","",'Finalterm OVPAA-F-INS-055A RAW '!CR57/'Finalterm OVPAA-F-INS-055A RAW '!CR$17*100)</f>
        <v/>
      </c>
      <c r="CW57" s="133" t="str">
        <f>IF('Finalterm OVPAA-F-INS-055A RAW '!CS57="","",'Finalterm OVPAA-F-INS-055A RAW '!CS57/'Finalterm OVPAA-F-INS-055A RAW '!CS$17*100)</f>
        <v/>
      </c>
      <c r="CX57" s="133" t="str">
        <f>IF('Finalterm OVPAA-F-INS-055A RAW '!CT57="","",'Finalterm OVPAA-F-INS-055A RAW '!CT57/'Finalterm OVPAA-F-INS-055A RAW '!CT$17*100)</f>
        <v/>
      </c>
      <c r="CY57" s="133" t="str">
        <f>IF('Finalterm OVPAA-F-INS-055A RAW '!CU57="","",'Finalterm OVPAA-F-INS-055A RAW '!CU57/'Finalterm OVPAA-F-INS-055A RAW '!CU$17*100)</f>
        <v/>
      </c>
      <c r="CZ57" s="133" t="str">
        <f>IF('Finalterm OVPAA-F-INS-055A RAW '!CV57="","",'Finalterm OVPAA-F-INS-055A RAW '!CV57/'Finalterm OVPAA-F-INS-055A RAW '!CV$17*100)</f>
        <v/>
      </c>
      <c r="DA57" s="133" t="str">
        <f>IF('Finalterm OVPAA-F-INS-055A RAW '!CW57="","",'Finalterm OVPAA-F-INS-055A RAW '!CW57/'Finalterm OVPAA-F-INS-055A RAW '!CW$17*100)</f>
        <v/>
      </c>
      <c r="DB57" s="133" t="str">
        <f>IF('Finalterm OVPAA-F-INS-055A RAW '!CX57="","",'Finalterm OVPAA-F-INS-055A RAW '!CX57/'Finalterm OVPAA-F-INS-055A RAW '!CX$17*100)</f>
        <v/>
      </c>
      <c r="DC57" s="134" t="str">
        <f t="array" ref="DC57">IF('Midterm OVPAA-F-INS-055A RAW SC'!$G57="","",IF((SUMPRODUCT(--ISBLANK('Finalterm OVPAA-F-INS-055A RAW '!CO57:CX57))=COLUMNS('Finalterm OVPAA-F-INS-055A RAW '!CO57:CX57))=TRUE,"",(((COUNTA('Finalterm OVPAA-F-INS-055A RAW '!$CO$17:$CX$17)+COUNTBLANK('Finalterm OVPAA-F-INS-055A RAW '!CO57:CX57))-COLUMNS('Finalterm OVPAA-F-INS-055A RAW '!CO57:CX57))*5+SUM(CS57:DB57))/COUNTA('Finalterm OVPAA-F-INS-055A RAW '!$CO$17:$CX$17)))</f>
        <v/>
      </c>
      <c r="DD57" s="135" t="str">
        <f>IF(DC57="","",VLOOKUP(DC57,IF('Midterm OVPAA-F-INS-055A RAW SC'!$V$12=0.5,TRANSMUTATION!$C$4:$D$17,TRANSMUTATION!$G$4:$H$17),2,TRUE))</f>
        <v/>
      </c>
      <c r="DE57" s="136" t="str">
        <f t="shared" si="1"/>
        <v/>
      </c>
      <c r="DF57" s="166" t="str">
        <f t="shared" si="2"/>
        <v/>
      </c>
      <c r="DG57" s="167" t="str">
        <f t="shared" si="3"/>
        <v/>
      </c>
      <c r="DH57" s="168" t="str">
        <f t="shared" si="4"/>
        <v/>
      </c>
      <c r="DI57" s="169" t="str">
        <f t="shared" si="5"/>
        <v/>
      </c>
    </row>
    <row r="58" spans="5:113" ht="15.75" hidden="1" customHeight="1">
      <c r="E58" s="59">
        <v>41</v>
      </c>
      <c r="F58" s="124" t="str">
        <f>IF(NOT(ISBLANK('Midterm OVPAA-F-INS-055A RAW SC'!F58)),'Midterm OVPAA-F-INS-055A RAW SC'!F58,"")</f>
        <v/>
      </c>
      <c r="G58" s="125" t="str">
        <f>IF(NOT(ISBLANK('Midterm OVPAA-F-INS-055A RAW SC'!G58)),'Midterm OVPAA-F-INS-055A RAW SC'!G58,"")</f>
        <v/>
      </c>
      <c r="H58" s="126" t="str">
        <f>IF('Finalterm OVPAA-F-INS-055A RAW '!H58="","",'Finalterm OVPAA-F-INS-055A RAW '!H58/'Finalterm OVPAA-F-INS-055A RAW '!H$17*100)</f>
        <v/>
      </c>
      <c r="I58" s="126" t="str">
        <f>IF('Finalterm OVPAA-F-INS-055A RAW '!I58="","",'Finalterm OVPAA-F-INS-055A RAW '!I58/'Finalterm OVPAA-F-INS-055A RAW '!I$17*100)</f>
        <v/>
      </c>
      <c r="J58" s="126" t="str">
        <f>IF('Finalterm OVPAA-F-INS-055A RAW '!J58="","",'Finalterm OVPAA-F-INS-055A RAW '!J58/'Finalterm OVPAA-F-INS-055A RAW '!J$17*100)</f>
        <v/>
      </c>
      <c r="K58" s="126" t="str">
        <f>IF('Finalterm OVPAA-F-INS-055A RAW '!K58="","",'Finalterm OVPAA-F-INS-055A RAW '!K58/'Finalterm OVPAA-F-INS-055A RAW '!K$17*100)</f>
        <v/>
      </c>
      <c r="L58" s="126" t="str">
        <f>IF('Finalterm OVPAA-F-INS-055A RAW '!L58="","",'Finalterm OVPAA-F-INS-055A RAW '!L58/'Finalterm OVPAA-F-INS-055A RAW '!L$17*100)</f>
        <v/>
      </c>
      <c r="M58" s="126" t="str">
        <f>IF('Finalterm OVPAA-F-INS-055A RAW '!M58="","",'Finalterm OVPAA-F-INS-055A RAW '!M58/'Finalterm OVPAA-F-INS-055A RAW '!M$17*100)</f>
        <v/>
      </c>
      <c r="N58" s="126" t="str">
        <f>IF('Finalterm OVPAA-F-INS-055A RAW '!N58="","",'Finalterm OVPAA-F-INS-055A RAW '!N58/'Finalterm OVPAA-F-INS-055A RAW '!N$17*100)</f>
        <v/>
      </c>
      <c r="O58" s="126" t="str">
        <f>IF('Finalterm OVPAA-F-INS-055A RAW '!O58="","",'Finalterm OVPAA-F-INS-055A RAW '!O58/'Finalterm OVPAA-F-INS-055A RAW '!O$17*100)</f>
        <v/>
      </c>
      <c r="P58" s="126" t="str">
        <f>IF('Finalterm OVPAA-F-INS-055A RAW '!P58="","",'Finalterm OVPAA-F-INS-055A RAW '!P58/'Finalterm OVPAA-F-INS-055A RAW '!P$17*100)</f>
        <v/>
      </c>
      <c r="Q58" s="126" t="str">
        <f>IF('Finalterm OVPAA-F-INS-055A RAW '!Q58="","",'Finalterm OVPAA-F-INS-055A RAW '!Q58/'Finalterm OVPAA-F-INS-055A RAW '!Q$17*100)</f>
        <v/>
      </c>
      <c r="R58" s="126" t="str">
        <f>IF('Finalterm OVPAA-F-INS-055A RAW '!R58="","",'Finalterm OVPAA-F-INS-055A RAW '!R58/'Finalterm OVPAA-F-INS-055A RAW '!R$17*100)</f>
        <v/>
      </c>
      <c r="S58" s="126" t="str">
        <f>IF('Finalterm OVPAA-F-INS-055A RAW '!S58="","",'Finalterm OVPAA-F-INS-055A RAW '!S58/'Finalterm OVPAA-F-INS-055A RAW '!S$17*100)</f>
        <v/>
      </c>
      <c r="T58" s="126" t="str">
        <f>IF('Finalterm OVPAA-F-INS-055A RAW '!T58="","",'Finalterm OVPAA-F-INS-055A RAW '!T58/'Finalterm OVPAA-F-INS-055A RAW '!T$17*100)</f>
        <v/>
      </c>
      <c r="U58" s="126" t="str">
        <f>IF('Finalterm OVPAA-F-INS-055A RAW '!U58="","",'Finalterm OVPAA-F-INS-055A RAW '!U58/'Finalterm OVPAA-F-INS-055A RAW '!U$17*100)</f>
        <v/>
      </c>
      <c r="V58" s="126" t="str">
        <f>IF('Finalterm OVPAA-F-INS-055A RAW '!V58="","",'Finalterm OVPAA-F-INS-055A RAW '!V58/'Finalterm OVPAA-F-INS-055A RAW '!V$17*100)</f>
        <v/>
      </c>
      <c r="W58" s="126" t="str">
        <f>IF('Finalterm OVPAA-F-INS-055A RAW '!W58="","",'Finalterm OVPAA-F-INS-055A RAW '!W58/'Finalterm OVPAA-F-INS-055A RAW '!W$17*100)</f>
        <v/>
      </c>
      <c r="X58" s="126" t="str">
        <f>IF('Finalterm OVPAA-F-INS-055A RAW '!X58="","",'Finalterm OVPAA-F-INS-055A RAW '!X58/'Finalterm OVPAA-F-INS-055A RAW '!X$17*100)</f>
        <v/>
      </c>
      <c r="Y58" s="126" t="str">
        <f>IF('Finalterm OVPAA-F-INS-055A RAW '!Y58="","",'Finalterm OVPAA-F-INS-055A RAW '!Y58/'Finalterm OVPAA-F-INS-055A RAW '!Y$17*100)</f>
        <v/>
      </c>
      <c r="Z58" s="126" t="str">
        <f>IF('Finalterm OVPAA-F-INS-055A RAW '!Z58="","",'Finalterm OVPAA-F-INS-055A RAW '!Z58/'Finalterm OVPAA-F-INS-055A RAW '!Z$17*100)</f>
        <v/>
      </c>
      <c r="AA58" s="126" t="str">
        <f>IF('Finalterm OVPAA-F-INS-055A RAW '!AA58="","",'Finalterm OVPAA-F-INS-055A RAW '!AA58/'Finalterm OVPAA-F-INS-055A RAW '!AA$17*100)</f>
        <v/>
      </c>
      <c r="AB58" s="126" t="str">
        <f>IF('Finalterm OVPAA-F-INS-055A RAW '!AB58="","",'Finalterm OVPAA-F-INS-055A RAW '!AB58/'Finalterm OVPAA-F-INS-055A RAW '!AB$17*100)</f>
        <v/>
      </c>
      <c r="AC58" s="126" t="str">
        <f>IF('Finalterm OVPAA-F-INS-055A RAW '!AC58="","",'Finalterm OVPAA-F-INS-055A RAW '!AC58/'Finalterm OVPAA-F-INS-055A RAW '!AC$17*100)</f>
        <v/>
      </c>
      <c r="AD58" s="126" t="str">
        <f>IF('Finalterm OVPAA-F-INS-055A RAW '!AD58="","",'Finalterm OVPAA-F-INS-055A RAW '!AD58/'Finalterm OVPAA-F-INS-055A RAW '!AD$17*100)</f>
        <v/>
      </c>
      <c r="AE58" s="126" t="str">
        <f>IF('Finalterm OVPAA-F-INS-055A RAW '!AE58="","",'Finalterm OVPAA-F-INS-055A RAW '!AE58/'Finalterm OVPAA-F-INS-055A RAW '!AE$17*100)</f>
        <v/>
      </c>
      <c r="AF58" s="126" t="str">
        <f>IF('Finalterm OVPAA-F-INS-055A RAW '!AF58="","",'Finalterm OVPAA-F-INS-055A RAW '!AF58/'Finalterm OVPAA-F-INS-055A RAW '!AF$17*100)</f>
        <v/>
      </c>
      <c r="AG58" s="126" t="str">
        <f>IF('Finalterm OVPAA-F-INS-055A RAW '!AG58="","",'Finalterm OVPAA-F-INS-055A RAW '!AG58/'Finalterm OVPAA-F-INS-055A RAW '!AG$17*100)</f>
        <v/>
      </c>
      <c r="AH58" s="126" t="str">
        <f>IF('Finalterm OVPAA-F-INS-055A RAW '!AH58="","",'Finalterm OVPAA-F-INS-055A RAW '!AH58/'Finalterm OVPAA-F-INS-055A RAW '!AH$17*100)</f>
        <v/>
      </c>
      <c r="AI58" s="126" t="str">
        <f>IF('Finalterm OVPAA-F-INS-055A RAW '!AI58="","",'Finalterm OVPAA-F-INS-055A RAW '!AI58/'Finalterm OVPAA-F-INS-055A RAW '!AI$17*100)</f>
        <v/>
      </c>
      <c r="AJ58" s="126" t="str">
        <f>IF('Finalterm OVPAA-F-INS-055A RAW '!AJ58="","",'Finalterm OVPAA-F-INS-055A RAW '!AJ58/'Finalterm OVPAA-F-INS-055A RAW '!AJ$17*100)</f>
        <v/>
      </c>
      <c r="AK58" s="126" t="str">
        <f>IF('Finalterm OVPAA-F-INS-055A RAW '!AK58="","",'Finalterm OVPAA-F-INS-055A RAW '!AK58/'Finalterm OVPAA-F-INS-055A RAW '!AK$17*100)</f>
        <v/>
      </c>
      <c r="AL58" s="126" t="str">
        <f>IF('Finalterm OVPAA-F-INS-055A RAW '!AL58="","",'Finalterm OVPAA-F-INS-055A RAW '!AL58/'Finalterm OVPAA-F-INS-055A RAW '!AL$17*100)</f>
        <v/>
      </c>
      <c r="AM58" s="126" t="str">
        <f>IF('Finalterm OVPAA-F-INS-055A RAW '!AM58="","",'Finalterm OVPAA-F-INS-055A RAW '!AM58/'Finalterm OVPAA-F-INS-055A RAW '!AM$17*100)</f>
        <v/>
      </c>
      <c r="AN58" s="126" t="str">
        <f>IF('Finalterm OVPAA-F-INS-055A RAW '!AN58="","",'Finalterm OVPAA-F-INS-055A RAW '!AN58/'Finalterm OVPAA-F-INS-055A RAW '!AN$17*100)</f>
        <v/>
      </c>
      <c r="AO58" s="126" t="str">
        <f>IF('Finalterm OVPAA-F-INS-055A RAW '!AO58="","",'Finalterm OVPAA-F-INS-055A RAW '!AO58/'Finalterm OVPAA-F-INS-055A RAW '!AO$17*100)</f>
        <v/>
      </c>
      <c r="AP58" s="126" t="str">
        <f>IF('Finalterm OVPAA-F-INS-055A RAW '!AP58="","",'Finalterm OVPAA-F-INS-055A RAW '!AP58/'Finalterm OVPAA-F-INS-055A RAW '!AP$17*100)</f>
        <v/>
      </c>
      <c r="AQ58" s="126" t="str">
        <f>IF('Finalterm OVPAA-F-INS-055A RAW '!AQ58="","",'Finalterm OVPAA-F-INS-055A RAW '!AQ58/'Finalterm OVPAA-F-INS-055A RAW '!AQ$17*100)</f>
        <v/>
      </c>
      <c r="AR58" s="126" t="str">
        <f>IF('Finalterm OVPAA-F-INS-055A RAW '!AR58="","",'Finalterm OVPAA-F-INS-055A RAW '!AR58/'Finalterm OVPAA-F-INS-055A RAW '!AR$17*100)</f>
        <v/>
      </c>
      <c r="AS58" s="126" t="str">
        <f>IF('Finalterm OVPAA-F-INS-055A RAW '!AS58="","",'Finalterm OVPAA-F-INS-055A RAW '!AS58/'Finalterm OVPAA-F-INS-055A RAW '!AS$17*100)</f>
        <v/>
      </c>
      <c r="AT58" s="126" t="str">
        <f>IF('Finalterm OVPAA-F-INS-055A RAW '!AT58="","",'Finalterm OVPAA-F-INS-055A RAW '!AT58/'Finalterm OVPAA-F-INS-055A RAW '!AT$17*100)</f>
        <v/>
      </c>
      <c r="AU58" s="126" t="str">
        <f>IF('Finalterm OVPAA-F-INS-055A RAW '!AU58="","",'Finalterm OVPAA-F-INS-055A RAW '!AU58/'Finalterm OVPAA-F-INS-055A RAW '!AU$17*100)</f>
        <v/>
      </c>
      <c r="AV58" s="126" t="str">
        <f>IF('Finalterm OVPAA-F-INS-055A RAW '!AV58="","",'Finalterm OVPAA-F-INS-055A RAW '!AV58/'Finalterm OVPAA-F-INS-055A RAW '!AV$17*100)</f>
        <v/>
      </c>
      <c r="AW58" s="126" t="str">
        <f>IF('Finalterm OVPAA-F-INS-055A RAW '!AW58="","",'Finalterm OVPAA-F-INS-055A RAW '!AW58/'Finalterm OVPAA-F-INS-055A RAW '!AW$17*100)</f>
        <v/>
      </c>
      <c r="AX58" s="126" t="str">
        <f>IF('Finalterm OVPAA-F-INS-055A RAW '!AX58="","",'Finalterm OVPAA-F-INS-055A RAW '!AX58/'Finalterm OVPAA-F-INS-055A RAW '!AX$17*100)</f>
        <v/>
      </c>
      <c r="AY58" s="126" t="str">
        <f>IF('Finalterm OVPAA-F-INS-055A RAW '!AY58="","",'Finalterm OVPAA-F-INS-055A RAW '!AY58/'Finalterm OVPAA-F-INS-055A RAW '!AY$17*100)</f>
        <v/>
      </c>
      <c r="AZ58" s="126" t="str">
        <f>IF('Finalterm OVPAA-F-INS-055A RAW '!AZ58="","",'Finalterm OVPAA-F-INS-055A RAW '!AZ58/'Finalterm OVPAA-F-INS-055A RAW '!AZ$17*100)</f>
        <v/>
      </c>
      <c r="BA58" s="126" t="str">
        <f>IF('Finalterm OVPAA-F-INS-055A RAW '!BA58="","",'Finalterm OVPAA-F-INS-055A RAW '!BA58/'Finalterm OVPAA-F-INS-055A RAW '!BA$17*100)</f>
        <v/>
      </c>
      <c r="BB58" s="126" t="str">
        <f>IF('Finalterm OVPAA-F-INS-055A RAW '!BB58="","",'Finalterm OVPAA-F-INS-055A RAW '!BB58/'Finalterm OVPAA-F-INS-055A RAW '!BB$17*100)</f>
        <v/>
      </c>
      <c r="BC58" s="126" t="str">
        <f>IF('Finalterm OVPAA-F-INS-055A RAW '!BC58="","",'Finalterm OVPAA-F-INS-055A RAW '!BC58/'Finalterm OVPAA-F-INS-055A RAW '!BC$17*100)</f>
        <v/>
      </c>
      <c r="BD58" s="126" t="str">
        <f>IF('Finalterm OVPAA-F-INS-055A RAW '!BD58="","",'Finalterm OVPAA-F-INS-055A RAW '!BD58/'Finalterm OVPAA-F-INS-055A RAW '!BD$17*100)</f>
        <v/>
      </c>
      <c r="BE58" s="126" t="str">
        <f>IF('Finalterm OVPAA-F-INS-055A RAW '!BE58="","",'Finalterm OVPAA-F-INS-055A RAW '!BE58/'Finalterm OVPAA-F-INS-055A RAW '!BE$17*100)</f>
        <v/>
      </c>
      <c r="BF58" s="126" t="str">
        <f>IF('Finalterm OVPAA-F-INS-055A RAW '!BF58="","",'Finalterm OVPAA-F-INS-055A RAW '!BF58/'Finalterm OVPAA-F-INS-055A RAW '!BF$17*100)</f>
        <v/>
      </c>
      <c r="BG58" s="126" t="str">
        <f>IF('Finalterm OVPAA-F-INS-055A RAW '!BG58="","",'Finalterm OVPAA-F-INS-055A RAW '!BG58/'Finalterm OVPAA-F-INS-055A RAW '!BG$17*100)</f>
        <v/>
      </c>
      <c r="BH58" s="126" t="str">
        <f>IF('Finalterm OVPAA-F-INS-055A RAW '!BH58="","",'Finalterm OVPAA-F-INS-055A RAW '!BH58/'Finalterm OVPAA-F-INS-055A RAW '!BH$17*100)</f>
        <v/>
      </c>
      <c r="BI58" s="126" t="str">
        <f>IF('Finalterm OVPAA-F-INS-055A RAW '!BI58="","",'Finalterm OVPAA-F-INS-055A RAW '!BI58/'Finalterm OVPAA-F-INS-055A RAW '!BI$17*100)</f>
        <v/>
      </c>
      <c r="BJ58" s="126" t="str">
        <f>IF('Finalterm OVPAA-F-INS-055A RAW '!BJ58="","",'Finalterm OVPAA-F-INS-055A RAW '!BJ58/'Finalterm OVPAA-F-INS-055A RAW '!BJ$17*100)</f>
        <v/>
      </c>
      <c r="BK58" s="126" t="str">
        <f>IF('Finalterm OVPAA-F-INS-055A RAW '!BK58="","",'Finalterm OVPAA-F-INS-055A RAW '!BK58/'Finalterm OVPAA-F-INS-055A RAW '!BK$17*100)</f>
        <v/>
      </c>
      <c r="BL58" s="126" t="str">
        <f>IF('Finalterm OVPAA-F-INS-055A RAW '!BL58="","",'Finalterm OVPAA-F-INS-055A RAW '!BL58/'Finalterm OVPAA-F-INS-055A RAW '!BL$17*100)</f>
        <v/>
      </c>
      <c r="BM58" s="126" t="str">
        <f>IF('Finalterm OVPAA-F-INS-055A RAW '!BM58="","",'Finalterm OVPAA-F-INS-055A RAW '!BM58/'Finalterm OVPAA-F-INS-055A RAW '!BM$17*100)</f>
        <v/>
      </c>
      <c r="BN58" s="126" t="str">
        <f>IF('Finalterm OVPAA-F-INS-055A RAW '!BN58="","",'Finalterm OVPAA-F-INS-055A RAW '!BN58/'Finalterm OVPAA-F-INS-055A RAW '!BN$17*100)</f>
        <v/>
      </c>
      <c r="BO58" s="126" t="str">
        <f>IF('Finalterm OVPAA-F-INS-055A RAW '!BO58="","",'Finalterm OVPAA-F-INS-055A RAW '!BO58/'Finalterm OVPAA-F-INS-055A RAW '!BO$17*100)</f>
        <v/>
      </c>
      <c r="BP58" s="126" t="str">
        <f>IF('Finalterm OVPAA-F-INS-055A RAW '!BP58="","",'Finalterm OVPAA-F-INS-055A RAW '!BP58/'Finalterm OVPAA-F-INS-055A RAW '!BP$17*100)</f>
        <v/>
      </c>
      <c r="BQ58" s="126" t="str">
        <f>IF('Finalterm OVPAA-F-INS-055A RAW '!BQ58="","",'Finalterm OVPAA-F-INS-055A RAW '!BQ58/'Finalterm OVPAA-F-INS-055A RAW '!BQ$17*100)</f>
        <v/>
      </c>
      <c r="BR58" s="126" t="str">
        <f>IF('Finalterm OVPAA-F-INS-055A RAW '!BR58="","",'Finalterm OVPAA-F-INS-055A RAW '!BR58/'Finalterm OVPAA-F-INS-055A RAW '!BR$17*100)</f>
        <v/>
      </c>
      <c r="BS58" s="126" t="str">
        <f>IF('Finalterm OVPAA-F-INS-055A RAW '!BS58="","",'Finalterm OVPAA-F-INS-055A RAW '!BS58/'Finalterm OVPAA-F-INS-055A RAW '!BS$17*100)</f>
        <v/>
      </c>
      <c r="BT58" s="126" t="str">
        <f>IF('Finalterm OVPAA-F-INS-055A RAW '!BT58="","",'Finalterm OVPAA-F-INS-055A RAW '!BT58/'Finalterm OVPAA-F-INS-055A RAW '!BT$17*100)</f>
        <v/>
      </c>
      <c r="BU58" s="127" t="str">
        <f t="array" ref="BU58">IF('Finalterm OVPAA-F-INS-055A RAW '!$G58="","",IF((SUMPRODUCT(--ISBLANK('Finalterm OVPAA-F-INS-055A RAW '!H58:BT58))=COLUMNS('Finalterm OVPAA-F-INS-055A RAW '!H58:BT58))=TRUE,"",(((COUNTA('Finalterm OVPAA-F-INS-055A RAW '!$H$17:$BT$17)+COUNTBLANK('Finalterm OVPAA-F-INS-055A RAW '!H58:BT58))-COLUMNS('Finalterm OVPAA-F-INS-055A RAW '!H58:BT58))*5+SUM(H58:BT58))/COUNTA('Finalterm OVPAA-F-INS-055A RAW '!$H$17:$BT$17)))</f>
        <v/>
      </c>
      <c r="BV58" s="165" t="str">
        <f>IF(BU58="","",VLOOKUP(BU58,IF('Midterm OVPAA-F-INS-055A RAW SC'!$V$12=0.5,TRANSMUTATION!$C$4:$D$17,TRANSMUTATION!$G$4:$H$17),2,TRUE))</f>
        <v/>
      </c>
      <c r="BW58" s="129" t="str">
        <f>IF('Finalterm OVPAA-F-INS-055A RAW '!BU58="","",'Finalterm OVPAA-F-INS-055A RAW '!BU58/'Finalterm OVPAA-F-INS-055A RAW '!BU$17*100)</f>
        <v/>
      </c>
      <c r="BX58" s="130" t="str">
        <f>IF('Finalterm OVPAA-F-INS-055A RAW '!BV58="","",'Finalterm OVPAA-F-INS-055A RAW '!BV58/'Finalterm OVPAA-F-INS-055A RAW '!BV$17*100)</f>
        <v/>
      </c>
      <c r="BY58" s="130" t="str">
        <f>IF('Finalterm OVPAA-F-INS-055A RAW '!BW58="","",'Finalterm OVPAA-F-INS-055A RAW '!BW58/'Finalterm OVPAA-F-INS-055A RAW '!BW$17*100)</f>
        <v/>
      </c>
      <c r="BZ58" s="130" t="str">
        <f>IF('Finalterm OVPAA-F-INS-055A RAW '!BX58="","",'Finalterm OVPAA-F-INS-055A RAW '!BX58/'Finalterm OVPAA-F-INS-055A RAW '!BX$17*100)</f>
        <v/>
      </c>
      <c r="CA58" s="130" t="str">
        <f>IF('Finalterm OVPAA-F-INS-055A RAW '!BY58="","",'Finalterm OVPAA-F-INS-055A RAW '!BY58/'Finalterm OVPAA-F-INS-055A RAW '!BY$17*100)</f>
        <v/>
      </c>
      <c r="CB58" s="130" t="str">
        <f>IF('Finalterm OVPAA-F-INS-055A RAW '!BZ58="","",'Finalterm OVPAA-F-INS-055A RAW '!BZ58/'Finalterm OVPAA-F-INS-055A RAW '!BZ$17*100)</f>
        <v/>
      </c>
      <c r="CC58" s="130" t="str">
        <f>IF('Finalterm OVPAA-F-INS-055A RAW '!CA58="","",'Finalterm OVPAA-F-INS-055A RAW '!CA58/'Finalterm OVPAA-F-INS-055A RAW '!CA$17*100)</f>
        <v/>
      </c>
      <c r="CD58" s="130" t="str">
        <f>IF('Finalterm OVPAA-F-INS-055A RAW '!CB58="","",'Finalterm OVPAA-F-INS-055A RAW '!CB58/'Finalterm OVPAA-F-INS-055A RAW '!CB$17*100)</f>
        <v/>
      </c>
      <c r="CE58" s="130" t="str">
        <f>IF('Finalterm OVPAA-F-INS-055A RAW '!CC58="","",'Finalterm OVPAA-F-INS-055A RAW '!CC58/'Finalterm OVPAA-F-INS-055A RAW '!CC$17*100)</f>
        <v/>
      </c>
      <c r="CF58" s="130" t="str">
        <f>IF('Finalterm OVPAA-F-INS-055A RAW '!CD58="","",'Finalterm OVPAA-F-INS-055A RAW '!CD58/'Finalterm OVPAA-F-INS-055A RAW '!CD$17*100)</f>
        <v/>
      </c>
      <c r="CG58" s="130" t="str">
        <f>IF('Finalterm OVPAA-F-INS-055A RAW '!CE58="","",'Finalterm OVPAA-F-INS-055A RAW '!CE58/'Finalterm OVPAA-F-INS-055A RAW '!CE$17*100)</f>
        <v/>
      </c>
      <c r="CH58" s="130" t="str">
        <f>IF('Finalterm OVPAA-F-INS-055A RAW '!CF58="","",'Finalterm OVPAA-F-INS-055A RAW '!CF58/'Finalterm OVPAA-F-INS-055A RAW '!CF$17*100)</f>
        <v/>
      </c>
      <c r="CI58" s="130" t="str">
        <f>IF('Finalterm OVPAA-F-INS-055A RAW '!CG58="","",'Finalterm OVPAA-F-INS-055A RAW '!CG58/'Finalterm OVPAA-F-INS-055A RAW '!CG$17*100)</f>
        <v/>
      </c>
      <c r="CJ58" s="130" t="str">
        <f>IF('Finalterm OVPAA-F-INS-055A RAW '!CH58="","",'Finalterm OVPAA-F-INS-055A RAW '!CH58/'Finalterm OVPAA-F-INS-055A RAW '!CH$17*100)</f>
        <v/>
      </c>
      <c r="CK58" s="130" t="str">
        <f>IF('Finalterm OVPAA-F-INS-055A RAW '!CI58="","",'Finalterm OVPAA-F-INS-055A RAW '!CI58/'Finalterm OVPAA-F-INS-055A RAW '!CI$17*100)</f>
        <v/>
      </c>
      <c r="CL58" s="130" t="str">
        <f>IF('Finalterm OVPAA-F-INS-055A RAW '!CJ58="","",'Finalterm OVPAA-F-INS-055A RAW '!CJ58/'Finalterm OVPAA-F-INS-055A RAW '!CJ$17*100)</f>
        <v/>
      </c>
      <c r="CM58" s="130" t="str">
        <f>IF('Finalterm OVPAA-F-INS-055A RAW '!CK58="","",'Finalterm OVPAA-F-INS-055A RAW '!CK58/'Finalterm OVPAA-F-INS-055A RAW '!CK$17*100)</f>
        <v/>
      </c>
      <c r="CN58" s="130" t="str">
        <f>IF('Finalterm OVPAA-F-INS-055A RAW '!CL58="","",'Finalterm OVPAA-F-INS-055A RAW '!CL58/'Finalterm OVPAA-F-INS-055A RAW '!CL$17*100)</f>
        <v/>
      </c>
      <c r="CO58" s="130" t="str">
        <f>IF('Finalterm OVPAA-F-INS-055A RAW '!CM58="","",'Finalterm OVPAA-F-INS-055A RAW '!CM58/'Finalterm OVPAA-F-INS-055A RAW '!CM$17*100)</f>
        <v/>
      </c>
      <c r="CP58" s="130" t="str">
        <f>IF('Finalterm OVPAA-F-INS-055A RAW '!CN58="","",'Finalterm OVPAA-F-INS-055A RAW '!CN58/'Finalterm OVPAA-F-INS-055A RAW '!CN$17*100)</f>
        <v/>
      </c>
      <c r="CQ58" s="131" t="str">
        <f t="array" ref="CQ58">IF('Midterm OVPAA-F-INS-055A RAW SC'!G58="","",IF((SUMPRODUCT(--ISBLANK('Finalterm OVPAA-F-INS-055A RAW '!BU58:CN58))=COLUMNS('Finalterm OVPAA-F-INS-055A RAW '!BU58:CN58))=TRUE,"",(((COUNTA('Finalterm OVPAA-F-INS-055A RAW '!$BU$17:$CN$17)+COUNTBLANK('Finalterm OVPAA-F-INS-055A RAW '!BU58:CN58))-COLUMNS('Finalterm OVPAA-F-INS-055A RAW '!BU58:CN58))*5+SUM(BW58:CP58))/COUNTA('Finalterm OVPAA-F-INS-055A RAW '!$BU$17:$CN$17)))</f>
        <v/>
      </c>
      <c r="CR58" s="132" t="str">
        <f>IF(CQ58="","",VLOOKUP(CQ58,IF('Midterm OVPAA-F-INS-055A RAW SC'!$V$12=0.5,TRANSMUTATION!$C$4:$D$17,TRANSMUTATION!$G$4:$H$17),2,TRUE))</f>
        <v/>
      </c>
      <c r="CS58" s="133" t="str">
        <f>IF('Finalterm OVPAA-F-INS-055A RAW '!CO58="","",'Finalterm OVPAA-F-INS-055A RAW '!CO58/'Finalterm OVPAA-F-INS-055A RAW '!CO$17*100)</f>
        <v/>
      </c>
      <c r="CT58" s="133" t="str">
        <f>IF('Finalterm OVPAA-F-INS-055A RAW '!CP58="","",'Finalterm OVPAA-F-INS-055A RAW '!CP58/'Finalterm OVPAA-F-INS-055A RAW '!CP$17*100)</f>
        <v/>
      </c>
      <c r="CU58" s="133" t="str">
        <f>IF('Finalterm OVPAA-F-INS-055A RAW '!CQ58="","",'Finalterm OVPAA-F-INS-055A RAW '!CQ58/'Finalterm OVPAA-F-INS-055A RAW '!CQ$17*100)</f>
        <v/>
      </c>
      <c r="CV58" s="133" t="str">
        <f>IF('Finalterm OVPAA-F-INS-055A RAW '!CR58="","",'Finalterm OVPAA-F-INS-055A RAW '!CR58/'Finalterm OVPAA-F-INS-055A RAW '!CR$17*100)</f>
        <v/>
      </c>
      <c r="CW58" s="133" t="str">
        <f>IF('Finalterm OVPAA-F-INS-055A RAW '!CS58="","",'Finalterm OVPAA-F-INS-055A RAW '!CS58/'Finalterm OVPAA-F-INS-055A RAW '!CS$17*100)</f>
        <v/>
      </c>
      <c r="CX58" s="133" t="str">
        <f>IF('Finalterm OVPAA-F-INS-055A RAW '!CT58="","",'Finalterm OVPAA-F-INS-055A RAW '!CT58/'Finalterm OVPAA-F-INS-055A RAW '!CT$17*100)</f>
        <v/>
      </c>
      <c r="CY58" s="133" t="str">
        <f>IF('Finalterm OVPAA-F-INS-055A RAW '!CU58="","",'Finalterm OVPAA-F-INS-055A RAW '!CU58/'Finalterm OVPAA-F-INS-055A RAW '!CU$17*100)</f>
        <v/>
      </c>
      <c r="CZ58" s="133" t="str">
        <f>IF('Finalterm OVPAA-F-INS-055A RAW '!CV58="","",'Finalterm OVPAA-F-INS-055A RAW '!CV58/'Finalterm OVPAA-F-INS-055A RAW '!CV$17*100)</f>
        <v/>
      </c>
      <c r="DA58" s="133" t="str">
        <f>IF('Finalterm OVPAA-F-INS-055A RAW '!CW58="","",'Finalterm OVPAA-F-INS-055A RAW '!CW58/'Finalterm OVPAA-F-INS-055A RAW '!CW$17*100)</f>
        <v/>
      </c>
      <c r="DB58" s="133" t="str">
        <f>IF('Finalterm OVPAA-F-INS-055A RAW '!CX58="","",'Finalterm OVPAA-F-INS-055A RAW '!CX58/'Finalterm OVPAA-F-INS-055A RAW '!CX$17*100)</f>
        <v/>
      </c>
      <c r="DC58" s="134" t="str">
        <f t="array" ref="DC58">IF('Midterm OVPAA-F-INS-055A RAW SC'!$G58="","",IF((SUMPRODUCT(--ISBLANK('Finalterm OVPAA-F-INS-055A RAW '!CO58:CX58))=COLUMNS('Finalterm OVPAA-F-INS-055A RAW '!CO58:CX58))=TRUE,"",(((COUNTA('Finalterm OVPAA-F-INS-055A RAW '!$CO$17:$CX$17)+COUNTBLANK('Finalterm OVPAA-F-INS-055A RAW '!CO58:CX58))-COLUMNS('Finalterm OVPAA-F-INS-055A RAW '!CO58:CX58))*5+SUM(CS58:DB58))/COUNTA('Finalterm OVPAA-F-INS-055A RAW '!$CO$17:$CX$17)))</f>
        <v/>
      </c>
      <c r="DD58" s="135" t="str">
        <f>IF(DC58="","",VLOOKUP(DC58,IF('Midterm OVPAA-F-INS-055A RAW SC'!$V$12=0.5,TRANSMUTATION!$C$4:$D$17,TRANSMUTATION!$G$4:$H$17),2,TRUE))</f>
        <v/>
      </c>
      <c r="DE58" s="136" t="str">
        <f t="shared" si="1"/>
        <v/>
      </c>
      <c r="DF58" s="166" t="str">
        <f t="shared" si="2"/>
        <v/>
      </c>
      <c r="DG58" s="167" t="str">
        <f t="shared" si="3"/>
        <v/>
      </c>
      <c r="DH58" s="168" t="str">
        <f t="shared" si="4"/>
        <v/>
      </c>
      <c r="DI58" s="169" t="str">
        <f t="shared" si="5"/>
        <v/>
      </c>
    </row>
    <row r="59" spans="5:113" ht="15.75" hidden="1" customHeight="1">
      <c r="E59" s="59">
        <v>42</v>
      </c>
      <c r="F59" s="124" t="str">
        <f>IF(NOT(ISBLANK('Midterm OVPAA-F-INS-055A RAW SC'!F59)),'Midterm OVPAA-F-INS-055A RAW SC'!F59,"")</f>
        <v/>
      </c>
      <c r="G59" s="125" t="str">
        <f>IF(NOT(ISBLANK('Midterm OVPAA-F-INS-055A RAW SC'!G59)),'Midterm OVPAA-F-INS-055A RAW SC'!G59,"")</f>
        <v/>
      </c>
      <c r="H59" s="126" t="str">
        <f>IF('Finalterm OVPAA-F-INS-055A RAW '!H59="","",'Finalterm OVPAA-F-INS-055A RAW '!H59/'Finalterm OVPAA-F-INS-055A RAW '!H$17*100)</f>
        <v/>
      </c>
      <c r="I59" s="126" t="str">
        <f>IF('Finalterm OVPAA-F-INS-055A RAW '!I59="","",'Finalterm OVPAA-F-INS-055A RAW '!I59/'Finalterm OVPAA-F-INS-055A RAW '!I$17*100)</f>
        <v/>
      </c>
      <c r="J59" s="126" t="str">
        <f>IF('Finalterm OVPAA-F-INS-055A RAW '!J59="","",'Finalterm OVPAA-F-INS-055A RAW '!J59/'Finalterm OVPAA-F-INS-055A RAW '!J$17*100)</f>
        <v/>
      </c>
      <c r="K59" s="126" t="str">
        <f>IF('Finalterm OVPAA-F-INS-055A RAW '!K59="","",'Finalterm OVPAA-F-INS-055A RAW '!K59/'Finalterm OVPAA-F-INS-055A RAW '!K$17*100)</f>
        <v/>
      </c>
      <c r="L59" s="126" t="str">
        <f>IF('Finalterm OVPAA-F-INS-055A RAW '!L59="","",'Finalterm OVPAA-F-INS-055A RAW '!L59/'Finalterm OVPAA-F-INS-055A RAW '!L$17*100)</f>
        <v/>
      </c>
      <c r="M59" s="126" t="str">
        <f>IF('Finalterm OVPAA-F-INS-055A RAW '!M59="","",'Finalterm OVPAA-F-INS-055A RAW '!M59/'Finalterm OVPAA-F-INS-055A RAW '!M$17*100)</f>
        <v/>
      </c>
      <c r="N59" s="126" t="str">
        <f>IF('Finalterm OVPAA-F-INS-055A RAW '!N59="","",'Finalterm OVPAA-F-INS-055A RAW '!N59/'Finalterm OVPAA-F-INS-055A RAW '!N$17*100)</f>
        <v/>
      </c>
      <c r="O59" s="126" t="str">
        <f>IF('Finalterm OVPAA-F-INS-055A RAW '!O59="","",'Finalterm OVPAA-F-INS-055A RAW '!O59/'Finalterm OVPAA-F-INS-055A RAW '!O$17*100)</f>
        <v/>
      </c>
      <c r="P59" s="126" t="str">
        <f>IF('Finalterm OVPAA-F-INS-055A RAW '!P59="","",'Finalterm OVPAA-F-INS-055A RAW '!P59/'Finalterm OVPAA-F-INS-055A RAW '!P$17*100)</f>
        <v/>
      </c>
      <c r="Q59" s="126" t="str">
        <f>IF('Finalterm OVPAA-F-INS-055A RAW '!Q59="","",'Finalterm OVPAA-F-INS-055A RAW '!Q59/'Finalterm OVPAA-F-INS-055A RAW '!Q$17*100)</f>
        <v/>
      </c>
      <c r="R59" s="126" t="str">
        <f>IF('Finalterm OVPAA-F-INS-055A RAW '!R59="","",'Finalterm OVPAA-F-INS-055A RAW '!R59/'Finalterm OVPAA-F-INS-055A RAW '!R$17*100)</f>
        <v/>
      </c>
      <c r="S59" s="126" t="str">
        <f>IF('Finalterm OVPAA-F-INS-055A RAW '!S59="","",'Finalterm OVPAA-F-INS-055A RAW '!S59/'Finalterm OVPAA-F-INS-055A RAW '!S$17*100)</f>
        <v/>
      </c>
      <c r="T59" s="126" t="str">
        <f>IF('Finalterm OVPAA-F-INS-055A RAW '!T59="","",'Finalterm OVPAA-F-INS-055A RAW '!T59/'Finalterm OVPAA-F-INS-055A RAW '!T$17*100)</f>
        <v/>
      </c>
      <c r="U59" s="126" t="str">
        <f>IF('Finalterm OVPAA-F-INS-055A RAW '!U59="","",'Finalterm OVPAA-F-INS-055A RAW '!U59/'Finalterm OVPAA-F-INS-055A RAW '!U$17*100)</f>
        <v/>
      </c>
      <c r="V59" s="126" t="str">
        <f>IF('Finalterm OVPAA-F-INS-055A RAW '!V59="","",'Finalterm OVPAA-F-INS-055A RAW '!V59/'Finalterm OVPAA-F-INS-055A RAW '!V$17*100)</f>
        <v/>
      </c>
      <c r="W59" s="126" t="str">
        <f>IF('Finalterm OVPAA-F-INS-055A RAW '!W59="","",'Finalterm OVPAA-F-INS-055A RAW '!W59/'Finalterm OVPAA-F-INS-055A RAW '!W$17*100)</f>
        <v/>
      </c>
      <c r="X59" s="126" t="str">
        <f>IF('Finalterm OVPAA-F-INS-055A RAW '!X59="","",'Finalterm OVPAA-F-INS-055A RAW '!X59/'Finalterm OVPAA-F-INS-055A RAW '!X$17*100)</f>
        <v/>
      </c>
      <c r="Y59" s="126" t="str">
        <f>IF('Finalterm OVPAA-F-INS-055A RAW '!Y59="","",'Finalterm OVPAA-F-INS-055A RAW '!Y59/'Finalterm OVPAA-F-INS-055A RAW '!Y$17*100)</f>
        <v/>
      </c>
      <c r="Z59" s="126" t="str">
        <f>IF('Finalterm OVPAA-F-INS-055A RAW '!Z59="","",'Finalterm OVPAA-F-INS-055A RAW '!Z59/'Finalterm OVPAA-F-INS-055A RAW '!Z$17*100)</f>
        <v/>
      </c>
      <c r="AA59" s="126" t="str">
        <f>IF('Finalterm OVPAA-F-INS-055A RAW '!AA59="","",'Finalterm OVPAA-F-INS-055A RAW '!AA59/'Finalterm OVPAA-F-INS-055A RAW '!AA$17*100)</f>
        <v/>
      </c>
      <c r="AB59" s="126" t="str">
        <f>IF('Finalterm OVPAA-F-INS-055A RAW '!AB59="","",'Finalterm OVPAA-F-INS-055A RAW '!AB59/'Finalterm OVPAA-F-INS-055A RAW '!AB$17*100)</f>
        <v/>
      </c>
      <c r="AC59" s="126" t="str">
        <f>IF('Finalterm OVPAA-F-INS-055A RAW '!AC59="","",'Finalterm OVPAA-F-INS-055A RAW '!AC59/'Finalterm OVPAA-F-INS-055A RAW '!AC$17*100)</f>
        <v/>
      </c>
      <c r="AD59" s="126" t="str">
        <f>IF('Finalterm OVPAA-F-INS-055A RAW '!AD59="","",'Finalterm OVPAA-F-INS-055A RAW '!AD59/'Finalterm OVPAA-F-INS-055A RAW '!AD$17*100)</f>
        <v/>
      </c>
      <c r="AE59" s="126" t="str">
        <f>IF('Finalterm OVPAA-F-INS-055A RAW '!AE59="","",'Finalterm OVPAA-F-INS-055A RAW '!AE59/'Finalterm OVPAA-F-INS-055A RAW '!AE$17*100)</f>
        <v/>
      </c>
      <c r="AF59" s="126" t="str">
        <f>IF('Finalterm OVPAA-F-INS-055A RAW '!AF59="","",'Finalterm OVPAA-F-INS-055A RAW '!AF59/'Finalterm OVPAA-F-INS-055A RAW '!AF$17*100)</f>
        <v/>
      </c>
      <c r="AG59" s="126" t="str">
        <f>IF('Finalterm OVPAA-F-INS-055A RAW '!AG59="","",'Finalterm OVPAA-F-INS-055A RAW '!AG59/'Finalterm OVPAA-F-INS-055A RAW '!AG$17*100)</f>
        <v/>
      </c>
      <c r="AH59" s="126" t="str">
        <f>IF('Finalterm OVPAA-F-INS-055A RAW '!AH59="","",'Finalterm OVPAA-F-INS-055A RAW '!AH59/'Finalterm OVPAA-F-INS-055A RAW '!AH$17*100)</f>
        <v/>
      </c>
      <c r="AI59" s="126" t="str">
        <f>IF('Finalterm OVPAA-F-INS-055A RAW '!AI59="","",'Finalterm OVPAA-F-INS-055A RAW '!AI59/'Finalterm OVPAA-F-INS-055A RAW '!AI$17*100)</f>
        <v/>
      </c>
      <c r="AJ59" s="126" t="str">
        <f>IF('Finalterm OVPAA-F-INS-055A RAW '!AJ59="","",'Finalterm OVPAA-F-INS-055A RAW '!AJ59/'Finalterm OVPAA-F-INS-055A RAW '!AJ$17*100)</f>
        <v/>
      </c>
      <c r="AK59" s="126" t="str">
        <f>IF('Finalterm OVPAA-F-INS-055A RAW '!AK59="","",'Finalterm OVPAA-F-INS-055A RAW '!AK59/'Finalterm OVPAA-F-INS-055A RAW '!AK$17*100)</f>
        <v/>
      </c>
      <c r="AL59" s="126" t="str">
        <f>IF('Finalterm OVPAA-F-INS-055A RAW '!AL59="","",'Finalterm OVPAA-F-INS-055A RAW '!AL59/'Finalterm OVPAA-F-INS-055A RAW '!AL$17*100)</f>
        <v/>
      </c>
      <c r="AM59" s="126" t="str">
        <f>IF('Finalterm OVPAA-F-INS-055A RAW '!AM59="","",'Finalterm OVPAA-F-INS-055A RAW '!AM59/'Finalterm OVPAA-F-INS-055A RAW '!AM$17*100)</f>
        <v/>
      </c>
      <c r="AN59" s="126" t="str">
        <f>IF('Finalterm OVPAA-F-INS-055A RAW '!AN59="","",'Finalterm OVPAA-F-INS-055A RAW '!AN59/'Finalterm OVPAA-F-INS-055A RAW '!AN$17*100)</f>
        <v/>
      </c>
      <c r="AO59" s="126" t="str">
        <f>IF('Finalterm OVPAA-F-INS-055A RAW '!AO59="","",'Finalterm OVPAA-F-INS-055A RAW '!AO59/'Finalterm OVPAA-F-INS-055A RAW '!AO$17*100)</f>
        <v/>
      </c>
      <c r="AP59" s="126" t="str">
        <f>IF('Finalterm OVPAA-F-INS-055A RAW '!AP59="","",'Finalterm OVPAA-F-INS-055A RAW '!AP59/'Finalterm OVPAA-F-INS-055A RAW '!AP$17*100)</f>
        <v/>
      </c>
      <c r="AQ59" s="126" t="str">
        <f>IF('Finalterm OVPAA-F-INS-055A RAW '!AQ59="","",'Finalterm OVPAA-F-INS-055A RAW '!AQ59/'Finalterm OVPAA-F-INS-055A RAW '!AQ$17*100)</f>
        <v/>
      </c>
      <c r="AR59" s="126" t="str">
        <f>IF('Finalterm OVPAA-F-INS-055A RAW '!AR59="","",'Finalterm OVPAA-F-INS-055A RAW '!AR59/'Finalterm OVPAA-F-INS-055A RAW '!AR$17*100)</f>
        <v/>
      </c>
      <c r="AS59" s="126" t="str">
        <f>IF('Finalterm OVPAA-F-INS-055A RAW '!AS59="","",'Finalterm OVPAA-F-INS-055A RAW '!AS59/'Finalterm OVPAA-F-INS-055A RAW '!AS$17*100)</f>
        <v/>
      </c>
      <c r="AT59" s="126" t="str">
        <f>IF('Finalterm OVPAA-F-INS-055A RAW '!AT59="","",'Finalterm OVPAA-F-INS-055A RAW '!AT59/'Finalterm OVPAA-F-INS-055A RAW '!AT$17*100)</f>
        <v/>
      </c>
      <c r="AU59" s="126" t="str">
        <f>IF('Finalterm OVPAA-F-INS-055A RAW '!AU59="","",'Finalterm OVPAA-F-INS-055A RAW '!AU59/'Finalterm OVPAA-F-INS-055A RAW '!AU$17*100)</f>
        <v/>
      </c>
      <c r="AV59" s="126" t="str">
        <f>IF('Finalterm OVPAA-F-INS-055A RAW '!AV59="","",'Finalterm OVPAA-F-INS-055A RAW '!AV59/'Finalterm OVPAA-F-INS-055A RAW '!AV$17*100)</f>
        <v/>
      </c>
      <c r="AW59" s="126" t="str">
        <f>IF('Finalterm OVPAA-F-INS-055A RAW '!AW59="","",'Finalterm OVPAA-F-INS-055A RAW '!AW59/'Finalterm OVPAA-F-INS-055A RAW '!AW$17*100)</f>
        <v/>
      </c>
      <c r="AX59" s="126" t="str">
        <f>IF('Finalterm OVPAA-F-INS-055A RAW '!AX59="","",'Finalterm OVPAA-F-INS-055A RAW '!AX59/'Finalterm OVPAA-F-INS-055A RAW '!AX$17*100)</f>
        <v/>
      </c>
      <c r="AY59" s="126" t="str">
        <f>IF('Finalterm OVPAA-F-INS-055A RAW '!AY59="","",'Finalterm OVPAA-F-INS-055A RAW '!AY59/'Finalterm OVPAA-F-INS-055A RAW '!AY$17*100)</f>
        <v/>
      </c>
      <c r="AZ59" s="126" t="str">
        <f>IF('Finalterm OVPAA-F-INS-055A RAW '!AZ59="","",'Finalterm OVPAA-F-INS-055A RAW '!AZ59/'Finalterm OVPAA-F-INS-055A RAW '!AZ$17*100)</f>
        <v/>
      </c>
      <c r="BA59" s="126" t="str">
        <f>IF('Finalterm OVPAA-F-INS-055A RAW '!BA59="","",'Finalterm OVPAA-F-INS-055A RAW '!BA59/'Finalterm OVPAA-F-INS-055A RAW '!BA$17*100)</f>
        <v/>
      </c>
      <c r="BB59" s="126" t="str">
        <f>IF('Finalterm OVPAA-F-INS-055A RAW '!BB59="","",'Finalterm OVPAA-F-INS-055A RAW '!BB59/'Finalterm OVPAA-F-INS-055A RAW '!BB$17*100)</f>
        <v/>
      </c>
      <c r="BC59" s="126" t="str">
        <f>IF('Finalterm OVPAA-F-INS-055A RAW '!BC59="","",'Finalterm OVPAA-F-INS-055A RAW '!BC59/'Finalterm OVPAA-F-INS-055A RAW '!BC$17*100)</f>
        <v/>
      </c>
      <c r="BD59" s="126" t="str">
        <f>IF('Finalterm OVPAA-F-INS-055A RAW '!BD59="","",'Finalterm OVPAA-F-INS-055A RAW '!BD59/'Finalterm OVPAA-F-INS-055A RAW '!BD$17*100)</f>
        <v/>
      </c>
      <c r="BE59" s="126" t="str">
        <f>IF('Finalterm OVPAA-F-INS-055A RAW '!BE59="","",'Finalterm OVPAA-F-INS-055A RAW '!BE59/'Finalterm OVPAA-F-INS-055A RAW '!BE$17*100)</f>
        <v/>
      </c>
      <c r="BF59" s="126" t="str">
        <f>IF('Finalterm OVPAA-F-INS-055A RAW '!BF59="","",'Finalterm OVPAA-F-INS-055A RAW '!BF59/'Finalterm OVPAA-F-INS-055A RAW '!BF$17*100)</f>
        <v/>
      </c>
      <c r="BG59" s="126" t="str">
        <f>IF('Finalterm OVPAA-F-INS-055A RAW '!BG59="","",'Finalterm OVPAA-F-INS-055A RAW '!BG59/'Finalterm OVPAA-F-INS-055A RAW '!BG$17*100)</f>
        <v/>
      </c>
      <c r="BH59" s="126" t="str">
        <f>IF('Finalterm OVPAA-F-INS-055A RAW '!BH59="","",'Finalterm OVPAA-F-INS-055A RAW '!BH59/'Finalterm OVPAA-F-INS-055A RAW '!BH$17*100)</f>
        <v/>
      </c>
      <c r="BI59" s="126" t="str">
        <f>IF('Finalterm OVPAA-F-INS-055A RAW '!BI59="","",'Finalterm OVPAA-F-INS-055A RAW '!BI59/'Finalterm OVPAA-F-INS-055A RAW '!BI$17*100)</f>
        <v/>
      </c>
      <c r="BJ59" s="126" t="str">
        <f>IF('Finalterm OVPAA-F-INS-055A RAW '!BJ59="","",'Finalterm OVPAA-F-INS-055A RAW '!BJ59/'Finalterm OVPAA-F-INS-055A RAW '!BJ$17*100)</f>
        <v/>
      </c>
      <c r="BK59" s="126" t="str">
        <f>IF('Finalterm OVPAA-F-INS-055A RAW '!BK59="","",'Finalterm OVPAA-F-INS-055A RAW '!BK59/'Finalterm OVPAA-F-INS-055A RAW '!BK$17*100)</f>
        <v/>
      </c>
      <c r="BL59" s="126" t="str">
        <f>IF('Finalterm OVPAA-F-INS-055A RAW '!BL59="","",'Finalterm OVPAA-F-INS-055A RAW '!BL59/'Finalterm OVPAA-F-INS-055A RAW '!BL$17*100)</f>
        <v/>
      </c>
      <c r="BM59" s="126" t="str">
        <f>IF('Finalterm OVPAA-F-INS-055A RAW '!BM59="","",'Finalterm OVPAA-F-INS-055A RAW '!BM59/'Finalterm OVPAA-F-INS-055A RAW '!BM$17*100)</f>
        <v/>
      </c>
      <c r="BN59" s="126" t="str">
        <f>IF('Finalterm OVPAA-F-INS-055A RAW '!BN59="","",'Finalterm OVPAA-F-INS-055A RAW '!BN59/'Finalterm OVPAA-F-INS-055A RAW '!BN$17*100)</f>
        <v/>
      </c>
      <c r="BO59" s="126" t="str">
        <f>IF('Finalterm OVPAA-F-INS-055A RAW '!BO59="","",'Finalterm OVPAA-F-INS-055A RAW '!BO59/'Finalterm OVPAA-F-INS-055A RAW '!BO$17*100)</f>
        <v/>
      </c>
      <c r="BP59" s="126" t="str">
        <f>IF('Finalterm OVPAA-F-INS-055A RAW '!BP59="","",'Finalterm OVPAA-F-INS-055A RAW '!BP59/'Finalterm OVPAA-F-INS-055A RAW '!BP$17*100)</f>
        <v/>
      </c>
      <c r="BQ59" s="126" t="str">
        <f>IF('Finalterm OVPAA-F-INS-055A RAW '!BQ59="","",'Finalterm OVPAA-F-INS-055A RAW '!BQ59/'Finalterm OVPAA-F-INS-055A RAW '!BQ$17*100)</f>
        <v/>
      </c>
      <c r="BR59" s="126" t="str">
        <f>IF('Finalterm OVPAA-F-INS-055A RAW '!BR59="","",'Finalterm OVPAA-F-INS-055A RAW '!BR59/'Finalterm OVPAA-F-INS-055A RAW '!BR$17*100)</f>
        <v/>
      </c>
      <c r="BS59" s="126" t="str">
        <f>IF('Finalterm OVPAA-F-INS-055A RAW '!BS59="","",'Finalterm OVPAA-F-INS-055A RAW '!BS59/'Finalterm OVPAA-F-INS-055A RAW '!BS$17*100)</f>
        <v/>
      </c>
      <c r="BT59" s="126" t="str">
        <f>IF('Finalterm OVPAA-F-INS-055A RAW '!BT59="","",'Finalterm OVPAA-F-INS-055A RAW '!BT59/'Finalterm OVPAA-F-INS-055A RAW '!BT$17*100)</f>
        <v/>
      </c>
      <c r="BU59" s="127" t="str">
        <f t="array" ref="BU59">IF('Finalterm OVPAA-F-INS-055A RAW '!$G59="","",IF((SUMPRODUCT(--ISBLANK('Finalterm OVPAA-F-INS-055A RAW '!H59:BT59))=COLUMNS('Finalterm OVPAA-F-INS-055A RAW '!H59:BT59))=TRUE,"",(((COUNTA('Finalterm OVPAA-F-INS-055A RAW '!$H$17:$BT$17)+COUNTBLANK('Finalterm OVPAA-F-INS-055A RAW '!H59:BT59))-COLUMNS('Finalterm OVPAA-F-INS-055A RAW '!H59:BT59))*5+SUM(H59:BT59))/COUNTA('Finalterm OVPAA-F-INS-055A RAW '!$H$17:$BT$17)))</f>
        <v/>
      </c>
      <c r="BV59" s="165" t="str">
        <f>IF(BU59="","",VLOOKUP(BU59,IF('Midterm OVPAA-F-INS-055A RAW SC'!$V$12=0.5,TRANSMUTATION!$C$4:$D$17,TRANSMUTATION!$G$4:$H$17),2,TRUE))</f>
        <v/>
      </c>
      <c r="BW59" s="129" t="str">
        <f>IF('Finalterm OVPAA-F-INS-055A RAW '!BU59="","",'Finalterm OVPAA-F-INS-055A RAW '!BU59/'Finalterm OVPAA-F-INS-055A RAW '!BU$17*100)</f>
        <v/>
      </c>
      <c r="BX59" s="130" t="str">
        <f>IF('Finalterm OVPAA-F-INS-055A RAW '!BV59="","",'Finalterm OVPAA-F-INS-055A RAW '!BV59/'Finalterm OVPAA-F-INS-055A RAW '!BV$17*100)</f>
        <v/>
      </c>
      <c r="BY59" s="130" t="str">
        <f>IF('Finalterm OVPAA-F-INS-055A RAW '!BW59="","",'Finalterm OVPAA-F-INS-055A RAW '!BW59/'Finalterm OVPAA-F-INS-055A RAW '!BW$17*100)</f>
        <v/>
      </c>
      <c r="BZ59" s="130" t="str">
        <f>IF('Finalterm OVPAA-F-INS-055A RAW '!BX59="","",'Finalterm OVPAA-F-INS-055A RAW '!BX59/'Finalterm OVPAA-F-INS-055A RAW '!BX$17*100)</f>
        <v/>
      </c>
      <c r="CA59" s="130" t="str">
        <f>IF('Finalterm OVPAA-F-INS-055A RAW '!BY59="","",'Finalterm OVPAA-F-INS-055A RAW '!BY59/'Finalterm OVPAA-F-INS-055A RAW '!BY$17*100)</f>
        <v/>
      </c>
      <c r="CB59" s="130" t="str">
        <f>IF('Finalterm OVPAA-F-INS-055A RAW '!BZ59="","",'Finalterm OVPAA-F-INS-055A RAW '!BZ59/'Finalterm OVPAA-F-INS-055A RAW '!BZ$17*100)</f>
        <v/>
      </c>
      <c r="CC59" s="130" t="str">
        <f>IF('Finalterm OVPAA-F-INS-055A RAW '!CA59="","",'Finalterm OVPAA-F-INS-055A RAW '!CA59/'Finalterm OVPAA-F-INS-055A RAW '!CA$17*100)</f>
        <v/>
      </c>
      <c r="CD59" s="130" t="str">
        <f>IF('Finalterm OVPAA-F-INS-055A RAW '!CB59="","",'Finalterm OVPAA-F-INS-055A RAW '!CB59/'Finalterm OVPAA-F-INS-055A RAW '!CB$17*100)</f>
        <v/>
      </c>
      <c r="CE59" s="130" t="str">
        <f>IF('Finalterm OVPAA-F-INS-055A RAW '!CC59="","",'Finalterm OVPAA-F-INS-055A RAW '!CC59/'Finalterm OVPAA-F-INS-055A RAW '!CC$17*100)</f>
        <v/>
      </c>
      <c r="CF59" s="130" t="str">
        <f>IF('Finalterm OVPAA-F-INS-055A RAW '!CD59="","",'Finalterm OVPAA-F-INS-055A RAW '!CD59/'Finalterm OVPAA-F-INS-055A RAW '!CD$17*100)</f>
        <v/>
      </c>
      <c r="CG59" s="130" t="str">
        <f>IF('Finalterm OVPAA-F-INS-055A RAW '!CE59="","",'Finalterm OVPAA-F-INS-055A RAW '!CE59/'Finalterm OVPAA-F-INS-055A RAW '!CE$17*100)</f>
        <v/>
      </c>
      <c r="CH59" s="130" t="str">
        <f>IF('Finalterm OVPAA-F-INS-055A RAW '!CF59="","",'Finalterm OVPAA-F-INS-055A RAW '!CF59/'Finalterm OVPAA-F-INS-055A RAW '!CF$17*100)</f>
        <v/>
      </c>
      <c r="CI59" s="130" t="str">
        <f>IF('Finalterm OVPAA-F-INS-055A RAW '!CG59="","",'Finalterm OVPAA-F-INS-055A RAW '!CG59/'Finalterm OVPAA-F-INS-055A RAW '!CG$17*100)</f>
        <v/>
      </c>
      <c r="CJ59" s="130" t="str">
        <f>IF('Finalterm OVPAA-F-INS-055A RAW '!CH59="","",'Finalterm OVPAA-F-INS-055A RAW '!CH59/'Finalterm OVPAA-F-INS-055A RAW '!CH$17*100)</f>
        <v/>
      </c>
      <c r="CK59" s="130" t="str">
        <f>IF('Finalterm OVPAA-F-INS-055A RAW '!CI59="","",'Finalterm OVPAA-F-INS-055A RAW '!CI59/'Finalterm OVPAA-F-INS-055A RAW '!CI$17*100)</f>
        <v/>
      </c>
      <c r="CL59" s="130" t="str">
        <f>IF('Finalterm OVPAA-F-INS-055A RAW '!CJ59="","",'Finalterm OVPAA-F-INS-055A RAW '!CJ59/'Finalterm OVPAA-F-INS-055A RAW '!CJ$17*100)</f>
        <v/>
      </c>
      <c r="CM59" s="130" t="str">
        <f>IF('Finalterm OVPAA-F-INS-055A RAW '!CK59="","",'Finalterm OVPAA-F-INS-055A RAW '!CK59/'Finalterm OVPAA-F-INS-055A RAW '!CK$17*100)</f>
        <v/>
      </c>
      <c r="CN59" s="130" t="str">
        <f>IF('Finalterm OVPAA-F-INS-055A RAW '!CL59="","",'Finalterm OVPAA-F-INS-055A RAW '!CL59/'Finalterm OVPAA-F-INS-055A RAW '!CL$17*100)</f>
        <v/>
      </c>
      <c r="CO59" s="130" t="str">
        <f>IF('Finalterm OVPAA-F-INS-055A RAW '!CM59="","",'Finalterm OVPAA-F-INS-055A RAW '!CM59/'Finalterm OVPAA-F-INS-055A RAW '!CM$17*100)</f>
        <v/>
      </c>
      <c r="CP59" s="130" t="str">
        <f>IF('Finalterm OVPAA-F-INS-055A RAW '!CN59="","",'Finalterm OVPAA-F-INS-055A RAW '!CN59/'Finalterm OVPAA-F-INS-055A RAW '!CN$17*100)</f>
        <v/>
      </c>
      <c r="CQ59" s="131" t="str">
        <f t="array" ref="CQ59">IF('Midterm OVPAA-F-INS-055A RAW SC'!G59="","",IF((SUMPRODUCT(--ISBLANK('Finalterm OVPAA-F-INS-055A RAW '!BU59:CN59))=COLUMNS('Finalterm OVPAA-F-INS-055A RAW '!BU59:CN59))=TRUE,"",(((COUNTA('Finalterm OVPAA-F-INS-055A RAW '!$BU$17:$CN$17)+COUNTBLANK('Finalterm OVPAA-F-INS-055A RAW '!BU59:CN59))-COLUMNS('Finalterm OVPAA-F-INS-055A RAW '!BU59:CN59))*5+SUM(BW59:CP59))/COUNTA('Finalterm OVPAA-F-INS-055A RAW '!$BU$17:$CN$17)))</f>
        <v/>
      </c>
      <c r="CR59" s="132" t="str">
        <f>IF(CQ59="","",VLOOKUP(CQ59,IF('Midterm OVPAA-F-INS-055A RAW SC'!$V$12=0.5,TRANSMUTATION!$C$4:$D$17,TRANSMUTATION!$G$4:$H$17),2,TRUE))</f>
        <v/>
      </c>
      <c r="CS59" s="133" t="str">
        <f>IF('Finalterm OVPAA-F-INS-055A RAW '!CO59="","",'Finalterm OVPAA-F-INS-055A RAW '!CO59/'Finalterm OVPAA-F-INS-055A RAW '!CO$17*100)</f>
        <v/>
      </c>
      <c r="CT59" s="133" t="str">
        <f>IF('Finalterm OVPAA-F-INS-055A RAW '!CP59="","",'Finalterm OVPAA-F-INS-055A RAW '!CP59/'Finalterm OVPAA-F-INS-055A RAW '!CP$17*100)</f>
        <v/>
      </c>
      <c r="CU59" s="133" t="str">
        <f>IF('Finalterm OVPAA-F-INS-055A RAW '!CQ59="","",'Finalterm OVPAA-F-INS-055A RAW '!CQ59/'Finalterm OVPAA-F-INS-055A RAW '!CQ$17*100)</f>
        <v/>
      </c>
      <c r="CV59" s="133" t="str">
        <f>IF('Finalterm OVPAA-F-INS-055A RAW '!CR59="","",'Finalterm OVPAA-F-INS-055A RAW '!CR59/'Finalterm OVPAA-F-INS-055A RAW '!CR$17*100)</f>
        <v/>
      </c>
      <c r="CW59" s="133" t="str">
        <f>IF('Finalterm OVPAA-F-INS-055A RAW '!CS59="","",'Finalterm OVPAA-F-INS-055A RAW '!CS59/'Finalterm OVPAA-F-INS-055A RAW '!CS$17*100)</f>
        <v/>
      </c>
      <c r="CX59" s="133" t="str">
        <f>IF('Finalterm OVPAA-F-INS-055A RAW '!CT59="","",'Finalterm OVPAA-F-INS-055A RAW '!CT59/'Finalterm OVPAA-F-INS-055A RAW '!CT$17*100)</f>
        <v/>
      </c>
      <c r="CY59" s="133" t="str">
        <f>IF('Finalterm OVPAA-F-INS-055A RAW '!CU59="","",'Finalterm OVPAA-F-INS-055A RAW '!CU59/'Finalterm OVPAA-F-INS-055A RAW '!CU$17*100)</f>
        <v/>
      </c>
      <c r="CZ59" s="133" t="str">
        <f>IF('Finalterm OVPAA-F-INS-055A RAW '!CV59="","",'Finalterm OVPAA-F-INS-055A RAW '!CV59/'Finalterm OVPAA-F-INS-055A RAW '!CV$17*100)</f>
        <v/>
      </c>
      <c r="DA59" s="133" t="str">
        <f>IF('Finalterm OVPAA-F-INS-055A RAW '!CW59="","",'Finalterm OVPAA-F-INS-055A RAW '!CW59/'Finalterm OVPAA-F-INS-055A RAW '!CW$17*100)</f>
        <v/>
      </c>
      <c r="DB59" s="133" t="str">
        <f>IF('Finalterm OVPAA-F-INS-055A RAW '!CX59="","",'Finalterm OVPAA-F-INS-055A RAW '!CX59/'Finalterm OVPAA-F-INS-055A RAW '!CX$17*100)</f>
        <v/>
      </c>
      <c r="DC59" s="134" t="str">
        <f t="array" ref="DC59">IF('Midterm OVPAA-F-INS-055A RAW SC'!$G59="","",IF((SUMPRODUCT(--ISBLANK('Finalterm OVPAA-F-INS-055A RAW '!CO59:CX59))=COLUMNS('Finalterm OVPAA-F-INS-055A RAW '!CO59:CX59))=TRUE,"",(((COUNTA('Finalterm OVPAA-F-INS-055A RAW '!$CO$17:$CX$17)+COUNTBLANK('Finalterm OVPAA-F-INS-055A RAW '!CO59:CX59))-COLUMNS('Finalterm OVPAA-F-INS-055A RAW '!CO59:CX59))*5+SUM(CS59:DB59))/COUNTA('Finalterm OVPAA-F-INS-055A RAW '!$CO$17:$CX$17)))</f>
        <v/>
      </c>
      <c r="DD59" s="135" t="str">
        <f>IF(DC59="","",VLOOKUP(DC59,IF('Midterm OVPAA-F-INS-055A RAW SC'!$V$12=0.5,TRANSMUTATION!$C$4:$D$17,TRANSMUTATION!$G$4:$H$17),2,TRUE))</f>
        <v/>
      </c>
      <c r="DE59" s="136" t="str">
        <f t="shared" si="1"/>
        <v/>
      </c>
      <c r="DF59" s="166" t="str">
        <f t="shared" si="2"/>
        <v/>
      </c>
      <c r="DG59" s="167" t="str">
        <f t="shared" si="3"/>
        <v/>
      </c>
      <c r="DH59" s="168" t="str">
        <f t="shared" si="4"/>
        <v/>
      </c>
      <c r="DI59" s="169" t="str">
        <f t="shared" si="5"/>
        <v/>
      </c>
    </row>
    <row r="60" spans="5:113" ht="15.75" hidden="1" customHeight="1">
      <c r="E60" s="59">
        <v>43</v>
      </c>
      <c r="F60" s="124" t="str">
        <f>IF(NOT(ISBLANK('Midterm OVPAA-F-INS-055A RAW SC'!F60)),'Midterm OVPAA-F-INS-055A RAW SC'!F60,"")</f>
        <v/>
      </c>
      <c r="G60" s="125" t="str">
        <f>IF(NOT(ISBLANK('Midterm OVPAA-F-INS-055A RAW SC'!G60)),'Midterm OVPAA-F-INS-055A RAW SC'!G60,"")</f>
        <v/>
      </c>
      <c r="H60" s="126" t="str">
        <f>IF('Finalterm OVPAA-F-INS-055A RAW '!H60="","",'Finalterm OVPAA-F-INS-055A RAW '!H60/'Finalterm OVPAA-F-INS-055A RAW '!H$17*100)</f>
        <v/>
      </c>
      <c r="I60" s="126" t="str">
        <f>IF('Finalterm OVPAA-F-INS-055A RAW '!I60="","",'Finalterm OVPAA-F-INS-055A RAW '!I60/'Finalterm OVPAA-F-INS-055A RAW '!I$17*100)</f>
        <v/>
      </c>
      <c r="J60" s="126" t="str">
        <f>IF('Finalterm OVPAA-F-INS-055A RAW '!J60="","",'Finalterm OVPAA-F-INS-055A RAW '!J60/'Finalterm OVPAA-F-INS-055A RAW '!J$17*100)</f>
        <v/>
      </c>
      <c r="K60" s="126" t="str">
        <f>IF('Finalterm OVPAA-F-INS-055A RAW '!K60="","",'Finalterm OVPAA-F-INS-055A RAW '!K60/'Finalterm OVPAA-F-INS-055A RAW '!K$17*100)</f>
        <v/>
      </c>
      <c r="L60" s="126" t="str">
        <f>IF('Finalterm OVPAA-F-INS-055A RAW '!L60="","",'Finalterm OVPAA-F-INS-055A RAW '!L60/'Finalterm OVPAA-F-INS-055A RAW '!L$17*100)</f>
        <v/>
      </c>
      <c r="M60" s="126" t="str">
        <f>IF('Finalterm OVPAA-F-INS-055A RAW '!M60="","",'Finalterm OVPAA-F-INS-055A RAW '!M60/'Finalterm OVPAA-F-INS-055A RAW '!M$17*100)</f>
        <v/>
      </c>
      <c r="N60" s="126" t="str">
        <f>IF('Finalterm OVPAA-F-INS-055A RAW '!N60="","",'Finalterm OVPAA-F-INS-055A RAW '!N60/'Finalterm OVPAA-F-INS-055A RAW '!N$17*100)</f>
        <v/>
      </c>
      <c r="O60" s="126" t="str">
        <f>IF('Finalterm OVPAA-F-INS-055A RAW '!O60="","",'Finalterm OVPAA-F-INS-055A RAW '!O60/'Finalterm OVPAA-F-INS-055A RAW '!O$17*100)</f>
        <v/>
      </c>
      <c r="P60" s="126" t="str">
        <f>IF('Finalterm OVPAA-F-INS-055A RAW '!P60="","",'Finalterm OVPAA-F-INS-055A RAW '!P60/'Finalterm OVPAA-F-INS-055A RAW '!P$17*100)</f>
        <v/>
      </c>
      <c r="Q60" s="126" t="str">
        <f>IF('Finalterm OVPAA-F-INS-055A RAW '!Q60="","",'Finalterm OVPAA-F-INS-055A RAW '!Q60/'Finalterm OVPAA-F-INS-055A RAW '!Q$17*100)</f>
        <v/>
      </c>
      <c r="R60" s="126" t="str">
        <f>IF('Finalterm OVPAA-F-INS-055A RAW '!R60="","",'Finalterm OVPAA-F-INS-055A RAW '!R60/'Finalterm OVPAA-F-INS-055A RAW '!R$17*100)</f>
        <v/>
      </c>
      <c r="S60" s="126" t="str">
        <f>IF('Finalterm OVPAA-F-INS-055A RAW '!S60="","",'Finalterm OVPAA-F-INS-055A RAW '!S60/'Finalterm OVPAA-F-INS-055A RAW '!S$17*100)</f>
        <v/>
      </c>
      <c r="T60" s="126" t="str">
        <f>IF('Finalterm OVPAA-F-INS-055A RAW '!T60="","",'Finalterm OVPAA-F-INS-055A RAW '!T60/'Finalterm OVPAA-F-INS-055A RAW '!T$17*100)</f>
        <v/>
      </c>
      <c r="U60" s="126" t="str">
        <f>IF('Finalterm OVPAA-F-INS-055A RAW '!U60="","",'Finalterm OVPAA-F-INS-055A RAW '!U60/'Finalterm OVPAA-F-INS-055A RAW '!U$17*100)</f>
        <v/>
      </c>
      <c r="V60" s="126" t="str">
        <f>IF('Finalterm OVPAA-F-INS-055A RAW '!V60="","",'Finalterm OVPAA-F-INS-055A RAW '!V60/'Finalterm OVPAA-F-INS-055A RAW '!V$17*100)</f>
        <v/>
      </c>
      <c r="W60" s="126" t="str">
        <f>IF('Finalterm OVPAA-F-INS-055A RAW '!W60="","",'Finalterm OVPAA-F-INS-055A RAW '!W60/'Finalterm OVPAA-F-INS-055A RAW '!W$17*100)</f>
        <v/>
      </c>
      <c r="X60" s="126" t="str">
        <f>IF('Finalterm OVPAA-F-INS-055A RAW '!X60="","",'Finalterm OVPAA-F-INS-055A RAW '!X60/'Finalterm OVPAA-F-INS-055A RAW '!X$17*100)</f>
        <v/>
      </c>
      <c r="Y60" s="126" t="str">
        <f>IF('Finalterm OVPAA-F-INS-055A RAW '!Y60="","",'Finalterm OVPAA-F-INS-055A RAW '!Y60/'Finalterm OVPAA-F-INS-055A RAW '!Y$17*100)</f>
        <v/>
      </c>
      <c r="Z60" s="126" t="str">
        <f>IF('Finalterm OVPAA-F-INS-055A RAW '!Z60="","",'Finalterm OVPAA-F-INS-055A RAW '!Z60/'Finalterm OVPAA-F-INS-055A RAW '!Z$17*100)</f>
        <v/>
      </c>
      <c r="AA60" s="126" t="str">
        <f>IF('Finalterm OVPAA-F-INS-055A RAW '!AA60="","",'Finalterm OVPAA-F-INS-055A RAW '!AA60/'Finalterm OVPAA-F-INS-055A RAW '!AA$17*100)</f>
        <v/>
      </c>
      <c r="AB60" s="126" t="str">
        <f>IF('Finalterm OVPAA-F-INS-055A RAW '!AB60="","",'Finalterm OVPAA-F-INS-055A RAW '!AB60/'Finalterm OVPAA-F-INS-055A RAW '!AB$17*100)</f>
        <v/>
      </c>
      <c r="AC60" s="126" t="str">
        <f>IF('Finalterm OVPAA-F-INS-055A RAW '!AC60="","",'Finalterm OVPAA-F-INS-055A RAW '!AC60/'Finalterm OVPAA-F-INS-055A RAW '!AC$17*100)</f>
        <v/>
      </c>
      <c r="AD60" s="126" t="str">
        <f>IF('Finalterm OVPAA-F-INS-055A RAW '!AD60="","",'Finalterm OVPAA-F-INS-055A RAW '!AD60/'Finalterm OVPAA-F-INS-055A RAW '!AD$17*100)</f>
        <v/>
      </c>
      <c r="AE60" s="126" t="str">
        <f>IF('Finalterm OVPAA-F-INS-055A RAW '!AE60="","",'Finalterm OVPAA-F-INS-055A RAW '!AE60/'Finalterm OVPAA-F-INS-055A RAW '!AE$17*100)</f>
        <v/>
      </c>
      <c r="AF60" s="126" t="str">
        <f>IF('Finalterm OVPAA-F-INS-055A RAW '!AF60="","",'Finalterm OVPAA-F-INS-055A RAW '!AF60/'Finalterm OVPAA-F-INS-055A RAW '!AF$17*100)</f>
        <v/>
      </c>
      <c r="AG60" s="126" t="str">
        <f>IF('Finalterm OVPAA-F-INS-055A RAW '!AG60="","",'Finalterm OVPAA-F-INS-055A RAW '!AG60/'Finalterm OVPAA-F-INS-055A RAW '!AG$17*100)</f>
        <v/>
      </c>
      <c r="AH60" s="126" t="str">
        <f>IF('Finalterm OVPAA-F-INS-055A RAW '!AH60="","",'Finalterm OVPAA-F-INS-055A RAW '!AH60/'Finalterm OVPAA-F-INS-055A RAW '!AH$17*100)</f>
        <v/>
      </c>
      <c r="AI60" s="126" t="str">
        <f>IF('Finalterm OVPAA-F-INS-055A RAW '!AI60="","",'Finalterm OVPAA-F-INS-055A RAW '!AI60/'Finalterm OVPAA-F-INS-055A RAW '!AI$17*100)</f>
        <v/>
      </c>
      <c r="AJ60" s="126" t="str">
        <f>IF('Finalterm OVPAA-F-INS-055A RAW '!AJ60="","",'Finalterm OVPAA-F-INS-055A RAW '!AJ60/'Finalterm OVPAA-F-INS-055A RAW '!AJ$17*100)</f>
        <v/>
      </c>
      <c r="AK60" s="126" t="str">
        <f>IF('Finalterm OVPAA-F-INS-055A RAW '!AK60="","",'Finalterm OVPAA-F-INS-055A RAW '!AK60/'Finalterm OVPAA-F-INS-055A RAW '!AK$17*100)</f>
        <v/>
      </c>
      <c r="AL60" s="126" t="str">
        <f>IF('Finalterm OVPAA-F-INS-055A RAW '!AL60="","",'Finalterm OVPAA-F-INS-055A RAW '!AL60/'Finalterm OVPAA-F-INS-055A RAW '!AL$17*100)</f>
        <v/>
      </c>
      <c r="AM60" s="126" t="str">
        <f>IF('Finalterm OVPAA-F-INS-055A RAW '!AM60="","",'Finalterm OVPAA-F-INS-055A RAW '!AM60/'Finalterm OVPAA-F-INS-055A RAW '!AM$17*100)</f>
        <v/>
      </c>
      <c r="AN60" s="126" t="str">
        <f>IF('Finalterm OVPAA-F-INS-055A RAW '!AN60="","",'Finalterm OVPAA-F-INS-055A RAW '!AN60/'Finalterm OVPAA-F-INS-055A RAW '!AN$17*100)</f>
        <v/>
      </c>
      <c r="AO60" s="126" t="str">
        <f>IF('Finalterm OVPAA-F-INS-055A RAW '!AO60="","",'Finalterm OVPAA-F-INS-055A RAW '!AO60/'Finalterm OVPAA-F-INS-055A RAW '!AO$17*100)</f>
        <v/>
      </c>
      <c r="AP60" s="126" t="str">
        <f>IF('Finalterm OVPAA-F-INS-055A RAW '!AP60="","",'Finalterm OVPAA-F-INS-055A RAW '!AP60/'Finalterm OVPAA-F-INS-055A RAW '!AP$17*100)</f>
        <v/>
      </c>
      <c r="AQ60" s="126" t="str">
        <f>IF('Finalterm OVPAA-F-INS-055A RAW '!AQ60="","",'Finalterm OVPAA-F-INS-055A RAW '!AQ60/'Finalterm OVPAA-F-INS-055A RAW '!AQ$17*100)</f>
        <v/>
      </c>
      <c r="AR60" s="126" t="str">
        <f>IF('Finalterm OVPAA-F-INS-055A RAW '!AR60="","",'Finalterm OVPAA-F-INS-055A RAW '!AR60/'Finalterm OVPAA-F-INS-055A RAW '!AR$17*100)</f>
        <v/>
      </c>
      <c r="AS60" s="126" t="str">
        <f>IF('Finalterm OVPAA-F-INS-055A RAW '!AS60="","",'Finalterm OVPAA-F-INS-055A RAW '!AS60/'Finalterm OVPAA-F-INS-055A RAW '!AS$17*100)</f>
        <v/>
      </c>
      <c r="AT60" s="126" t="str">
        <f>IF('Finalterm OVPAA-F-INS-055A RAW '!AT60="","",'Finalterm OVPAA-F-INS-055A RAW '!AT60/'Finalterm OVPAA-F-INS-055A RAW '!AT$17*100)</f>
        <v/>
      </c>
      <c r="AU60" s="126" t="str">
        <f>IF('Finalterm OVPAA-F-INS-055A RAW '!AU60="","",'Finalterm OVPAA-F-INS-055A RAW '!AU60/'Finalterm OVPAA-F-INS-055A RAW '!AU$17*100)</f>
        <v/>
      </c>
      <c r="AV60" s="126" t="str">
        <f>IF('Finalterm OVPAA-F-INS-055A RAW '!AV60="","",'Finalterm OVPAA-F-INS-055A RAW '!AV60/'Finalterm OVPAA-F-INS-055A RAW '!AV$17*100)</f>
        <v/>
      </c>
      <c r="AW60" s="126" t="str">
        <f>IF('Finalterm OVPAA-F-INS-055A RAW '!AW60="","",'Finalterm OVPAA-F-INS-055A RAW '!AW60/'Finalterm OVPAA-F-INS-055A RAW '!AW$17*100)</f>
        <v/>
      </c>
      <c r="AX60" s="126" t="str">
        <f>IF('Finalterm OVPAA-F-INS-055A RAW '!AX60="","",'Finalterm OVPAA-F-INS-055A RAW '!AX60/'Finalterm OVPAA-F-INS-055A RAW '!AX$17*100)</f>
        <v/>
      </c>
      <c r="AY60" s="126" t="str">
        <f>IF('Finalterm OVPAA-F-INS-055A RAW '!AY60="","",'Finalterm OVPAA-F-INS-055A RAW '!AY60/'Finalterm OVPAA-F-INS-055A RAW '!AY$17*100)</f>
        <v/>
      </c>
      <c r="AZ60" s="126" t="str">
        <f>IF('Finalterm OVPAA-F-INS-055A RAW '!AZ60="","",'Finalterm OVPAA-F-INS-055A RAW '!AZ60/'Finalterm OVPAA-F-INS-055A RAW '!AZ$17*100)</f>
        <v/>
      </c>
      <c r="BA60" s="126" t="str">
        <f>IF('Finalterm OVPAA-F-INS-055A RAW '!BA60="","",'Finalterm OVPAA-F-INS-055A RAW '!BA60/'Finalterm OVPAA-F-INS-055A RAW '!BA$17*100)</f>
        <v/>
      </c>
      <c r="BB60" s="126" t="str">
        <f>IF('Finalterm OVPAA-F-INS-055A RAW '!BB60="","",'Finalterm OVPAA-F-INS-055A RAW '!BB60/'Finalterm OVPAA-F-INS-055A RAW '!BB$17*100)</f>
        <v/>
      </c>
      <c r="BC60" s="126" t="str">
        <f>IF('Finalterm OVPAA-F-INS-055A RAW '!BC60="","",'Finalterm OVPAA-F-INS-055A RAW '!BC60/'Finalterm OVPAA-F-INS-055A RAW '!BC$17*100)</f>
        <v/>
      </c>
      <c r="BD60" s="126" t="str">
        <f>IF('Finalterm OVPAA-F-INS-055A RAW '!BD60="","",'Finalterm OVPAA-F-INS-055A RAW '!BD60/'Finalterm OVPAA-F-INS-055A RAW '!BD$17*100)</f>
        <v/>
      </c>
      <c r="BE60" s="126" t="str">
        <f>IF('Finalterm OVPAA-F-INS-055A RAW '!BE60="","",'Finalterm OVPAA-F-INS-055A RAW '!BE60/'Finalterm OVPAA-F-INS-055A RAW '!BE$17*100)</f>
        <v/>
      </c>
      <c r="BF60" s="126" t="str">
        <f>IF('Finalterm OVPAA-F-INS-055A RAW '!BF60="","",'Finalterm OVPAA-F-INS-055A RAW '!BF60/'Finalterm OVPAA-F-INS-055A RAW '!BF$17*100)</f>
        <v/>
      </c>
      <c r="BG60" s="126" t="str">
        <f>IF('Finalterm OVPAA-F-INS-055A RAW '!BG60="","",'Finalterm OVPAA-F-INS-055A RAW '!BG60/'Finalterm OVPAA-F-INS-055A RAW '!BG$17*100)</f>
        <v/>
      </c>
      <c r="BH60" s="126" t="str">
        <f>IF('Finalterm OVPAA-F-INS-055A RAW '!BH60="","",'Finalterm OVPAA-F-INS-055A RAW '!BH60/'Finalterm OVPAA-F-INS-055A RAW '!BH$17*100)</f>
        <v/>
      </c>
      <c r="BI60" s="126" t="str">
        <f>IF('Finalterm OVPAA-F-INS-055A RAW '!BI60="","",'Finalterm OVPAA-F-INS-055A RAW '!BI60/'Finalterm OVPAA-F-INS-055A RAW '!BI$17*100)</f>
        <v/>
      </c>
      <c r="BJ60" s="126" t="str">
        <f>IF('Finalterm OVPAA-F-INS-055A RAW '!BJ60="","",'Finalterm OVPAA-F-INS-055A RAW '!BJ60/'Finalterm OVPAA-F-INS-055A RAW '!BJ$17*100)</f>
        <v/>
      </c>
      <c r="BK60" s="126" t="str">
        <f>IF('Finalterm OVPAA-F-INS-055A RAW '!BK60="","",'Finalterm OVPAA-F-INS-055A RAW '!BK60/'Finalterm OVPAA-F-INS-055A RAW '!BK$17*100)</f>
        <v/>
      </c>
      <c r="BL60" s="126" t="str">
        <f>IF('Finalterm OVPAA-F-INS-055A RAW '!BL60="","",'Finalterm OVPAA-F-INS-055A RAW '!BL60/'Finalterm OVPAA-F-INS-055A RAW '!BL$17*100)</f>
        <v/>
      </c>
      <c r="BM60" s="126" t="str">
        <f>IF('Finalterm OVPAA-F-INS-055A RAW '!BM60="","",'Finalterm OVPAA-F-INS-055A RAW '!BM60/'Finalterm OVPAA-F-INS-055A RAW '!BM$17*100)</f>
        <v/>
      </c>
      <c r="BN60" s="126" t="str">
        <f>IF('Finalterm OVPAA-F-INS-055A RAW '!BN60="","",'Finalterm OVPAA-F-INS-055A RAW '!BN60/'Finalterm OVPAA-F-INS-055A RAW '!BN$17*100)</f>
        <v/>
      </c>
      <c r="BO60" s="126" t="str">
        <f>IF('Finalterm OVPAA-F-INS-055A RAW '!BO60="","",'Finalterm OVPAA-F-INS-055A RAW '!BO60/'Finalterm OVPAA-F-INS-055A RAW '!BO$17*100)</f>
        <v/>
      </c>
      <c r="BP60" s="126" t="str">
        <f>IF('Finalterm OVPAA-F-INS-055A RAW '!BP60="","",'Finalterm OVPAA-F-INS-055A RAW '!BP60/'Finalterm OVPAA-F-INS-055A RAW '!BP$17*100)</f>
        <v/>
      </c>
      <c r="BQ60" s="126" t="str">
        <f>IF('Finalterm OVPAA-F-INS-055A RAW '!BQ60="","",'Finalterm OVPAA-F-INS-055A RAW '!BQ60/'Finalterm OVPAA-F-INS-055A RAW '!BQ$17*100)</f>
        <v/>
      </c>
      <c r="BR60" s="126" t="str">
        <f>IF('Finalterm OVPAA-F-INS-055A RAW '!BR60="","",'Finalterm OVPAA-F-INS-055A RAW '!BR60/'Finalterm OVPAA-F-INS-055A RAW '!BR$17*100)</f>
        <v/>
      </c>
      <c r="BS60" s="126" t="str">
        <f>IF('Finalterm OVPAA-F-INS-055A RAW '!BS60="","",'Finalterm OVPAA-F-INS-055A RAW '!BS60/'Finalterm OVPAA-F-INS-055A RAW '!BS$17*100)</f>
        <v/>
      </c>
      <c r="BT60" s="126" t="str">
        <f>IF('Finalterm OVPAA-F-INS-055A RAW '!BT60="","",'Finalterm OVPAA-F-INS-055A RAW '!BT60/'Finalterm OVPAA-F-INS-055A RAW '!BT$17*100)</f>
        <v/>
      </c>
      <c r="BU60" s="127" t="str">
        <f t="array" ref="BU60">IF('Finalterm OVPAA-F-INS-055A RAW '!$G60="","",IF((SUMPRODUCT(--ISBLANK('Finalterm OVPAA-F-INS-055A RAW '!H60:BT60))=COLUMNS('Finalterm OVPAA-F-INS-055A RAW '!H60:BT60))=TRUE,"",(((COUNTA('Finalterm OVPAA-F-INS-055A RAW '!$H$17:$BT$17)+COUNTBLANK('Finalterm OVPAA-F-INS-055A RAW '!H60:BT60))-COLUMNS('Finalterm OVPAA-F-INS-055A RAW '!H60:BT60))*5+SUM(H60:BT60))/COUNTA('Finalterm OVPAA-F-INS-055A RAW '!$H$17:$BT$17)))</f>
        <v/>
      </c>
      <c r="BV60" s="165" t="str">
        <f>IF(BU60="","",VLOOKUP(BU60,IF('Midterm OVPAA-F-INS-055A RAW SC'!$V$12=0.5,TRANSMUTATION!$C$4:$D$17,TRANSMUTATION!$G$4:$H$17),2,TRUE))</f>
        <v/>
      </c>
      <c r="BW60" s="129" t="str">
        <f>IF('Finalterm OVPAA-F-INS-055A RAW '!BU60="","",'Finalterm OVPAA-F-INS-055A RAW '!BU60/'Finalterm OVPAA-F-INS-055A RAW '!BU$17*100)</f>
        <v/>
      </c>
      <c r="BX60" s="130" t="str">
        <f>IF('Finalterm OVPAA-F-INS-055A RAW '!BV60="","",'Finalterm OVPAA-F-INS-055A RAW '!BV60/'Finalterm OVPAA-F-INS-055A RAW '!BV$17*100)</f>
        <v/>
      </c>
      <c r="BY60" s="130" t="str">
        <f>IF('Finalterm OVPAA-F-INS-055A RAW '!BW60="","",'Finalterm OVPAA-F-INS-055A RAW '!BW60/'Finalterm OVPAA-F-INS-055A RAW '!BW$17*100)</f>
        <v/>
      </c>
      <c r="BZ60" s="130" t="str">
        <f>IF('Finalterm OVPAA-F-INS-055A RAW '!BX60="","",'Finalterm OVPAA-F-INS-055A RAW '!BX60/'Finalterm OVPAA-F-INS-055A RAW '!BX$17*100)</f>
        <v/>
      </c>
      <c r="CA60" s="130" t="str">
        <f>IF('Finalterm OVPAA-F-INS-055A RAW '!BY60="","",'Finalterm OVPAA-F-INS-055A RAW '!BY60/'Finalterm OVPAA-F-INS-055A RAW '!BY$17*100)</f>
        <v/>
      </c>
      <c r="CB60" s="130" t="str">
        <f>IF('Finalterm OVPAA-F-INS-055A RAW '!BZ60="","",'Finalterm OVPAA-F-INS-055A RAW '!BZ60/'Finalterm OVPAA-F-INS-055A RAW '!BZ$17*100)</f>
        <v/>
      </c>
      <c r="CC60" s="130" t="str">
        <f>IF('Finalterm OVPAA-F-INS-055A RAW '!CA60="","",'Finalterm OVPAA-F-INS-055A RAW '!CA60/'Finalterm OVPAA-F-INS-055A RAW '!CA$17*100)</f>
        <v/>
      </c>
      <c r="CD60" s="130" t="str">
        <f>IF('Finalterm OVPAA-F-INS-055A RAW '!CB60="","",'Finalterm OVPAA-F-INS-055A RAW '!CB60/'Finalterm OVPAA-F-INS-055A RAW '!CB$17*100)</f>
        <v/>
      </c>
      <c r="CE60" s="130" t="str">
        <f>IF('Finalterm OVPAA-F-INS-055A RAW '!CC60="","",'Finalterm OVPAA-F-INS-055A RAW '!CC60/'Finalterm OVPAA-F-INS-055A RAW '!CC$17*100)</f>
        <v/>
      </c>
      <c r="CF60" s="130" t="str">
        <f>IF('Finalterm OVPAA-F-INS-055A RAW '!CD60="","",'Finalterm OVPAA-F-INS-055A RAW '!CD60/'Finalterm OVPAA-F-INS-055A RAW '!CD$17*100)</f>
        <v/>
      </c>
      <c r="CG60" s="130" t="str">
        <f>IF('Finalterm OVPAA-F-INS-055A RAW '!CE60="","",'Finalterm OVPAA-F-INS-055A RAW '!CE60/'Finalterm OVPAA-F-INS-055A RAW '!CE$17*100)</f>
        <v/>
      </c>
      <c r="CH60" s="130" t="str">
        <f>IF('Finalterm OVPAA-F-INS-055A RAW '!CF60="","",'Finalterm OVPAA-F-INS-055A RAW '!CF60/'Finalterm OVPAA-F-INS-055A RAW '!CF$17*100)</f>
        <v/>
      </c>
      <c r="CI60" s="130" t="str">
        <f>IF('Finalterm OVPAA-F-INS-055A RAW '!CG60="","",'Finalterm OVPAA-F-INS-055A RAW '!CG60/'Finalterm OVPAA-F-INS-055A RAW '!CG$17*100)</f>
        <v/>
      </c>
      <c r="CJ60" s="130" t="str">
        <f>IF('Finalterm OVPAA-F-INS-055A RAW '!CH60="","",'Finalterm OVPAA-F-INS-055A RAW '!CH60/'Finalterm OVPAA-F-INS-055A RAW '!CH$17*100)</f>
        <v/>
      </c>
      <c r="CK60" s="130" t="str">
        <f>IF('Finalterm OVPAA-F-INS-055A RAW '!CI60="","",'Finalterm OVPAA-F-INS-055A RAW '!CI60/'Finalterm OVPAA-F-INS-055A RAW '!CI$17*100)</f>
        <v/>
      </c>
      <c r="CL60" s="130" t="str">
        <f>IF('Finalterm OVPAA-F-INS-055A RAW '!CJ60="","",'Finalterm OVPAA-F-INS-055A RAW '!CJ60/'Finalterm OVPAA-F-INS-055A RAW '!CJ$17*100)</f>
        <v/>
      </c>
      <c r="CM60" s="130" t="str">
        <f>IF('Finalterm OVPAA-F-INS-055A RAW '!CK60="","",'Finalterm OVPAA-F-INS-055A RAW '!CK60/'Finalterm OVPAA-F-INS-055A RAW '!CK$17*100)</f>
        <v/>
      </c>
      <c r="CN60" s="130" t="str">
        <f>IF('Finalterm OVPAA-F-INS-055A RAW '!CL60="","",'Finalterm OVPAA-F-INS-055A RAW '!CL60/'Finalterm OVPAA-F-INS-055A RAW '!CL$17*100)</f>
        <v/>
      </c>
      <c r="CO60" s="130" t="str">
        <f>IF('Finalterm OVPAA-F-INS-055A RAW '!CM60="","",'Finalterm OVPAA-F-INS-055A RAW '!CM60/'Finalterm OVPAA-F-INS-055A RAW '!CM$17*100)</f>
        <v/>
      </c>
      <c r="CP60" s="130" t="str">
        <f>IF('Finalterm OVPAA-F-INS-055A RAW '!CN60="","",'Finalterm OVPAA-F-INS-055A RAW '!CN60/'Finalterm OVPAA-F-INS-055A RAW '!CN$17*100)</f>
        <v/>
      </c>
      <c r="CQ60" s="131" t="str">
        <f t="array" ref="CQ60">IF('Midterm OVPAA-F-INS-055A RAW SC'!G60="","",IF((SUMPRODUCT(--ISBLANK('Finalterm OVPAA-F-INS-055A RAW '!BU60:CN60))=COLUMNS('Finalterm OVPAA-F-INS-055A RAW '!BU60:CN60))=TRUE,"",(((COUNTA('Finalterm OVPAA-F-INS-055A RAW '!$BU$17:$CN$17)+COUNTBLANK('Finalterm OVPAA-F-INS-055A RAW '!BU60:CN60))-COLUMNS('Finalterm OVPAA-F-INS-055A RAW '!BU60:CN60))*5+SUM(BW60:CP60))/COUNTA('Finalterm OVPAA-F-INS-055A RAW '!$BU$17:$CN$17)))</f>
        <v/>
      </c>
      <c r="CR60" s="132" t="str">
        <f>IF(CQ60="","",VLOOKUP(CQ60,IF('Midterm OVPAA-F-INS-055A RAW SC'!$V$12=0.5,TRANSMUTATION!$C$4:$D$17,TRANSMUTATION!$G$4:$H$17),2,TRUE))</f>
        <v/>
      </c>
      <c r="CS60" s="133" t="str">
        <f>IF('Finalterm OVPAA-F-INS-055A RAW '!CO60="","",'Finalterm OVPAA-F-INS-055A RAW '!CO60/'Finalterm OVPAA-F-INS-055A RAW '!CO$17*100)</f>
        <v/>
      </c>
      <c r="CT60" s="133" t="str">
        <f>IF('Finalterm OVPAA-F-INS-055A RAW '!CP60="","",'Finalterm OVPAA-F-INS-055A RAW '!CP60/'Finalterm OVPAA-F-INS-055A RAW '!CP$17*100)</f>
        <v/>
      </c>
      <c r="CU60" s="133" t="str">
        <f>IF('Finalterm OVPAA-F-INS-055A RAW '!CQ60="","",'Finalterm OVPAA-F-INS-055A RAW '!CQ60/'Finalterm OVPAA-F-INS-055A RAW '!CQ$17*100)</f>
        <v/>
      </c>
      <c r="CV60" s="133" t="str">
        <f>IF('Finalterm OVPAA-F-INS-055A RAW '!CR60="","",'Finalterm OVPAA-F-INS-055A RAW '!CR60/'Finalterm OVPAA-F-INS-055A RAW '!CR$17*100)</f>
        <v/>
      </c>
      <c r="CW60" s="133" t="str">
        <f>IF('Finalterm OVPAA-F-INS-055A RAW '!CS60="","",'Finalterm OVPAA-F-INS-055A RAW '!CS60/'Finalterm OVPAA-F-INS-055A RAW '!CS$17*100)</f>
        <v/>
      </c>
      <c r="CX60" s="133" t="str">
        <f>IF('Finalterm OVPAA-F-INS-055A RAW '!CT60="","",'Finalterm OVPAA-F-INS-055A RAW '!CT60/'Finalterm OVPAA-F-INS-055A RAW '!CT$17*100)</f>
        <v/>
      </c>
      <c r="CY60" s="133" t="str">
        <f>IF('Finalterm OVPAA-F-INS-055A RAW '!CU60="","",'Finalterm OVPAA-F-INS-055A RAW '!CU60/'Finalterm OVPAA-F-INS-055A RAW '!CU$17*100)</f>
        <v/>
      </c>
      <c r="CZ60" s="133" t="str">
        <f>IF('Finalterm OVPAA-F-INS-055A RAW '!CV60="","",'Finalterm OVPAA-F-INS-055A RAW '!CV60/'Finalterm OVPAA-F-INS-055A RAW '!CV$17*100)</f>
        <v/>
      </c>
      <c r="DA60" s="133" t="str">
        <f>IF('Finalterm OVPAA-F-INS-055A RAW '!CW60="","",'Finalterm OVPAA-F-INS-055A RAW '!CW60/'Finalterm OVPAA-F-INS-055A RAW '!CW$17*100)</f>
        <v/>
      </c>
      <c r="DB60" s="133" t="str">
        <f>IF('Finalterm OVPAA-F-INS-055A RAW '!CX60="","",'Finalterm OVPAA-F-INS-055A RAW '!CX60/'Finalterm OVPAA-F-INS-055A RAW '!CX$17*100)</f>
        <v/>
      </c>
      <c r="DC60" s="134" t="str">
        <f t="array" ref="DC60">IF('Midterm OVPAA-F-INS-055A RAW SC'!$G60="","",IF((SUMPRODUCT(--ISBLANK('Finalterm OVPAA-F-INS-055A RAW '!CO60:CX60))=COLUMNS('Finalterm OVPAA-F-INS-055A RAW '!CO60:CX60))=TRUE,"",(((COUNTA('Finalterm OVPAA-F-INS-055A RAW '!$CO$17:$CX$17)+COUNTBLANK('Finalterm OVPAA-F-INS-055A RAW '!CO60:CX60))-COLUMNS('Finalterm OVPAA-F-INS-055A RAW '!CO60:CX60))*5+SUM(CS60:DB60))/COUNTA('Finalterm OVPAA-F-INS-055A RAW '!$CO$17:$CX$17)))</f>
        <v/>
      </c>
      <c r="DD60" s="135" t="str">
        <f>IF(DC60="","",VLOOKUP(DC60,IF('Midterm OVPAA-F-INS-055A RAW SC'!$V$12=0.5,TRANSMUTATION!$C$4:$D$17,TRANSMUTATION!$G$4:$H$17),2,TRUE))</f>
        <v/>
      </c>
      <c r="DE60" s="136" t="str">
        <f t="shared" si="1"/>
        <v/>
      </c>
      <c r="DF60" s="166" t="str">
        <f t="shared" si="2"/>
        <v/>
      </c>
      <c r="DG60" s="167" t="str">
        <f t="shared" si="3"/>
        <v/>
      </c>
      <c r="DH60" s="168" t="str">
        <f t="shared" si="4"/>
        <v/>
      </c>
      <c r="DI60" s="169" t="str">
        <f t="shared" si="5"/>
        <v/>
      </c>
    </row>
    <row r="61" spans="5:113" ht="15.75" hidden="1" customHeight="1">
      <c r="E61" s="59">
        <v>44</v>
      </c>
      <c r="F61" s="124" t="str">
        <f>IF(NOT(ISBLANK('Midterm OVPAA-F-INS-055A RAW SC'!F61)),'Midterm OVPAA-F-INS-055A RAW SC'!F61,"")</f>
        <v/>
      </c>
      <c r="G61" s="125" t="str">
        <f>IF(NOT(ISBLANK('Midterm OVPAA-F-INS-055A RAW SC'!G61)),'Midterm OVPAA-F-INS-055A RAW SC'!G61,"")</f>
        <v/>
      </c>
      <c r="H61" s="126" t="str">
        <f>IF('Finalterm OVPAA-F-INS-055A RAW '!H61="","",'Finalterm OVPAA-F-INS-055A RAW '!H61/'Finalterm OVPAA-F-INS-055A RAW '!H$17*100)</f>
        <v/>
      </c>
      <c r="I61" s="126" t="str">
        <f>IF('Finalterm OVPAA-F-INS-055A RAW '!I61="","",'Finalterm OVPAA-F-INS-055A RAW '!I61/'Finalterm OVPAA-F-INS-055A RAW '!I$17*100)</f>
        <v/>
      </c>
      <c r="J61" s="126" t="str">
        <f>IF('Finalterm OVPAA-F-INS-055A RAW '!J61="","",'Finalterm OVPAA-F-INS-055A RAW '!J61/'Finalterm OVPAA-F-INS-055A RAW '!J$17*100)</f>
        <v/>
      </c>
      <c r="K61" s="126" t="str">
        <f>IF('Finalterm OVPAA-F-INS-055A RAW '!K61="","",'Finalterm OVPAA-F-INS-055A RAW '!K61/'Finalterm OVPAA-F-INS-055A RAW '!K$17*100)</f>
        <v/>
      </c>
      <c r="L61" s="126" t="str">
        <f>IF('Finalterm OVPAA-F-INS-055A RAW '!L61="","",'Finalterm OVPAA-F-INS-055A RAW '!L61/'Finalterm OVPAA-F-INS-055A RAW '!L$17*100)</f>
        <v/>
      </c>
      <c r="M61" s="126" t="str">
        <f>IF('Finalterm OVPAA-F-INS-055A RAW '!M61="","",'Finalterm OVPAA-F-INS-055A RAW '!M61/'Finalterm OVPAA-F-INS-055A RAW '!M$17*100)</f>
        <v/>
      </c>
      <c r="N61" s="126" t="str">
        <f>IF('Finalterm OVPAA-F-INS-055A RAW '!N61="","",'Finalterm OVPAA-F-INS-055A RAW '!N61/'Finalterm OVPAA-F-INS-055A RAW '!N$17*100)</f>
        <v/>
      </c>
      <c r="O61" s="126" t="str">
        <f>IF('Finalterm OVPAA-F-INS-055A RAW '!O61="","",'Finalterm OVPAA-F-INS-055A RAW '!O61/'Finalterm OVPAA-F-INS-055A RAW '!O$17*100)</f>
        <v/>
      </c>
      <c r="P61" s="126" t="str">
        <f>IF('Finalterm OVPAA-F-INS-055A RAW '!P61="","",'Finalterm OVPAA-F-INS-055A RAW '!P61/'Finalterm OVPAA-F-INS-055A RAW '!P$17*100)</f>
        <v/>
      </c>
      <c r="Q61" s="126" t="str">
        <f>IF('Finalterm OVPAA-F-INS-055A RAW '!Q61="","",'Finalterm OVPAA-F-INS-055A RAW '!Q61/'Finalterm OVPAA-F-INS-055A RAW '!Q$17*100)</f>
        <v/>
      </c>
      <c r="R61" s="126" t="str">
        <f>IF('Finalterm OVPAA-F-INS-055A RAW '!R61="","",'Finalterm OVPAA-F-INS-055A RAW '!R61/'Finalterm OVPAA-F-INS-055A RAW '!R$17*100)</f>
        <v/>
      </c>
      <c r="S61" s="126" t="str">
        <f>IF('Finalterm OVPAA-F-INS-055A RAW '!S61="","",'Finalterm OVPAA-F-INS-055A RAW '!S61/'Finalterm OVPAA-F-INS-055A RAW '!S$17*100)</f>
        <v/>
      </c>
      <c r="T61" s="126" t="str">
        <f>IF('Finalterm OVPAA-F-INS-055A RAW '!T61="","",'Finalterm OVPAA-F-INS-055A RAW '!T61/'Finalterm OVPAA-F-INS-055A RAW '!T$17*100)</f>
        <v/>
      </c>
      <c r="U61" s="126" t="str">
        <f>IF('Finalterm OVPAA-F-INS-055A RAW '!U61="","",'Finalterm OVPAA-F-INS-055A RAW '!U61/'Finalterm OVPAA-F-INS-055A RAW '!U$17*100)</f>
        <v/>
      </c>
      <c r="V61" s="126" t="str">
        <f>IF('Finalterm OVPAA-F-INS-055A RAW '!V61="","",'Finalterm OVPAA-F-INS-055A RAW '!V61/'Finalterm OVPAA-F-INS-055A RAW '!V$17*100)</f>
        <v/>
      </c>
      <c r="W61" s="126" t="str">
        <f>IF('Finalterm OVPAA-F-INS-055A RAW '!W61="","",'Finalterm OVPAA-F-INS-055A RAW '!W61/'Finalterm OVPAA-F-INS-055A RAW '!W$17*100)</f>
        <v/>
      </c>
      <c r="X61" s="126" t="str">
        <f>IF('Finalterm OVPAA-F-INS-055A RAW '!X61="","",'Finalterm OVPAA-F-INS-055A RAW '!X61/'Finalterm OVPAA-F-INS-055A RAW '!X$17*100)</f>
        <v/>
      </c>
      <c r="Y61" s="126" t="str">
        <f>IF('Finalterm OVPAA-F-INS-055A RAW '!Y61="","",'Finalterm OVPAA-F-INS-055A RAW '!Y61/'Finalterm OVPAA-F-INS-055A RAW '!Y$17*100)</f>
        <v/>
      </c>
      <c r="Z61" s="126" t="str">
        <f>IF('Finalterm OVPAA-F-INS-055A RAW '!Z61="","",'Finalterm OVPAA-F-INS-055A RAW '!Z61/'Finalterm OVPAA-F-INS-055A RAW '!Z$17*100)</f>
        <v/>
      </c>
      <c r="AA61" s="126" t="str">
        <f>IF('Finalterm OVPAA-F-INS-055A RAW '!AA61="","",'Finalterm OVPAA-F-INS-055A RAW '!AA61/'Finalterm OVPAA-F-INS-055A RAW '!AA$17*100)</f>
        <v/>
      </c>
      <c r="AB61" s="126" t="str">
        <f>IF('Finalterm OVPAA-F-INS-055A RAW '!AB61="","",'Finalterm OVPAA-F-INS-055A RAW '!AB61/'Finalterm OVPAA-F-INS-055A RAW '!AB$17*100)</f>
        <v/>
      </c>
      <c r="AC61" s="126" t="str">
        <f>IF('Finalterm OVPAA-F-INS-055A RAW '!AC61="","",'Finalterm OVPAA-F-INS-055A RAW '!AC61/'Finalterm OVPAA-F-INS-055A RAW '!AC$17*100)</f>
        <v/>
      </c>
      <c r="AD61" s="126" t="str">
        <f>IF('Finalterm OVPAA-F-INS-055A RAW '!AD61="","",'Finalterm OVPAA-F-INS-055A RAW '!AD61/'Finalterm OVPAA-F-INS-055A RAW '!AD$17*100)</f>
        <v/>
      </c>
      <c r="AE61" s="126" t="str">
        <f>IF('Finalterm OVPAA-F-INS-055A RAW '!AE61="","",'Finalterm OVPAA-F-INS-055A RAW '!AE61/'Finalterm OVPAA-F-INS-055A RAW '!AE$17*100)</f>
        <v/>
      </c>
      <c r="AF61" s="126" t="str">
        <f>IF('Finalterm OVPAA-F-INS-055A RAW '!AF61="","",'Finalterm OVPAA-F-INS-055A RAW '!AF61/'Finalterm OVPAA-F-INS-055A RAW '!AF$17*100)</f>
        <v/>
      </c>
      <c r="AG61" s="126" t="str">
        <f>IF('Finalterm OVPAA-F-INS-055A RAW '!AG61="","",'Finalterm OVPAA-F-INS-055A RAW '!AG61/'Finalterm OVPAA-F-INS-055A RAW '!AG$17*100)</f>
        <v/>
      </c>
      <c r="AH61" s="126" t="str">
        <f>IF('Finalterm OVPAA-F-INS-055A RAW '!AH61="","",'Finalterm OVPAA-F-INS-055A RAW '!AH61/'Finalterm OVPAA-F-INS-055A RAW '!AH$17*100)</f>
        <v/>
      </c>
      <c r="AI61" s="126" t="str">
        <f>IF('Finalterm OVPAA-F-INS-055A RAW '!AI61="","",'Finalterm OVPAA-F-INS-055A RAW '!AI61/'Finalterm OVPAA-F-INS-055A RAW '!AI$17*100)</f>
        <v/>
      </c>
      <c r="AJ61" s="126" t="str">
        <f>IF('Finalterm OVPAA-F-INS-055A RAW '!AJ61="","",'Finalterm OVPAA-F-INS-055A RAW '!AJ61/'Finalterm OVPAA-F-INS-055A RAW '!AJ$17*100)</f>
        <v/>
      </c>
      <c r="AK61" s="126" t="str">
        <f>IF('Finalterm OVPAA-F-INS-055A RAW '!AK61="","",'Finalterm OVPAA-F-INS-055A RAW '!AK61/'Finalterm OVPAA-F-INS-055A RAW '!AK$17*100)</f>
        <v/>
      </c>
      <c r="AL61" s="126" t="str">
        <f>IF('Finalterm OVPAA-F-INS-055A RAW '!AL61="","",'Finalterm OVPAA-F-INS-055A RAW '!AL61/'Finalterm OVPAA-F-INS-055A RAW '!AL$17*100)</f>
        <v/>
      </c>
      <c r="AM61" s="126" t="str">
        <f>IF('Finalterm OVPAA-F-INS-055A RAW '!AM61="","",'Finalterm OVPAA-F-INS-055A RAW '!AM61/'Finalterm OVPAA-F-INS-055A RAW '!AM$17*100)</f>
        <v/>
      </c>
      <c r="AN61" s="126" t="str">
        <f>IF('Finalterm OVPAA-F-INS-055A RAW '!AN61="","",'Finalterm OVPAA-F-INS-055A RAW '!AN61/'Finalterm OVPAA-F-INS-055A RAW '!AN$17*100)</f>
        <v/>
      </c>
      <c r="AO61" s="126" t="str">
        <f>IF('Finalterm OVPAA-F-INS-055A RAW '!AO61="","",'Finalterm OVPAA-F-INS-055A RAW '!AO61/'Finalterm OVPAA-F-INS-055A RAW '!AO$17*100)</f>
        <v/>
      </c>
      <c r="AP61" s="126" t="str">
        <f>IF('Finalterm OVPAA-F-INS-055A RAW '!AP61="","",'Finalterm OVPAA-F-INS-055A RAW '!AP61/'Finalterm OVPAA-F-INS-055A RAW '!AP$17*100)</f>
        <v/>
      </c>
      <c r="AQ61" s="126" t="str">
        <f>IF('Finalterm OVPAA-F-INS-055A RAW '!AQ61="","",'Finalterm OVPAA-F-INS-055A RAW '!AQ61/'Finalterm OVPAA-F-INS-055A RAW '!AQ$17*100)</f>
        <v/>
      </c>
      <c r="AR61" s="126" t="str">
        <f>IF('Finalterm OVPAA-F-INS-055A RAW '!AR61="","",'Finalterm OVPAA-F-INS-055A RAW '!AR61/'Finalterm OVPAA-F-INS-055A RAW '!AR$17*100)</f>
        <v/>
      </c>
      <c r="AS61" s="126" t="str">
        <f>IF('Finalterm OVPAA-F-INS-055A RAW '!AS61="","",'Finalterm OVPAA-F-INS-055A RAW '!AS61/'Finalterm OVPAA-F-INS-055A RAW '!AS$17*100)</f>
        <v/>
      </c>
      <c r="AT61" s="126" t="str">
        <f>IF('Finalterm OVPAA-F-INS-055A RAW '!AT61="","",'Finalterm OVPAA-F-INS-055A RAW '!AT61/'Finalterm OVPAA-F-INS-055A RAW '!AT$17*100)</f>
        <v/>
      </c>
      <c r="AU61" s="126" t="str">
        <f>IF('Finalterm OVPAA-F-INS-055A RAW '!AU61="","",'Finalterm OVPAA-F-INS-055A RAW '!AU61/'Finalterm OVPAA-F-INS-055A RAW '!AU$17*100)</f>
        <v/>
      </c>
      <c r="AV61" s="126" t="str">
        <f>IF('Finalterm OVPAA-F-INS-055A RAW '!AV61="","",'Finalterm OVPAA-F-INS-055A RAW '!AV61/'Finalterm OVPAA-F-INS-055A RAW '!AV$17*100)</f>
        <v/>
      </c>
      <c r="AW61" s="126" t="str">
        <f>IF('Finalterm OVPAA-F-INS-055A RAW '!AW61="","",'Finalterm OVPAA-F-INS-055A RAW '!AW61/'Finalterm OVPAA-F-INS-055A RAW '!AW$17*100)</f>
        <v/>
      </c>
      <c r="AX61" s="126" t="str">
        <f>IF('Finalterm OVPAA-F-INS-055A RAW '!AX61="","",'Finalterm OVPAA-F-INS-055A RAW '!AX61/'Finalterm OVPAA-F-INS-055A RAW '!AX$17*100)</f>
        <v/>
      </c>
      <c r="AY61" s="126" t="str">
        <f>IF('Finalterm OVPAA-F-INS-055A RAW '!AY61="","",'Finalterm OVPAA-F-INS-055A RAW '!AY61/'Finalterm OVPAA-F-INS-055A RAW '!AY$17*100)</f>
        <v/>
      </c>
      <c r="AZ61" s="126" t="str">
        <f>IF('Finalterm OVPAA-F-INS-055A RAW '!AZ61="","",'Finalterm OVPAA-F-INS-055A RAW '!AZ61/'Finalterm OVPAA-F-INS-055A RAW '!AZ$17*100)</f>
        <v/>
      </c>
      <c r="BA61" s="126" t="str">
        <f>IF('Finalterm OVPAA-F-INS-055A RAW '!BA61="","",'Finalterm OVPAA-F-INS-055A RAW '!BA61/'Finalterm OVPAA-F-INS-055A RAW '!BA$17*100)</f>
        <v/>
      </c>
      <c r="BB61" s="126" t="str">
        <f>IF('Finalterm OVPAA-F-INS-055A RAW '!BB61="","",'Finalterm OVPAA-F-INS-055A RAW '!BB61/'Finalterm OVPAA-F-INS-055A RAW '!BB$17*100)</f>
        <v/>
      </c>
      <c r="BC61" s="126" t="str">
        <f>IF('Finalterm OVPAA-F-INS-055A RAW '!BC61="","",'Finalterm OVPAA-F-INS-055A RAW '!BC61/'Finalterm OVPAA-F-INS-055A RAW '!BC$17*100)</f>
        <v/>
      </c>
      <c r="BD61" s="126" t="str">
        <f>IF('Finalterm OVPAA-F-INS-055A RAW '!BD61="","",'Finalterm OVPAA-F-INS-055A RAW '!BD61/'Finalterm OVPAA-F-INS-055A RAW '!BD$17*100)</f>
        <v/>
      </c>
      <c r="BE61" s="126" t="str">
        <f>IF('Finalterm OVPAA-F-INS-055A RAW '!BE61="","",'Finalterm OVPAA-F-INS-055A RAW '!BE61/'Finalterm OVPAA-F-INS-055A RAW '!BE$17*100)</f>
        <v/>
      </c>
      <c r="BF61" s="126" t="str">
        <f>IF('Finalterm OVPAA-F-INS-055A RAW '!BF61="","",'Finalterm OVPAA-F-INS-055A RAW '!BF61/'Finalterm OVPAA-F-INS-055A RAW '!BF$17*100)</f>
        <v/>
      </c>
      <c r="BG61" s="126" t="str">
        <f>IF('Finalterm OVPAA-F-INS-055A RAW '!BG61="","",'Finalterm OVPAA-F-INS-055A RAW '!BG61/'Finalterm OVPAA-F-INS-055A RAW '!BG$17*100)</f>
        <v/>
      </c>
      <c r="BH61" s="126" t="str">
        <f>IF('Finalterm OVPAA-F-INS-055A RAW '!BH61="","",'Finalterm OVPAA-F-INS-055A RAW '!BH61/'Finalterm OVPAA-F-INS-055A RAW '!BH$17*100)</f>
        <v/>
      </c>
      <c r="BI61" s="126" t="str">
        <f>IF('Finalterm OVPAA-F-INS-055A RAW '!BI61="","",'Finalterm OVPAA-F-INS-055A RAW '!BI61/'Finalterm OVPAA-F-INS-055A RAW '!BI$17*100)</f>
        <v/>
      </c>
      <c r="BJ61" s="126" t="str">
        <f>IF('Finalterm OVPAA-F-INS-055A RAW '!BJ61="","",'Finalterm OVPAA-F-INS-055A RAW '!BJ61/'Finalterm OVPAA-F-INS-055A RAW '!BJ$17*100)</f>
        <v/>
      </c>
      <c r="BK61" s="126" t="str">
        <f>IF('Finalterm OVPAA-F-INS-055A RAW '!BK61="","",'Finalterm OVPAA-F-INS-055A RAW '!BK61/'Finalterm OVPAA-F-INS-055A RAW '!BK$17*100)</f>
        <v/>
      </c>
      <c r="BL61" s="126" t="str">
        <f>IF('Finalterm OVPAA-F-INS-055A RAW '!BL61="","",'Finalterm OVPAA-F-INS-055A RAW '!BL61/'Finalterm OVPAA-F-INS-055A RAW '!BL$17*100)</f>
        <v/>
      </c>
      <c r="BM61" s="126" t="str">
        <f>IF('Finalterm OVPAA-F-INS-055A RAW '!BM61="","",'Finalterm OVPAA-F-INS-055A RAW '!BM61/'Finalterm OVPAA-F-INS-055A RAW '!BM$17*100)</f>
        <v/>
      </c>
      <c r="BN61" s="126" t="str">
        <f>IF('Finalterm OVPAA-F-INS-055A RAW '!BN61="","",'Finalterm OVPAA-F-INS-055A RAW '!BN61/'Finalterm OVPAA-F-INS-055A RAW '!BN$17*100)</f>
        <v/>
      </c>
      <c r="BO61" s="126" t="str">
        <f>IF('Finalterm OVPAA-F-INS-055A RAW '!BO61="","",'Finalterm OVPAA-F-INS-055A RAW '!BO61/'Finalterm OVPAA-F-INS-055A RAW '!BO$17*100)</f>
        <v/>
      </c>
      <c r="BP61" s="126" t="str">
        <f>IF('Finalterm OVPAA-F-INS-055A RAW '!BP61="","",'Finalterm OVPAA-F-INS-055A RAW '!BP61/'Finalterm OVPAA-F-INS-055A RAW '!BP$17*100)</f>
        <v/>
      </c>
      <c r="BQ61" s="126" t="str">
        <f>IF('Finalterm OVPAA-F-INS-055A RAW '!BQ61="","",'Finalterm OVPAA-F-INS-055A RAW '!BQ61/'Finalterm OVPAA-F-INS-055A RAW '!BQ$17*100)</f>
        <v/>
      </c>
      <c r="BR61" s="126" t="str">
        <f>IF('Finalterm OVPAA-F-INS-055A RAW '!BR61="","",'Finalterm OVPAA-F-INS-055A RAW '!BR61/'Finalterm OVPAA-F-INS-055A RAW '!BR$17*100)</f>
        <v/>
      </c>
      <c r="BS61" s="126" t="str">
        <f>IF('Finalterm OVPAA-F-INS-055A RAW '!BS61="","",'Finalterm OVPAA-F-INS-055A RAW '!BS61/'Finalterm OVPAA-F-INS-055A RAW '!BS$17*100)</f>
        <v/>
      </c>
      <c r="BT61" s="126" t="str">
        <f>IF('Finalterm OVPAA-F-INS-055A RAW '!BT61="","",'Finalterm OVPAA-F-INS-055A RAW '!BT61/'Finalterm OVPAA-F-INS-055A RAW '!BT$17*100)</f>
        <v/>
      </c>
      <c r="BU61" s="127" t="str">
        <f t="array" ref="BU61">IF('Finalterm OVPAA-F-INS-055A RAW '!$G61="","",IF((SUMPRODUCT(--ISBLANK('Finalterm OVPAA-F-INS-055A RAW '!H61:BT61))=COLUMNS('Finalterm OVPAA-F-INS-055A RAW '!H61:BT61))=TRUE,"",(((COUNTA('Finalterm OVPAA-F-INS-055A RAW '!$H$17:$BT$17)+COUNTBLANK('Finalterm OVPAA-F-INS-055A RAW '!H61:BT61))-COLUMNS('Finalterm OVPAA-F-INS-055A RAW '!H61:BT61))*5+SUM(H61:BT61))/COUNTA('Finalterm OVPAA-F-INS-055A RAW '!$H$17:$BT$17)))</f>
        <v/>
      </c>
      <c r="BV61" s="165" t="str">
        <f>IF(BU61="","",VLOOKUP(BU61,IF('Midterm OVPAA-F-INS-055A RAW SC'!$V$12=0.5,TRANSMUTATION!$C$4:$D$17,TRANSMUTATION!$G$4:$H$17),2,TRUE))</f>
        <v/>
      </c>
      <c r="BW61" s="129" t="str">
        <f>IF('Finalterm OVPAA-F-INS-055A RAW '!BU61="","",'Finalterm OVPAA-F-INS-055A RAW '!BU61/'Finalterm OVPAA-F-INS-055A RAW '!BU$17*100)</f>
        <v/>
      </c>
      <c r="BX61" s="130" t="str">
        <f>IF('Finalterm OVPAA-F-INS-055A RAW '!BV61="","",'Finalterm OVPAA-F-INS-055A RAW '!BV61/'Finalterm OVPAA-F-INS-055A RAW '!BV$17*100)</f>
        <v/>
      </c>
      <c r="BY61" s="130" t="str">
        <f>IF('Finalterm OVPAA-F-INS-055A RAW '!BW61="","",'Finalterm OVPAA-F-INS-055A RAW '!BW61/'Finalterm OVPAA-F-INS-055A RAW '!BW$17*100)</f>
        <v/>
      </c>
      <c r="BZ61" s="130" t="str">
        <f>IF('Finalterm OVPAA-F-INS-055A RAW '!BX61="","",'Finalterm OVPAA-F-INS-055A RAW '!BX61/'Finalterm OVPAA-F-INS-055A RAW '!BX$17*100)</f>
        <v/>
      </c>
      <c r="CA61" s="130" t="str">
        <f>IF('Finalterm OVPAA-F-INS-055A RAW '!BY61="","",'Finalterm OVPAA-F-INS-055A RAW '!BY61/'Finalterm OVPAA-F-INS-055A RAW '!BY$17*100)</f>
        <v/>
      </c>
      <c r="CB61" s="130" t="str">
        <f>IF('Finalterm OVPAA-F-INS-055A RAW '!BZ61="","",'Finalterm OVPAA-F-INS-055A RAW '!BZ61/'Finalterm OVPAA-F-INS-055A RAW '!BZ$17*100)</f>
        <v/>
      </c>
      <c r="CC61" s="130" t="str">
        <f>IF('Finalterm OVPAA-F-INS-055A RAW '!CA61="","",'Finalterm OVPAA-F-INS-055A RAW '!CA61/'Finalterm OVPAA-F-INS-055A RAW '!CA$17*100)</f>
        <v/>
      </c>
      <c r="CD61" s="130" t="str">
        <f>IF('Finalterm OVPAA-F-INS-055A RAW '!CB61="","",'Finalterm OVPAA-F-INS-055A RAW '!CB61/'Finalterm OVPAA-F-INS-055A RAW '!CB$17*100)</f>
        <v/>
      </c>
      <c r="CE61" s="130" t="str">
        <f>IF('Finalterm OVPAA-F-INS-055A RAW '!CC61="","",'Finalterm OVPAA-F-INS-055A RAW '!CC61/'Finalterm OVPAA-F-INS-055A RAW '!CC$17*100)</f>
        <v/>
      </c>
      <c r="CF61" s="130" t="str">
        <f>IF('Finalterm OVPAA-F-INS-055A RAW '!CD61="","",'Finalterm OVPAA-F-INS-055A RAW '!CD61/'Finalterm OVPAA-F-INS-055A RAW '!CD$17*100)</f>
        <v/>
      </c>
      <c r="CG61" s="130" t="str">
        <f>IF('Finalterm OVPAA-F-INS-055A RAW '!CE61="","",'Finalterm OVPAA-F-INS-055A RAW '!CE61/'Finalterm OVPAA-F-INS-055A RAW '!CE$17*100)</f>
        <v/>
      </c>
      <c r="CH61" s="130" t="str">
        <f>IF('Finalterm OVPAA-F-INS-055A RAW '!CF61="","",'Finalterm OVPAA-F-INS-055A RAW '!CF61/'Finalterm OVPAA-F-INS-055A RAW '!CF$17*100)</f>
        <v/>
      </c>
      <c r="CI61" s="130" t="str">
        <f>IF('Finalterm OVPAA-F-INS-055A RAW '!CG61="","",'Finalterm OVPAA-F-INS-055A RAW '!CG61/'Finalterm OVPAA-F-INS-055A RAW '!CG$17*100)</f>
        <v/>
      </c>
      <c r="CJ61" s="130" t="str">
        <f>IF('Finalterm OVPAA-F-INS-055A RAW '!CH61="","",'Finalterm OVPAA-F-INS-055A RAW '!CH61/'Finalterm OVPAA-F-INS-055A RAW '!CH$17*100)</f>
        <v/>
      </c>
      <c r="CK61" s="130" t="str">
        <f>IF('Finalterm OVPAA-F-INS-055A RAW '!CI61="","",'Finalterm OVPAA-F-INS-055A RAW '!CI61/'Finalterm OVPAA-F-INS-055A RAW '!CI$17*100)</f>
        <v/>
      </c>
      <c r="CL61" s="130" t="str">
        <f>IF('Finalterm OVPAA-F-INS-055A RAW '!CJ61="","",'Finalterm OVPAA-F-INS-055A RAW '!CJ61/'Finalterm OVPAA-F-INS-055A RAW '!CJ$17*100)</f>
        <v/>
      </c>
      <c r="CM61" s="130" t="str">
        <f>IF('Finalterm OVPAA-F-INS-055A RAW '!CK61="","",'Finalterm OVPAA-F-INS-055A RAW '!CK61/'Finalterm OVPAA-F-INS-055A RAW '!CK$17*100)</f>
        <v/>
      </c>
      <c r="CN61" s="130" t="str">
        <f>IF('Finalterm OVPAA-F-INS-055A RAW '!CL61="","",'Finalterm OVPAA-F-INS-055A RAW '!CL61/'Finalterm OVPAA-F-INS-055A RAW '!CL$17*100)</f>
        <v/>
      </c>
      <c r="CO61" s="130" t="str">
        <f>IF('Finalterm OVPAA-F-INS-055A RAW '!CM61="","",'Finalterm OVPAA-F-INS-055A RAW '!CM61/'Finalterm OVPAA-F-INS-055A RAW '!CM$17*100)</f>
        <v/>
      </c>
      <c r="CP61" s="130" t="str">
        <f>IF('Finalterm OVPAA-F-INS-055A RAW '!CN61="","",'Finalterm OVPAA-F-INS-055A RAW '!CN61/'Finalterm OVPAA-F-INS-055A RAW '!CN$17*100)</f>
        <v/>
      </c>
      <c r="CQ61" s="131" t="str">
        <f t="array" ref="CQ61">IF('Midterm OVPAA-F-INS-055A RAW SC'!G61="","",IF((SUMPRODUCT(--ISBLANK('Finalterm OVPAA-F-INS-055A RAW '!BU61:CN61))=COLUMNS('Finalterm OVPAA-F-INS-055A RAW '!BU61:CN61))=TRUE,"",(((COUNTA('Finalterm OVPAA-F-INS-055A RAW '!$BU$17:$CN$17)+COUNTBLANK('Finalterm OVPAA-F-INS-055A RAW '!BU61:CN61))-COLUMNS('Finalterm OVPAA-F-INS-055A RAW '!BU61:CN61))*5+SUM(BW61:CP61))/COUNTA('Finalterm OVPAA-F-INS-055A RAW '!$BU$17:$CN$17)))</f>
        <v/>
      </c>
      <c r="CR61" s="132" t="str">
        <f>IF(CQ61="","",VLOOKUP(CQ61,IF('Midterm OVPAA-F-INS-055A RAW SC'!$V$12=0.5,TRANSMUTATION!$C$4:$D$17,TRANSMUTATION!$G$4:$H$17),2,TRUE))</f>
        <v/>
      </c>
      <c r="CS61" s="133" t="str">
        <f>IF('Finalterm OVPAA-F-INS-055A RAW '!CO61="","",'Finalterm OVPAA-F-INS-055A RAW '!CO61/'Finalterm OVPAA-F-INS-055A RAW '!CO$17*100)</f>
        <v/>
      </c>
      <c r="CT61" s="133" t="str">
        <f>IF('Finalterm OVPAA-F-INS-055A RAW '!CP61="","",'Finalterm OVPAA-F-INS-055A RAW '!CP61/'Finalterm OVPAA-F-INS-055A RAW '!CP$17*100)</f>
        <v/>
      </c>
      <c r="CU61" s="133" t="str">
        <f>IF('Finalterm OVPAA-F-INS-055A RAW '!CQ61="","",'Finalterm OVPAA-F-INS-055A RAW '!CQ61/'Finalterm OVPAA-F-INS-055A RAW '!CQ$17*100)</f>
        <v/>
      </c>
      <c r="CV61" s="133" t="str">
        <f>IF('Finalterm OVPAA-F-INS-055A RAW '!CR61="","",'Finalterm OVPAA-F-INS-055A RAW '!CR61/'Finalterm OVPAA-F-INS-055A RAW '!CR$17*100)</f>
        <v/>
      </c>
      <c r="CW61" s="133" t="str">
        <f>IF('Finalterm OVPAA-F-INS-055A RAW '!CS61="","",'Finalterm OVPAA-F-INS-055A RAW '!CS61/'Finalterm OVPAA-F-INS-055A RAW '!CS$17*100)</f>
        <v/>
      </c>
      <c r="CX61" s="133" t="str">
        <f>IF('Finalterm OVPAA-F-INS-055A RAW '!CT61="","",'Finalterm OVPAA-F-INS-055A RAW '!CT61/'Finalterm OVPAA-F-INS-055A RAW '!CT$17*100)</f>
        <v/>
      </c>
      <c r="CY61" s="133" t="str">
        <f>IF('Finalterm OVPAA-F-INS-055A RAW '!CU61="","",'Finalterm OVPAA-F-INS-055A RAW '!CU61/'Finalterm OVPAA-F-INS-055A RAW '!CU$17*100)</f>
        <v/>
      </c>
      <c r="CZ61" s="133" t="str">
        <f>IF('Finalterm OVPAA-F-INS-055A RAW '!CV61="","",'Finalterm OVPAA-F-INS-055A RAW '!CV61/'Finalterm OVPAA-F-INS-055A RAW '!CV$17*100)</f>
        <v/>
      </c>
      <c r="DA61" s="133" t="str">
        <f>IF('Finalterm OVPAA-F-INS-055A RAW '!CW61="","",'Finalterm OVPAA-F-INS-055A RAW '!CW61/'Finalterm OVPAA-F-INS-055A RAW '!CW$17*100)</f>
        <v/>
      </c>
      <c r="DB61" s="133" t="str">
        <f>IF('Finalterm OVPAA-F-INS-055A RAW '!CX61="","",'Finalterm OVPAA-F-INS-055A RAW '!CX61/'Finalterm OVPAA-F-INS-055A RAW '!CX$17*100)</f>
        <v/>
      </c>
      <c r="DC61" s="134" t="str">
        <f t="array" ref="DC61">IF('Midterm OVPAA-F-INS-055A RAW SC'!$G61="","",IF((SUMPRODUCT(--ISBLANK('Finalterm OVPAA-F-INS-055A RAW '!CO61:CX61))=COLUMNS('Finalterm OVPAA-F-INS-055A RAW '!CO61:CX61))=TRUE,"",(((COUNTA('Finalterm OVPAA-F-INS-055A RAW '!$CO$17:$CX$17)+COUNTBLANK('Finalterm OVPAA-F-INS-055A RAW '!CO61:CX61))-COLUMNS('Finalterm OVPAA-F-INS-055A RAW '!CO61:CX61))*5+SUM(CS61:DB61))/COUNTA('Finalterm OVPAA-F-INS-055A RAW '!$CO$17:$CX$17)))</f>
        <v/>
      </c>
      <c r="DD61" s="135" t="str">
        <f>IF(DC61="","",VLOOKUP(DC61,IF('Midterm OVPAA-F-INS-055A RAW SC'!$V$12=0.5,TRANSMUTATION!$C$4:$D$17,TRANSMUTATION!$G$4:$H$17),2,TRUE))</f>
        <v/>
      </c>
      <c r="DE61" s="136" t="str">
        <f t="shared" si="1"/>
        <v/>
      </c>
      <c r="DF61" s="166" t="str">
        <f t="shared" si="2"/>
        <v/>
      </c>
      <c r="DG61" s="167" t="str">
        <f t="shared" si="3"/>
        <v/>
      </c>
      <c r="DH61" s="168" t="str">
        <f t="shared" si="4"/>
        <v/>
      </c>
      <c r="DI61" s="169" t="str">
        <f t="shared" si="5"/>
        <v/>
      </c>
    </row>
    <row r="62" spans="5:113" ht="15.75" hidden="1" customHeight="1">
      <c r="E62" s="59">
        <v>45</v>
      </c>
      <c r="F62" s="124" t="str">
        <f>IF(NOT(ISBLANK('Midterm OVPAA-F-INS-055A RAW SC'!F62)),'Midterm OVPAA-F-INS-055A RAW SC'!F62,"")</f>
        <v/>
      </c>
      <c r="G62" s="125" t="str">
        <f>IF(NOT(ISBLANK('Midterm OVPAA-F-INS-055A RAW SC'!G62)),'Midterm OVPAA-F-INS-055A RAW SC'!G62,"")</f>
        <v/>
      </c>
      <c r="H62" s="126" t="str">
        <f>IF('Finalterm OVPAA-F-INS-055A RAW '!H62="","",'Finalterm OVPAA-F-INS-055A RAW '!H62/'Finalterm OVPAA-F-INS-055A RAW '!H$17*100)</f>
        <v/>
      </c>
      <c r="I62" s="126" t="str">
        <f>IF('Finalterm OVPAA-F-INS-055A RAW '!I62="","",'Finalterm OVPAA-F-INS-055A RAW '!I62/'Finalterm OVPAA-F-INS-055A RAW '!I$17*100)</f>
        <v/>
      </c>
      <c r="J62" s="126" t="str">
        <f>IF('Finalterm OVPAA-F-INS-055A RAW '!J62="","",'Finalterm OVPAA-F-INS-055A RAW '!J62/'Finalterm OVPAA-F-INS-055A RAW '!J$17*100)</f>
        <v/>
      </c>
      <c r="K62" s="126" t="str">
        <f>IF('Finalterm OVPAA-F-INS-055A RAW '!K62="","",'Finalterm OVPAA-F-INS-055A RAW '!K62/'Finalterm OVPAA-F-INS-055A RAW '!K$17*100)</f>
        <v/>
      </c>
      <c r="L62" s="126" t="str">
        <f>IF('Finalterm OVPAA-F-INS-055A RAW '!L62="","",'Finalterm OVPAA-F-INS-055A RAW '!L62/'Finalterm OVPAA-F-INS-055A RAW '!L$17*100)</f>
        <v/>
      </c>
      <c r="M62" s="126" t="str">
        <f>IF('Finalterm OVPAA-F-INS-055A RAW '!M62="","",'Finalterm OVPAA-F-INS-055A RAW '!M62/'Finalterm OVPAA-F-INS-055A RAW '!M$17*100)</f>
        <v/>
      </c>
      <c r="N62" s="126" t="str">
        <f>IF('Finalterm OVPAA-F-INS-055A RAW '!N62="","",'Finalterm OVPAA-F-INS-055A RAW '!N62/'Finalterm OVPAA-F-INS-055A RAW '!N$17*100)</f>
        <v/>
      </c>
      <c r="O62" s="126" t="str">
        <f>IF('Finalterm OVPAA-F-INS-055A RAW '!O62="","",'Finalterm OVPAA-F-INS-055A RAW '!O62/'Finalterm OVPAA-F-INS-055A RAW '!O$17*100)</f>
        <v/>
      </c>
      <c r="P62" s="126" t="str">
        <f>IF('Finalterm OVPAA-F-INS-055A RAW '!P62="","",'Finalterm OVPAA-F-INS-055A RAW '!P62/'Finalterm OVPAA-F-INS-055A RAW '!P$17*100)</f>
        <v/>
      </c>
      <c r="Q62" s="126" t="str">
        <f>IF('Finalterm OVPAA-F-INS-055A RAW '!Q62="","",'Finalterm OVPAA-F-INS-055A RAW '!Q62/'Finalterm OVPAA-F-INS-055A RAW '!Q$17*100)</f>
        <v/>
      </c>
      <c r="R62" s="126" t="str">
        <f>IF('Finalterm OVPAA-F-INS-055A RAW '!R62="","",'Finalterm OVPAA-F-INS-055A RAW '!R62/'Finalterm OVPAA-F-INS-055A RAW '!R$17*100)</f>
        <v/>
      </c>
      <c r="S62" s="126" t="str">
        <f>IF('Finalterm OVPAA-F-INS-055A RAW '!S62="","",'Finalterm OVPAA-F-INS-055A RAW '!S62/'Finalterm OVPAA-F-INS-055A RAW '!S$17*100)</f>
        <v/>
      </c>
      <c r="T62" s="126" t="str">
        <f>IF('Finalterm OVPAA-F-INS-055A RAW '!T62="","",'Finalterm OVPAA-F-INS-055A RAW '!T62/'Finalterm OVPAA-F-INS-055A RAW '!T$17*100)</f>
        <v/>
      </c>
      <c r="U62" s="126" t="str">
        <f>IF('Finalterm OVPAA-F-INS-055A RAW '!U62="","",'Finalterm OVPAA-F-INS-055A RAW '!U62/'Finalterm OVPAA-F-INS-055A RAW '!U$17*100)</f>
        <v/>
      </c>
      <c r="V62" s="126" t="str">
        <f>IF('Finalterm OVPAA-F-INS-055A RAW '!V62="","",'Finalterm OVPAA-F-INS-055A RAW '!V62/'Finalterm OVPAA-F-INS-055A RAW '!V$17*100)</f>
        <v/>
      </c>
      <c r="W62" s="126" t="str">
        <f>IF('Finalterm OVPAA-F-INS-055A RAW '!W62="","",'Finalterm OVPAA-F-INS-055A RAW '!W62/'Finalterm OVPAA-F-INS-055A RAW '!W$17*100)</f>
        <v/>
      </c>
      <c r="X62" s="126" t="str">
        <f>IF('Finalterm OVPAA-F-INS-055A RAW '!X62="","",'Finalterm OVPAA-F-INS-055A RAW '!X62/'Finalterm OVPAA-F-INS-055A RAW '!X$17*100)</f>
        <v/>
      </c>
      <c r="Y62" s="126" t="str">
        <f>IF('Finalterm OVPAA-F-INS-055A RAW '!Y62="","",'Finalterm OVPAA-F-INS-055A RAW '!Y62/'Finalterm OVPAA-F-INS-055A RAW '!Y$17*100)</f>
        <v/>
      </c>
      <c r="Z62" s="126" t="str">
        <f>IF('Finalterm OVPAA-F-INS-055A RAW '!Z62="","",'Finalterm OVPAA-F-INS-055A RAW '!Z62/'Finalterm OVPAA-F-INS-055A RAW '!Z$17*100)</f>
        <v/>
      </c>
      <c r="AA62" s="126" t="str">
        <f>IF('Finalterm OVPAA-F-INS-055A RAW '!AA62="","",'Finalterm OVPAA-F-INS-055A RAW '!AA62/'Finalterm OVPAA-F-INS-055A RAW '!AA$17*100)</f>
        <v/>
      </c>
      <c r="AB62" s="126" t="str">
        <f>IF('Finalterm OVPAA-F-INS-055A RAW '!AB62="","",'Finalterm OVPAA-F-INS-055A RAW '!AB62/'Finalterm OVPAA-F-INS-055A RAW '!AB$17*100)</f>
        <v/>
      </c>
      <c r="AC62" s="126" t="str">
        <f>IF('Finalterm OVPAA-F-INS-055A RAW '!AC62="","",'Finalterm OVPAA-F-INS-055A RAW '!AC62/'Finalterm OVPAA-F-INS-055A RAW '!AC$17*100)</f>
        <v/>
      </c>
      <c r="AD62" s="126" t="str">
        <f>IF('Finalterm OVPAA-F-INS-055A RAW '!AD62="","",'Finalterm OVPAA-F-INS-055A RAW '!AD62/'Finalterm OVPAA-F-INS-055A RAW '!AD$17*100)</f>
        <v/>
      </c>
      <c r="AE62" s="126" t="str">
        <f>IF('Finalterm OVPAA-F-INS-055A RAW '!AE62="","",'Finalterm OVPAA-F-INS-055A RAW '!AE62/'Finalterm OVPAA-F-INS-055A RAW '!AE$17*100)</f>
        <v/>
      </c>
      <c r="AF62" s="126" t="str">
        <f>IF('Finalterm OVPAA-F-INS-055A RAW '!AF62="","",'Finalterm OVPAA-F-INS-055A RAW '!AF62/'Finalterm OVPAA-F-INS-055A RAW '!AF$17*100)</f>
        <v/>
      </c>
      <c r="AG62" s="126" t="str">
        <f>IF('Finalterm OVPAA-F-INS-055A RAW '!AG62="","",'Finalterm OVPAA-F-INS-055A RAW '!AG62/'Finalterm OVPAA-F-INS-055A RAW '!AG$17*100)</f>
        <v/>
      </c>
      <c r="AH62" s="126" t="str">
        <f>IF('Finalterm OVPAA-F-INS-055A RAW '!AH62="","",'Finalterm OVPAA-F-INS-055A RAW '!AH62/'Finalterm OVPAA-F-INS-055A RAW '!AH$17*100)</f>
        <v/>
      </c>
      <c r="AI62" s="126" t="str">
        <f>IF('Finalterm OVPAA-F-INS-055A RAW '!AI62="","",'Finalterm OVPAA-F-INS-055A RAW '!AI62/'Finalterm OVPAA-F-INS-055A RAW '!AI$17*100)</f>
        <v/>
      </c>
      <c r="AJ62" s="126" t="str">
        <f>IF('Finalterm OVPAA-F-INS-055A RAW '!AJ62="","",'Finalterm OVPAA-F-INS-055A RAW '!AJ62/'Finalterm OVPAA-F-INS-055A RAW '!AJ$17*100)</f>
        <v/>
      </c>
      <c r="AK62" s="126" t="str">
        <f>IF('Finalterm OVPAA-F-INS-055A RAW '!AK62="","",'Finalterm OVPAA-F-INS-055A RAW '!AK62/'Finalterm OVPAA-F-INS-055A RAW '!AK$17*100)</f>
        <v/>
      </c>
      <c r="AL62" s="126" t="str">
        <f>IF('Finalterm OVPAA-F-INS-055A RAW '!AL62="","",'Finalterm OVPAA-F-INS-055A RAW '!AL62/'Finalterm OVPAA-F-INS-055A RAW '!AL$17*100)</f>
        <v/>
      </c>
      <c r="AM62" s="126" t="str">
        <f>IF('Finalterm OVPAA-F-INS-055A RAW '!AM62="","",'Finalterm OVPAA-F-INS-055A RAW '!AM62/'Finalterm OVPAA-F-INS-055A RAW '!AM$17*100)</f>
        <v/>
      </c>
      <c r="AN62" s="126" t="str">
        <f>IF('Finalterm OVPAA-F-INS-055A RAW '!AN62="","",'Finalterm OVPAA-F-INS-055A RAW '!AN62/'Finalterm OVPAA-F-INS-055A RAW '!AN$17*100)</f>
        <v/>
      </c>
      <c r="AO62" s="126" t="str">
        <f>IF('Finalterm OVPAA-F-INS-055A RAW '!AO62="","",'Finalterm OVPAA-F-INS-055A RAW '!AO62/'Finalterm OVPAA-F-INS-055A RAW '!AO$17*100)</f>
        <v/>
      </c>
      <c r="AP62" s="126" t="str">
        <f>IF('Finalterm OVPAA-F-INS-055A RAW '!AP62="","",'Finalterm OVPAA-F-INS-055A RAW '!AP62/'Finalterm OVPAA-F-INS-055A RAW '!AP$17*100)</f>
        <v/>
      </c>
      <c r="AQ62" s="126" t="str">
        <f>IF('Finalterm OVPAA-F-INS-055A RAW '!AQ62="","",'Finalterm OVPAA-F-INS-055A RAW '!AQ62/'Finalterm OVPAA-F-INS-055A RAW '!AQ$17*100)</f>
        <v/>
      </c>
      <c r="AR62" s="126" t="str">
        <f>IF('Finalterm OVPAA-F-INS-055A RAW '!AR62="","",'Finalterm OVPAA-F-INS-055A RAW '!AR62/'Finalterm OVPAA-F-INS-055A RAW '!AR$17*100)</f>
        <v/>
      </c>
      <c r="AS62" s="126" t="str">
        <f>IF('Finalterm OVPAA-F-INS-055A RAW '!AS62="","",'Finalterm OVPAA-F-INS-055A RAW '!AS62/'Finalterm OVPAA-F-INS-055A RAW '!AS$17*100)</f>
        <v/>
      </c>
      <c r="AT62" s="126" t="str">
        <f>IF('Finalterm OVPAA-F-INS-055A RAW '!AT62="","",'Finalterm OVPAA-F-INS-055A RAW '!AT62/'Finalterm OVPAA-F-INS-055A RAW '!AT$17*100)</f>
        <v/>
      </c>
      <c r="AU62" s="126" t="str">
        <f>IF('Finalterm OVPAA-F-INS-055A RAW '!AU62="","",'Finalterm OVPAA-F-INS-055A RAW '!AU62/'Finalterm OVPAA-F-INS-055A RAW '!AU$17*100)</f>
        <v/>
      </c>
      <c r="AV62" s="126" t="str">
        <f>IF('Finalterm OVPAA-F-INS-055A RAW '!AV62="","",'Finalterm OVPAA-F-INS-055A RAW '!AV62/'Finalterm OVPAA-F-INS-055A RAW '!AV$17*100)</f>
        <v/>
      </c>
      <c r="AW62" s="126" t="str">
        <f>IF('Finalterm OVPAA-F-INS-055A RAW '!AW62="","",'Finalterm OVPAA-F-INS-055A RAW '!AW62/'Finalterm OVPAA-F-INS-055A RAW '!AW$17*100)</f>
        <v/>
      </c>
      <c r="AX62" s="126" t="str">
        <f>IF('Finalterm OVPAA-F-INS-055A RAW '!AX62="","",'Finalterm OVPAA-F-INS-055A RAW '!AX62/'Finalterm OVPAA-F-INS-055A RAW '!AX$17*100)</f>
        <v/>
      </c>
      <c r="AY62" s="126" t="str">
        <f>IF('Finalterm OVPAA-F-INS-055A RAW '!AY62="","",'Finalterm OVPAA-F-INS-055A RAW '!AY62/'Finalterm OVPAA-F-INS-055A RAW '!AY$17*100)</f>
        <v/>
      </c>
      <c r="AZ62" s="126" t="str">
        <f>IF('Finalterm OVPAA-F-INS-055A RAW '!AZ62="","",'Finalterm OVPAA-F-INS-055A RAW '!AZ62/'Finalterm OVPAA-F-INS-055A RAW '!AZ$17*100)</f>
        <v/>
      </c>
      <c r="BA62" s="126" t="str">
        <f>IF('Finalterm OVPAA-F-INS-055A RAW '!BA62="","",'Finalterm OVPAA-F-INS-055A RAW '!BA62/'Finalterm OVPAA-F-INS-055A RAW '!BA$17*100)</f>
        <v/>
      </c>
      <c r="BB62" s="126" t="str">
        <f>IF('Finalterm OVPAA-F-INS-055A RAW '!BB62="","",'Finalterm OVPAA-F-INS-055A RAW '!BB62/'Finalterm OVPAA-F-INS-055A RAW '!BB$17*100)</f>
        <v/>
      </c>
      <c r="BC62" s="126" t="str">
        <f>IF('Finalterm OVPAA-F-INS-055A RAW '!BC62="","",'Finalterm OVPAA-F-INS-055A RAW '!BC62/'Finalterm OVPAA-F-INS-055A RAW '!BC$17*100)</f>
        <v/>
      </c>
      <c r="BD62" s="126" t="str">
        <f>IF('Finalterm OVPAA-F-INS-055A RAW '!BD62="","",'Finalterm OVPAA-F-INS-055A RAW '!BD62/'Finalterm OVPAA-F-INS-055A RAW '!BD$17*100)</f>
        <v/>
      </c>
      <c r="BE62" s="126" t="str">
        <f>IF('Finalterm OVPAA-F-INS-055A RAW '!BE62="","",'Finalterm OVPAA-F-INS-055A RAW '!BE62/'Finalterm OVPAA-F-INS-055A RAW '!BE$17*100)</f>
        <v/>
      </c>
      <c r="BF62" s="126" t="str">
        <f>IF('Finalterm OVPAA-F-INS-055A RAW '!BF62="","",'Finalterm OVPAA-F-INS-055A RAW '!BF62/'Finalterm OVPAA-F-INS-055A RAW '!BF$17*100)</f>
        <v/>
      </c>
      <c r="BG62" s="126" t="str">
        <f>IF('Finalterm OVPAA-F-INS-055A RAW '!BG62="","",'Finalterm OVPAA-F-INS-055A RAW '!BG62/'Finalterm OVPAA-F-INS-055A RAW '!BG$17*100)</f>
        <v/>
      </c>
      <c r="BH62" s="126" t="str">
        <f>IF('Finalterm OVPAA-F-INS-055A RAW '!BH62="","",'Finalterm OVPAA-F-INS-055A RAW '!BH62/'Finalterm OVPAA-F-INS-055A RAW '!BH$17*100)</f>
        <v/>
      </c>
      <c r="BI62" s="126" t="str">
        <f>IF('Finalterm OVPAA-F-INS-055A RAW '!BI62="","",'Finalterm OVPAA-F-INS-055A RAW '!BI62/'Finalterm OVPAA-F-INS-055A RAW '!BI$17*100)</f>
        <v/>
      </c>
      <c r="BJ62" s="126" t="str">
        <f>IF('Finalterm OVPAA-F-INS-055A RAW '!BJ62="","",'Finalterm OVPAA-F-INS-055A RAW '!BJ62/'Finalterm OVPAA-F-INS-055A RAW '!BJ$17*100)</f>
        <v/>
      </c>
      <c r="BK62" s="126" t="str">
        <f>IF('Finalterm OVPAA-F-INS-055A RAW '!BK62="","",'Finalterm OVPAA-F-INS-055A RAW '!BK62/'Finalterm OVPAA-F-INS-055A RAW '!BK$17*100)</f>
        <v/>
      </c>
      <c r="BL62" s="126" t="str">
        <f>IF('Finalterm OVPAA-F-INS-055A RAW '!BL62="","",'Finalterm OVPAA-F-INS-055A RAW '!BL62/'Finalterm OVPAA-F-INS-055A RAW '!BL$17*100)</f>
        <v/>
      </c>
      <c r="BM62" s="126" t="str">
        <f>IF('Finalterm OVPAA-F-INS-055A RAW '!BM62="","",'Finalterm OVPAA-F-INS-055A RAW '!BM62/'Finalterm OVPAA-F-INS-055A RAW '!BM$17*100)</f>
        <v/>
      </c>
      <c r="BN62" s="126" t="str">
        <f>IF('Finalterm OVPAA-F-INS-055A RAW '!BN62="","",'Finalterm OVPAA-F-INS-055A RAW '!BN62/'Finalterm OVPAA-F-INS-055A RAW '!BN$17*100)</f>
        <v/>
      </c>
      <c r="BO62" s="126" t="str">
        <f>IF('Finalterm OVPAA-F-INS-055A RAW '!BO62="","",'Finalterm OVPAA-F-INS-055A RAW '!BO62/'Finalterm OVPAA-F-INS-055A RAW '!BO$17*100)</f>
        <v/>
      </c>
      <c r="BP62" s="126" t="str">
        <f>IF('Finalterm OVPAA-F-INS-055A RAW '!BP62="","",'Finalterm OVPAA-F-INS-055A RAW '!BP62/'Finalterm OVPAA-F-INS-055A RAW '!BP$17*100)</f>
        <v/>
      </c>
      <c r="BQ62" s="126" t="str">
        <f>IF('Finalterm OVPAA-F-INS-055A RAW '!BQ62="","",'Finalterm OVPAA-F-INS-055A RAW '!BQ62/'Finalterm OVPAA-F-INS-055A RAW '!BQ$17*100)</f>
        <v/>
      </c>
      <c r="BR62" s="126" t="str">
        <f>IF('Finalterm OVPAA-F-INS-055A RAW '!BR62="","",'Finalterm OVPAA-F-INS-055A RAW '!BR62/'Finalterm OVPAA-F-INS-055A RAW '!BR$17*100)</f>
        <v/>
      </c>
      <c r="BS62" s="126" t="str">
        <f>IF('Finalterm OVPAA-F-INS-055A RAW '!BS62="","",'Finalterm OVPAA-F-INS-055A RAW '!BS62/'Finalterm OVPAA-F-INS-055A RAW '!BS$17*100)</f>
        <v/>
      </c>
      <c r="BT62" s="126" t="str">
        <f>IF('Finalterm OVPAA-F-INS-055A RAW '!BT62="","",'Finalterm OVPAA-F-INS-055A RAW '!BT62/'Finalterm OVPAA-F-INS-055A RAW '!BT$17*100)</f>
        <v/>
      </c>
      <c r="BU62" s="127" t="str">
        <f t="array" ref="BU62">IF('Finalterm OVPAA-F-INS-055A RAW '!$G62="","",IF((SUMPRODUCT(--ISBLANK('Finalterm OVPAA-F-INS-055A RAW '!H62:BT62))=COLUMNS('Finalterm OVPAA-F-INS-055A RAW '!H62:BT62))=TRUE,"",(((COUNTA('Finalterm OVPAA-F-INS-055A RAW '!$H$17:$BT$17)+COUNTBLANK('Finalterm OVPAA-F-INS-055A RAW '!H62:BT62))-COLUMNS('Finalterm OVPAA-F-INS-055A RAW '!H62:BT62))*5+SUM(H62:BT62))/COUNTA('Finalterm OVPAA-F-INS-055A RAW '!$H$17:$BT$17)))</f>
        <v/>
      </c>
      <c r="BV62" s="165" t="str">
        <f>IF(BU62="","",VLOOKUP(BU62,IF('Midterm OVPAA-F-INS-055A RAW SC'!$V$12=0.5,TRANSMUTATION!$C$4:$D$17,TRANSMUTATION!$G$4:$H$17),2,TRUE))</f>
        <v/>
      </c>
      <c r="BW62" s="129" t="str">
        <f>IF('Finalterm OVPAA-F-INS-055A RAW '!BU62="","",'Finalterm OVPAA-F-INS-055A RAW '!BU62/'Finalterm OVPAA-F-INS-055A RAW '!BU$17*100)</f>
        <v/>
      </c>
      <c r="BX62" s="130" t="str">
        <f>IF('Finalterm OVPAA-F-INS-055A RAW '!BV62="","",'Finalterm OVPAA-F-INS-055A RAW '!BV62/'Finalterm OVPAA-F-INS-055A RAW '!BV$17*100)</f>
        <v/>
      </c>
      <c r="BY62" s="130" t="str">
        <f>IF('Finalterm OVPAA-F-INS-055A RAW '!BW62="","",'Finalterm OVPAA-F-INS-055A RAW '!BW62/'Finalterm OVPAA-F-INS-055A RAW '!BW$17*100)</f>
        <v/>
      </c>
      <c r="BZ62" s="130" t="str">
        <f>IF('Finalterm OVPAA-F-INS-055A RAW '!BX62="","",'Finalterm OVPAA-F-INS-055A RAW '!BX62/'Finalterm OVPAA-F-INS-055A RAW '!BX$17*100)</f>
        <v/>
      </c>
      <c r="CA62" s="130" t="str">
        <f>IF('Finalterm OVPAA-F-INS-055A RAW '!BY62="","",'Finalterm OVPAA-F-INS-055A RAW '!BY62/'Finalterm OVPAA-F-INS-055A RAW '!BY$17*100)</f>
        <v/>
      </c>
      <c r="CB62" s="130" t="str">
        <f>IF('Finalterm OVPAA-F-INS-055A RAW '!BZ62="","",'Finalterm OVPAA-F-INS-055A RAW '!BZ62/'Finalterm OVPAA-F-INS-055A RAW '!BZ$17*100)</f>
        <v/>
      </c>
      <c r="CC62" s="130" t="str">
        <f>IF('Finalterm OVPAA-F-INS-055A RAW '!CA62="","",'Finalterm OVPAA-F-INS-055A RAW '!CA62/'Finalterm OVPAA-F-INS-055A RAW '!CA$17*100)</f>
        <v/>
      </c>
      <c r="CD62" s="130" t="str">
        <f>IF('Finalterm OVPAA-F-INS-055A RAW '!CB62="","",'Finalterm OVPAA-F-INS-055A RAW '!CB62/'Finalterm OVPAA-F-INS-055A RAW '!CB$17*100)</f>
        <v/>
      </c>
      <c r="CE62" s="130" t="str">
        <f>IF('Finalterm OVPAA-F-INS-055A RAW '!CC62="","",'Finalterm OVPAA-F-INS-055A RAW '!CC62/'Finalterm OVPAA-F-INS-055A RAW '!CC$17*100)</f>
        <v/>
      </c>
      <c r="CF62" s="130" t="str">
        <f>IF('Finalterm OVPAA-F-INS-055A RAW '!CD62="","",'Finalterm OVPAA-F-INS-055A RAW '!CD62/'Finalterm OVPAA-F-INS-055A RAW '!CD$17*100)</f>
        <v/>
      </c>
      <c r="CG62" s="130" t="str">
        <f>IF('Finalterm OVPAA-F-INS-055A RAW '!CE62="","",'Finalterm OVPAA-F-INS-055A RAW '!CE62/'Finalterm OVPAA-F-INS-055A RAW '!CE$17*100)</f>
        <v/>
      </c>
      <c r="CH62" s="130" t="str">
        <f>IF('Finalterm OVPAA-F-INS-055A RAW '!CF62="","",'Finalterm OVPAA-F-INS-055A RAW '!CF62/'Finalterm OVPAA-F-INS-055A RAW '!CF$17*100)</f>
        <v/>
      </c>
      <c r="CI62" s="130" t="str">
        <f>IF('Finalterm OVPAA-F-INS-055A RAW '!CG62="","",'Finalterm OVPAA-F-INS-055A RAW '!CG62/'Finalterm OVPAA-F-INS-055A RAW '!CG$17*100)</f>
        <v/>
      </c>
      <c r="CJ62" s="130" t="str">
        <f>IF('Finalterm OVPAA-F-INS-055A RAW '!CH62="","",'Finalterm OVPAA-F-INS-055A RAW '!CH62/'Finalterm OVPAA-F-INS-055A RAW '!CH$17*100)</f>
        <v/>
      </c>
      <c r="CK62" s="130" t="str">
        <f>IF('Finalterm OVPAA-F-INS-055A RAW '!CI62="","",'Finalterm OVPAA-F-INS-055A RAW '!CI62/'Finalterm OVPAA-F-INS-055A RAW '!CI$17*100)</f>
        <v/>
      </c>
      <c r="CL62" s="130" t="str">
        <f>IF('Finalterm OVPAA-F-INS-055A RAW '!CJ62="","",'Finalterm OVPAA-F-INS-055A RAW '!CJ62/'Finalterm OVPAA-F-INS-055A RAW '!CJ$17*100)</f>
        <v/>
      </c>
      <c r="CM62" s="130" t="str">
        <f>IF('Finalterm OVPAA-F-INS-055A RAW '!CK62="","",'Finalterm OVPAA-F-INS-055A RAW '!CK62/'Finalterm OVPAA-F-INS-055A RAW '!CK$17*100)</f>
        <v/>
      </c>
      <c r="CN62" s="130" t="str">
        <f>IF('Finalterm OVPAA-F-INS-055A RAW '!CL62="","",'Finalterm OVPAA-F-INS-055A RAW '!CL62/'Finalterm OVPAA-F-INS-055A RAW '!CL$17*100)</f>
        <v/>
      </c>
      <c r="CO62" s="130" t="str">
        <f>IF('Finalterm OVPAA-F-INS-055A RAW '!CM62="","",'Finalterm OVPAA-F-INS-055A RAW '!CM62/'Finalterm OVPAA-F-INS-055A RAW '!CM$17*100)</f>
        <v/>
      </c>
      <c r="CP62" s="130" t="str">
        <f>IF('Finalterm OVPAA-F-INS-055A RAW '!CN62="","",'Finalterm OVPAA-F-INS-055A RAW '!CN62/'Finalterm OVPAA-F-INS-055A RAW '!CN$17*100)</f>
        <v/>
      </c>
      <c r="CQ62" s="131" t="str">
        <f t="array" ref="CQ62">IF('Midterm OVPAA-F-INS-055A RAW SC'!G62="","",IF((SUMPRODUCT(--ISBLANK('Finalterm OVPAA-F-INS-055A RAW '!BU62:CN62))=COLUMNS('Finalterm OVPAA-F-INS-055A RAW '!BU62:CN62))=TRUE,"",(((COUNTA('Finalterm OVPAA-F-INS-055A RAW '!$BU$17:$CN$17)+COUNTBLANK('Finalterm OVPAA-F-INS-055A RAW '!BU62:CN62))-COLUMNS('Finalterm OVPAA-F-INS-055A RAW '!BU62:CN62))*5+SUM(BW62:CP62))/COUNTA('Finalterm OVPAA-F-INS-055A RAW '!$BU$17:$CN$17)))</f>
        <v/>
      </c>
      <c r="CR62" s="132" t="str">
        <f>IF(CQ62="","",VLOOKUP(CQ62,IF('Midterm OVPAA-F-INS-055A RAW SC'!$V$12=0.5,TRANSMUTATION!$C$4:$D$17,TRANSMUTATION!$G$4:$H$17),2,TRUE))</f>
        <v/>
      </c>
      <c r="CS62" s="133" t="str">
        <f>IF('Finalterm OVPAA-F-INS-055A RAW '!CO62="","",'Finalterm OVPAA-F-INS-055A RAW '!CO62/'Finalterm OVPAA-F-INS-055A RAW '!CO$17*100)</f>
        <v/>
      </c>
      <c r="CT62" s="133" t="str">
        <f>IF('Finalterm OVPAA-F-INS-055A RAW '!CP62="","",'Finalterm OVPAA-F-INS-055A RAW '!CP62/'Finalterm OVPAA-F-INS-055A RAW '!CP$17*100)</f>
        <v/>
      </c>
      <c r="CU62" s="133" t="str">
        <f>IF('Finalterm OVPAA-F-INS-055A RAW '!CQ62="","",'Finalterm OVPAA-F-INS-055A RAW '!CQ62/'Finalterm OVPAA-F-INS-055A RAW '!CQ$17*100)</f>
        <v/>
      </c>
      <c r="CV62" s="133" t="str">
        <f>IF('Finalterm OVPAA-F-INS-055A RAW '!CR62="","",'Finalterm OVPAA-F-INS-055A RAW '!CR62/'Finalterm OVPAA-F-INS-055A RAW '!CR$17*100)</f>
        <v/>
      </c>
      <c r="CW62" s="133" t="str">
        <f>IF('Finalterm OVPAA-F-INS-055A RAW '!CS62="","",'Finalterm OVPAA-F-INS-055A RAW '!CS62/'Finalterm OVPAA-F-INS-055A RAW '!CS$17*100)</f>
        <v/>
      </c>
      <c r="CX62" s="133" t="str">
        <f>IF('Finalterm OVPAA-F-INS-055A RAW '!CT62="","",'Finalterm OVPAA-F-INS-055A RAW '!CT62/'Finalterm OVPAA-F-INS-055A RAW '!CT$17*100)</f>
        <v/>
      </c>
      <c r="CY62" s="133" t="str">
        <f>IF('Finalterm OVPAA-F-INS-055A RAW '!CU62="","",'Finalterm OVPAA-F-INS-055A RAW '!CU62/'Finalterm OVPAA-F-INS-055A RAW '!CU$17*100)</f>
        <v/>
      </c>
      <c r="CZ62" s="133" t="str">
        <f>IF('Finalterm OVPAA-F-INS-055A RAW '!CV62="","",'Finalterm OVPAA-F-INS-055A RAW '!CV62/'Finalterm OVPAA-F-INS-055A RAW '!CV$17*100)</f>
        <v/>
      </c>
      <c r="DA62" s="133" t="str">
        <f>IF('Finalterm OVPAA-F-INS-055A RAW '!CW62="","",'Finalterm OVPAA-F-INS-055A RAW '!CW62/'Finalterm OVPAA-F-INS-055A RAW '!CW$17*100)</f>
        <v/>
      </c>
      <c r="DB62" s="133" t="str">
        <f>IF('Finalterm OVPAA-F-INS-055A RAW '!CX62="","",'Finalterm OVPAA-F-INS-055A RAW '!CX62/'Finalterm OVPAA-F-INS-055A RAW '!CX$17*100)</f>
        <v/>
      </c>
      <c r="DC62" s="134" t="str">
        <f t="array" ref="DC62">IF('Midterm OVPAA-F-INS-055A RAW SC'!$G62="","",IF((SUMPRODUCT(--ISBLANK('Finalterm OVPAA-F-INS-055A RAW '!CO62:CX62))=COLUMNS('Finalterm OVPAA-F-INS-055A RAW '!CO62:CX62))=TRUE,"",(((COUNTA('Finalterm OVPAA-F-INS-055A RAW '!$CO$17:$CX$17)+COUNTBLANK('Finalterm OVPAA-F-INS-055A RAW '!CO62:CX62))-COLUMNS('Finalterm OVPAA-F-INS-055A RAW '!CO62:CX62))*5+SUM(CS62:DB62))/COUNTA('Finalterm OVPAA-F-INS-055A RAW '!$CO$17:$CX$17)))</f>
        <v/>
      </c>
      <c r="DD62" s="135" t="str">
        <f>IF(DC62="","",VLOOKUP(DC62,IF('Midterm OVPAA-F-INS-055A RAW SC'!$V$12=0.5,TRANSMUTATION!$C$4:$D$17,TRANSMUTATION!$G$4:$H$17),2,TRUE))</f>
        <v/>
      </c>
      <c r="DE62" s="136" t="str">
        <f t="shared" si="1"/>
        <v/>
      </c>
      <c r="DF62" s="166" t="str">
        <f t="shared" si="2"/>
        <v/>
      </c>
      <c r="DG62" s="167" t="str">
        <f t="shared" si="3"/>
        <v/>
      </c>
      <c r="DH62" s="168" t="str">
        <f t="shared" si="4"/>
        <v/>
      </c>
      <c r="DI62" s="169" t="str">
        <f t="shared" si="5"/>
        <v/>
      </c>
    </row>
    <row r="63" spans="5:113" ht="15.75" hidden="1" customHeight="1">
      <c r="E63" s="59">
        <v>46</v>
      </c>
      <c r="F63" s="124" t="str">
        <f>IF(NOT(ISBLANK('Midterm OVPAA-F-INS-055A RAW SC'!F63)),'Midterm OVPAA-F-INS-055A RAW SC'!F63,"")</f>
        <v/>
      </c>
      <c r="G63" s="125" t="str">
        <f>IF(NOT(ISBLANK('Midterm OVPAA-F-INS-055A RAW SC'!G63)),'Midterm OVPAA-F-INS-055A RAW SC'!G63,"")</f>
        <v/>
      </c>
      <c r="H63" s="126" t="str">
        <f>IF('Finalterm OVPAA-F-INS-055A RAW '!H63="","",'Finalterm OVPAA-F-INS-055A RAW '!H63/'Finalterm OVPAA-F-INS-055A RAW '!H$17*100)</f>
        <v/>
      </c>
      <c r="I63" s="126" t="str">
        <f>IF('Finalterm OVPAA-F-INS-055A RAW '!I63="","",'Finalterm OVPAA-F-INS-055A RAW '!I63/'Finalterm OVPAA-F-INS-055A RAW '!I$17*100)</f>
        <v/>
      </c>
      <c r="J63" s="126" t="str">
        <f>IF('Finalterm OVPAA-F-INS-055A RAW '!J63="","",'Finalterm OVPAA-F-INS-055A RAW '!J63/'Finalterm OVPAA-F-INS-055A RAW '!J$17*100)</f>
        <v/>
      </c>
      <c r="K63" s="126" t="str">
        <f>IF('Finalterm OVPAA-F-INS-055A RAW '!K63="","",'Finalterm OVPAA-F-INS-055A RAW '!K63/'Finalterm OVPAA-F-INS-055A RAW '!K$17*100)</f>
        <v/>
      </c>
      <c r="L63" s="126" t="str">
        <f>IF('Finalterm OVPAA-F-INS-055A RAW '!L63="","",'Finalterm OVPAA-F-INS-055A RAW '!L63/'Finalterm OVPAA-F-INS-055A RAW '!L$17*100)</f>
        <v/>
      </c>
      <c r="M63" s="126" t="str">
        <f>IF('Finalterm OVPAA-F-INS-055A RAW '!M63="","",'Finalterm OVPAA-F-INS-055A RAW '!M63/'Finalterm OVPAA-F-INS-055A RAW '!M$17*100)</f>
        <v/>
      </c>
      <c r="N63" s="126" t="str">
        <f>IF('Finalterm OVPAA-F-INS-055A RAW '!N63="","",'Finalterm OVPAA-F-INS-055A RAW '!N63/'Finalterm OVPAA-F-INS-055A RAW '!N$17*100)</f>
        <v/>
      </c>
      <c r="O63" s="126" t="str">
        <f>IF('Finalterm OVPAA-F-INS-055A RAW '!O63="","",'Finalterm OVPAA-F-INS-055A RAW '!O63/'Finalterm OVPAA-F-INS-055A RAW '!O$17*100)</f>
        <v/>
      </c>
      <c r="P63" s="126" t="str">
        <f>IF('Finalterm OVPAA-F-INS-055A RAW '!P63="","",'Finalterm OVPAA-F-INS-055A RAW '!P63/'Finalterm OVPAA-F-INS-055A RAW '!P$17*100)</f>
        <v/>
      </c>
      <c r="Q63" s="126" t="str">
        <f>IF('Finalterm OVPAA-F-INS-055A RAW '!Q63="","",'Finalterm OVPAA-F-INS-055A RAW '!Q63/'Finalterm OVPAA-F-INS-055A RAW '!Q$17*100)</f>
        <v/>
      </c>
      <c r="R63" s="126" t="str">
        <f>IF('Finalterm OVPAA-F-INS-055A RAW '!R63="","",'Finalterm OVPAA-F-INS-055A RAW '!R63/'Finalterm OVPAA-F-INS-055A RAW '!R$17*100)</f>
        <v/>
      </c>
      <c r="S63" s="126" t="str">
        <f>IF('Finalterm OVPAA-F-INS-055A RAW '!S63="","",'Finalterm OVPAA-F-INS-055A RAW '!S63/'Finalterm OVPAA-F-INS-055A RAW '!S$17*100)</f>
        <v/>
      </c>
      <c r="T63" s="126" t="str">
        <f>IF('Finalterm OVPAA-F-INS-055A RAW '!T63="","",'Finalterm OVPAA-F-INS-055A RAW '!T63/'Finalterm OVPAA-F-INS-055A RAW '!T$17*100)</f>
        <v/>
      </c>
      <c r="U63" s="126" t="str">
        <f>IF('Finalterm OVPAA-F-INS-055A RAW '!U63="","",'Finalterm OVPAA-F-INS-055A RAW '!U63/'Finalterm OVPAA-F-INS-055A RAW '!U$17*100)</f>
        <v/>
      </c>
      <c r="V63" s="126" t="str">
        <f>IF('Finalterm OVPAA-F-INS-055A RAW '!V63="","",'Finalterm OVPAA-F-INS-055A RAW '!V63/'Finalterm OVPAA-F-INS-055A RAW '!V$17*100)</f>
        <v/>
      </c>
      <c r="W63" s="126" t="str">
        <f>IF('Finalterm OVPAA-F-INS-055A RAW '!W63="","",'Finalterm OVPAA-F-INS-055A RAW '!W63/'Finalterm OVPAA-F-INS-055A RAW '!W$17*100)</f>
        <v/>
      </c>
      <c r="X63" s="126" t="str">
        <f>IF('Finalterm OVPAA-F-INS-055A RAW '!X63="","",'Finalterm OVPAA-F-INS-055A RAW '!X63/'Finalterm OVPAA-F-INS-055A RAW '!X$17*100)</f>
        <v/>
      </c>
      <c r="Y63" s="126" t="str">
        <f>IF('Finalterm OVPAA-F-INS-055A RAW '!Y63="","",'Finalterm OVPAA-F-INS-055A RAW '!Y63/'Finalterm OVPAA-F-INS-055A RAW '!Y$17*100)</f>
        <v/>
      </c>
      <c r="Z63" s="126" t="str">
        <f>IF('Finalterm OVPAA-F-INS-055A RAW '!Z63="","",'Finalterm OVPAA-F-INS-055A RAW '!Z63/'Finalterm OVPAA-F-INS-055A RAW '!Z$17*100)</f>
        <v/>
      </c>
      <c r="AA63" s="126" t="str">
        <f>IF('Finalterm OVPAA-F-INS-055A RAW '!AA63="","",'Finalterm OVPAA-F-INS-055A RAW '!AA63/'Finalterm OVPAA-F-INS-055A RAW '!AA$17*100)</f>
        <v/>
      </c>
      <c r="AB63" s="126" t="str">
        <f>IF('Finalterm OVPAA-F-INS-055A RAW '!AB63="","",'Finalterm OVPAA-F-INS-055A RAW '!AB63/'Finalterm OVPAA-F-INS-055A RAW '!AB$17*100)</f>
        <v/>
      </c>
      <c r="AC63" s="126" t="str">
        <f>IF('Finalterm OVPAA-F-INS-055A RAW '!AC63="","",'Finalterm OVPAA-F-INS-055A RAW '!AC63/'Finalterm OVPAA-F-INS-055A RAW '!AC$17*100)</f>
        <v/>
      </c>
      <c r="AD63" s="126" t="str">
        <f>IF('Finalterm OVPAA-F-INS-055A RAW '!AD63="","",'Finalterm OVPAA-F-INS-055A RAW '!AD63/'Finalterm OVPAA-F-INS-055A RAW '!AD$17*100)</f>
        <v/>
      </c>
      <c r="AE63" s="126" t="str">
        <f>IF('Finalterm OVPAA-F-INS-055A RAW '!AE63="","",'Finalterm OVPAA-F-INS-055A RAW '!AE63/'Finalterm OVPAA-F-INS-055A RAW '!AE$17*100)</f>
        <v/>
      </c>
      <c r="AF63" s="126" t="str">
        <f>IF('Finalterm OVPAA-F-INS-055A RAW '!AF63="","",'Finalterm OVPAA-F-INS-055A RAW '!AF63/'Finalterm OVPAA-F-INS-055A RAW '!AF$17*100)</f>
        <v/>
      </c>
      <c r="AG63" s="126" t="str">
        <f>IF('Finalterm OVPAA-F-INS-055A RAW '!AG63="","",'Finalterm OVPAA-F-INS-055A RAW '!AG63/'Finalterm OVPAA-F-INS-055A RAW '!AG$17*100)</f>
        <v/>
      </c>
      <c r="AH63" s="126" t="str">
        <f>IF('Finalterm OVPAA-F-INS-055A RAW '!AH63="","",'Finalterm OVPAA-F-INS-055A RAW '!AH63/'Finalterm OVPAA-F-INS-055A RAW '!AH$17*100)</f>
        <v/>
      </c>
      <c r="AI63" s="126" t="str">
        <f>IF('Finalterm OVPAA-F-INS-055A RAW '!AI63="","",'Finalterm OVPAA-F-INS-055A RAW '!AI63/'Finalterm OVPAA-F-INS-055A RAW '!AI$17*100)</f>
        <v/>
      </c>
      <c r="AJ63" s="126" t="str">
        <f>IF('Finalterm OVPAA-F-INS-055A RAW '!AJ63="","",'Finalterm OVPAA-F-INS-055A RAW '!AJ63/'Finalterm OVPAA-F-INS-055A RAW '!AJ$17*100)</f>
        <v/>
      </c>
      <c r="AK63" s="126" t="str">
        <f>IF('Finalterm OVPAA-F-INS-055A RAW '!AK63="","",'Finalterm OVPAA-F-INS-055A RAW '!AK63/'Finalterm OVPAA-F-INS-055A RAW '!AK$17*100)</f>
        <v/>
      </c>
      <c r="AL63" s="126" t="str">
        <f>IF('Finalterm OVPAA-F-INS-055A RAW '!AL63="","",'Finalterm OVPAA-F-INS-055A RAW '!AL63/'Finalterm OVPAA-F-INS-055A RAW '!AL$17*100)</f>
        <v/>
      </c>
      <c r="AM63" s="126" t="str">
        <f>IF('Finalterm OVPAA-F-INS-055A RAW '!AM63="","",'Finalterm OVPAA-F-INS-055A RAW '!AM63/'Finalterm OVPAA-F-INS-055A RAW '!AM$17*100)</f>
        <v/>
      </c>
      <c r="AN63" s="126" t="str">
        <f>IF('Finalterm OVPAA-F-INS-055A RAW '!AN63="","",'Finalterm OVPAA-F-INS-055A RAW '!AN63/'Finalterm OVPAA-F-INS-055A RAW '!AN$17*100)</f>
        <v/>
      </c>
      <c r="AO63" s="126" t="str">
        <f>IF('Finalterm OVPAA-F-INS-055A RAW '!AO63="","",'Finalterm OVPAA-F-INS-055A RAW '!AO63/'Finalterm OVPAA-F-INS-055A RAW '!AO$17*100)</f>
        <v/>
      </c>
      <c r="AP63" s="126" t="str">
        <f>IF('Finalterm OVPAA-F-INS-055A RAW '!AP63="","",'Finalterm OVPAA-F-INS-055A RAW '!AP63/'Finalterm OVPAA-F-INS-055A RAW '!AP$17*100)</f>
        <v/>
      </c>
      <c r="AQ63" s="126" t="str">
        <f>IF('Finalterm OVPAA-F-INS-055A RAW '!AQ63="","",'Finalterm OVPAA-F-INS-055A RAW '!AQ63/'Finalterm OVPAA-F-INS-055A RAW '!AQ$17*100)</f>
        <v/>
      </c>
      <c r="AR63" s="126" t="str">
        <f>IF('Finalterm OVPAA-F-INS-055A RAW '!AR63="","",'Finalterm OVPAA-F-INS-055A RAW '!AR63/'Finalterm OVPAA-F-INS-055A RAW '!AR$17*100)</f>
        <v/>
      </c>
      <c r="AS63" s="126" t="str">
        <f>IF('Finalterm OVPAA-F-INS-055A RAW '!AS63="","",'Finalterm OVPAA-F-INS-055A RAW '!AS63/'Finalterm OVPAA-F-INS-055A RAW '!AS$17*100)</f>
        <v/>
      </c>
      <c r="AT63" s="126" t="str">
        <f>IF('Finalterm OVPAA-F-INS-055A RAW '!AT63="","",'Finalterm OVPAA-F-INS-055A RAW '!AT63/'Finalterm OVPAA-F-INS-055A RAW '!AT$17*100)</f>
        <v/>
      </c>
      <c r="AU63" s="126" t="str">
        <f>IF('Finalterm OVPAA-F-INS-055A RAW '!AU63="","",'Finalterm OVPAA-F-INS-055A RAW '!AU63/'Finalterm OVPAA-F-INS-055A RAW '!AU$17*100)</f>
        <v/>
      </c>
      <c r="AV63" s="126" t="str">
        <f>IF('Finalterm OVPAA-F-INS-055A RAW '!AV63="","",'Finalterm OVPAA-F-INS-055A RAW '!AV63/'Finalterm OVPAA-F-INS-055A RAW '!AV$17*100)</f>
        <v/>
      </c>
      <c r="AW63" s="126" t="str">
        <f>IF('Finalterm OVPAA-F-INS-055A RAW '!AW63="","",'Finalterm OVPAA-F-INS-055A RAW '!AW63/'Finalterm OVPAA-F-INS-055A RAW '!AW$17*100)</f>
        <v/>
      </c>
      <c r="AX63" s="126" t="str">
        <f>IF('Finalterm OVPAA-F-INS-055A RAW '!AX63="","",'Finalterm OVPAA-F-INS-055A RAW '!AX63/'Finalterm OVPAA-F-INS-055A RAW '!AX$17*100)</f>
        <v/>
      </c>
      <c r="AY63" s="126" t="str">
        <f>IF('Finalterm OVPAA-F-INS-055A RAW '!AY63="","",'Finalterm OVPAA-F-INS-055A RAW '!AY63/'Finalterm OVPAA-F-INS-055A RAW '!AY$17*100)</f>
        <v/>
      </c>
      <c r="AZ63" s="126" t="str">
        <f>IF('Finalterm OVPAA-F-INS-055A RAW '!AZ63="","",'Finalterm OVPAA-F-INS-055A RAW '!AZ63/'Finalterm OVPAA-F-INS-055A RAW '!AZ$17*100)</f>
        <v/>
      </c>
      <c r="BA63" s="126" t="str">
        <f>IF('Finalterm OVPAA-F-INS-055A RAW '!BA63="","",'Finalterm OVPAA-F-INS-055A RAW '!BA63/'Finalterm OVPAA-F-INS-055A RAW '!BA$17*100)</f>
        <v/>
      </c>
      <c r="BB63" s="126" t="str">
        <f>IF('Finalterm OVPAA-F-INS-055A RAW '!BB63="","",'Finalterm OVPAA-F-INS-055A RAW '!BB63/'Finalterm OVPAA-F-INS-055A RAW '!BB$17*100)</f>
        <v/>
      </c>
      <c r="BC63" s="126" t="str">
        <f>IF('Finalterm OVPAA-F-INS-055A RAW '!BC63="","",'Finalterm OVPAA-F-INS-055A RAW '!BC63/'Finalterm OVPAA-F-INS-055A RAW '!BC$17*100)</f>
        <v/>
      </c>
      <c r="BD63" s="126" t="str">
        <f>IF('Finalterm OVPAA-F-INS-055A RAW '!BD63="","",'Finalterm OVPAA-F-INS-055A RAW '!BD63/'Finalterm OVPAA-F-INS-055A RAW '!BD$17*100)</f>
        <v/>
      </c>
      <c r="BE63" s="126" t="str">
        <f>IF('Finalterm OVPAA-F-INS-055A RAW '!BE63="","",'Finalterm OVPAA-F-INS-055A RAW '!BE63/'Finalterm OVPAA-F-INS-055A RAW '!BE$17*100)</f>
        <v/>
      </c>
      <c r="BF63" s="126" t="str">
        <f>IF('Finalterm OVPAA-F-INS-055A RAW '!BF63="","",'Finalterm OVPAA-F-INS-055A RAW '!BF63/'Finalterm OVPAA-F-INS-055A RAW '!BF$17*100)</f>
        <v/>
      </c>
      <c r="BG63" s="126" t="str">
        <f>IF('Finalterm OVPAA-F-INS-055A RAW '!BG63="","",'Finalterm OVPAA-F-INS-055A RAW '!BG63/'Finalterm OVPAA-F-INS-055A RAW '!BG$17*100)</f>
        <v/>
      </c>
      <c r="BH63" s="126" t="str">
        <f>IF('Finalterm OVPAA-F-INS-055A RAW '!BH63="","",'Finalterm OVPAA-F-INS-055A RAW '!BH63/'Finalterm OVPAA-F-INS-055A RAW '!BH$17*100)</f>
        <v/>
      </c>
      <c r="BI63" s="126" t="str">
        <f>IF('Finalterm OVPAA-F-INS-055A RAW '!BI63="","",'Finalterm OVPAA-F-INS-055A RAW '!BI63/'Finalterm OVPAA-F-INS-055A RAW '!BI$17*100)</f>
        <v/>
      </c>
      <c r="BJ63" s="126" t="str">
        <f>IF('Finalterm OVPAA-F-INS-055A RAW '!BJ63="","",'Finalterm OVPAA-F-INS-055A RAW '!BJ63/'Finalterm OVPAA-F-INS-055A RAW '!BJ$17*100)</f>
        <v/>
      </c>
      <c r="BK63" s="126" t="str">
        <f>IF('Finalterm OVPAA-F-INS-055A RAW '!BK63="","",'Finalterm OVPAA-F-INS-055A RAW '!BK63/'Finalterm OVPAA-F-INS-055A RAW '!BK$17*100)</f>
        <v/>
      </c>
      <c r="BL63" s="126" t="str">
        <f>IF('Finalterm OVPAA-F-INS-055A RAW '!BL63="","",'Finalterm OVPAA-F-INS-055A RAW '!BL63/'Finalterm OVPAA-F-INS-055A RAW '!BL$17*100)</f>
        <v/>
      </c>
      <c r="BM63" s="126" t="str">
        <f>IF('Finalterm OVPAA-F-INS-055A RAW '!BM63="","",'Finalterm OVPAA-F-INS-055A RAW '!BM63/'Finalterm OVPAA-F-INS-055A RAW '!BM$17*100)</f>
        <v/>
      </c>
      <c r="BN63" s="126" t="str">
        <f>IF('Finalterm OVPAA-F-INS-055A RAW '!BN63="","",'Finalterm OVPAA-F-INS-055A RAW '!BN63/'Finalterm OVPAA-F-INS-055A RAW '!BN$17*100)</f>
        <v/>
      </c>
      <c r="BO63" s="126" t="str">
        <f>IF('Finalterm OVPAA-F-INS-055A RAW '!BO63="","",'Finalterm OVPAA-F-INS-055A RAW '!BO63/'Finalterm OVPAA-F-INS-055A RAW '!BO$17*100)</f>
        <v/>
      </c>
      <c r="BP63" s="126" t="str">
        <f>IF('Finalterm OVPAA-F-INS-055A RAW '!BP63="","",'Finalterm OVPAA-F-INS-055A RAW '!BP63/'Finalterm OVPAA-F-INS-055A RAW '!BP$17*100)</f>
        <v/>
      </c>
      <c r="BQ63" s="126" t="str">
        <f>IF('Finalterm OVPAA-F-INS-055A RAW '!BQ63="","",'Finalterm OVPAA-F-INS-055A RAW '!BQ63/'Finalterm OVPAA-F-INS-055A RAW '!BQ$17*100)</f>
        <v/>
      </c>
      <c r="BR63" s="126" t="str">
        <f>IF('Finalterm OVPAA-F-INS-055A RAW '!BR63="","",'Finalterm OVPAA-F-INS-055A RAW '!BR63/'Finalterm OVPAA-F-INS-055A RAW '!BR$17*100)</f>
        <v/>
      </c>
      <c r="BS63" s="126" t="str">
        <f>IF('Finalterm OVPAA-F-INS-055A RAW '!BS63="","",'Finalterm OVPAA-F-INS-055A RAW '!BS63/'Finalterm OVPAA-F-INS-055A RAW '!BS$17*100)</f>
        <v/>
      </c>
      <c r="BT63" s="126" t="str">
        <f>IF('Finalterm OVPAA-F-INS-055A RAW '!BT63="","",'Finalterm OVPAA-F-INS-055A RAW '!BT63/'Finalterm OVPAA-F-INS-055A RAW '!BT$17*100)</f>
        <v/>
      </c>
      <c r="BU63" s="127" t="str">
        <f t="array" ref="BU63">IF('Finalterm OVPAA-F-INS-055A RAW '!$G63="","",IF((SUMPRODUCT(--ISBLANK('Finalterm OVPAA-F-INS-055A RAW '!H63:BT63))=COLUMNS('Finalterm OVPAA-F-INS-055A RAW '!H63:BT63))=TRUE,"",(((COUNTA('Finalterm OVPAA-F-INS-055A RAW '!$H$17:$BT$17)+COUNTBLANK('Finalterm OVPAA-F-INS-055A RAW '!H63:BT63))-COLUMNS('Finalterm OVPAA-F-INS-055A RAW '!H63:BT63))*5+SUM(H63:BT63))/COUNTA('Finalterm OVPAA-F-INS-055A RAW '!$H$17:$BT$17)))</f>
        <v/>
      </c>
      <c r="BV63" s="165" t="str">
        <f>IF(BU63="","",VLOOKUP(BU63,IF('Midterm OVPAA-F-INS-055A RAW SC'!$V$12=0.5,TRANSMUTATION!$C$4:$D$17,TRANSMUTATION!$G$4:$H$17),2,TRUE))</f>
        <v/>
      </c>
      <c r="BW63" s="129" t="str">
        <f>IF('Finalterm OVPAA-F-INS-055A RAW '!BU63="","",'Finalterm OVPAA-F-INS-055A RAW '!BU63/'Finalterm OVPAA-F-INS-055A RAW '!BU$17*100)</f>
        <v/>
      </c>
      <c r="BX63" s="130" t="str">
        <f>IF('Finalterm OVPAA-F-INS-055A RAW '!BV63="","",'Finalterm OVPAA-F-INS-055A RAW '!BV63/'Finalterm OVPAA-F-INS-055A RAW '!BV$17*100)</f>
        <v/>
      </c>
      <c r="BY63" s="130" t="str">
        <f>IF('Finalterm OVPAA-F-INS-055A RAW '!BW63="","",'Finalterm OVPAA-F-INS-055A RAW '!BW63/'Finalterm OVPAA-F-INS-055A RAW '!BW$17*100)</f>
        <v/>
      </c>
      <c r="BZ63" s="130" t="str">
        <f>IF('Finalterm OVPAA-F-INS-055A RAW '!BX63="","",'Finalterm OVPAA-F-INS-055A RAW '!BX63/'Finalterm OVPAA-F-INS-055A RAW '!BX$17*100)</f>
        <v/>
      </c>
      <c r="CA63" s="130" t="str">
        <f>IF('Finalterm OVPAA-F-INS-055A RAW '!BY63="","",'Finalterm OVPAA-F-INS-055A RAW '!BY63/'Finalterm OVPAA-F-INS-055A RAW '!BY$17*100)</f>
        <v/>
      </c>
      <c r="CB63" s="130" t="str">
        <f>IF('Finalterm OVPAA-F-INS-055A RAW '!BZ63="","",'Finalterm OVPAA-F-INS-055A RAW '!BZ63/'Finalterm OVPAA-F-INS-055A RAW '!BZ$17*100)</f>
        <v/>
      </c>
      <c r="CC63" s="130" t="str">
        <f>IF('Finalterm OVPAA-F-INS-055A RAW '!CA63="","",'Finalterm OVPAA-F-INS-055A RAW '!CA63/'Finalterm OVPAA-F-INS-055A RAW '!CA$17*100)</f>
        <v/>
      </c>
      <c r="CD63" s="130" t="str">
        <f>IF('Finalterm OVPAA-F-INS-055A RAW '!CB63="","",'Finalterm OVPAA-F-INS-055A RAW '!CB63/'Finalterm OVPAA-F-INS-055A RAW '!CB$17*100)</f>
        <v/>
      </c>
      <c r="CE63" s="130" t="str">
        <f>IF('Finalterm OVPAA-F-INS-055A RAW '!CC63="","",'Finalterm OVPAA-F-INS-055A RAW '!CC63/'Finalterm OVPAA-F-INS-055A RAW '!CC$17*100)</f>
        <v/>
      </c>
      <c r="CF63" s="130" t="str">
        <f>IF('Finalterm OVPAA-F-INS-055A RAW '!CD63="","",'Finalterm OVPAA-F-INS-055A RAW '!CD63/'Finalterm OVPAA-F-INS-055A RAW '!CD$17*100)</f>
        <v/>
      </c>
      <c r="CG63" s="130" t="str">
        <f>IF('Finalterm OVPAA-F-INS-055A RAW '!CE63="","",'Finalterm OVPAA-F-INS-055A RAW '!CE63/'Finalterm OVPAA-F-INS-055A RAW '!CE$17*100)</f>
        <v/>
      </c>
      <c r="CH63" s="130" t="str">
        <f>IF('Finalterm OVPAA-F-INS-055A RAW '!CF63="","",'Finalterm OVPAA-F-INS-055A RAW '!CF63/'Finalterm OVPAA-F-INS-055A RAW '!CF$17*100)</f>
        <v/>
      </c>
      <c r="CI63" s="130" t="str">
        <f>IF('Finalterm OVPAA-F-INS-055A RAW '!CG63="","",'Finalterm OVPAA-F-INS-055A RAW '!CG63/'Finalterm OVPAA-F-INS-055A RAW '!CG$17*100)</f>
        <v/>
      </c>
      <c r="CJ63" s="130" t="str">
        <f>IF('Finalterm OVPAA-F-INS-055A RAW '!CH63="","",'Finalterm OVPAA-F-INS-055A RAW '!CH63/'Finalterm OVPAA-F-INS-055A RAW '!CH$17*100)</f>
        <v/>
      </c>
      <c r="CK63" s="130" t="str">
        <f>IF('Finalterm OVPAA-F-INS-055A RAW '!CI63="","",'Finalterm OVPAA-F-INS-055A RAW '!CI63/'Finalterm OVPAA-F-INS-055A RAW '!CI$17*100)</f>
        <v/>
      </c>
      <c r="CL63" s="130" t="str">
        <f>IF('Finalterm OVPAA-F-INS-055A RAW '!CJ63="","",'Finalterm OVPAA-F-INS-055A RAW '!CJ63/'Finalterm OVPAA-F-INS-055A RAW '!CJ$17*100)</f>
        <v/>
      </c>
      <c r="CM63" s="130" t="str">
        <f>IF('Finalterm OVPAA-F-INS-055A RAW '!CK63="","",'Finalterm OVPAA-F-INS-055A RAW '!CK63/'Finalterm OVPAA-F-INS-055A RAW '!CK$17*100)</f>
        <v/>
      </c>
      <c r="CN63" s="130" t="str">
        <f>IF('Finalterm OVPAA-F-INS-055A RAW '!CL63="","",'Finalterm OVPAA-F-INS-055A RAW '!CL63/'Finalterm OVPAA-F-INS-055A RAW '!CL$17*100)</f>
        <v/>
      </c>
      <c r="CO63" s="130" t="str">
        <f>IF('Finalterm OVPAA-F-INS-055A RAW '!CM63="","",'Finalterm OVPAA-F-INS-055A RAW '!CM63/'Finalterm OVPAA-F-INS-055A RAW '!CM$17*100)</f>
        <v/>
      </c>
      <c r="CP63" s="130" t="str">
        <f>IF('Finalterm OVPAA-F-INS-055A RAW '!CN63="","",'Finalterm OVPAA-F-INS-055A RAW '!CN63/'Finalterm OVPAA-F-INS-055A RAW '!CN$17*100)</f>
        <v/>
      </c>
      <c r="CQ63" s="131" t="str">
        <f t="array" ref="CQ63">IF('Midterm OVPAA-F-INS-055A RAW SC'!G63="","",IF((SUMPRODUCT(--ISBLANK('Finalterm OVPAA-F-INS-055A RAW '!BU63:CN63))=COLUMNS('Finalterm OVPAA-F-INS-055A RAW '!BU63:CN63))=TRUE,"",(((COUNTA('Finalterm OVPAA-F-INS-055A RAW '!$BU$17:$CN$17)+COUNTBLANK('Finalterm OVPAA-F-INS-055A RAW '!BU63:CN63))-COLUMNS('Finalterm OVPAA-F-INS-055A RAW '!BU63:CN63))*5+SUM(BW63:CP63))/COUNTA('Finalterm OVPAA-F-INS-055A RAW '!$BU$17:$CN$17)))</f>
        <v/>
      </c>
      <c r="CR63" s="132" t="str">
        <f>IF(CQ63="","",VLOOKUP(CQ63,IF('Midterm OVPAA-F-INS-055A RAW SC'!$V$12=0.5,TRANSMUTATION!$C$4:$D$17,TRANSMUTATION!$G$4:$H$17),2,TRUE))</f>
        <v/>
      </c>
      <c r="CS63" s="133" t="str">
        <f>IF('Finalterm OVPAA-F-INS-055A RAW '!CO63="","",'Finalterm OVPAA-F-INS-055A RAW '!CO63/'Finalterm OVPAA-F-INS-055A RAW '!CO$17*100)</f>
        <v/>
      </c>
      <c r="CT63" s="133" t="str">
        <f>IF('Finalterm OVPAA-F-INS-055A RAW '!CP63="","",'Finalterm OVPAA-F-INS-055A RAW '!CP63/'Finalterm OVPAA-F-INS-055A RAW '!CP$17*100)</f>
        <v/>
      </c>
      <c r="CU63" s="133" t="str">
        <f>IF('Finalterm OVPAA-F-INS-055A RAW '!CQ63="","",'Finalterm OVPAA-F-INS-055A RAW '!CQ63/'Finalterm OVPAA-F-INS-055A RAW '!CQ$17*100)</f>
        <v/>
      </c>
      <c r="CV63" s="133" t="str">
        <f>IF('Finalterm OVPAA-F-INS-055A RAW '!CR63="","",'Finalterm OVPAA-F-INS-055A RAW '!CR63/'Finalterm OVPAA-F-INS-055A RAW '!CR$17*100)</f>
        <v/>
      </c>
      <c r="CW63" s="133" t="str">
        <f>IF('Finalterm OVPAA-F-INS-055A RAW '!CS63="","",'Finalterm OVPAA-F-INS-055A RAW '!CS63/'Finalterm OVPAA-F-INS-055A RAW '!CS$17*100)</f>
        <v/>
      </c>
      <c r="CX63" s="133" t="str">
        <f>IF('Finalterm OVPAA-F-INS-055A RAW '!CT63="","",'Finalterm OVPAA-F-INS-055A RAW '!CT63/'Finalterm OVPAA-F-INS-055A RAW '!CT$17*100)</f>
        <v/>
      </c>
      <c r="CY63" s="133" t="str">
        <f>IF('Finalterm OVPAA-F-INS-055A RAW '!CU63="","",'Finalterm OVPAA-F-INS-055A RAW '!CU63/'Finalterm OVPAA-F-INS-055A RAW '!CU$17*100)</f>
        <v/>
      </c>
      <c r="CZ63" s="133" t="str">
        <f>IF('Finalterm OVPAA-F-INS-055A RAW '!CV63="","",'Finalterm OVPAA-F-INS-055A RAW '!CV63/'Finalterm OVPAA-F-INS-055A RAW '!CV$17*100)</f>
        <v/>
      </c>
      <c r="DA63" s="133" t="str">
        <f>IF('Finalterm OVPAA-F-INS-055A RAW '!CW63="","",'Finalterm OVPAA-F-INS-055A RAW '!CW63/'Finalterm OVPAA-F-INS-055A RAW '!CW$17*100)</f>
        <v/>
      </c>
      <c r="DB63" s="133" t="str">
        <f>IF('Finalterm OVPAA-F-INS-055A RAW '!CX63="","",'Finalterm OVPAA-F-INS-055A RAW '!CX63/'Finalterm OVPAA-F-INS-055A RAW '!CX$17*100)</f>
        <v/>
      </c>
      <c r="DC63" s="134" t="str">
        <f t="array" ref="DC63">IF('Midterm OVPAA-F-INS-055A RAW SC'!$G63="","",IF((SUMPRODUCT(--ISBLANK('Finalterm OVPAA-F-INS-055A RAW '!CO63:CX63))=COLUMNS('Finalterm OVPAA-F-INS-055A RAW '!CO63:CX63))=TRUE,"",(((COUNTA('Finalterm OVPAA-F-INS-055A RAW '!$CO$17:$CX$17)+COUNTBLANK('Finalterm OVPAA-F-INS-055A RAW '!CO63:CX63))-COLUMNS('Finalterm OVPAA-F-INS-055A RAW '!CO63:CX63))*5+SUM(CS63:DB63))/COUNTA('Finalterm OVPAA-F-INS-055A RAW '!$CO$17:$CX$17)))</f>
        <v/>
      </c>
      <c r="DD63" s="135" t="str">
        <f>IF(DC63="","",VLOOKUP(DC63,IF('Midterm OVPAA-F-INS-055A RAW SC'!$V$12=0.5,TRANSMUTATION!$C$4:$D$17,TRANSMUTATION!$G$4:$H$17),2,TRUE))</f>
        <v/>
      </c>
      <c r="DE63" s="136" t="str">
        <f t="shared" si="1"/>
        <v/>
      </c>
      <c r="DF63" s="166" t="str">
        <f t="shared" si="2"/>
        <v/>
      </c>
      <c r="DG63" s="167" t="str">
        <f t="shared" si="3"/>
        <v/>
      </c>
      <c r="DH63" s="168" t="str">
        <f t="shared" si="4"/>
        <v/>
      </c>
      <c r="DI63" s="169" t="str">
        <f t="shared" si="5"/>
        <v/>
      </c>
    </row>
    <row r="64" spans="5:113" ht="15.75" hidden="1" customHeight="1">
      <c r="E64" s="59">
        <v>47</v>
      </c>
      <c r="F64" s="124" t="str">
        <f>IF(NOT(ISBLANK('Midterm OVPAA-F-INS-055A RAW SC'!F64)),'Midterm OVPAA-F-INS-055A RAW SC'!F64,"")</f>
        <v/>
      </c>
      <c r="G64" s="125" t="str">
        <f>IF(NOT(ISBLANK('Midterm OVPAA-F-INS-055A RAW SC'!G64)),'Midterm OVPAA-F-INS-055A RAW SC'!G64,"")</f>
        <v/>
      </c>
      <c r="H64" s="126" t="str">
        <f>IF('Finalterm OVPAA-F-INS-055A RAW '!H64="","",'Finalterm OVPAA-F-INS-055A RAW '!H64/'Finalterm OVPAA-F-INS-055A RAW '!H$17*100)</f>
        <v/>
      </c>
      <c r="I64" s="126" t="str">
        <f>IF('Finalterm OVPAA-F-INS-055A RAW '!I64="","",'Finalterm OVPAA-F-INS-055A RAW '!I64/'Finalterm OVPAA-F-INS-055A RAW '!I$17*100)</f>
        <v/>
      </c>
      <c r="J64" s="126" t="str">
        <f>IF('Finalterm OVPAA-F-INS-055A RAW '!J64="","",'Finalterm OVPAA-F-INS-055A RAW '!J64/'Finalterm OVPAA-F-INS-055A RAW '!J$17*100)</f>
        <v/>
      </c>
      <c r="K64" s="126" t="str">
        <f>IF('Finalterm OVPAA-F-INS-055A RAW '!K64="","",'Finalterm OVPAA-F-INS-055A RAW '!K64/'Finalterm OVPAA-F-INS-055A RAW '!K$17*100)</f>
        <v/>
      </c>
      <c r="L64" s="126" t="str">
        <f>IF('Finalterm OVPAA-F-INS-055A RAW '!L64="","",'Finalterm OVPAA-F-INS-055A RAW '!L64/'Finalterm OVPAA-F-INS-055A RAW '!L$17*100)</f>
        <v/>
      </c>
      <c r="M64" s="126" t="str">
        <f>IF('Finalterm OVPAA-F-INS-055A RAW '!M64="","",'Finalterm OVPAA-F-INS-055A RAW '!M64/'Finalterm OVPAA-F-INS-055A RAW '!M$17*100)</f>
        <v/>
      </c>
      <c r="N64" s="126" t="str">
        <f>IF('Finalterm OVPAA-F-INS-055A RAW '!N64="","",'Finalterm OVPAA-F-INS-055A RAW '!N64/'Finalterm OVPAA-F-INS-055A RAW '!N$17*100)</f>
        <v/>
      </c>
      <c r="O64" s="126" t="str">
        <f>IF('Finalterm OVPAA-F-INS-055A RAW '!O64="","",'Finalterm OVPAA-F-INS-055A RAW '!O64/'Finalterm OVPAA-F-INS-055A RAW '!O$17*100)</f>
        <v/>
      </c>
      <c r="P64" s="126" t="str">
        <f>IF('Finalterm OVPAA-F-INS-055A RAW '!P64="","",'Finalterm OVPAA-F-INS-055A RAW '!P64/'Finalterm OVPAA-F-INS-055A RAW '!P$17*100)</f>
        <v/>
      </c>
      <c r="Q64" s="126" t="str">
        <f>IF('Finalterm OVPAA-F-INS-055A RAW '!Q64="","",'Finalterm OVPAA-F-INS-055A RAW '!Q64/'Finalterm OVPAA-F-INS-055A RAW '!Q$17*100)</f>
        <v/>
      </c>
      <c r="R64" s="126" t="str">
        <f>IF('Finalterm OVPAA-F-INS-055A RAW '!R64="","",'Finalterm OVPAA-F-INS-055A RAW '!R64/'Finalterm OVPAA-F-INS-055A RAW '!R$17*100)</f>
        <v/>
      </c>
      <c r="S64" s="126" t="str">
        <f>IF('Finalterm OVPAA-F-INS-055A RAW '!S64="","",'Finalterm OVPAA-F-INS-055A RAW '!S64/'Finalterm OVPAA-F-INS-055A RAW '!S$17*100)</f>
        <v/>
      </c>
      <c r="T64" s="126" t="str">
        <f>IF('Finalterm OVPAA-F-INS-055A RAW '!T64="","",'Finalterm OVPAA-F-INS-055A RAW '!T64/'Finalterm OVPAA-F-INS-055A RAW '!T$17*100)</f>
        <v/>
      </c>
      <c r="U64" s="126" t="str">
        <f>IF('Finalterm OVPAA-F-INS-055A RAW '!U64="","",'Finalterm OVPAA-F-INS-055A RAW '!U64/'Finalterm OVPAA-F-INS-055A RAW '!U$17*100)</f>
        <v/>
      </c>
      <c r="V64" s="126" t="str">
        <f>IF('Finalterm OVPAA-F-INS-055A RAW '!V64="","",'Finalterm OVPAA-F-INS-055A RAW '!V64/'Finalterm OVPAA-F-INS-055A RAW '!V$17*100)</f>
        <v/>
      </c>
      <c r="W64" s="126" t="str">
        <f>IF('Finalterm OVPAA-F-INS-055A RAW '!W64="","",'Finalterm OVPAA-F-INS-055A RAW '!W64/'Finalterm OVPAA-F-INS-055A RAW '!W$17*100)</f>
        <v/>
      </c>
      <c r="X64" s="126" t="str">
        <f>IF('Finalterm OVPAA-F-INS-055A RAW '!X64="","",'Finalterm OVPAA-F-INS-055A RAW '!X64/'Finalterm OVPAA-F-INS-055A RAW '!X$17*100)</f>
        <v/>
      </c>
      <c r="Y64" s="126" t="str">
        <f>IF('Finalterm OVPAA-F-INS-055A RAW '!Y64="","",'Finalterm OVPAA-F-INS-055A RAW '!Y64/'Finalterm OVPAA-F-INS-055A RAW '!Y$17*100)</f>
        <v/>
      </c>
      <c r="Z64" s="126" t="str">
        <f>IF('Finalterm OVPAA-F-INS-055A RAW '!Z64="","",'Finalterm OVPAA-F-INS-055A RAW '!Z64/'Finalterm OVPAA-F-INS-055A RAW '!Z$17*100)</f>
        <v/>
      </c>
      <c r="AA64" s="126" t="str">
        <f>IF('Finalterm OVPAA-F-INS-055A RAW '!AA64="","",'Finalterm OVPAA-F-INS-055A RAW '!AA64/'Finalterm OVPAA-F-INS-055A RAW '!AA$17*100)</f>
        <v/>
      </c>
      <c r="AB64" s="126" t="str">
        <f>IF('Finalterm OVPAA-F-INS-055A RAW '!AB64="","",'Finalterm OVPAA-F-INS-055A RAW '!AB64/'Finalterm OVPAA-F-INS-055A RAW '!AB$17*100)</f>
        <v/>
      </c>
      <c r="AC64" s="126" t="str">
        <f>IF('Finalterm OVPAA-F-INS-055A RAW '!AC64="","",'Finalterm OVPAA-F-INS-055A RAW '!AC64/'Finalterm OVPAA-F-INS-055A RAW '!AC$17*100)</f>
        <v/>
      </c>
      <c r="AD64" s="126" t="str">
        <f>IF('Finalterm OVPAA-F-INS-055A RAW '!AD64="","",'Finalterm OVPAA-F-INS-055A RAW '!AD64/'Finalterm OVPAA-F-INS-055A RAW '!AD$17*100)</f>
        <v/>
      </c>
      <c r="AE64" s="126" t="str">
        <f>IF('Finalterm OVPAA-F-INS-055A RAW '!AE64="","",'Finalterm OVPAA-F-INS-055A RAW '!AE64/'Finalterm OVPAA-F-INS-055A RAW '!AE$17*100)</f>
        <v/>
      </c>
      <c r="AF64" s="126" t="str">
        <f>IF('Finalterm OVPAA-F-INS-055A RAW '!AF64="","",'Finalterm OVPAA-F-INS-055A RAW '!AF64/'Finalterm OVPAA-F-INS-055A RAW '!AF$17*100)</f>
        <v/>
      </c>
      <c r="AG64" s="126" t="str">
        <f>IF('Finalterm OVPAA-F-INS-055A RAW '!AG64="","",'Finalterm OVPAA-F-INS-055A RAW '!AG64/'Finalterm OVPAA-F-INS-055A RAW '!AG$17*100)</f>
        <v/>
      </c>
      <c r="AH64" s="126" t="str">
        <f>IF('Finalterm OVPAA-F-INS-055A RAW '!AH64="","",'Finalterm OVPAA-F-INS-055A RAW '!AH64/'Finalterm OVPAA-F-INS-055A RAW '!AH$17*100)</f>
        <v/>
      </c>
      <c r="AI64" s="126" t="str">
        <f>IF('Finalterm OVPAA-F-INS-055A RAW '!AI64="","",'Finalterm OVPAA-F-INS-055A RAW '!AI64/'Finalterm OVPAA-F-INS-055A RAW '!AI$17*100)</f>
        <v/>
      </c>
      <c r="AJ64" s="126" t="str">
        <f>IF('Finalterm OVPAA-F-INS-055A RAW '!AJ64="","",'Finalterm OVPAA-F-INS-055A RAW '!AJ64/'Finalterm OVPAA-F-INS-055A RAW '!AJ$17*100)</f>
        <v/>
      </c>
      <c r="AK64" s="126" t="str">
        <f>IF('Finalterm OVPAA-F-INS-055A RAW '!AK64="","",'Finalterm OVPAA-F-INS-055A RAW '!AK64/'Finalterm OVPAA-F-INS-055A RAW '!AK$17*100)</f>
        <v/>
      </c>
      <c r="AL64" s="126" t="str">
        <f>IF('Finalterm OVPAA-F-INS-055A RAW '!AL64="","",'Finalterm OVPAA-F-INS-055A RAW '!AL64/'Finalterm OVPAA-F-INS-055A RAW '!AL$17*100)</f>
        <v/>
      </c>
      <c r="AM64" s="126" t="str">
        <f>IF('Finalterm OVPAA-F-INS-055A RAW '!AM64="","",'Finalterm OVPAA-F-INS-055A RAW '!AM64/'Finalterm OVPAA-F-INS-055A RAW '!AM$17*100)</f>
        <v/>
      </c>
      <c r="AN64" s="126" t="str">
        <f>IF('Finalterm OVPAA-F-INS-055A RAW '!AN64="","",'Finalterm OVPAA-F-INS-055A RAW '!AN64/'Finalterm OVPAA-F-INS-055A RAW '!AN$17*100)</f>
        <v/>
      </c>
      <c r="AO64" s="126" t="str">
        <f>IF('Finalterm OVPAA-F-INS-055A RAW '!AO64="","",'Finalterm OVPAA-F-INS-055A RAW '!AO64/'Finalterm OVPAA-F-INS-055A RAW '!AO$17*100)</f>
        <v/>
      </c>
      <c r="AP64" s="126" t="str">
        <f>IF('Finalterm OVPAA-F-INS-055A RAW '!AP64="","",'Finalterm OVPAA-F-INS-055A RAW '!AP64/'Finalterm OVPAA-F-INS-055A RAW '!AP$17*100)</f>
        <v/>
      </c>
      <c r="AQ64" s="126" t="str">
        <f>IF('Finalterm OVPAA-F-INS-055A RAW '!AQ64="","",'Finalterm OVPAA-F-INS-055A RAW '!AQ64/'Finalterm OVPAA-F-INS-055A RAW '!AQ$17*100)</f>
        <v/>
      </c>
      <c r="AR64" s="126" t="str">
        <f>IF('Finalterm OVPAA-F-INS-055A RAW '!AR64="","",'Finalterm OVPAA-F-INS-055A RAW '!AR64/'Finalterm OVPAA-F-INS-055A RAW '!AR$17*100)</f>
        <v/>
      </c>
      <c r="AS64" s="126" t="str">
        <f>IF('Finalterm OVPAA-F-INS-055A RAW '!AS64="","",'Finalterm OVPAA-F-INS-055A RAW '!AS64/'Finalterm OVPAA-F-INS-055A RAW '!AS$17*100)</f>
        <v/>
      </c>
      <c r="AT64" s="126" t="str">
        <f>IF('Finalterm OVPAA-F-INS-055A RAW '!AT64="","",'Finalterm OVPAA-F-INS-055A RAW '!AT64/'Finalterm OVPAA-F-INS-055A RAW '!AT$17*100)</f>
        <v/>
      </c>
      <c r="AU64" s="126" t="str">
        <f>IF('Finalterm OVPAA-F-INS-055A RAW '!AU64="","",'Finalterm OVPAA-F-INS-055A RAW '!AU64/'Finalterm OVPAA-F-INS-055A RAW '!AU$17*100)</f>
        <v/>
      </c>
      <c r="AV64" s="126" t="str">
        <f>IF('Finalterm OVPAA-F-INS-055A RAW '!AV64="","",'Finalterm OVPAA-F-INS-055A RAW '!AV64/'Finalterm OVPAA-F-INS-055A RAW '!AV$17*100)</f>
        <v/>
      </c>
      <c r="AW64" s="126" t="str">
        <f>IF('Finalterm OVPAA-F-INS-055A RAW '!AW64="","",'Finalterm OVPAA-F-INS-055A RAW '!AW64/'Finalterm OVPAA-F-INS-055A RAW '!AW$17*100)</f>
        <v/>
      </c>
      <c r="AX64" s="126" t="str">
        <f>IF('Finalterm OVPAA-F-INS-055A RAW '!AX64="","",'Finalterm OVPAA-F-INS-055A RAW '!AX64/'Finalterm OVPAA-F-INS-055A RAW '!AX$17*100)</f>
        <v/>
      </c>
      <c r="AY64" s="126" t="str">
        <f>IF('Finalterm OVPAA-F-INS-055A RAW '!AY64="","",'Finalterm OVPAA-F-INS-055A RAW '!AY64/'Finalterm OVPAA-F-INS-055A RAW '!AY$17*100)</f>
        <v/>
      </c>
      <c r="AZ64" s="126" t="str">
        <f>IF('Finalterm OVPAA-F-INS-055A RAW '!AZ64="","",'Finalterm OVPAA-F-INS-055A RAW '!AZ64/'Finalterm OVPAA-F-INS-055A RAW '!AZ$17*100)</f>
        <v/>
      </c>
      <c r="BA64" s="126" t="str">
        <f>IF('Finalterm OVPAA-F-INS-055A RAW '!BA64="","",'Finalterm OVPAA-F-INS-055A RAW '!BA64/'Finalterm OVPAA-F-INS-055A RAW '!BA$17*100)</f>
        <v/>
      </c>
      <c r="BB64" s="126" t="str">
        <f>IF('Finalterm OVPAA-F-INS-055A RAW '!BB64="","",'Finalterm OVPAA-F-INS-055A RAW '!BB64/'Finalterm OVPAA-F-INS-055A RAW '!BB$17*100)</f>
        <v/>
      </c>
      <c r="BC64" s="126" t="str">
        <f>IF('Finalterm OVPAA-F-INS-055A RAW '!BC64="","",'Finalterm OVPAA-F-INS-055A RAW '!BC64/'Finalterm OVPAA-F-INS-055A RAW '!BC$17*100)</f>
        <v/>
      </c>
      <c r="BD64" s="126" t="str">
        <f>IF('Finalterm OVPAA-F-INS-055A RAW '!BD64="","",'Finalterm OVPAA-F-INS-055A RAW '!BD64/'Finalterm OVPAA-F-INS-055A RAW '!BD$17*100)</f>
        <v/>
      </c>
      <c r="BE64" s="126" t="str">
        <f>IF('Finalterm OVPAA-F-INS-055A RAW '!BE64="","",'Finalterm OVPAA-F-INS-055A RAW '!BE64/'Finalterm OVPAA-F-INS-055A RAW '!BE$17*100)</f>
        <v/>
      </c>
      <c r="BF64" s="126" t="str">
        <f>IF('Finalterm OVPAA-F-INS-055A RAW '!BF64="","",'Finalterm OVPAA-F-INS-055A RAW '!BF64/'Finalterm OVPAA-F-INS-055A RAW '!BF$17*100)</f>
        <v/>
      </c>
      <c r="BG64" s="126" t="str">
        <f>IF('Finalterm OVPAA-F-INS-055A RAW '!BG64="","",'Finalterm OVPAA-F-INS-055A RAW '!BG64/'Finalterm OVPAA-F-INS-055A RAW '!BG$17*100)</f>
        <v/>
      </c>
      <c r="BH64" s="126" t="str">
        <f>IF('Finalterm OVPAA-F-INS-055A RAW '!BH64="","",'Finalterm OVPAA-F-INS-055A RAW '!BH64/'Finalterm OVPAA-F-INS-055A RAW '!BH$17*100)</f>
        <v/>
      </c>
      <c r="BI64" s="126" t="str">
        <f>IF('Finalterm OVPAA-F-INS-055A RAW '!BI64="","",'Finalterm OVPAA-F-INS-055A RAW '!BI64/'Finalterm OVPAA-F-INS-055A RAW '!BI$17*100)</f>
        <v/>
      </c>
      <c r="BJ64" s="126" t="str">
        <f>IF('Finalterm OVPAA-F-INS-055A RAW '!BJ64="","",'Finalterm OVPAA-F-INS-055A RAW '!BJ64/'Finalterm OVPAA-F-INS-055A RAW '!BJ$17*100)</f>
        <v/>
      </c>
      <c r="BK64" s="126" t="str">
        <f>IF('Finalterm OVPAA-F-INS-055A RAW '!BK64="","",'Finalterm OVPAA-F-INS-055A RAW '!BK64/'Finalterm OVPAA-F-INS-055A RAW '!BK$17*100)</f>
        <v/>
      </c>
      <c r="BL64" s="126" t="str">
        <f>IF('Finalterm OVPAA-F-INS-055A RAW '!BL64="","",'Finalterm OVPAA-F-INS-055A RAW '!BL64/'Finalterm OVPAA-F-INS-055A RAW '!BL$17*100)</f>
        <v/>
      </c>
      <c r="BM64" s="126" t="str">
        <f>IF('Finalterm OVPAA-F-INS-055A RAW '!BM64="","",'Finalterm OVPAA-F-INS-055A RAW '!BM64/'Finalterm OVPAA-F-INS-055A RAW '!BM$17*100)</f>
        <v/>
      </c>
      <c r="BN64" s="126" t="str">
        <f>IF('Finalterm OVPAA-F-INS-055A RAW '!BN64="","",'Finalterm OVPAA-F-INS-055A RAW '!BN64/'Finalterm OVPAA-F-INS-055A RAW '!BN$17*100)</f>
        <v/>
      </c>
      <c r="BO64" s="126" t="str">
        <f>IF('Finalterm OVPAA-F-INS-055A RAW '!BO64="","",'Finalterm OVPAA-F-INS-055A RAW '!BO64/'Finalterm OVPAA-F-INS-055A RAW '!BO$17*100)</f>
        <v/>
      </c>
      <c r="BP64" s="126" t="str">
        <f>IF('Finalterm OVPAA-F-INS-055A RAW '!BP64="","",'Finalterm OVPAA-F-INS-055A RAW '!BP64/'Finalterm OVPAA-F-INS-055A RAW '!BP$17*100)</f>
        <v/>
      </c>
      <c r="BQ64" s="126" t="str">
        <f>IF('Finalterm OVPAA-F-INS-055A RAW '!BQ64="","",'Finalterm OVPAA-F-INS-055A RAW '!BQ64/'Finalterm OVPAA-F-INS-055A RAW '!BQ$17*100)</f>
        <v/>
      </c>
      <c r="BR64" s="126" t="str">
        <f>IF('Finalterm OVPAA-F-INS-055A RAW '!BR64="","",'Finalterm OVPAA-F-INS-055A RAW '!BR64/'Finalterm OVPAA-F-INS-055A RAW '!BR$17*100)</f>
        <v/>
      </c>
      <c r="BS64" s="126" t="str">
        <f>IF('Finalterm OVPAA-F-INS-055A RAW '!BS64="","",'Finalterm OVPAA-F-INS-055A RAW '!BS64/'Finalterm OVPAA-F-INS-055A RAW '!BS$17*100)</f>
        <v/>
      </c>
      <c r="BT64" s="126" t="str">
        <f>IF('Finalterm OVPAA-F-INS-055A RAW '!BT64="","",'Finalterm OVPAA-F-INS-055A RAW '!BT64/'Finalterm OVPAA-F-INS-055A RAW '!BT$17*100)</f>
        <v/>
      </c>
      <c r="BU64" s="127" t="str">
        <f t="array" ref="BU64">IF('Finalterm OVPAA-F-INS-055A RAW '!$G64="","",IF((SUMPRODUCT(--ISBLANK('Finalterm OVPAA-F-INS-055A RAW '!H64:BT64))=COLUMNS('Finalterm OVPAA-F-INS-055A RAW '!H64:BT64))=TRUE,"",(((COUNTA('Finalterm OVPAA-F-INS-055A RAW '!$H$17:$BT$17)+COUNTBLANK('Finalterm OVPAA-F-INS-055A RAW '!H64:BT64))-COLUMNS('Finalterm OVPAA-F-INS-055A RAW '!H64:BT64))*5+SUM(H64:BT64))/COUNTA('Finalterm OVPAA-F-INS-055A RAW '!$H$17:$BT$17)))</f>
        <v/>
      </c>
      <c r="BV64" s="165" t="str">
        <f>IF(BU64="","",VLOOKUP(BU64,IF('Midterm OVPAA-F-INS-055A RAW SC'!$V$12=0.5,TRANSMUTATION!$C$4:$D$17,TRANSMUTATION!$G$4:$H$17),2,TRUE))</f>
        <v/>
      </c>
      <c r="BW64" s="129" t="str">
        <f>IF('Finalterm OVPAA-F-INS-055A RAW '!BU64="","",'Finalterm OVPAA-F-INS-055A RAW '!BU64/'Finalterm OVPAA-F-INS-055A RAW '!BU$17*100)</f>
        <v/>
      </c>
      <c r="BX64" s="130" t="str">
        <f>IF('Finalterm OVPAA-F-INS-055A RAW '!BV64="","",'Finalterm OVPAA-F-INS-055A RAW '!BV64/'Finalterm OVPAA-F-INS-055A RAW '!BV$17*100)</f>
        <v/>
      </c>
      <c r="BY64" s="130" t="str">
        <f>IF('Finalterm OVPAA-F-INS-055A RAW '!BW64="","",'Finalterm OVPAA-F-INS-055A RAW '!BW64/'Finalterm OVPAA-F-INS-055A RAW '!BW$17*100)</f>
        <v/>
      </c>
      <c r="BZ64" s="130" t="str">
        <f>IF('Finalterm OVPAA-F-INS-055A RAW '!BX64="","",'Finalterm OVPAA-F-INS-055A RAW '!BX64/'Finalterm OVPAA-F-INS-055A RAW '!BX$17*100)</f>
        <v/>
      </c>
      <c r="CA64" s="130" t="str">
        <f>IF('Finalterm OVPAA-F-INS-055A RAW '!BY64="","",'Finalterm OVPAA-F-INS-055A RAW '!BY64/'Finalterm OVPAA-F-INS-055A RAW '!BY$17*100)</f>
        <v/>
      </c>
      <c r="CB64" s="130" t="str">
        <f>IF('Finalterm OVPAA-F-INS-055A RAW '!BZ64="","",'Finalterm OVPAA-F-INS-055A RAW '!BZ64/'Finalterm OVPAA-F-INS-055A RAW '!BZ$17*100)</f>
        <v/>
      </c>
      <c r="CC64" s="130" t="str">
        <f>IF('Finalterm OVPAA-F-INS-055A RAW '!CA64="","",'Finalterm OVPAA-F-INS-055A RAW '!CA64/'Finalterm OVPAA-F-INS-055A RAW '!CA$17*100)</f>
        <v/>
      </c>
      <c r="CD64" s="130" t="str">
        <f>IF('Finalterm OVPAA-F-INS-055A RAW '!CB64="","",'Finalterm OVPAA-F-INS-055A RAW '!CB64/'Finalterm OVPAA-F-INS-055A RAW '!CB$17*100)</f>
        <v/>
      </c>
      <c r="CE64" s="130" t="str">
        <f>IF('Finalterm OVPAA-F-INS-055A RAW '!CC64="","",'Finalterm OVPAA-F-INS-055A RAW '!CC64/'Finalterm OVPAA-F-INS-055A RAW '!CC$17*100)</f>
        <v/>
      </c>
      <c r="CF64" s="130" t="str">
        <f>IF('Finalterm OVPAA-F-INS-055A RAW '!CD64="","",'Finalterm OVPAA-F-INS-055A RAW '!CD64/'Finalterm OVPAA-F-INS-055A RAW '!CD$17*100)</f>
        <v/>
      </c>
      <c r="CG64" s="130" t="str">
        <f>IF('Finalterm OVPAA-F-INS-055A RAW '!CE64="","",'Finalterm OVPAA-F-INS-055A RAW '!CE64/'Finalterm OVPAA-F-INS-055A RAW '!CE$17*100)</f>
        <v/>
      </c>
      <c r="CH64" s="130" t="str">
        <f>IF('Finalterm OVPAA-F-INS-055A RAW '!CF64="","",'Finalterm OVPAA-F-INS-055A RAW '!CF64/'Finalterm OVPAA-F-INS-055A RAW '!CF$17*100)</f>
        <v/>
      </c>
      <c r="CI64" s="130" t="str">
        <f>IF('Finalterm OVPAA-F-INS-055A RAW '!CG64="","",'Finalterm OVPAA-F-INS-055A RAW '!CG64/'Finalterm OVPAA-F-INS-055A RAW '!CG$17*100)</f>
        <v/>
      </c>
      <c r="CJ64" s="130" t="str">
        <f>IF('Finalterm OVPAA-F-INS-055A RAW '!CH64="","",'Finalterm OVPAA-F-INS-055A RAW '!CH64/'Finalterm OVPAA-F-INS-055A RAW '!CH$17*100)</f>
        <v/>
      </c>
      <c r="CK64" s="130" t="str">
        <f>IF('Finalterm OVPAA-F-INS-055A RAW '!CI64="","",'Finalterm OVPAA-F-INS-055A RAW '!CI64/'Finalterm OVPAA-F-INS-055A RAW '!CI$17*100)</f>
        <v/>
      </c>
      <c r="CL64" s="130" t="str">
        <f>IF('Finalterm OVPAA-F-INS-055A RAW '!CJ64="","",'Finalterm OVPAA-F-INS-055A RAW '!CJ64/'Finalterm OVPAA-F-INS-055A RAW '!CJ$17*100)</f>
        <v/>
      </c>
      <c r="CM64" s="130" t="str">
        <f>IF('Finalterm OVPAA-F-INS-055A RAW '!CK64="","",'Finalterm OVPAA-F-INS-055A RAW '!CK64/'Finalterm OVPAA-F-INS-055A RAW '!CK$17*100)</f>
        <v/>
      </c>
      <c r="CN64" s="130" t="str">
        <f>IF('Finalterm OVPAA-F-INS-055A RAW '!CL64="","",'Finalterm OVPAA-F-INS-055A RAW '!CL64/'Finalterm OVPAA-F-INS-055A RAW '!CL$17*100)</f>
        <v/>
      </c>
      <c r="CO64" s="130" t="str">
        <f>IF('Finalterm OVPAA-F-INS-055A RAW '!CM64="","",'Finalterm OVPAA-F-INS-055A RAW '!CM64/'Finalterm OVPAA-F-INS-055A RAW '!CM$17*100)</f>
        <v/>
      </c>
      <c r="CP64" s="130" t="str">
        <f>IF('Finalterm OVPAA-F-INS-055A RAW '!CN64="","",'Finalterm OVPAA-F-INS-055A RAW '!CN64/'Finalterm OVPAA-F-INS-055A RAW '!CN$17*100)</f>
        <v/>
      </c>
      <c r="CQ64" s="131" t="str">
        <f t="array" ref="CQ64">IF('Midterm OVPAA-F-INS-055A RAW SC'!G64="","",IF((SUMPRODUCT(--ISBLANK('Finalterm OVPAA-F-INS-055A RAW '!BU64:CN64))=COLUMNS('Finalterm OVPAA-F-INS-055A RAW '!BU64:CN64))=TRUE,"",(((COUNTA('Finalterm OVPAA-F-INS-055A RAW '!$BU$17:$CN$17)+COUNTBLANK('Finalterm OVPAA-F-INS-055A RAW '!BU64:CN64))-COLUMNS('Finalterm OVPAA-F-INS-055A RAW '!BU64:CN64))*5+SUM(BW64:CP64))/COUNTA('Finalterm OVPAA-F-INS-055A RAW '!$BU$17:$CN$17)))</f>
        <v/>
      </c>
      <c r="CR64" s="132" t="str">
        <f>IF(CQ64="","",VLOOKUP(CQ64,IF('Midterm OVPAA-F-INS-055A RAW SC'!$V$12=0.5,TRANSMUTATION!$C$4:$D$17,TRANSMUTATION!$G$4:$H$17),2,TRUE))</f>
        <v/>
      </c>
      <c r="CS64" s="133" t="str">
        <f>IF('Finalterm OVPAA-F-INS-055A RAW '!CO64="","",'Finalterm OVPAA-F-INS-055A RAW '!CO64/'Finalterm OVPAA-F-INS-055A RAW '!CO$17*100)</f>
        <v/>
      </c>
      <c r="CT64" s="133" t="str">
        <f>IF('Finalterm OVPAA-F-INS-055A RAW '!CP64="","",'Finalterm OVPAA-F-INS-055A RAW '!CP64/'Finalterm OVPAA-F-INS-055A RAW '!CP$17*100)</f>
        <v/>
      </c>
      <c r="CU64" s="133" t="str">
        <f>IF('Finalterm OVPAA-F-INS-055A RAW '!CQ64="","",'Finalterm OVPAA-F-INS-055A RAW '!CQ64/'Finalterm OVPAA-F-INS-055A RAW '!CQ$17*100)</f>
        <v/>
      </c>
      <c r="CV64" s="133" t="str">
        <f>IF('Finalterm OVPAA-F-INS-055A RAW '!CR64="","",'Finalterm OVPAA-F-INS-055A RAW '!CR64/'Finalterm OVPAA-F-INS-055A RAW '!CR$17*100)</f>
        <v/>
      </c>
      <c r="CW64" s="133" t="str">
        <f>IF('Finalterm OVPAA-F-INS-055A RAW '!CS64="","",'Finalterm OVPAA-F-INS-055A RAW '!CS64/'Finalterm OVPAA-F-INS-055A RAW '!CS$17*100)</f>
        <v/>
      </c>
      <c r="CX64" s="133" t="str">
        <f>IF('Finalterm OVPAA-F-INS-055A RAW '!CT64="","",'Finalterm OVPAA-F-INS-055A RAW '!CT64/'Finalterm OVPAA-F-INS-055A RAW '!CT$17*100)</f>
        <v/>
      </c>
      <c r="CY64" s="133" t="str">
        <f>IF('Finalterm OVPAA-F-INS-055A RAW '!CU64="","",'Finalterm OVPAA-F-INS-055A RAW '!CU64/'Finalterm OVPAA-F-INS-055A RAW '!CU$17*100)</f>
        <v/>
      </c>
      <c r="CZ64" s="133" t="str">
        <f>IF('Finalterm OVPAA-F-INS-055A RAW '!CV64="","",'Finalterm OVPAA-F-INS-055A RAW '!CV64/'Finalterm OVPAA-F-INS-055A RAW '!CV$17*100)</f>
        <v/>
      </c>
      <c r="DA64" s="133" t="str">
        <f>IF('Finalterm OVPAA-F-INS-055A RAW '!CW64="","",'Finalterm OVPAA-F-INS-055A RAW '!CW64/'Finalterm OVPAA-F-INS-055A RAW '!CW$17*100)</f>
        <v/>
      </c>
      <c r="DB64" s="133" t="str">
        <f>IF('Finalterm OVPAA-F-INS-055A RAW '!CX64="","",'Finalterm OVPAA-F-INS-055A RAW '!CX64/'Finalterm OVPAA-F-INS-055A RAW '!CX$17*100)</f>
        <v/>
      </c>
      <c r="DC64" s="134" t="str">
        <f t="array" ref="DC64">IF('Midterm OVPAA-F-INS-055A RAW SC'!$G64="","",IF((SUMPRODUCT(--ISBLANK('Finalterm OVPAA-F-INS-055A RAW '!CO64:CX64))=COLUMNS('Finalterm OVPAA-F-INS-055A RAW '!CO64:CX64))=TRUE,"",(((COUNTA('Finalterm OVPAA-F-INS-055A RAW '!$CO$17:$CX$17)+COUNTBLANK('Finalterm OVPAA-F-INS-055A RAW '!CO64:CX64))-COLUMNS('Finalterm OVPAA-F-INS-055A RAW '!CO64:CX64))*5+SUM(CS64:DB64))/COUNTA('Finalterm OVPAA-F-INS-055A RAW '!$CO$17:$CX$17)))</f>
        <v/>
      </c>
      <c r="DD64" s="135" t="str">
        <f>IF(DC64="","",VLOOKUP(DC64,IF('Midterm OVPAA-F-INS-055A RAW SC'!$V$12=0.5,TRANSMUTATION!$C$4:$D$17,TRANSMUTATION!$G$4:$H$17),2,TRUE))</f>
        <v/>
      </c>
      <c r="DE64" s="136" t="str">
        <f t="shared" si="1"/>
        <v/>
      </c>
      <c r="DF64" s="166" t="str">
        <f t="shared" si="2"/>
        <v/>
      </c>
      <c r="DG64" s="167" t="str">
        <f t="shared" si="3"/>
        <v/>
      </c>
      <c r="DH64" s="168" t="str">
        <f t="shared" si="4"/>
        <v/>
      </c>
      <c r="DI64" s="169" t="str">
        <f t="shared" si="5"/>
        <v/>
      </c>
    </row>
    <row r="65" spans="5:113" ht="15.75" hidden="1" customHeight="1">
      <c r="E65" s="59">
        <v>48</v>
      </c>
      <c r="F65" s="124" t="str">
        <f>IF(NOT(ISBLANK('Midterm OVPAA-F-INS-055A RAW SC'!F65)),'Midterm OVPAA-F-INS-055A RAW SC'!F65,"")</f>
        <v/>
      </c>
      <c r="G65" s="125" t="str">
        <f>IF(NOT(ISBLANK('Midterm OVPAA-F-INS-055A RAW SC'!G65)),'Midterm OVPAA-F-INS-055A RAW SC'!G65,"")</f>
        <v/>
      </c>
      <c r="H65" s="126" t="str">
        <f>IF('Finalterm OVPAA-F-INS-055A RAW '!H65="","",'Finalterm OVPAA-F-INS-055A RAW '!H65/'Finalterm OVPAA-F-INS-055A RAW '!H$17*100)</f>
        <v/>
      </c>
      <c r="I65" s="126" t="str">
        <f>IF('Finalterm OVPAA-F-INS-055A RAW '!I65="","",'Finalterm OVPAA-F-INS-055A RAW '!I65/'Finalterm OVPAA-F-INS-055A RAW '!I$17*100)</f>
        <v/>
      </c>
      <c r="J65" s="126" t="str">
        <f>IF('Finalterm OVPAA-F-INS-055A RAW '!J65="","",'Finalterm OVPAA-F-INS-055A RAW '!J65/'Finalterm OVPAA-F-INS-055A RAW '!J$17*100)</f>
        <v/>
      </c>
      <c r="K65" s="126" t="str">
        <f>IF('Finalterm OVPAA-F-INS-055A RAW '!K65="","",'Finalterm OVPAA-F-INS-055A RAW '!K65/'Finalterm OVPAA-F-INS-055A RAW '!K$17*100)</f>
        <v/>
      </c>
      <c r="L65" s="126" t="str">
        <f>IF('Finalterm OVPAA-F-INS-055A RAW '!L65="","",'Finalterm OVPAA-F-INS-055A RAW '!L65/'Finalterm OVPAA-F-INS-055A RAW '!L$17*100)</f>
        <v/>
      </c>
      <c r="M65" s="126" t="str">
        <f>IF('Finalterm OVPAA-F-INS-055A RAW '!M65="","",'Finalterm OVPAA-F-INS-055A RAW '!M65/'Finalterm OVPAA-F-INS-055A RAW '!M$17*100)</f>
        <v/>
      </c>
      <c r="N65" s="126" t="str">
        <f>IF('Finalterm OVPAA-F-INS-055A RAW '!N65="","",'Finalterm OVPAA-F-INS-055A RAW '!N65/'Finalterm OVPAA-F-INS-055A RAW '!N$17*100)</f>
        <v/>
      </c>
      <c r="O65" s="126" t="str">
        <f>IF('Finalterm OVPAA-F-INS-055A RAW '!O65="","",'Finalterm OVPAA-F-INS-055A RAW '!O65/'Finalterm OVPAA-F-INS-055A RAW '!O$17*100)</f>
        <v/>
      </c>
      <c r="P65" s="126" t="str">
        <f>IF('Finalterm OVPAA-F-INS-055A RAW '!P65="","",'Finalterm OVPAA-F-INS-055A RAW '!P65/'Finalterm OVPAA-F-INS-055A RAW '!P$17*100)</f>
        <v/>
      </c>
      <c r="Q65" s="126" t="str">
        <f>IF('Finalterm OVPAA-F-INS-055A RAW '!Q65="","",'Finalterm OVPAA-F-INS-055A RAW '!Q65/'Finalterm OVPAA-F-INS-055A RAW '!Q$17*100)</f>
        <v/>
      </c>
      <c r="R65" s="126" t="str">
        <f>IF('Finalterm OVPAA-F-INS-055A RAW '!R65="","",'Finalterm OVPAA-F-INS-055A RAW '!R65/'Finalterm OVPAA-F-INS-055A RAW '!R$17*100)</f>
        <v/>
      </c>
      <c r="S65" s="126" t="str">
        <f>IF('Finalterm OVPAA-F-INS-055A RAW '!S65="","",'Finalterm OVPAA-F-INS-055A RAW '!S65/'Finalterm OVPAA-F-INS-055A RAW '!S$17*100)</f>
        <v/>
      </c>
      <c r="T65" s="126" t="str">
        <f>IF('Finalterm OVPAA-F-INS-055A RAW '!T65="","",'Finalterm OVPAA-F-INS-055A RAW '!T65/'Finalterm OVPAA-F-INS-055A RAW '!T$17*100)</f>
        <v/>
      </c>
      <c r="U65" s="126" t="str">
        <f>IF('Finalterm OVPAA-F-INS-055A RAW '!U65="","",'Finalterm OVPAA-F-INS-055A RAW '!U65/'Finalterm OVPAA-F-INS-055A RAW '!U$17*100)</f>
        <v/>
      </c>
      <c r="V65" s="126" t="str">
        <f>IF('Finalterm OVPAA-F-INS-055A RAW '!V65="","",'Finalterm OVPAA-F-INS-055A RAW '!V65/'Finalterm OVPAA-F-INS-055A RAW '!V$17*100)</f>
        <v/>
      </c>
      <c r="W65" s="126" t="str">
        <f>IF('Finalterm OVPAA-F-INS-055A RAW '!W65="","",'Finalterm OVPAA-F-INS-055A RAW '!W65/'Finalterm OVPAA-F-INS-055A RAW '!W$17*100)</f>
        <v/>
      </c>
      <c r="X65" s="126" t="str">
        <f>IF('Finalterm OVPAA-F-INS-055A RAW '!X65="","",'Finalterm OVPAA-F-INS-055A RAW '!X65/'Finalterm OVPAA-F-INS-055A RAW '!X$17*100)</f>
        <v/>
      </c>
      <c r="Y65" s="126" t="str">
        <f>IF('Finalterm OVPAA-F-INS-055A RAW '!Y65="","",'Finalterm OVPAA-F-INS-055A RAW '!Y65/'Finalterm OVPAA-F-INS-055A RAW '!Y$17*100)</f>
        <v/>
      </c>
      <c r="Z65" s="126" t="str">
        <f>IF('Finalterm OVPAA-F-INS-055A RAW '!Z65="","",'Finalterm OVPAA-F-INS-055A RAW '!Z65/'Finalterm OVPAA-F-INS-055A RAW '!Z$17*100)</f>
        <v/>
      </c>
      <c r="AA65" s="126" t="str">
        <f>IF('Finalterm OVPAA-F-INS-055A RAW '!AA65="","",'Finalterm OVPAA-F-INS-055A RAW '!AA65/'Finalterm OVPAA-F-INS-055A RAW '!AA$17*100)</f>
        <v/>
      </c>
      <c r="AB65" s="126" t="str">
        <f>IF('Finalterm OVPAA-F-INS-055A RAW '!AB65="","",'Finalterm OVPAA-F-INS-055A RAW '!AB65/'Finalterm OVPAA-F-INS-055A RAW '!AB$17*100)</f>
        <v/>
      </c>
      <c r="AC65" s="126" t="str">
        <f>IF('Finalterm OVPAA-F-INS-055A RAW '!AC65="","",'Finalterm OVPAA-F-INS-055A RAW '!AC65/'Finalterm OVPAA-F-INS-055A RAW '!AC$17*100)</f>
        <v/>
      </c>
      <c r="AD65" s="126" t="str">
        <f>IF('Finalterm OVPAA-F-INS-055A RAW '!AD65="","",'Finalterm OVPAA-F-INS-055A RAW '!AD65/'Finalterm OVPAA-F-INS-055A RAW '!AD$17*100)</f>
        <v/>
      </c>
      <c r="AE65" s="126" t="str">
        <f>IF('Finalterm OVPAA-F-INS-055A RAW '!AE65="","",'Finalterm OVPAA-F-INS-055A RAW '!AE65/'Finalterm OVPAA-F-INS-055A RAW '!AE$17*100)</f>
        <v/>
      </c>
      <c r="AF65" s="126" t="str">
        <f>IF('Finalterm OVPAA-F-INS-055A RAW '!AF65="","",'Finalterm OVPAA-F-INS-055A RAW '!AF65/'Finalterm OVPAA-F-INS-055A RAW '!AF$17*100)</f>
        <v/>
      </c>
      <c r="AG65" s="126" t="str">
        <f>IF('Finalterm OVPAA-F-INS-055A RAW '!AG65="","",'Finalterm OVPAA-F-INS-055A RAW '!AG65/'Finalterm OVPAA-F-INS-055A RAW '!AG$17*100)</f>
        <v/>
      </c>
      <c r="AH65" s="126" t="str">
        <f>IF('Finalterm OVPAA-F-INS-055A RAW '!AH65="","",'Finalterm OVPAA-F-INS-055A RAW '!AH65/'Finalterm OVPAA-F-INS-055A RAW '!AH$17*100)</f>
        <v/>
      </c>
      <c r="AI65" s="126" t="str">
        <f>IF('Finalterm OVPAA-F-INS-055A RAW '!AI65="","",'Finalterm OVPAA-F-INS-055A RAW '!AI65/'Finalterm OVPAA-F-INS-055A RAW '!AI$17*100)</f>
        <v/>
      </c>
      <c r="AJ65" s="126" t="str">
        <f>IF('Finalterm OVPAA-F-INS-055A RAW '!AJ65="","",'Finalterm OVPAA-F-INS-055A RAW '!AJ65/'Finalterm OVPAA-F-INS-055A RAW '!AJ$17*100)</f>
        <v/>
      </c>
      <c r="AK65" s="126" t="str">
        <f>IF('Finalterm OVPAA-F-INS-055A RAW '!AK65="","",'Finalterm OVPAA-F-INS-055A RAW '!AK65/'Finalterm OVPAA-F-INS-055A RAW '!AK$17*100)</f>
        <v/>
      </c>
      <c r="AL65" s="126" t="str">
        <f>IF('Finalterm OVPAA-F-INS-055A RAW '!AL65="","",'Finalterm OVPAA-F-INS-055A RAW '!AL65/'Finalterm OVPAA-F-INS-055A RAW '!AL$17*100)</f>
        <v/>
      </c>
      <c r="AM65" s="126" t="str">
        <f>IF('Finalterm OVPAA-F-INS-055A RAW '!AM65="","",'Finalterm OVPAA-F-INS-055A RAW '!AM65/'Finalterm OVPAA-F-INS-055A RAW '!AM$17*100)</f>
        <v/>
      </c>
      <c r="AN65" s="126" t="str">
        <f>IF('Finalterm OVPAA-F-INS-055A RAW '!AN65="","",'Finalterm OVPAA-F-INS-055A RAW '!AN65/'Finalterm OVPAA-F-INS-055A RAW '!AN$17*100)</f>
        <v/>
      </c>
      <c r="AO65" s="126" t="str">
        <f>IF('Finalterm OVPAA-F-INS-055A RAW '!AO65="","",'Finalterm OVPAA-F-INS-055A RAW '!AO65/'Finalterm OVPAA-F-INS-055A RAW '!AO$17*100)</f>
        <v/>
      </c>
      <c r="AP65" s="126" t="str">
        <f>IF('Finalterm OVPAA-F-INS-055A RAW '!AP65="","",'Finalterm OVPAA-F-INS-055A RAW '!AP65/'Finalterm OVPAA-F-INS-055A RAW '!AP$17*100)</f>
        <v/>
      </c>
      <c r="AQ65" s="126" t="str">
        <f>IF('Finalterm OVPAA-F-INS-055A RAW '!AQ65="","",'Finalterm OVPAA-F-INS-055A RAW '!AQ65/'Finalterm OVPAA-F-INS-055A RAW '!AQ$17*100)</f>
        <v/>
      </c>
      <c r="AR65" s="126" t="str">
        <f>IF('Finalterm OVPAA-F-INS-055A RAW '!AR65="","",'Finalterm OVPAA-F-INS-055A RAW '!AR65/'Finalterm OVPAA-F-INS-055A RAW '!AR$17*100)</f>
        <v/>
      </c>
      <c r="AS65" s="126" t="str">
        <f>IF('Finalterm OVPAA-F-INS-055A RAW '!AS65="","",'Finalterm OVPAA-F-INS-055A RAW '!AS65/'Finalterm OVPAA-F-INS-055A RAW '!AS$17*100)</f>
        <v/>
      </c>
      <c r="AT65" s="126" t="str">
        <f>IF('Finalterm OVPAA-F-INS-055A RAW '!AT65="","",'Finalterm OVPAA-F-INS-055A RAW '!AT65/'Finalterm OVPAA-F-INS-055A RAW '!AT$17*100)</f>
        <v/>
      </c>
      <c r="AU65" s="126" t="str">
        <f>IF('Finalterm OVPAA-F-INS-055A RAW '!AU65="","",'Finalterm OVPAA-F-INS-055A RAW '!AU65/'Finalterm OVPAA-F-INS-055A RAW '!AU$17*100)</f>
        <v/>
      </c>
      <c r="AV65" s="126" t="str">
        <f>IF('Finalterm OVPAA-F-INS-055A RAW '!AV65="","",'Finalterm OVPAA-F-INS-055A RAW '!AV65/'Finalterm OVPAA-F-INS-055A RAW '!AV$17*100)</f>
        <v/>
      </c>
      <c r="AW65" s="126" t="str">
        <f>IF('Finalterm OVPAA-F-INS-055A RAW '!AW65="","",'Finalterm OVPAA-F-INS-055A RAW '!AW65/'Finalterm OVPAA-F-INS-055A RAW '!AW$17*100)</f>
        <v/>
      </c>
      <c r="AX65" s="126" t="str">
        <f>IF('Finalterm OVPAA-F-INS-055A RAW '!AX65="","",'Finalterm OVPAA-F-INS-055A RAW '!AX65/'Finalterm OVPAA-F-INS-055A RAW '!AX$17*100)</f>
        <v/>
      </c>
      <c r="AY65" s="126" t="str">
        <f>IF('Finalterm OVPAA-F-INS-055A RAW '!AY65="","",'Finalterm OVPAA-F-INS-055A RAW '!AY65/'Finalterm OVPAA-F-INS-055A RAW '!AY$17*100)</f>
        <v/>
      </c>
      <c r="AZ65" s="126" t="str">
        <f>IF('Finalterm OVPAA-F-INS-055A RAW '!AZ65="","",'Finalterm OVPAA-F-INS-055A RAW '!AZ65/'Finalterm OVPAA-F-INS-055A RAW '!AZ$17*100)</f>
        <v/>
      </c>
      <c r="BA65" s="126" t="str">
        <f>IF('Finalterm OVPAA-F-INS-055A RAW '!BA65="","",'Finalterm OVPAA-F-INS-055A RAW '!BA65/'Finalterm OVPAA-F-INS-055A RAW '!BA$17*100)</f>
        <v/>
      </c>
      <c r="BB65" s="126" t="str">
        <f>IF('Finalterm OVPAA-F-INS-055A RAW '!BB65="","",'Finalterm OVPAA-F-INS-055A RAW '!BB65/'Finalterm OVPAA-F-INS-055A RAW '!BB$17*100)</f>
        <v/>
      </c>
      <c r="BC65" s="126" t="str">
        <f>IF('Finalterm OVPAA-F-INS-055A RAW '!BC65="","",'Finalterm OVPAA-F-INS-055A RAW '!BC65/'Finalterm OVPAA-F-INS-055A RAW '!BC$17*100)</f>
        <v/>
      </c>
      <c r="BD65" s="126" t="str">
        <f>IF('Finalterm OVPAA-F-INS-055A RAW '!BD65="","",'Finalterm OVPAA-F-INS-055A RAW '!BD65/'Finalterm OVPAA-F-INS-055A RAW '!BD$17*100)</f>
        <v/>
      </c>
      <c r="BE65" s="126" t="str">
        <f>IF('Finalterm OVPAA-F-INS-055A RAW '!BE65="","",'Finalterm OVPAA-F-INS-055A RAW '!BE65/'Finalterm OVPAA-F-INS-055A RAW '!BE$17*100)</f>
        <v/>
      </c>
      <c r="BF65" s="126" t="str">
        <f>IF('Finalterm OVPAA-F-INS-055A RAW '!BF65="","",'Finalterm OVPAA-F-INS-055A RAW '!BF65/'Finalterm OVPAA-F-INS-055A RAW '!BF$17*100)</f>
        <v/>
      </c>
      <c r="BG65" s="126" t="str">
        <f>IF('Finalterm OVPAA-F-INS-055A RAW '!BG65="","",'Finalterm OVPAA-F-INS-055A RAW '!BG65/'Finalterm OVPAA-F-INS-055A RAW '!BG$17*100)</f>
        <v/>
      </c>
      <c r="BH65" s="126" t="str">
        <f>IF('Finalterm OVPAA-F-INS-055A RAW '!BH65="","",'Finalterm OVPAA-F-INS-055A RAW '!BH65/'Finalterm OVPAA-F-INS-055A RAW '!BH$17*100)</f>
        <v/>
      </c>
      <c r="BI65" s="126" t="str">
        <f>IF('Finalterm OVPAA-F-INS-055A RAW '!BI65="","",'Finalterm OVPAA-F-INS-055A RAW '!BI65/'Finalterm OVPAA-F-INS-055A RAW '!BI$17*100)</f>
        <v/>
      </c>
      <c r="BJ65" s="126" t="str">
        <f>IF('Finalterm OVPAA-F-INS-055A RAW '!BJ65="","",'Finalterm OVPAA-F-INS-055A RAW '!BJ65/'Finalterm OVPAA-F-INS-055A RAW '!BJ$17*100)</f>
        <v/>
      </c>
      <c r="BK65" s="126" t="str">
        <f>IF('Finalterm OVPAA-F-INS-055A RAW '!BK65="","",'Finalterm OVPAA-F-INS-055A RAW '!BK65/'Finalterm OVPAA-F-INS-055A RAW '!BK$17*100)</f>
        <v/>
      </c>
      <c r="BL65" s="126" t="str">
        <f>IF('Finalterm OVPAA-F-INS-055A RAW '!BL65="","",'Finalterm OVPAA-F-INS-055A RAW '!BL65/'Finalterm OVPAA-F-INS-055A RAW '!BL$17*100)</f>
        <v/>
      </c>
      <c r="BM65" s="126" t="str">
        <f>IF('Finalterm OVPAA-F-INS-055A RAW '!BM65="","",'Finalterm OVPAA-F-INS-055A RAW '!BM65/'Finalterm OVPAA-F-INS-055A RAW '!BM$17*100)</f>
        <v/>
      </c>
      <c r="BN65" s="126" t="str">
        <f>IF('Finalterm OVPAA-F-INS-055A RAW '!BN65="","",'Finalterm OVPAA-F-INS-055A RAW '!BN65/'Finalterm OVPAA-F-INS-055A RAW '!BN$17*100)</f>
        <v/>
      </c>
      <c r="BO65" s="126" t="str">
        <f>IF('Finalterm OVPAA-F-INS-055A RAW '!BO65="","",'Finalterm OVPAA-F-INS-055A RAW '!BO65/'Finalterm OVPAA-F-INS-055A RAW '!BO$17*100)</f>
        <v/>
      </c>
      <c r="BP65" s="126" t="str">
        <f>IF('Finalterm OVPAA-F-INS-055A RAW '!BP65="","",'Finalterm OVPAA-F-INS-055A RAW '!BP65/'Finalterm OVPAA-F-INS-055A RAW '!BP$17*100)</f>
        <v/>
      </c>
      <c r="BQ65" s="126" t="str">
        <f>IF('Finalterm OVPAA-F-INS-055A RAW '!BQ65="","",'Finalterm OVPAA-F-INS-055A RAW '!BQ65/'Finalterm OVPAA-F-INS-055A RAW '!BQ$17*100)</f>
        <v/>
      </c>
      <c r="BR65" s="126" t="str">
        <f>IF('Finalterm OVPAA-F-INS-055A RAW '!BR65="","",'Finalterm OVPAA-F-INS-055A RAW '!BR65/'Finalterm OVPAA-F-INS-055A RAW '!BR$17*100)</f>
        <v/>
      </c>
      <c r="BS65" s="126" t="str">
        <f>IF('Finalterm OVPAA-F-INS-055A RAW '!BS65="","",'Finalterm OVPAA-F-INS-055A RAW '!BS65/'Finalterm OVPAA-F-INS-055A RAW '!BS$17*100)</f>
        <v/>
      </c>
      <c r="BT65" s="126" t="str">
        <f>IF('Finalterm OVPAA-F-INS-055A RAW '!BT65="","",'Finalterm OVPAA-F-INS-055A RAW '!BT65/'Finalterm OVPAA-F-INS-055A RAW '!BT$17*100)</f>
        <v/>
      </c>
      <c r="BU65" s="127" t="str">
        <f t="array" ref="BU65">IF('Finalterm OVPAA-F-INS-055A RAW '!$G65="","",IF((SUMPRODUCT(--ISBLANK('Finalterm OVPAA-F-INS-055A RAW '!H65:BT65))=COLUMNS('Finalterm OVPAA-F-INS-055A RAW '!H65:BT65))=TRUE,"",(((COUNTA('Finalterm OVPAA-F-INS-055A RAW '!$H$17:$BT$17)+COUNTBLANK('Finalterm OVPAA-F-INS-055A RAW '!H65:BT65))-COLUMNS('Finalterm OVPAA-F-INS-055A RAW '!H65:BT65))*5+SUM(H65:BT65))/COUNTA('Finalterm OVPAA-F-INS-055A RAW '!$H$17:$BT$17)))</f>
        <v/>
      </c>
      <c r="BV65" s="165" t="str">
        <f>IF(BU65="","",VLOOKUP(BU65,IF('Midterm OVPAA-F-INS-055A RAW SC'!$V$12=0.5,TRANSMUTATION!$C$4:$D$17,TRANSMUTATION!$G$4:$H$17),2,TRUE))</f>
        <v/>
      </c>
      <c r="BW65" s="129" t="str">
        <f>IF('Finalterm OVPAA-F-INS-055A RAW '!BU65="","",'Finalterm OVPAA-F-INS-055A RAW '!BU65/'Finalterm OVPAA-F-INS-055A RAW '!BU$17*100)</f>
        <v/>
      </c>
      <c r="BX65" s="130" t="str">
        <f>IF('Finalterm OVPAA-F-INS-055A RAW '!BV65="","",'Finalterm OVPAA-F-INS-055A RAW '!BV65/'Finalterm OVPAA-F-INS-055A RAW '!BV$17*100)</f>
        <v/>
      </c>
      <c r="BY65" s="130" t="str">
        <f>IF('Finalterm OVPAA-F-INS-055A RAW '!BW65="","",'Finalterm OVPAA-F-INS-055A RAW '!BW65/'Finalterm OVPAA-F-INS-055A RAW '!BW$17*100)</f>
        <v/>
      </c>
      <c r="BZ65" s="130" t="str">
        <f>IF('Finalterm OVPAA-F-INS-055A RAW '!BX65="","",'Finalterm OVPAA-F-INS-055A RAW '!BX65/'Finalterm OVPAA-F-INS-055A RAW '!BX$17*100)</f>
        <v/>
      </c>
      <c r="CA65" s="130" t="str">
        <f>IF('Finalterm OVPAA-F-INS-055A RAW '!BY65="","",'Finalterm OVPAA-F-INS-055A RAW '!BY65/'Finalterm OVPAA-F-INS-055A RAW '!BY$17*100)</f>
        <v/>
      </c>
      <c r="CB65" s="130" t="str">
        <f>IF('Finalterm OVPAA-F-INS-055A RAW '!BZ65="","",'Finalterm OVPAA-F-INS-055A RAW '!BZ65/'Finalterm OVPAA-F-INS-055A RAW '!BZ$17*100)</f>
        <v/>
      </c>
      <c r="CC65" s="130" t="str">
        <f>IF('Finalterm OVPAA-F-INS-055A RAW '!CA65="","",'Finalterm OVPAA-F-INS-055A RAW '!CA65/'Finalterm OVPAA-F-INS-055A RAW '!CA$17*100)</f>
        <v/>
      </c>
      <c r="CD65" s="130" t="str">
        <f>IF('Finalterm OVPAA-F-INS-055A RAW '!CB65="","",'Finalterm OVPAA-F-INS-055A RAW '!CB65/'Finalterm OVPAA-F-INS-055A RAW '!CB$17*100)</f>
        <v/>
      </c>
      <c r="CE65" s="130" t="str">
        <f>IF('Finalterm OVPAA-F-INS-055A RAW '!CC65="","",'Finalterm OVPAA-F-INS-055A RAW '!CC65/'Finalterm OVPAA-F-INS-055A RAW '!CC$17*100)</f>
        <v/>
      </c>
      <c r="CF65" s="130" t="str">
        <f>IF('Finalterm OVPAA-F-INS-055A RAW '!CD65="","",'Finalterm OVPAA-F-INS-055A RAW '!CD65/'Finalterm OVPAA-F-INS-055A RAW '!CD$17*100)</f>
        <v/>
      </c>
      <c r="CG65" s="130" t="str">
        <f>IF('Finalterm OVPAA-F-INS-055A RAW '!CE65="","",'Finalterm OVPAA-F-INS-055A RAW '!CE65/'Finalterm OVPAA-F-INS-055A RAW '!CE$17*100)</f>
        <v/>
      </c>
      <c r="CH65" s="130" t="str">
        <f>IF('Finalterm OVPAA-F-INS-055A RAW '!CF65="","",'Finalterm OVPAA-F-INS-055A RAW '!CF65/'Finalterm OVPAA-F-INS-055A RAW '!CF$17*100)</f>
        <v/>
      </c>
      <c r="CI65" s="130" t="str">
        <f>IF('Finalterm OVPAA-F-INS-055A RAW '!CG65="","",'Finalterm OVPAA-F-INS-055A RAW '!CG65/'Finalterm OVPAA-F-INS-055A RAW '!CG$17*100)</f>
        <v/>
      </c>
      <c r="CJ65" s="130" t="str">
        <f>IF('Finalterm OVPAA-F-INS-055A RAW '!CH65="","",'Finalterm OVPAA-F-INS-055A RAW '!CH65/'Finalterm OVPAA-F-INS-055A RAW '!CH$17*100)</f>
        <v/>
      </c>
      <c r="CK65" s="130" t="str">
        <f>IF('Finalterm OVPAA-F-INS-055A RAW '!CI65="","",'Finalterm OVPAA-F-INS-055A RAW '!CI65/'Finalterm OVPAA-F-INS-055A RAW '!CI$17*100)</f>
        <v/>
      </c>
      <c r="CL65" s="130" t="str">
        <f>IF('Finalterm OVPAA-F-INS-055A RAW '!CJ65="","",'Finalterm OVPAA-F-INS-055A RAW '!CJ65/'Finalterm OVPAA-F-INS-055A RAW '!CJ$17*100)</f>
        <v/>
      </c>
      <c r="CM65" s="130" t="str">
        <f>IF('Finalterm OVPAA-F-INS-055A RAW '!CK65="","",'Finalterm OVPAA-F-INS-055A RAW '!CK65/'Finalterm OVPAA-F-INS-055A RAW '!CK$17*100)</f>
        <v/>
      </c>
      <c r="CN65" s="130" t="str">
        <f>IF('Finalterm OVPAA-F-INS-055A RAW '!CL65="","",'Finalterm OVPAA-F-INS-055A RAW '!CL65/'Finalterm OVPAA-F-INS-055A RAW '!CL$17*100)</f>
        <v/>
      </c>
      <c r="CO65" s="130" t="str">
        <f>IF('Finalterm OVPAA-F-INS-055A RAW '!CM65="","",'Finalterm OVPAA-F-INS-055A RAW '!CM65/'Finalterm OVPAA-F-INS-055A RAW '!CM$17*100)</f>
        <v/>
      </c>
      <c r="CP65" s="130" t="str">
        <f>IF('Finalterm OVPAA-F-INS-055A RAW '!CN65="","",'Finalterm OVPAA-F-INS-055A RAW '!CN65/'Finalterm OVPAA-F-INS-055A RAW '!CN$17*100)</f>
        <v/>
      </c>
      <c r="CQ65" s="131" t="str">
        <f t="array" ref="CQ65">IF('Midterm OVPAA-F-INS-055A RAW SC'!G65="","",IF((SUMPRODUCT(--ISBLANK('Finalterm OVPAA-F-INS-055A RAW '!BU65:CN65))=COLUMNS('Finalterm OVPAA-F-INS-055A RAW '!BU65:CN65))=TRUE,"",(((COUNTA('Finalterm OVPAA-F-INS-055A RAW '!$BU$17:$CN$17)+COUNTBLANK('Finalterm OVPAA-F-INS-055A RAW '!BU65:CN65))-COLUMNS('Finalterm OVPAA-F-INS-055A RAW '!BU65:CN65))*5+SUM(BW65:CP65))/COUNTA('Finalterm OVPAA-F-INS-055A RAW '!$BU$17:$CN$17)))</f>
        <v/>
      </c>
      <c r="CR65" s="132" t="str">
        <f>IF(CQ65="","",VLOOKUP(CQ65,IF('Midterm OVPAA-F-INS-055A RAW SC'!$V$12=0.5,TRANSMUTATION!$C$4:$D$17,TRANSMUTATION!$G$4:$H$17),2,TRUE))</f>
        <v/>
      </c>
      <c r="CS65" s="133" t="str">
        <f>IF('Finalterm OVPAA-F-INS-055A RAW '!CO65="","",'Finalterm OVPAA-F-INS-055A RAW '!CO65/'Finalterm OVPAA-F-INS-055A RAW '!CO$17*100)</f>
        <v/>
      </c>
      <c r="CT65" s="133" t="str">
        <f>IF('Finalterm OVPAA-F-INS-055A RAW '!CP65="","",'Finalterm OVPAA-F-INS-055A RAW '!CP65/'Finalterm OVPAA-F-INS-055A RAW '!CP$17*100)</f>
        <v/>
      </c>
      <c r="CU65" s="133" t="str">
        <f>IF('Finalterm OVPAA-F-INS-055A RAW '!CQ65="","",'Finalterm OVPAA-F-INS-055A RAW '!CQ65/'Finalterm OVPAA-F-INS-055A RAW '!CQ$17*100)</f>
        <v/>
      </c>
      <c r="CV65" s="133" t="str">
        <f>IF('Finalterm OVPAA-F-INS-055A RAW '!CR65="","",'Finalterm OVPAA-F-INS-055A RAW '!CR65/'Finalterm OVPAA-F-INS-055A RAW '!CR$17*100)</f>
        <v/>
      </c>
      <c r="CW65" s="133" t="str">
        <f>IF('Finalterm OVPAA-F-INS-055A RAW '!CS65="","",'Finalterm OVPAA-F-INS-055A RAW '!CS65/'Finalterm OVPAA-F-INS-055A RAW '!CS$17*100)</f>
        <v/>
      </c>
      <c r="CX65" s="133" t="str">
        <f>IF('Finalterm OVPAA-F-INS-055A RAW '!CT65="","",'Finalterm OVPAA-F-INS-055A RAW '!CT65/'Finalterm OVPAA-F-INS-055A RAW '!CT$17*100)</f>
        <v/>
      </c>
      <c r="CY65" s="133" t="str">
        <f>IF('Finalterm OVPAA-F-INS-055A RAW '!CU65="","",'Finalterm OVPAA-F-INS-055A RAW '!CU65/'Finalterm OVPAA-F-INS-055A RAW '!CU$17*100)</f>
        <v/>
      </c>
      <c r="CZ65" s="133" t="str">
        <f>IF('Finalterm OVPAA-F-INS-055A RAW '!CV65="","",'Finalterm OVPAA-F-INS-055A RAW '!CV65/'Finalterm OVPAA-F-INS-055A RAW '!CV$17*100)</f>
        <v/>
      </c>
      <c r="DA65" s="133" t="str">
        <f>IF('Finalterm OVPAA-F-INS-055A RAW '!CW65="","",'Finalterm OVPAA-F-INS-055A RAW '!CW65/'Finalterm OVPAA-F-INS-055A RAW '!CW$17*100)</f>
        <v/>
      </c>
      <c r="DB65" s="133" t="str">
        <f>IF('Finalterm OVPAA-F-INS-055A RAW '!CX65="","",'Finalterm OVPAA-F-INS-055A RAW '!CX65/'Finalterm OVPAA-F-INS-055A RAW '!CX$17*100)</f>
        <v/>
      </c>
      <c r="DC65" s="134" t="str">
        <f t="array" ref="DC65">IF('Midterm OVPAA-F-INS-055A RAW SC'!$G65="","",IF((SUMPRODUCT(--ISBLANK('Finalterm OVPAA-F-INS-055A RAW '!CO65:CX65))=COLUMNS('Finalterm OVPAA-F-INS-055A RAW '!CO65:CX65))=TRUE,"",(((COUNTA('Finalterm OVPAA-F-INS-055A RAW '!$CO$17:$CX$17)+COUNTBLANK('Finalterm OVPAA-F-INS-055A RAW '!CO65:CX65))-COLUMNS('Finalterm OVPAA-F-INS-055A RAW '!CO65:CX65))*5+SUM(CS65:DB65))/COUNTA('Finalterm OVPAA-F-INS-055A RAW '!$CO$17:$CX$17)))</f>
        <v/>
      </c>
      <c r="DD65" s="135" t="str">
        <f>IF(DC65="","",VLOOKUP(DC65,IF('Midterm OVPAA-F-INS-055A RAW SC'!$V$12=0.5,TRANSMUTATION!$C$4:$D$17,TRANSMUTATION!$G$4:$H$17),2,TRUE))</f>
        <v/>
      </c>
      <c r="DE65" s="136" t="str">
        <f t="shared" si="1"/>
        <v/>
      </c>
      <c r="DF65" s="166" t="str">
        <f t="shared" si="2"/>
        <v/>
      </c>
      <c r="DG65" s="167" t="str">
        <f t="shared" si="3"/>
        <v/>
      </c>
      <c r="DH65" s="168" t="str">
        <f t="shared" si="4"/>
        <v/>
      </c>
      <c r="DI65" s="169" t="str">
        <f t="shared" si="5"/>
        <v/>
      </c>
    </row>
    <row r="66" spans="5:113" ht="15.75" hidden="1" customHeight="1">
      <c r="E66" s="59">
        <v>49</v>
      </c>
      <c r="F66" s="124" t="str">
        <f>IF(NOT(ISBLANK('Midterm OVPAA-F-INS-055A RAW SC'!F66)),'Midterm OVPAA-F-INS-055A RAW SC'!F66,"")</f>
        <v/>
      </c>
      <c r="G66" s="125" t="str">
        <f>IF(NOT(ISBLANK('Midterm OVPAA-F-INS-055A RAW SC'!G66)),'Midterm OVPAA-F-INS-055A RAW SC'!G66,"")</f>
        <v/>
      </c>
      <c r="H66" s="126" t="str">
        <f>IF('Finalterm OVPAA-F-INS-055A RAW '!H66="","",'Finalterm OVPAA-F-INS-055A RAW '!H66/'Finalterm OVPAA-F-INS-055A RAW '!H$17*100)</f>
        <v/>
      </c>
      <c r="I66" s="126" t="str">
        <f>IF('Finalterm OVPAA-F-INS-055A RAW '!I66="","",'Finalterm OVPAA-F-INS-055A RAW '!I66/'Finalterm OVPAA-F-INS-055A RAW '!I$17*100)</f>
        <v/>
      </c>
      <c r="J66" s="126" t="str">
        <f>IF('Finalterm OVPAA-F-INS-055A RAW '!J66="","",'Finalterm OVPAA-F-INS-055A RAW '!J66/'Finalterm OVPAA-F-INS-055A RAW '!J$17*100)</f>
        <v/>
      </c>
      <c r="K66" s="126" t="str">
        <f>IF('Finalterm OVPAA-F-INS-055A RAW '!K66="","",'Finalterm OVPAA-F-INS-055A RAW '!K66/'Finalterm OVPAA-F-INS-055A RAW '!K$17*100)</f>
        <v/>
      </c>
      <c r="L66" s="126" t="str">
        <f>IF('Finalterm OVPAA-F-INS-055A RAW '!L66="","",'Finalterm OVPAA-F-INS-055A RAW '!L66/'Finalterm OVPAA-F-INS-055A RAW '!L$17*100)</f>
        <v/>
      </c>
      <c r="M66" s="126" t="str">
        <f>IF('Finalterm OVPAA-F-INS-055A RAW '!M66="","",'Finalterm OVPAA-F-INS-055A RAW '!M66/'Finalterm OVPAA-F-INS-055A RAW '!M$17*100)</f>
        <v/>
      </c>
      <c r="N66" s="126" t="str">
        <f>IF('Finalterm OVPAA-F-INS-055A RAW '!N66="","",'Finalterm OVPAA-F-INS-055A RAW '!N66/'Finalterm OVPAA-F-INS-055A RAW '!N$17*100)</f>
        <v/>
      </c>
      <c r="O66" s="126" t="str">
        <f>IF('Finalterm OVPAA-F-INS-055A RAW '!O66="","",'Finalterm OVPAA-F-INS-055A RAW '!O66/'Finalterm OVPAA-F-INS-055A RAW '!O$17*100)</f>
        <v/>
      </c>
      <c r="P66" s="126" t="str">
        <f>IF('Finalterm OVPAA-F-INS-055A RAW '!P66="","",'Finalterm OVPAA-F-INS-055A RAW '!P66/'Finalterm OVPAA-F-INS-055A RAW '!P$17*100)</f>
        <v/>
      </c>
      <c r="Q66" s="126" t="str">
        <f>IF('Finalterm OVPAA-F-INS-055A RAW '!Q66="","",'Finalterm OVPAA-F-INS-055A RAW '!Q66/'Finalterm OVPAA-F-INS-055A RAW '!Q$17*100)</f>
        <v/>
      </c>
      <c r="R66" s="126" t="str">
        <f>IF('Finalterm OVPAA-F-INS-055A RAW '!R66="","",'Finalterm OVPAA-F-INS-055A RAW '!R66/'Finalterm OVPAA-F-INS-055A RAW '!R$17*100)</f>
        <v/>
      </c>
      <c r="S66" s="126" t="str">
        <f>IF('Finalterm OVPAA-F-INS-055A RAW '!S66="","",'Finalterm OVPAA-F-INS-055A RAW '!S66/'Finalterm OVPAA-F-INS-055A RAW '!S$17*100)</f>
        <v/>
      </c>
      <c r="T66" s="126" t="str">
        <f>IF('Finalterm OVPAA-F-INS-055A RAW '!T66="","",'Finalterm OVPAA-F-INS-055A RAW '!T66/'Finalterm OVPAA-F-INS-055A RAW '!T$17*100)</f>
        <v/>
      </c>
      <c r="U66" s="126" t="str">
        <f>IF('Finalterm OVPAA-F-INS-055A RAW '!U66="","",'Finalterm OVPAA-F-INS-055A RAW '!U66/'Finalterm OVPAA-F-INS-055A RAW '!U$17*100)</f>
        <v/>
      </c>
      <c r="V66" s="126" t="str">
        <f>IF('Finalterm OVPAA-F-INS-055A RAW '!V66="","",'Finalterm OVPAA-F-INS-055A RAW '!V66/'Finalterm OVPAA-F-INS-055A RAW '!V$17*100)</f>
        <v/>
      </c>
      <c r="W66" s="126" t="str">
        <f>IF('Finalterm OVPAA-F-INS-055A RAW '!W66="","",'Finalterm OVPAA-F-INS-055A RAW '!W66/'Finalterm OVPAA-F-INS-055A RAW '!W$17*100)</f>
        <v/>
      </c>
      <c r="X66" s="126" t="str">
        <f>IF('Finalterm OVPAA-F-INS-055A RAW '!X66="","",'Finalterm OVPAA-F-INS-055A RAW '!X66/'Finalterm OVPAA-F-INS-055A RAW '!X$17*100)</f>
        <v/>
      </c>
      <c r="Y66" s="126" t="str">
        <f>IF('Finalterm OVPAA-F-INS-055A RAW '!Y66="","",'Finalterm OVPAA-F-INS-055A RAW '!Y66/'Finalterm OVPAA-F-INS-055A RAW '!Y$17*100)</f>
        <v/>
      </c>
      <c r="Z66" s="126" t="str">
        <f>IF('Finalterm OVPAA-F-INS-055A RAW '!Z66="","",'Finalterm OVPAA-F-INS-055A RAW '!Z66/'Finalterm OVPAA-F-INS-055A RAW '!Z$17*100)</f>
        <v/>
      </c>
      <c r="AA66" s="126" t="str">
        <f>IF('Finalterm OVPAA-F-INS-055A RAW '!AA66="","",'Finalterm OVPAA-F-INS-055A RAW '!AA66/'Finalterm OVPAA-F-INS-055A RAW '!AA$17*100)</f>
        <v/>
      </c>
      <c r="AB66" s="126" t="str">
        <f>IF('Finalterm OVPAA-F-INS-055A RAW '!AB66="","",'Finalterm OVPAA-F-INS-055A RAW '!AB66/'Finalterm OVPAA-F-INS-055A RAW '!AB$17*100)</f>
        <v/>
      </c>
      <c r="AC66" s="126" t="str">
        <f>IF('Finalterm OVPAA-F-INS-055A RAW '!AC66="","",'Finalterm OVPAA-F-INS-055A RAW '!AC66/'Finalterm OVPAA-F-INS-055A RAW '!AC$17*100)</f>
        <v/>
      </c>
      <c r="AD66" s="126" t="str">
        <f>IF('Finalterm OVPAA-F-INS-055A RAW '!AD66="","",'Finalterm OVPAA-F-INS-055A RAW '!AD66/'Finalterm OVPAA-F-INS-055A RAW '!AD$17*100)</f>
        <v/>
      </c>
      <c r="AE66" s="126" t="str">
        <f>IF('Finalterm OVPAA-F-INS-055A RAW '!AE66="","",'Finalterm OVPAA-F-INS-055A RAW '!AE66/'Finalterm OVPAA-F-INS-055A RAW '!AE$17*100)</f>
        <v/>
      </c>
      <c r="AF66" s="126" t="str">
        <f>IF('Finalterm OVPAA-F-INS-055A RAW '!AF66="","",'Finalterm OVPAA-F-INS-055A RAW '!AF66/'Finalterm OVPAA-F-INS-055A RAW '!AF$17*100)</f>
        <v/>
      </c>
      <c r="AG66" s="126" t="str">
        <f>IF('Finalterm OVPAA-F-INS-055A RAW '!AG66="","",'Finalterm OVPAA-F-INS-055A RAW '!AG66/'Finalterm OVPAA-F-INS-055A RAW '!AG$17*100)</f>
        <v/>
      </c>
      <c r="AH66" s="126" t="str">
        <f>IF('Finalterm OVPAA-F-INS-055A RAW '!AH66="","",'Finalterm OVPAA-F-INS-055A RAW '!AH66/'Finalterm OVPAA-F-INS-055A RAW '!AH$17*100)</f>
        <v/>
      </c>
      <c r="AI66" s="126" t="str">
        <f>IF('Finalterm OVPAA-F-INS-055A RAW '!AI66="","",'Finalterm OVPAA-F-INS-055A RAW '!AI66/'Finalterm OVPAA-F-INS-055A RAW '!AI$17*100)</f>
        <v/>
      </c>
      <c r="AJ66" s="126" t="str">
        <f>IF('Finalterm OVPAA-F-INS-055A RAW '!AJ66="","",'Finalterm OVPAA-F-INS-055A RAW '!AJ66/'Finalterm OVPAA-F-INS-055A RAW '!AJ$17*100)</f>
        <v/>
      </c>
      <c r="AK66" s="126" t="str">
        <f>IF('Finalterm OVPAA-F-INS-055A RAW '!AK66="","",'Finalterm OVPAA-F-INS-055A RAW '!AK66/'Finalterm OVPAA-F-INS-055A RAW '!AK$17*100)</f>
        <v/>
      </c>
      <c r="AL66" s="126" t="str">
        <f>IF('Finalterm OVPAA-F-INS-055A RAW '!AL66="","",'Finalterm OVPAA-F-INS-055A RAW '!AL66/'Finalterm OVPAA-F-INS-055A RAW '!AL$17*100)</f>
        <v/>
      </c>
      <c r="AM66" s="126" t="str">
        <f>IF('Finalterm OVPAA-F-INS-055A RAW '!AM66="","",'Finalterm OVPAA-F-INS-055A RAW '!AM66/'Finalterm OVPAA-F-INS-055A RAW '!AM$17*100)</f>
        <v/>
      </c>
      <c r="AN66" s="126" t="str">
        <f>IF('Finalterm OVPAA-F-INS-055A RAW '!AN66="","",'Finalterm OVPAA-F-INS-055A RAW '!AN66/'Finalterm OVPAA-F-INS-055A RAW '!AN$17*100)</f>
        <v/>
      </c>
      <c r="AO66" s="126" t="str">
        <f>IF('Finalterm OVPAA-F-INS-055A RAW '!AO66="","",'Finalterm OVPAA-F-INS-055A RAW '!AO66/'Finalterm OVPAA-F-INS-055A RAW '!AO$17*100)</f>
        <v/>
      </c>
      <c r="AP66" s="126" t="str">
        <f>IF('Finalterm OVPAA-F-INS-055A RAW '!AP66="","",'Finalterm OVPAA-F-INS-055A RAW '!AP66/'Finalterm OVPAA-F-INS-055A RAW '!AP$17*100)</f>
        <v/>
      </c>
      <c r="AQ66" s="126" t="str">
        <f>IF('Finalterm OVPAA-F-INS-055A RAW '!AQ66="","",'Finalterm OVPAA-F-INS-055A RAW '!AQ66/'Finalterm OVPAA-F-INS-055A RAW '!AQ$17*100)</f>
        <v/>
      </c>
      <c r="AR66" s="126" t="str">
        <f>IF('Finalterm OVPAA-F-INS-055A RAW '!AR66="","",'Finalterm OVPAA-F-INS-055A RAW '!AR66/'Finalterm OVPAA-F-INS-055A RAW '!AR$17*100)</f>
        <v/>
      </c>
      <c r="AS66" s="126" t="str">
        <f>IF('Finalterm OVPAA-F-INS-055A RAW '!AS66="","",'Finalterm OVPAA-F-INS-055A RAW '!AS66/'Finalterm OVPAA-F-INS-055A RAW '!AS$17*100)</f>
        <v/>
      </c>
      <c r="AT66" s="126" t="str">
        <f>IF('Finalterm OVPAA-F-INS-055A RAW '!AT66="","",'Finalterm OVPAA-F-INS-055A RAW '!AT66/'Finalterm OVPAA-F-INS-055A RAW '!AT$17*100)</f>
        <v/>
      </c>
      <c r="AU66" s="126" t="str">
        <f>IF('Finalterm OVPAA-F-INS-055A RAW '!AU66="","",'Finalterm OVPAA-F-INS-055A RAW '!AU66/'Finalterm OVPAA-F-INS-055A RAW '!AU$17*100)</f>
        <v/>
      </c>
      <c r="AV66" s="126" t="str">
        <f>IF('Finalterm OVPAA-F-INS-055A RAW '!AV66="","",'Finalterm OVPAA-F-INS-055A RAW '!AV66/'Finalterm OVPAA-F-INS-055A RAW '!AV$17*100)</f>
        <v/>
      </c>
      <c r="AW66" s="126" t="str">
        <f>IF('Finalterm OVPAA-F-INS-055A RAW '!AW66="","",'Finalterm OVPAA-F-INS-055A RAW '!AW66/'Finalterm OVPAA-F-INS-055A RAW '!AW$17*100)</f>
        <v/>
      </c>
      <c r="AX66" s="126" t="str">
        <f>IF('Finalterm OVPAA-F-INS-055A RAW '!AX66="","",'Finalterm OVPAA-F-INS-055A RAW '!AX66/'Finalterm OVPAA-F-INS-055A RAW '!AX$17*100)</f>
        <v/>
      </c>
      <c r="AY66" s="126" t="str">
        <f>IF('Finalterm OVPAA-F-INS-055A RAW '!AY66="","",'Finalterm OVPAA-F-INS-055A RAW '!AY66/'Finalterm OVPAA-F-INS-055A RAW '!AY$17*100)</f>
        <v/>
      </c>
      <c r="AZ66" s="126" t="str">
        <f>IF('Finalterm OVPAA-F-INS-055A RAW '!AZ66="","",'Finalterm OVPAA-F-INS-055A RAW '!AZ66/'Finalterm OVPAA-F-INS-055A RAW '!AZ$17*100)</f>
        <v/>
      </c>
      <c r="BA66" s="126" t="str">
        <f>IF('Finalterm OVPAA-F-INS-055A RAW '!BA66="","",'Finalterm OVPAA-F-INS-055A RAW '!BA66/'Finalterm OVPAA-F-INS-055A RAW '!BA$17*100)</f>
        <v/>
      </c>
      <c r="BB66" s="126" t="str">
        <f>IF('Finalterm OVPAA-F-INS-055A RAW '!BB66="","",'Finalterm OVPAA-F-INS-055A RAW '!BB66/'Finalterm OVPAA-F-INS-055A RAW '!BB$17*100)</f>
        <v/>
      </c>
      <c r="BC66" s="126" t="str">
        <f>IF('Finalterm OVPAA-F-INS-055A RAW '!BC66="","",'Finalterm OVPAA-F-INS-055A RAW '!BC66/'Finalterm OVPAA-F-INS-055A RAW '!BC$17*100)</f>
        <v/>
      </c>
      <c r="BD66" s="126" t="str">
        <f>IF('Finalterm OVPAA-F-INS-055A RAW '!BD66="","",'Finalterm OVPAA-F-INS-055A RAW '!BD66/'Finalterm OVPAA-F-INS-055A RAW '!BD$17*100)</f>
        <v/>
      </c>
      <c r="BE66" s="126" t="str">
        <f>IF('Finalterm OVPAA-F-INS-055A RAW '!BE66="","",'Finalterm OVPAA-F-INS-055A RAW '!BE66/'Finalterm OVPAA-F-INS-055A RAW '!BE$17*100)</f>
        <v/>
      </c>
      <c r="BF66" s="126" t="str">
        <f>IF('Finalterm OVPAA-F-INS-055A RAW '!BF66="","",'Finalterm OVPAA-F-INS-055A RAW '!BF66/'Finalterm OVPAA-F-INS-055A RAW '!BF$17*100)</f>
        <v/>
      </c>
      <c r="BG66" s="126" t="str">
        <f>IF('Finalterm OVPAA-F-INS-055A RAW '!BG66="","",'Finalterm OVPAA-F-INS-055A RAW '!BG66/'Finalterm OVPAA-F-INS-055A RAW '!BG$17*100)</f>
        <v/>
      </c>
      <c r="BH66" s="126" t="str">
        <f>IF('Finalterm OVPAA-F-INS-055A RAW '!BH66="","",'Finalterm OVPAA-F-INS-055A RAW '!BH66/'Finalterm OVPAA-F-INS-055A RAW '!BH$17*100)</f>
        <v/>
      </c>
      <c r="BI66" s="126" t="str">
        <f>IF('Finalterm OVPAA-F-INS-055A RAW '!BI66="","",'Finalterm OVPAA-F-INS-055A RAW '!BI66/'Finalterm OVPAA-F-INS-055A RAW '!BI$17*100)</f>
        <v/>
      </c>
      <c r="BJ66" s="126" t="str">
        <f>IF('Finalterm OVPAA-F-INS-055A RAW '!BJ66="","",'Finalterm OVPAA-F-INS-055A RAW '!BJ66/'Finalterm OVPAA-F-INS-055A RAW '!BJ$17*100)</f>
        <v/>
      </c>
      <c r="BK66" s="126" t="str">
        <f>IF('Finalterm OVPAA-F-INS-055A RAW '!BK66="","",'Finalterm OVPAA-F-INS-055A RAW '!BK66/'Finalterm OVPAA-F-INS-055A RAW '!BK$17*100)</f>
        <v/>
      </c>
      <c r="BL66" s="126" t="str">
        <f>IF('Finalterm OVPAA-F-INS-055A RAW '!BL66="","",'Finalterm OVPAA-F-INS-055A RAW '!BL66/'Finalterm OVPAA-F-INS-055A RAW '!BL$17*100)</f>
        <v/>
      </c>
      <c r="BM66" s="126" t="str">
        <f>IF('Finalterm OVPAA-F-INS-055A RAW '!BM66="","",'Finalterm OVPAA-F-INS-055A RAW '!BM66/'Finalterm OVPAA-F-INS-055A RAW '!BM$17*100)</f>
        <v/>
      </c>
      <c r="BN66" s="126" t="str">
        <f>IF('Finalterm OVPAA-F-INS-055A RAW '!BN66="","",'Finalterm OVPAA-F-INS-055A RAW '!BN66/'Finalterm OVPAA-F-INS-055A RAW '!BN$17*100)</f>
        <v/>
      </c>
      <c r="BO66" s="126" t="str">
        <f>IF('Finalterm OVPAA-F-INS-055A RAW '!BO66="","",'Finalterm OVPAA-F-INS-055A RAW '!BO66/'Finalterm OVPAA-F-INS-055A RAW '!BO$17*100)</f>
        <v/>
      </c>
      <c r="BP66" s="126" t="str">
        <f>IF('Finalterm OVPAA-F-INS-055A RAW '!BP66="","",'Finalterm OVPAA-F-INS-055A RAW '!BP66/'Finalterm OVPAA-F-INS-055A RAW '!BP$17*100)</f>
        <v/>
      </c>
      <c r="BQ66" s="126" t="str">
        <f>IF('Finalterm OVPAA-F-INS-055A RAW '!BQ66="","",'Finalterm OVPAA-F-INS-055A RAW '!BQ66/'Finalterm OVPAA-F-INS-055A RAW '!BQ$17*100)</f>
        <v/>
      </c>
      <c r="BR66" s="126" t="str">
        <f>IF('Finalterm OVPAA-F-INS-055A RAW '!BR66="","",'Finalterm OVPAA-F-INS-055A RAW '!BR66/'Finalterm OVPAA-F-INS-055A RAW '!BR$17*100)</f>
        <v/>
      </c>
      <c r="BS66" s="126" t="str">
        <f>IF('Finalterm OVPAA-F-INS-055A RAW '!BS66="","",'Finalterm OVPAA-F-INS-055A RAW '!BS66/'Finalterm OVPAA-F-INS-055A RAW '!BS$17*100)</f>
        <v/>
      </c>
      <c r="BT66" s="126" t="str">
        <f>IF('Finalterm OVPAA-F-INS-055A RAW '!BT66="","",'Finalterm OVPAA-F-INS-055A RAW '!BT66/'Finalterm OVPAA-F-INS-055A RAW '!BT$17*100)</f>
        <v/>
      </c>
      <c r="BU66" s="127" t="str">
        <f t="array" ref="BU66">IF('Finalterm OVPAA-F-INS-055A RAW '!$G66="","",IF((SUMPRODUCT(--ISBLANK('Finalterm OVPAA-F-INS-055A RAW '!H66:BT66))=COLUMNS('Finalterm OVPAA-F-INS-055A RAW '!H66:BT66))=TRUE,"",(((COUNTA('Finalterm OVPAA-F-INS-055A RAW '!$H$17:$BT$17)+COUNTBLANK('Finalterm OVPAA-F-INS-055A RAW '!H66:BT66))-COLUMNS('Finalterm OVPAA-F-INS-055A RAW '!H66:BT66))*5+SUM(H66:BT66))/COUNTA('Finalterm OVPAA-F-INS-055A RAW '!$H$17:$BT$17)))</f>
        <v/>
      </c>
      <c r="BV66" s="165" t="str">
        <f>IF(BU66="","",VLOOKUP(BU66,IF('Midterm OVPAA-F-INS-055A RAW SC'!$V$12=0.5,TRANSMUTATION!$C$4:$D$17,TRANSMUTATION!$G$4:$H$17),2,TRUE))</f>
        <v/>
      </c>
      <c r="BW66" s="129" t="str">
        <f>IF('Finalterm OVPAA-F-INS-055A RAW '!BU66="","",'Finalterm OVPAA-F-INS-055A RAW '!BU66/'Finalterm OVPAA-F-INS-055A RAW '!BU$17*100)</f>
        <v/>
      </c>
      <c r="BX66" s="130" t="str">
        <f>IF('Finalterm OVPAA-F-INS-055A RAW '!BV66="","",'Finalterm OVPAA-F-INS-055A RAW '!BV66/'Finalterm OVPAA-F-INS-055A RAW '!BV$17*100)</f>
        <v/>
      </c>
      <c r="BY66" s="130" t="str">
        <f>IF('Finalterm OVPAA-F-INS-055A RAW '!BW66="","",'Finalterm OVPAA-F-INS-055A RAW '!BW66/'Finalterm OVPAA-F-INS-055A RAW '!BW$17*100)</f>
        <v/>
      </c>
      <c r="BZ66" s="130" t="str">
        <f>IF('Finalterm OVPAA-F-INS-055A RAW '!BX66="","",'Finalterm OVPAA-F-INS-055A RAW '!BX66/'Finalterm OVPAA-F-INS-055A RAW '!BX$17*100)</f>
        <v/>
      </c>
      <c r="CA66" s="130" t="str">
        <f>IF('Finalterm OVPAA-F-INS-055A RAW '!BY66="","",'Finalterm OVPAA-F-INS-055A RAW '!BY66/'Finalterm OVPAA-F-INS-055A RAW '!BY$17*100)</f>
        <v/>
      </c>
      <c r="CB66" s="130" t="str">
        <f>IF('Finalterm OVPAA-F-INS-055A RAW '!BZ66="","",'Finalterm OVPAA-F-INS-055A RAW '!BZ66/'Finalterm OVPAA-F-INS-055A RAW '!BZ$17*100)</f>
        <v/>
      </c>
      <c r="CC66" s="130" t="str">
        <f>IF('Finalterm OVPAA-F-INS-055A RAW '!CA66="","",'Finalterm OVPAA-F-INS-055A RAW '!CA66/'Finalterm OVPAA-F-INS-055A RAW '!CA$17*100)</f>
        <v/>
      </c>
      <c r="CD66" s="130" t="str">
        <f>IF('Finalterm OVPAA-F-INS-055A RAW '!CB66="","",'Finalterm OVPAA-F-INS-055A RAW '!CB66/'Finalterm OVPAA-F-INS-055A RAW '!CB$17*100)</f>
        <v/>
      </c>
      <c r="CE66" s="130" t="str">
        <f>IF('Finalterm OVPAA-F-INS-055A RAW '!CC66="","",'Finalterm OVPAA-F-INS-055A RAW '!CC66/'Finalterm OVPAA-F-INS-055A RAW '!CC$17*100)</f>
        <v/>
      </c>
      <c r="CF66" s="130" t="str">
        <f>IF('Finalterm OVPAA-F-INS-055A RAW '!CD66="","",'Finalterm OVPAA-F-INS-055A RAW '!CD66/'Finalterm OVPAA-F-INS-055A RAW '!CD$17*100)</f>
        <v/>
      </c>
      <c r="CG66" s="130" t="str">
        <f>IF('Finalterm OVPAA-F-INS-055A RAW '!CE66="","",'Finalterm OVPAA-F-INS-055A RAW '!CE66/'Finalterm OVPAA-F-INS-055A RAW '!CE$17*100)</f>
        <v/>
      </c>
      <c r="CH66" s="130" t="str">
        <f>IF('Finalterm OVPAA-F-INS-055A RAW '!CF66="","",'Finalterm OVPAA-F-INS-055A RAW '!CF66/'Finalterm OVPAA-F-INS-055A RAW '!CF$17*100)</f>
        <v/>
      </c>
      <c r="CI66" s="130" t="str">
        <f>IF('Finalterm OVPAA-F-INS-055A RAW '!CG66="","",'Finalterm OVPAA-F-INS-055A RAW '!CG66/'Finalterm OVPAA-F-INS-055A RAW '!CG$17*100)</f>
        <v/>
      </c>
      <c r="CJ66" s="130" t="str">
        <f>IF('Finalterm OVPAA-F-INS-055A RAW '!CH66="","",'Finalterm OVPAA-F-INS-055A RAW '!CH66/'Finalterm OVPAA-F-INS-055A RAW '!CH$17*100)</f>
        <v/>
      </c>
      <c r="CK66" s="130" t="str">
        <f>IF('Finalterm OVPAA-F-INS-055A RAW '!CI66="","",'Finalterm OVPAA-F-INS-055A RAW '!CI66/'Finalterm OVPAA-F-INS-055A RAW '!CI$17*100)</f>
        <v/>
      </c>
      <c r="CL66" s="130" t="str">
        <f>IF('Finalterm OVPAA-F-INS-055A RAW '!CJ66="","",'Finalterm OVPAA-F-INS-055A RAW '!CJ66/'Finalterm OVPAA-F-INS-055A RAW '!CJ$17*100)</f>
        <v/>
      </c>
      <c r="CM66" s="130" t="str">
        <f>IF('Finalterm OVPAA-F-INS-055A RAW '!CK66="","",'Finalterm OVPAA-F-INS-055A RAW '!CK66/'Finalterm OVPAA-F-INS-055A RAW '!CK$17*100)</f>
        <v/>
      </c>
      <c r="CN66" s="130" t="str">
        <f>IF('Finalterm OVPAA-F-INS-055A RAW '!CL66="","",'Finalterm OVPAA-F-INS-055A RAW '!CL66/'Finalterm OVPAA-F-INS-055A RAW '!CL$17*100)</f>
        <v/>
      </c>
      <c r="CO66" s="130" t="str">
        <f>IF('Finalterm OVPAA-F-INS-055A RAW '!CM66="","",'Finalterm OVPAA-F-INS-055A RAW '!CM66/'Finalterm OVPAA-F-INS-055A RAW '!CM$17*100)</f>
        <v/>
      </c>
      <c r="CP66" s="130" t="str">
        <f>IF('Finalterm OVPAA-F-INS-055A RAW '!CN66="","",'Finalterm OVPAA-F-INS-055A RAW '!CN66/'Finalterm OVPAA-F-INS-055A RAW '!CN$17*100)</f>
        <v/>
      </c>
      <c r="CQ66" s="131" t="str">
        <f t="array" ref="CQ66">IF('Midterm OVPAA-F-INS-055A RAW SC'!G66="","",IF((SUMPRODUCT(--ISBLANK('Finalterm OVPAA-F-INS-055A RAW '!BU66:CN66))=COLUMNS('Finalterm OVPAA-F-INS-055A RAW '!BU66:CN66))=TRUE,"",(((COUNTA('Finalterm OVPAA-F-INS-055A RAW '!$BU$17:$CN$17)+COUNTBLANK('Finalterm OVPAA-F-INS-055A RAW '!BU66:CN66))-COLUMNS('Finalterm OVPAA-F-INS-055A RAW '!BU66:CN66))*5+SUM(BW66:CP66))/COUNTA('Finalterm OVPAA-F-INS-055A RAW '!$BU$17:$CN$17)))</f>
        <v/>
      </c>
      <c r="CR66" s="132" t="str">
        <f>IF(CQ66="","",VLOOKUP(CQ66,IF('Midterm OVPAA-F-INS-055A RAW SC'!$V$12=0.5,TRANSMUTATION!$C$4:$D$17,TRANSMUTATION!$G$4:$H$17),2,TRUE))</f>
        <v/>
      </c>
      <c r="CS66" s="133" t="str">
        <f>IF('Finalterm OVPAA-F-INS-055A RAW '!CO66="","",'Finalterm OVPAA-F-INS-055A RAW '!CO66/'Finalterm OVPAA-F-INS-055A RAW '!CO$17*100)</f>
        <v/>
      </c>
      <c r="CT66" s="133" t="str">
        <f>IF('Finalterm OVPAA-F-INS-055A RAW '!CP66="","",'Finalterm OVPAA-F-INS-055A RAW '!CP66/'Finalterm OVPAA-F-INS-055A RAW '!CP$17*100)</f>
        <v/>
      </c>
      <c r="CU66" s="133" t="str">
        <f>IF('Finalterm OVPAA-F-INS-055A RAW '!CQ66="","",'Finalterm OVPAA-F-INS-055A RAW '!CQ66/'Finalterm OVPAA-F-INS-055A RAW '!CQ$17*100)</f>
        <v/>
      </c>
      <c r="CV66" s="133" t="str">
        <f>IF('Finalterm OVPAA-F-INS-055A RAW '!CR66="","",'Finalterm OVPAA-F-INS-055A RAW '!CR66/'Finalterm OVPAA-F-INS-055A RAW '!CR$17*100)</f>
        <v/>
      </c>
      <c r="CW66" s="133" t="str">
        <f>IF('Finalterm OVPAA-F-INS-055A RAW '!CS66="","",'Finalterm OVPAA-F-INS-055A RAW '!CS66/'Finalterm OVPAA-F-INS-055A RAW '!CS$17*100)</f>
        <v/>
      </c>
      <c r="CX66" s="133" t="str">
        <f>IF('Finalterm OVPAA-F-INS-055A RAW '!CT66="","",'Finalterm OVPAA-F-INS-055A RAW '!CT66/'Finalterm OVPAA-F-INS-055A RAW '!CT$17*100)</f>
        <v/>
      </c>
      <c r="CY66" s="133" t="str">
        <f>IF('Finalterm OVPAA-F-INS-055A RAW '!CU66="","",'Finalterm OVPAA-F-INS-055A RAW '!CU66/'Finalterm OVPAA-F-INS-055A RAW '!CU$17*100)</f>
        <v/>
      </c>
      <c r="CZ66" s="133" t="str">
        <f>IF('Finalterm OVPAA-F-INS-055A RAW '!CV66="","",'Finalterm OVPAA-F-INS-055A RAW '!CV66/'Finalterm OVPAA-F-INS-055A RAW '!CV$17*100)</f>
        <v/>
      </c>
      <c r="DA66" s="133" t="str">
        <f>IF('Finalterm OVPAA-F-INS-055A RAW '!CW66="","",'Finalterm OVPAA-F-INS-055A RAW '!CW66/'Finalterm OVPAA-F-INS-055A RAW '!CW$17*100)</f>
        <v/>
      </c>
      <c r="DB66" s="133" t="str">
        <f>IF('Finalterm OVPAA-F-INS-055A RAW '!CX66="","",'Finalterm OVPAA-F-INS-055A RAW '!CX66/'Finalterm OVPAA-F-INS-055A RAW '!CX$17*100)</f>
        <v/>
      </c>
      <c r="DC66" s="134" t="str">
        <f t="array" ref="DC66">IF('Midterm OVPAA-F-INS-055A RAW SC'!$G66="","",IF((SUMPRODUCT(--ISBLANK('Finalterm OVPAA-F-INS-055A RAW '!CO66:CX66))=COLUMNS('Finalterm OVPAA-F-INS-055A RAW '!CO66:CX66))=TRUE,"",(((COUNTA('Finalterm OVPAA-F-INS-055A RAW '!$CO$17:$CX$17)+COUNTBLANK('Finalterm OVPAA-F-INS-055A RAW '!CO66:CX66))-COLUMNS('Finalterm OVPAA-F-INS-055A RAW '!CO66:CX66))*5+SUM(CS66:DB66))/COUNTA('Finalterm OVPAA-F-INS-055A RAW '!$CO$17:$CX$17)))</f>
        <v/>
      </c>
      <c r="DD66" s="135" t="str">
        <f>IF(DC66="","",VLOOKUP(DC66,IF('Midterm OVPAA-F-INS-055A RAW SC'!$V$12=0.5,TRANSMUTATION!$C$4:$D$17,TRANSMUTATION!$G$4:$H$17),2,TRUE))</f>
        <v/>
      </c>
      <c r="DE66" s="136" t="str">
        <f t="shared" si="1"/>
        <v/>
      </c>
      <c r="DF66" s="166" t="str">
        <f t="shared" si="2"/>
        <v/>
      </c>
      <c r="DG66" s="167" t="str">
        <f t="shared" si="3"/>
        <v/>
      </c>
      <c r="DH66" s="168" t="str">
        <f t="shared" si="4"/>
        <v/>
      </c>
      <c r="DI66" s="169" t="str">
        <f t="shared" si="5"/>
        <v/>
      </c>
    </row>
    <row r="67" spans="5:113" ht="15.75" hidden="1" customHeight="1">
      <c r="E67" s="59">
        <v>50</v>
      </c>
      <c r="F67" s="124" t="str">
        <f>IF(NOT(ISBLANK('Midterm OVPAA-F-INS-055A RAW SC'!F67)),'Midterm OVPAA-F-INS-055A RAW SC'!F67,"")</f>
        <v/>
      </c>
      <c r="G67" s="125" t="str">
        <f>IF(NOT(ISBLANK('Midterm OVPAA-F-INS-055A RAW SC'!G67)),'Midterm OVPAA-F-INS-055A RAW SC'!G67,"")</f>
        <v/>
      </c>
      <c r="H67" s="126" t="str">
        <f>IF('Finalterm OVPAA-F-INS-055A RAW '!H67="","",'Finalterm OVPAA-F-INS-055A RAW '!H67/'Finalterm OVPAA-F-INS-055A RAW '!H$17*100)</f>
        <v/>
      </c>
      <c r="I67" s="126" t="str">
        <f>IF('Finalterm OVPAA-F-INS-055A RAW '!I67="","",'Finalterm OVPAA-F-INS-055A RAW '!I67/'Finalterm OVPAA-F-INS-055A RAW '!I$17*100)</f>
        <v/>
      </c>
      <c r="J67" s="126" t="str">
        <f>IF('Finalterm OVPAA-F-INS-055A RAW '!J67="","",'Finalterm OVPAA-F-INS-055A RAW '!J67/'Finalterm OVPAA-F-INS-055A RAW '!J$17*100)</f>
        <v/>
      </c>
      <c r="K67" s="126" t="str">
        <f>IF('Finalterm OVPAA-F-INS-055A RAW '!K67="","",'Finalterm OVPAA-F-INS-055A RAW '!K67/'Finalterm OVPAA-F-INS-055A RAW '!K$17*100)</f>
        <v/>
      </c>
      <c r="L67" s="126" t="str">
        <f>IF('Finalterm OVPAA-F-INS-055A RAW '!L67="","",'Finalterm OVPAA-F-INS-055A RAW '!L67/'Finalterm OVPAA-F-INS-055A RAW '!L$17*100)</f>
        <v/>
      </c>
      <c r="M67" s="126" t="str">
        <f>IF('Finalterm OVPAA-F-INS-055A RAW '!M67="","",'Finalterm OVPAA-F-INS-055A RAW '!M67/'Finalterm OVPAA-F-INS-055A RAW '!M$17*100)</f>
        <v/>
      </c>
      <c r="N67" s="126" t="str">
        <f>IF('Finalterm OVPAA-F-INS-055A RAW '!N67="","",'Finalterm OVPAA-F-INS-055A RAW '!N67/'Finalterm OVPAA-F-INS-055A RAW '!N$17*100)</f>
        <v/>
      </c>
      <c r="O67" s="126" t="str">
        <f>IF('Finalterm OVPAA-F-INS-055A RAW '!O67="","",'Finalterm OVPAA-F-INS-055A RAW '!O67/'Finalterm OVPAA-F-INS-055A RAW '!O$17*100)</f>
        <v/>
      </c>
      <c r="P67" s="126" t="str">
        <f>IF('Finalterm OVPAA-F-INS-055A RAW '!P67="","",'Finalterm OVPAA-F-INS-055A RAW '!P67/'Finalterm OVPAA-F-INS-055A RAW '!P$17*100)</f>
        <v/>
      </c>
      <c r="Q67" s="126" t="str">
        <f>IF('Finalterm OVPAA-F-INS-055A RAW '!Q67="","",'Finalterm OVPAA-F-INS-055A RAW '!Q67/'Finalterm OVPAA-F-INS-055A RAW '!Q$17*100)</f>
        <v/>
      </c>
      <c r="R67" s="126" t="str">
        <f>IF('Finalterm OVPAA-F-INS-055A RAW '!R67="","",'Finalterm OVPAA-F-INS-055A RAW '!R67/'Finalterm OVPAA-F-INS-055A RAW '!R$17*100)</f>
        <v/>
      </c>
      <c r="S67" s="126" t="str">
        <f>IF('Finalterm OVPAA-F-INS-055A RAW '!S67="","",'Finalterm OVPAA-F-INS-055A RAW '!S67/'Finalterm OVPAA-F-INS-055A RAW '!S$17*100)</f>
        <v/>
      </c>
      <c r="T67" s="126" t="str">
        <f>IF('Finalterm OVPAA-F-INS-055A RAW '!T67="","",'Finalterm OVPAA-F-INS-055A RAW '!T67/'Finalterm OVPAA-F-INS-055A RAW '!T$17*100)</f>
        <v/>
      </c>
      <c r="U67" s="126" t="str">
        <f>IF('Finalterm OVPAA-F-INS-055A RAW '!U67="","",'Finalterm OVPAA-F-INS-055A RAW '!U67/'Finalterm OVPAA-F-INS-055A RAW '!U$17*100)</f>
        <v/>
      </c>
      <c r="V67" s="126" t="str">
        <f>IF('Finalterm OVPAA-F-INS-055A RAW '!V67="","",'Finalterm OVPAA-F-INS-055A RAW '!V67/'Finalterm OVPAA-F-INS-055A RAW '!V$17*100)</f>
        <v/>
      </c>
      <c r="W67" s="126" t="str">
        <f>IF('Finalterm OVPAA-F-INS-055A RAW '!W67="","",'Finalterm OVPAA-F-INS-055A RAW '!W67/'Finalterm OVPAA-F-INS-055A RAW '!W$17*100)</f>
        <v/>
      </c>
      <c r="X67" s="126" t="str">
        <f>IF('Finalterm OVPAA-F-INS-055A RAW '!X67="","",'Finalterm OVPAA-F-INS-055A RAW '!X67/'Finalterm OVPAA-F-INS-055A RAW '!X$17*100)</f>
        <v/>
      </c>
      <c r="Y67" s="126" t="str">
        <f>IF('Finalterm OVPAA-F-INS-055A RAW '!Y67="","",'Finalterm OVPAA-F-INS-055A RAW '!Y67/'Finalterm OVPAA-F-INS-055A RAW '!Y$17*100)</f>
        <v/>
      </c>
      <c r="Z67" s="126" t="str">
        <f>IF('Finalterm OVPAA-F-INS-055A RAW '!Z67="","",'Finalterm OVPAA-F-INS-055A RAW '!Z67/'Finalterm OVPAA-F-INS-055A RAW '!Z$17*100)</f>
        <v/>
      </c>
      <c r="AA67" s="126" t="str">
        <f>IF('Finalterm OVPAA-F-INS-055A RAW '!AA67="","",'Finalterm OVPAA-F-INS-055A RAW '!AA67/'Finalterm OVPAA-F-INS-055A RAW '!AA$17*100)</f>
        <v/>
      </c>
      <c r="AB67" s="126" t="str">
        <f>IF('Finalterm OVPAA-F-INS-055A RAW '!AB67="","",'Finalterm OVPAA-F-INS-055A RAW '!AB67/'Finalterm OVPAA-F-INS-055A RAW '!AB$17*100)</f>
        <v/>
      </c>
      <c r="AC67" s="126" t="str">
        <f>IF('Finalterm OVPAA-F-INS-055A RAW '!AC67="","",'Finalterm OVPAA-F-INS-055A RAW '!AC67/'Finalterm OVPAA-F-INS-055A RAW '!AC$17*100)</f>
        <v/>
      </c>
      <c r="AD67" s="126" t="str">
        <f>IF('Finalterm OVPAA-F-INS-055A RAW '!AD67="","",'Finalterm OVPAA-F-INS-055A RAW '!AD67/'Finalterm OVPAA-F-INS-055A RAW '!AD$17*100)</f>
        <v/>
      </c>
      <c r="AE67" s="126" t="str">
        <f>IF('Finalterm OVPAA-F-INS-055A RAW '!AE67="","",'Finalterm OVPAA-F-INS-055A RAW '!AE67/'Finalterm OVPAA-F-INS-055A RAW '!AE$17*100)</f>
        <v/>
      </c>
      <c r="AF67" s="126" t="str">
        <f>IF('Finalterm OVPAA-F-INS-055A RAW '!AF67="","",'Finalterm OVPAA-F-INS-055A RAW '!AF67/'Finalterm OVPAA-F-INS-055A RAW '!AF$17*100)</f>
        <v/>
      </c>
      <c r="AG67" s="126" t="str">
        <f>IF('Finalterm OVPAA-F-INS-055A RAW '!AG67="","",'Finalterm OVPAA-F-INS-055A RAW '!AG67/'Finalterm OVPAA-F-INS-055A RAW '!AG$17*100)</f>
        <v/>
      </c>
      <c r="AH67" s="126" t="str">
        <f>IF('Finalterm OVPAA-F-INS-055A RAW '!AH67="","",'Finalterm OVPAA-F-INS-055A RAW '!AH67/'Finalterm OVPAA-F-INS-055A RAW '!AH$17*100)</f>
        <v/>
      </c>
      <c r="AI67" s="126" t="str">
        <f>IF('Finalterm OVPAA-F-INS-055A RAW '!AI67="","",'Finalterm OVPAA-F-INS-055A RAW '!AI67/'Finalterm OVPAA-F-INS-055A RAW '!AI$17*100)</f>
        <v/>
      </c>
      <c r="AJ67" s="126" t="str">
        <f>IF('Finalterm OVPAA-F-INS-055A RAW '!AJ67="","",'Finalterm OVPAA-F-INS-055A RAW '!AJ67/'Finalterm OVPAA-F-INS-055A RAW '!AJ$17*100)</f>
        <v/>
      </c>
      <c r="AK67" s="126" t="str">
        <f>IF('Finalterm OVPAA-F-INS-055A RAW '!AK67="","",'Finalterm OVPAA-F-INS-055A RAW '!AK67/'Finalterm OVPAA-F-INS-055A RAW '!AK$17*100)</f>
        <v/>
      </c>
      <c r="AL67" s="126" t="str">
        <f>IF('Finalterm OVPAA-F-INS-055A RAW '!AL67="","",'Finalterm OVPAA-F-INS-055A RAW '!AL67/'Finalterm OVPAA-F-INS-055A RAW '!AL$17*100)</f>
        <v/>
      </c>
      <c r="AM67" s="126" t="str">
        <f>IF('Finalterm OVPAA-F-INS-055A RAW '!AM67="","",'Finalterm OVPAA-F-INS-055A RAW '!AM67/'Finalterm OVPAA-F-INS-055A RAW '!AM$17*100)</f>
        <v/>
      </c>
      <c r="AN67" s="126" t="str">
        <f>IF('Finalterm OVPAA-F-INS-055A RAW '!AN67="","",'Finalterm OVPAA-F-INS-055A RAW '!AN67/'Finalterm OVPAA-F-INS-055A RAW '!AN$17*100)</f>
        <v/>
      </c>
      <c r="AO67" s="126" t="str">
        <f>IF('Finalterm OVPAA-F-INS-055A RAW '!AO67="","",'Finalterm OVPAA-F-INS-055A RAW '!AO67/'Finalterm OVPAA-F-INS-055A RAW '!AO$17*100)</f>
        <v/>
      </c>
      <c r="AP67" s="126" t="str">
        <f>IF('Finalterm OVPAA-F-INS-055A RAW '!AP67="","",'Finalterm OVPAA-F-INS-055A RAW '!AP67/'Finalterm OVPAA-F-INS-055A RAW '!AP$17*100)</f>
        <v/>
      </c>
      <c r="AQ67" s="126" t="str">
        <f>IF('Finalterm OVPAA-F-INS-055A RAW '!AQ67="","",'Finalterm OVPAA-F-INS-055A RAW '!AQ67/'Finalterm OVPAA-F-INS-055A RAW '!AQ$17*100)</f>
        <v/>
      </c>
      <c r="AR67" s="126" t="str">
        <f>IF('Finalterm OVPAA-F-INS-055A RAW '!AR67="","",'Finalterm OVPAA-F-INS-055A RAW '!AR67/'Finalterm OVPAA-F-INS-055A RAW '!AR$17*100)</f>
        <v/>
      </c>
      <c r="AS67" s="126" t="str">
        <f>IF('Finalterm OVPAA-F-INS-055A RAW '!AS67="","",'Finalterm OVPAA-F-INS-055A RAW '!AS67/'Finalterm OVPAA-F-INS-055A RAW '!AS$17*100)</f>
        <v/>
      </c>
      <c r="AT67" s="126" t="str">
        <f>IF('Finalterm OVPAA-F-INS-055A RAW '!AT67="","",'Finalterm OVPAA-F-INS-055A RAW '!AT67/'Finalterm OVPAA-F-INS-055A RAW '!AT$17*100)</f>
        <v/>
      </c>
      <c r="AU67" s="126" t="str">
        <f>IF('Finalterm OVPAA-F-INS-055A RAW '!AU67="","",'Finalterm OVPAA-F-INS-055A RAW '!AU67/'Finalterm OVPAA-F-INS-055A RAW '!AU$17*100)</f>
        <v/>
      </c>
      <c r="AV67" s="126" t="str">
        <f>IF('Finalterm OVPAA-F-INS-055A RAW '!AV67="","",'Finalterm OVPAA-F-INS-055A RAW '!AV67/'Finalterm OVPAA-F-INS-055A RAW '!AV$17*100)</f>
        <v/>
      </c>
      <c r="AW67" s="126" t="str">
        <f>IF('Finalterm OVPAA-F-INS-055A RAW '!AW67="","",'Finalterm OVPAA-F-INS-055A RAW '!AW67/'Finalterm OVPAA-F-INS-055A RAW '!AW$17*100)</f>
        <v/>
      </c>
      <c r="AX67" s="126" t="str">
        <f>IF('Finalterm OVPAA-F-INS-055A RAW '!AX67="","",'Finalterm OVPAA-F-INS-055A RAW '!AX67/'Finalterm OVPAA-F-INS-055A RAW '!AX$17*100)</f>
        <v/>
      </c>
      <c r="AY67" s="126" t="str">
        <f>IF('Finalterm OVPAA-F-INS-055A RAW '!AY67="","",'Finalterm OVPAA-F-INS-055A RAW '!AY67/'Finalterm OVPAA-F-INS-055A RAW '!AY$17*100)</f>
        <v/>
      </c>
      <c r="AZ67" s="126" t="str">
        <f>IF('Finalterm OVPAA-F-INS-055A RAW '!AZ67="","",'Finalterm OVPAA-F-INS-055A RAW '!AZ67/'Finalterm OVPAA-F-INS-055A RAW '!AZ$17*100)</f>
        <v/>
      </c>
      <c r="BA67" s="126" t="str">
        <f>IF('Finalterm OVPAA-F-INS-055A RAW '!BA67="","",'Finalterm OVPAA-F-INS-055A RAW '!BA67/'Finalterm OVPAA-F-INS-055A RAW '!BA$17*100)</f>
        <v/>
      </c>
      <c r="BB67" s="126" t="str">
        <f>IF('Finalterm OVPAA-F-INS-055A RAW '!BB67="","",'Finalterm OVPAA-F-INS-055A RAW '!BB67/'Finalterm OVPAA-F-INS-055A RAW '!BB$17*100)</f>
        <v/>
      </c>
      <c r="BC67" s="126" t="str">
        <f>IF('Finalterm OVPAA-F-INS-055A RAW '!BC67="","",'Finalterm OVPAA-F-INS-055A RAW '!BC67/'Finalterm OVPAA-F-INS-055A RAW '!BC$17*100)</f>
        <v/>
      </c>
      <c r="BD67" s="126" t="str">
        <f>IF('Finalterm OVPAA-F-INS-055A RAW '!BD67="","",'Finalterm OVPAA-F-INS-055A RAW '!BD67/'Finalterm OVPAA-F-INS-055A RAW '!BD$17*100)</f>
        <v/>
      </c>
      <c r="BE67" s="126" t="str">
        <f>IF('Finalterm OVPAA-F-INS-055A RAW '!BE67="","",'Finalterm OVPAA-F-INS-055A RAW '!BE67/'Finalterm OVPAA-F-INS-055A RAW '!BE$17*100)</f>
        <v/>
      </c>
      <c r="BF67" s="126" t="str">
        <f>IF('Finalterm OVPAA-F-INS-055A RAW '!BF67="","",'Finalterm OVPAA-F-INS-055A RAW '!BF67/'Finalterm OVPAA-F-INS-055A RAW '!BF$17*100)</f>
        <v/>
      </c>
      <c r="BG67" s="126" t="str">
        <f>IF('Finalterm OVPAA-F-INS-055A RAW '!BG67="","",'Finalterm OVPAA-F-INS-055A RAW '!BG67/'Finalterm OVPAA-F-INS-055A RAW '!BG$17*100)</f>
        <v/>
      </c>
      <c r="BH67" s="126" t="str">
        <f>IF('Finalterm OVPAA-F-INS-055A RAW '!BH67="","",'Finalterm OVPAA-F-INS-055A RAW '!BH67/'Finalterm OVPAA-F-INS-055A RAW '!BH$17*100)</f>
        <v/>
      </c>
      <c r="BI67" s="126" t="str">
        <f>IF('Finalterm OVPAA-F-INS-055A RAW '!BI67="","",'Finalterm OVPAA-F-INS-055A RAW '!BI67/'Finalterm OVPAA-F-INS-055A RAW '!BI$17*100)</f>
        <v/>
      </c>
      <c r="BJ67" s="126" t="str">
        <f>IF('Finalterm OVPAA-F-INS-055A RAW '!BJ67="","",'Finalterm OVPAA-F-INS-055A RAW '!BJ67/'Finalterm OVPAA-F-INS-055A RAW '!BJ$17*100)</f>
        <v/>
      </c>
      <c r="BK67" s="126" t="str">
        <f>IF('Finalterm OVPAA-F-INS-055A RAW '!BK67="","",'Finalterm OVPAA-F-INS-055A RAW '!BK67/'Finalterm OVPAA-F-INS-055A RAW '!BK$17*100)</f>
        <v/>
      </c>
      <c r="BL67" s="126" t="str">
        <f>IF('Finalterm OVPAA-F-INS-055A RAW '!BL67="","",'Finalterm OVPAA-F-INS-055A RAW '!BL67/'Finalterm OVPAA-F-INS-055A RAW '!BL$17*100)</f>
        <v/>
      </c>
      <c r="BM67" s="126" t="str">
        <f>IF('Finalterm OVPAA-F-INS-055A RAW '!BM67="","",'Finalterm OVPAA-F-INS-055A RAW '!BM67/'Finalterm OVPAA-F-INS-055A RAW '!BM$17*100)</f>
        <v/>
      </c>
      <c r="BN67" s="126" t="str">
        <f>IF('Finalterm OVPAA-F-INS-055A RAW '!BN67="","",'Finalterm OVPAA-F-INS-055A RAW '!BN67/'Finalterm OVPAA-F-INS-055A RAW '!BN$17*100)</f>
        <v/>
      </c>
      <c r="BO67" s="126" t="str">
        <f>IF('Finalterm OVPAA-F-INS-055A RAW '!BO67="","",'Finalterm OVPAA-F-INS-055A RAW '!BO67/'Finalterm OVPAA-F-INS-055A RAW '!BO$17*100)</f>
        <v/>
      </c>
      <c r="BP67" s="126" t="str">
        <f>IF('Finalterm OVPAA-F-INS-055A RAW '!BP67="","",'Finalterm OVPAA-F-INS-055A RAW '!BP67/'Finalterm OVPAA-F-INS-055A RAW '!BP$17*100)</f>
        <v/>
      </c>
      <c r="BQ67" s="126" t="str">
        <f>IF('Finalterm OVPAA-F-INS-055A RAW '!BQ67="","",'Finalterm OVPAA-F-INS-055A RAW '!BQ67/'Finalterm OVPAA-F-INS-055A RAW '!BQ$17*100)</f>
        <v/>
      </c>
      <c r="BR67" s="126" t="str">
        <f>IF('Finalterm OVPAA-F-INS-055A RAW '!BR67="","",'Finalterm OVPAA-F-INS-055A RAW '!BR67/'Finalterm OVPAA-F-INS-055A RAW '!BR$17*100)</f>
        <v/>
      </c>
      <c r="BS67" s="126" t="str">
        <f>IF('Finalterm OVPAA-F-INS-055A RAW '!BS67="","",'Finalterm OVPAA-F-INS-055A RAW '!BS67/'Finalterm OVPAA-F-INS-055A RAW '!BS$17*100)</f>
        <v/>
      </c>
      <c r="BT67" s="126" t="str">
        <f>IF('Finalterm OVPAA-F-INS-055A RAW '!BT67="","",'Finalterm OVPAA-F-INS-055A RAW '!BT67/'Finalterm OVPAA-F-INS-055A RAW '!BT$17*100)</f>
        <v/>
      </c>
      <c r="BU67" s="127" t="str">
        <f t="array" ref="BU67">IF('Finalterm OVPAA-F-INS-055A RAW '!$G67="","",IF((SUMPRODUCT(--ISBLANK('Finalterm OVPAA-F-INS-055A RAW '!H67:BT67))=COLUMNS('Finalterm OVPAA-F-INS-055A RAW '!H67:BT67))=TRUE,"",(((COUNTA('Finalterm OVPAA-F-INS-055A RAW '!$H$17:$BT$17)+COUNTBLANK('Finalterm OVPAA-F-INS-055A RAW '!H67:BT67))-COLUMNS('Finalterm OVPAA-F-INS-055A RAW '!H67:BT67))*5+SUM(H67:BT67))/COUNTA('Finalterm OVPAA-F-INS-055A RAW '!$H$17:$BT$17)))</f>
        <v/>
      </c>
      <c r="BV67" s="165" t="str">
        <f>IF(BU67="","",VLOOKUP(BU67,IF('Midterm OVPAA-F-INS-055A RAW SC'!$V$12=0.5,TRANSMUTATION!$C$4:$D$17,TRANSMUTATION!$G$4:$H$17),2,TRUE))</f>
        <v/>
      </c>
      <c r="BW67" s="129" t="str">
        <f>IF('Finalterm OVPAA-F-INS-055A RAW '!BU67="","",'Finalterm OVPAA-F-INS-055A RAW '!BU67/'Finalterm OVPAA-F-INS-055A RAW '!BU$17*100)</f>
        <v/>
      </c>
      <c r="BX67" s="130" t="str">
        <f>IF('Finalterm OVPAA-F-INS-055A RAW '!BV67="","",'Finalterm OVPAA-F-INS-055A RAW '!BV67/'Finalterm OVPAA-F-INS-055A RAW '!BV$17*100)</f>
        <v/>
      </c>
      <c r="BY67" s="130" t="str">
        <f>IF('Finalterm OVPAA-F-INS-055A RAW '!BW67="","",'Finalterm OVPAA-F-INS-055A RAW '!BW67/'Finalterm OVPAA-F-INS-055A RAW '!BW$17*100)</f>
        <v/>
      </c>
      <c r="BZ67" s="130" t="str">
        <f>IF('Finalterm OVPAA-F-INS-055A RAW '!BX67="","",'Finalterm OVPAA-F-INS-055A RAW '!BX67/'Finalterm OVPAA-F-INS-055A RAW '!BX$17*100)</f>
        <v/>
      </c>
      <c r="CA67" s="130" t="str">
        <f>IF('Finalterm OVPAA-F-INS-055A RAW '!BY67="","",'Finalterm OVPAA-F-INS-055A RAW '!BY67/'Finalterm OVPAA-F-INS-055A RAW '!BY$17*100)</f>
        <v/>
      </c>
      <c r="CB67" s="130" t="str">
        <f>IF('Finalterm OVPAA-F-INS-055A RAW '!BZ67="","",'Finalterm OVPAA-F-INS-055A RAW '!BZ67/'Finalterm OVPAA-F-INS-055A RAW '!BZ$17*100)</f>
        <v/>
      </c>
      <c r="CC67" s="130" t="str">
        <f>IF('Finalterm OVPAA-F-INS-055A RAW '!CA67="","",'Finalterm OVPAA-F-INS-055A RAW '!CA67/'Finalterm OVPAA-F-INS-055A RAW '!CA$17*100)</f>
        <v/>
      </c>
      <c r="CD67" s="130" t="str">
        <f>IF('Finalterm OVPAA-F-INS-055A RAW '!CB67="","",'Finalterm OVPAA-F-INS-055A RAW '!CB67/'Finalterm OVPAA-F-INS-055A RAW '!CB$17*100)</f>
        <v/>
      </c>
      <c r="CE67" s="130" t="str">
        <f>IF('Finalterm OVPAA-F-INS-055A RAW '!CC67="","",'Finalterm OVPAA-F-INS-055A RAW '!CC67/'Finalterm OVPAA-F-INS-055A RAW '!CC$17*100)</f>
        <v/>
      </c>
      <c r="CF67" s="130" t="str">
        <f>IF('Finalterm OVPAA-F-INS-055A RAW '!CD67="","",'Finalterm OVPAA-F-INS-055A RAW '!CD67/'Finalterm OVPAA-F-INS-055A RAW '!CD$17*100)</f>
        <v/>
      </c>
      <c r="CG67" s="130" t="str">
        <f>IF('Finalterm OVPAA-F-INS-055A RAW '!CE67="","",'Finalterm OVPAA-F-INS-055A RAW '!CE67/'Finalterm OVPAA-F-INS-055A RAW '!CE$17*100)</f>
        <v/>
      </c>
      <c r="CH67" s="130" t="str">
        <f>IF('Finalterm OVPAA-F-INS-055A RAW '!CF67="","",'Finalterm OVPAA-F-INS-055A RAW '!CF67/'Finalterm OVPAA-F-INS-055A RAW '!CF$17*100)</f>
        <v/>
      </c>
      <c r="CI67" s="130" t="str">
        <f>IF('Finalterm OVPAA-F-INS-055A RAW '!CG67="","",'Finalterm OVPAA-F-INS-055A RAW '!CG67/'Finalterm OVPAA-F-INS-055A RAW '!CG$17*100)</f>
        <v/>
      </c>
      <c r="CJ67" s="130" t="str">
        <f>IF('Finalterm OVPAA-F-INS-055A RAW '!CH67="","",'Finalterm OVPAA-F-INS-055A RAW '!CH67/'Finalterm OVPAA-F-INS-055A RAW '!CH$17*100)</f>
        <v/>
      </c>
      <c r="CK67" s="130" t="str">
        <f>IF('Finalterm OVPAA-F-INS-055A RAW '!CI67="","",'Finalterm OVPAA-F-INS-055A RAW '!CI67/'Finalterm OVPAA-F-INS-055A RAW '!CI$17*100)</f>
        <v/>
      </c>
      <c r="CL67" s="130" t="str">
        <f>IF('Finalterm OVPAA-F-INS-055A RAW '!CJ67="","",'Finalterm OVPAA-F-INS-055A RAW '!CJ67/'Finalterm OVPAA-F-INS-055A RAW '!CJ$17*100)</f>
        <v/>
      </c>
      <c r="CM67" s="130" t="str">
        <f>IF('Finalterm OVPAA-F-INS-055A RAW '!CK67="","",'Finalterm OVPAA-F-INS-055A RAW '!CK67/'Finalterm OVPAA-F-INS-055A RAW '!CK$17*100)</f>
        <v/>
      </c>
      <c r="CN67" s="130" t="str">
        <f>IF('Finalterm OVPAA-F-INS-055A RAW '!CL67="","",'Finalterm OVPAA-F-INS-055A RAW '!CL67/'Finalterm OVPAA-F-INS-055A RAW '!CL$17*100)</f>
        <v/>
      </c>
      <c r="CO67" s="130" t="str">
        <f>IF('Finalterm OVPAA-F-INS-055A RAW '!CM67="","",'Finalterm OVPAA-F-INS-055A RAW '!CM67/'Finalterm OVPAA-F-INS-055A RAW '!CM$17*100)</f>
        <v/>
      </c>
      <c r="CP67" s="130" t="str">
        <f>IF('Finalterm OVPAA-F-INS-055A RAW '!CN67="","",'Finalterm OVPAA-F-INS-055A RAW '!CN67/'Finalterm OVPAA-F-INS-055A RAW '!CN$17*100)</f>
        <v/>
      </c>
      <c r="CQ67" s="131" t="str">
        <f t="array" ref="CQ67">IF('Midterm OVPAA-F-INS-055A RAW SC'!G67="","",IF((SUMPRODUCT(--ISBLANK('Finalterm OVPAA-F-INS-055A RAW '!BU67:CN67))=COLUMNS('Finalterm OVPAA-F-INS-055A RAW '!BU67:CN67))=TRUE,"",(((COUNTA('Finalterm OVPAA-F-INS-055A RAW '!$BU$17:$CN$17)+COUNTBLANK('Finalterm OVPAA-F-INS-055A RAW '!BU67:CN67))-COLUMNS('Finalterm OVPAA-F-INS-055A RAW '!BU67:CN67))*5+SUM(BW67:CP67))/COUNTA('Finalterm OVPAA-F-INS-055A RAW '!$BU$17:$CN$17)))</f>
        <v/>
      </c>
      <c r="CR67" s="132" t="str">
        <f>IF(CQ67="","",VLOOKUP(CQ67,IF('Midterm OVPAA-F-INS-055A RAW SC'!$V$12=0.5,TRANSMUTATION!$C$4:$D$17,TRANSMUTATION!$G$4:$H$17),2,TRUE))</f>
        <v/>
      </c>
      <c r="CS67" s="133" t="str">
        <f>IF('Finalterm OVPAA-F-INS-055A RAW '!CO67="","",'Finalterm OVPAA-F-INS-055A RAW '!CO67/'Finalterm OVPAA-F-INS-055A RAW '!CO$17*100)</f>
        <v/>
      </c>
      <c r="CT67" s="133" t="str">
        <f>IF('Finalterm OVPAA-F-INS-055A RAW '!CP67="","",'Finalterm OVPAA-F-INS-055A RAW '!CP67/'Finalterm OVPAA-F-INS-055A RAW '!CP$17*100)</f>
        <v/>
      </c>
      <c r="CU67" s="133" t="str">
        <f>IF('Finalterm OVPAA-F-INS-055A RAW '!CQ67="","",'Finalterm OVPAA-F-INS-055A RAW '!CQ67/'Finalterm OVPAA-F-INS-055A RAW '!CQ$17*100)</f>
        <v/>
      </c>
      <c r="CV67" s="133" t="str">
        <f>IF('Finalterm OVPAA-F-INS-055A RAW '!CR67="","",'Finalterm OVPAA-F-INS-055A RAW '!CR67/'Finalterm OVPAA-F-INS-055A RAW '!CR$17*100)</f>
        <v/>
      </c>
      <c r="CW67" s="133" t="str">
        <f>IF('Finalterm OVPAA-F-INS-055A RAW '!CS67="","",'Finalterm OVPAA-F-INS-055A RAW '!CS67/'Finalterm OVPAA-F-INS-055A RAW '!CS$17*100)</f>
        <v/>
      </c>
      <c r="CX67" s="133" t="str">
        <f>IF('Finalterm OVPAA-F-INS-055A RAW '!CT67="","",'Finalterm OVPAA-F-INS-055A RAW '!CT67/'Finalterm OVPAA-F-INS-055A RAW '!CT$17*100)</f>
        <v/>
      </c>
      <c r="CY67" s="133" t="str">
        <f>IF('Finalterm OVPAA-F-INS-055A RAW '!CU67="","",'Finalterm OVPAA-F-INS-055A RAW '!CU67/'Finalterm OVPAA-F-INS-055A RAW '!CU$17*100)</f>
        <v/>
      </c>
      <c r="CZ67" s="133" t="str">
        <f>IF('Finalterm OVPAA-F-INS-055A RAW '!CV67="","",'Finalterm OVPAA-F-INS-055A RAW '!CV67/'Finalterm OVPAA-F-INS-055A RAW '!CV$17*100)</f>
        <v/>
      </c>
      <c r="DA67" s="133" t="str">
        <f>IF('Finalterm OVPAA-F-INS-055A RAW '!CW67="","",'Finalterm OVPAA-F-INS-055A RAW '!CW67/'Finalterm OVPAA-F-INS-055A RAW '!CW$17*100)</f>
        <v/>
      </c>
      <c r="DB67" s="133" t="str">
        <f>IF('Finalterm OVPAA-F-INS-055A RAW '!CX67="","",'Finalterm OVPAA-F-INS-055A RAW '!CX67/'Finalterm OVPAA-F-INS-055A RAW '!CX$17*100)</f>
        <v/>
      </c>
      <c r="DC67" s="134" t="str">
        <f t="array" ref="DC67">IF('Midterm OVPAA-F-INS-055A RAW SC'!$G67="","",IF((SUMPRODUCT(--ISBLANK('Finalterm OVPAA-F-INS-055A RAW '!CO67:CX67))=COLUMNS('Finalterm OVPAA-F-INS-055A RAW '!CO67:CX67))=TRUE,"",(((COUNTA('Finalterm OVPAA-F-INS-055A RAW '!$CO$17:$CX$17)+COUNTBLANK('Finalterm OVPAA-F-INS-055A RAW '!CO67:CX67))-COLUMNS('Finalterm OVPAA-F-INS-055A RAW '!CO67:CX67))*5+SUM(CS67:DB67))/COUNTA('Finalterm OVPAA-F-INS-055A RAW '!$CO$17:$CX$17)))</f>
        <v/>
      </c>
      <c r="DD67" s="135" t="str">
        <f>IF(DC67="","",VLOOKUP(DC67,IF('Midterm OVPAA-F-INS-055A RAW SC'!$V$12=0.5,TRANSMUTATION!$C$4:$D$17,TRANSMUTATION!$G$4:$H$17),2,TRUE))</f>
        <v/>
      </c>
      <c r="DE67" s="136" t="str">
        <f t="shared" si="1"/>
        <v/>
      </c>
      <c r="DF67" s="166" t="str">
        <f t="shared" si="2"/>
        <v/>
      </c>
      <c r="DG67" s="167" t="str">
        <f t="shared" si="3"/>
        <v/>
      </c>
      <c r="DH67" s="168" t="str">
        <f t="shared" si="4"/>
        <v/>
      </c>
      <c r="DI67" s="169" t="str">
        <f t="shared" si="5"/>
        <v/>
      </c>
    </row>
    <row r="68" spans="5:113" ht="15.75" hidden="1" customHeight="1">
      <c r="E68" s="59">
        <v>51</v>
      </c>
      <c r="F68" s="124" t="str">
        <f>IF(NOT(ISBLANK('Midterm OVPAA-F-INS-055A RAW SC'!F68)),'Midterm OVPAA-F-INS-055A RAW SC'!F68,"")</f>
        <v/>
      </c>
      <c r="G68" s="125" t="str">
        <f>IF(NOT(ISBLANK('Midterm OVPAA-F-INS-055A RAW SC'!G68)),'Midterm OVPAA-F-INS-055A RAW SC'!G68,"")</f>
        <v/>
      </c>
      <c r="H68" s="126" t="str">
        <f>IF('Finalterm OVPAA-F-INS-055A RAW '!H68="","",'Finalterm OVPAA-F-INS-055A RAW '!H68/'Finalterm OVPAA-F-INS-055A RAW '!H$17*100)</f>
        <v/>
      </c>
      <c r="I68" s="126" t="str">
        <f>IF('Finalterm OVPAA-F-INS-055A RAW '!I68="","",'Finalterm OVPAA-F-INS-055A RAW '!I68/'Finalterm OVPAA-F-INS-055A RAW '!I$17*100)</f>
        <v/>
      </c>
      <c r="J68" s="126" t="str">
        <f>IF('Finalterm OVPAA-F-INS-055A RAW '!J68="","",'Finalterm OVPAA-F-INS-055A RAW '!J68/'Finalterm OVPAA-F-INS-055A RAW '!J$17*100)</f>
        <v/>
      </c>
      <c r="K68" s="126" t="str">
        <f>IF('Finalterm OVPAA-F-INS-055A RAW '!K68="","",'Finalterm OVPAA-F-INS-055A RAW '!K68/'Finalterm OVPAA-F-INS-055A RAW '!K$17*100)</f>
        <v/>
      </c>
      <c r="L68" s="126" t="str">
        <f>IF('Finalterm OVPAA-F-INS-055A RAW '!L68="","",'Finalterm OVPAA-F-INS-055A RAW '!L68/'Finalterm OVPAA-F-INS-055A RAW '!L$17*100)</f>
        <v/>
      </c>
      <c r="M68" s="126" t="str">
        <f>IF('Finalterm OVPAA-F-INS-055A RAW '!M68="","",'Finalterm OVPAA-F-INS-055A RAW '!M68/'Finalterm OVPAA-F-INS-055A RAW '!M$17*100)</f>
        <v/>
      </c>
      <c r="N68" s="126" t="str">
        <f>IF('Finalterm OVPAA-F-INS-055A RAW '!N68="","",'Finalterm OVPAA-F-INS-055A RAW '!N68/'Finalterm OVPAA-F-INS-055A RAW '!N$17*100)</f>
        <v/>
      </c>
      <c r="O68" s="126" t="str">
        <f>IF('Finalterm OVPAA-F-INS-055A RAW '!O68="","",'Finalterm OVPAA-F-INS-055A RAW '!O68/'Finalterm OVPAA-F-INS-055A RAW '!O$17*100)</f>
        <v/>
      </c>
      <c r="P68" s="126" t="str">
        <f>IF('Finalterm OVPAA-F-INS-055A RAW '!P68="","",'Finalterm OVPAA-F-INS-055A RAW '!P68/'Finalterm OVPAA-F-INS-055A RAW '!P$17*100)</f>
        <v/>
      </c>
      <c r="Q68" s="126" t="str">
        <f>IF('Finalterm OVPAA-F-INS-055A RAW '!Q68="","",'Finalterm OVPAA-F-INS-055A RAW '!Q68/'Finalterm OVPAA-F-INS-055A RAW '!Q$17*100)</f>
        <v/>
      </c>
      <c r="R68" s="126" t="str">
        <f>IF('Finalterm OVPAA-F-INS-055A RAW '!R68="","",'Finalterm OVPAA-F-INS-055A RAW '!R68/'Finalterm OVPAA-F-INS-055A RAW '!R$17*100)</f>
        <v/>
      </c>
      <c r="S68" s="126" t="str">
        <f>IF('Finalterm OVPAA-F-INS-055A RAW '!S68="","",'Finalterm OVPAA-F-INS-055A RAW '!S68/'Finalterm OVPAA-F-INS-055A RAW '!S$17*100)</f>
        <v/>
      </c>
      <c r="T68" s="126" t="str">
        <f>IF('Finalterm OVPAA-F-INS-055A RAW '!T68="","",'Finalterm OVPAA-F-INS-055A RAW '!T68/'Finalterm OVPAA-F-INS-055A RAW '!T$17*100)</f>
        <v/>
      </c>
      <c r="U68" s="126" t="str">
        <f>IF('Finalterm OVPAA-F-INS-055A RAW '!U68="","",'Finalterm OVPAA-F-INS-055A RAW '!U68/'Finalterm OVPAA-F-INS-055A RAW '!U$17*100)</f>
        <v/>
      </c>
      <c r="V68" s="126" t="str">
        <f>IF('Finalterm OVPAA-F-INS-055A RAW '!V68="","",'Finalterm OVPAA-F-INS-055A RAW '!V68/'Finalterm OVPAA-F-INS-055A RAW '!V$17*100)</f>
        <v/>
      </c>
      <c r="W68" s="126" t="str">
        <f>IF('Finalterm OVPAA-F-INS-055A RAW '!W68="","",'Finalterm OVPAA-F-INS-055A RAW '!W68/'Finalterm OVPAA-F-INS-055A RAW '!W$17*100)</f>
        <v/>
      </c>
      <c r="X68" s="126" t="str">
        <f>IF('Finalterm OVPAA-F-INS-055A RAW '!X68="","",'Finalterm OVPAA-F-INS-055A RAW '!X68/'Finalterm OVPAA-F-INS-055A RAW '!X$17*100)</f>
        <v/>
      </c>
      <c r="Y68" s="126" t="str">
        <f>IF('Finalterm OVPAA-F-INS-055A RAW '!Y68="","",'Finalterm OVPAA-F-INS-055A RAW '!Y68/'Finalterm OVPAA-F-INS-055A RAW '!Y$17*100)</f>
        <v/>
      </c>
      <c r="Z68" s="126" t="str">
        <f>IF('Finalterm OVPAA-F-INS-055A RAW '!Z68="","",'Finalterm OVPAA-F-INS-055A RAW '!Z68/'Finalterm OVPAA-F-INS-055A RAW '!Z$17*100)</f>
        <v/>
      </c>
      <c r="AA68" s="126" t="str">
        <f>IF('Finalterm OVPAA-F-INS-055A RAW '!AA68="","",'Finalterm OVPAA-F-INS-055A RAW '!AA68/'Finalterm OVPAA-F-INS-055A RAW '!AA$17*100)</f>
        <v/>
      </c>
      <c r="AB68" s="126" t="str">
        <f>IF('Finalterm OVPAA-F-INS-055A RAW '!AB68="","",'Finalterm OVPAA-F-INS-055A RAW '!AB68/'Finalterm OVPAA-F-INS-055A RAW '!AB$17*100)</f>
        <v/>
      </c>
      <c r="AC68" s="126" t="str">
        <f>IF('Finalterm OVPAA-F-INS-055A RAW '!AC68="","",'Finalterm OVPAA-F-INS-055A RAW '!AC68/'Finalterm OVPAA-F-INS-055A RAW '!AC$17*100)</f>
        <v/>
      </c>
      <c r="AD68" s="126" t="str">
        <f>IF('Finalterm OVPAA-F-INS-055A RAW '!AD68="","",'Finalterm OVPAA-F-INS-055A RAW '!AD68/'Finalterm OVPAA-F-INS-055A RAW '!AD$17*100)</f>
        <v/>
      </c>
      <c r="AE68" s="126" t="str">
        <f>IF('Finalterm OVPAA-F-INS-055A RAW '!AE68="","",'Finalterm OVPAA-F-INS-055A RAW '!AE68/'Finalterm OVPAA-F-INS-055A RAW '!AE$17*100)</f>
        <v/>
      </c>
      <c r="AF68" s="126" t="str">
        <f>IF('Finalterm OVPAA-F-INS-055A RAW '!AF68="","",'Finalterm OVPAA-F-INS-055A RAW '!AF68/'Finalterm OVPAA-F-INS-055A RAW '!AF$17*100)</f>
        <v/>
      </c>
      <c r="AG68" s="126" t="str">
        <f>IF('Finalterm OVPAA-F-INS-055A RAW '!AG68="","",'Finalterm OVPAA-F-INS-055A RAW '!AG68/'Finalterm OVPAA-F-INS-055A RAW '!AG$17*100)</f>
        <v/>
      </c>
      <c r="AH68" s="126" t="str">
        <f>IF('Finalterm OVPAA-F-INS-055A RAW '!AH68="","",'Finalterm OVPAA-F-INS-055A RAW '!AH68/'Finalterm OVPAA-F-INS-055A RAW '!AH$17*100)</f>
        <v/>
      </c>
      <c r="AI68" s="126" t="str">
        <f>IF('Finalterm OVPAA-F-INS-055A RAW '!AI68="","",'Finalterm OVPAA-F-INS-055A RAW '!AI68/'Finalterm OVPAA-F-INS-055A RAW '!AI$17*100)</f>
        <v/>
      </c>
      <c r="AJ68" s="126" t="str">
        <f>IF('Finalterm OVPAA-F-INS-055A RAW '!AJ68="","",'Finalterm OVPAA-F-INS-055A RAW '!AJ68/'Finalterm OVPAA-F-INS-055A RAW '!AJ$17*100)</f>
        <v/>
      </c>
      <c r="AK68" s="126" t="str">
        <f>IF('Finalterm OVPAA-F-INS-055A RAW '!AK68="","",'Finalterm OVPAA-F-INS-055A RAW '!AK68/'Finalterm OVPAA-F-INS-055A RAW '!AK$17*100)</f>
        <v/>
      </c>
      <c r="AL68" s="126" t="str">
        <f>IF('Finalterm OVPAA-F-INS-055A RAW '!AL68="","",'Finalterm OVPAA-F-INS-055A RAW '!AL68/'Finalterm OVPAA-F-INS-055A RAW '!AL$17*100)</f>
        <v/>
      </c>
      <c r="AM68" s="126" t="str">
        <f>IF('Finalterm OVPAA-F-INS-055A RAW '!AM68="","",'Finalterm OVPAA-F-INS-055A RAW '!AM68/'Finalterm OVPAA-F-INS-055A RAW '!AM$17*100)</f>
        <v/>
      </c>
      <c r="AN68" s="126" t="str">
        <f>IF('Finalterm OVPAA-F-INS-055A RAW '!AN68="","",'Finalterm OVPAA-F-INS-055A RAW '!AN68/'Finalterm OVPAA-F-INS-055A RAW '!AN$17*100)</f>
        <v/>
      </c>
      <c r="AO68" s="126" t="str">
        <f>IF('Finalterm OVPAA-F-INS-055A RAW '!AO68="","",'Finalterm OVPAA-F-INS-055A RAW '!AO68/'Finalterm OVPAA-F-INS-055A RAW '!AO$17*100)</f>
        <v/>
      </c>
      <c r="AP68" s="126" t="str">
        <f>IF('Finalterm OVPAA-F-INS-055A RAW '!AP68="","",'Finalterm OVPAA-F-INS-055A RAW '!AP68/'Finalterm OVPAA-F-INS-055A RAW '!AP$17*100)</f>
        <v/>
      </c>
      <c r="AQ68" s="126" t="str">
        <f>IF('Finalterm OVPAA-F-INS-055A RAW '!AQ68="","",'Finalterm OVPAA-F-INS-055A RAW '!AQ68/'Finalterm OVPAA-F-INS-055A RAW '!AQ$17*100)</f>
        <v/>
      </c>
      <c r="AR68" s="126" t="str">
        <f>IF('Finalterm OVPAA-F-INS-055A RAW '!AR68="","",'Finalterm OVPAA-F-INS-055A RAW '!AR68/'Finalterm OVPAA-F-INS-055A RAW '!AR$17*100)</f>
        <v/>
      </c>
      <c r="AS68" s="126" t="str">
        <f>IF('Finalterm OVPAA-F-INS-055A RAW '!AS68="","",'Finalterm OVPAA-F-INS-055A RAW '!AS68/'Finalterm OVPAA-F-INS-055A RAW '!AS$17*100)</f>
        <v/>
      </c>
      <c r="AT68" s="126" t="str">
        <f>IF('Finalterm OVPAA-F-INS-055A RAW '!AT68="","",'Finalterm OVPAA-F-INS-055A RAW '!AT68/'Finalterm OVPAA-F-INS-055A RAW '!AT$17*100)</f>
        <v/>
      </c>
      <c r="AU68" s="126" t="str">
        <f>IF('Finalterm OVPAA-F-INS-055A RAW '!AU68="","",'Finalterm OVPAA-F-INS-055A RAW '!AU68/'Finalterm OVPAA-F-INS-055A RAW '!AU$17*100)</f>
        <v/>
      </c>
      <c r="AV68" s="126" t="str">
        <f>IF('Finalterm OVPAA-F-INS-055A RAW '!AV68="","",'Finalterm OVPAA-F-INS-055A RAW '!AV68/'Finalterm OVPAA-F-INS-055A RAW '!AV$17*100)</f>
        <v/>
      </c>
      <c r="AW68" s="126" t="str">
        <f>IF('Finalterm OVPAA-F-INS-055A RAW '!AW68="","",'Finalterm OVPAA-F-INS-055A RAW '!AW68/'Finalterm OVPAA-F-INS-055A RAW '!AW$17*100)</f>
        <v/>
      </c>
      <c r="AX68" s="126" t="str">
        <f>IF('Finalterm OVPAA-F-INS-055A RAW '!AX68="","",'Finalterm OVPAA-F-INS-055A RAW '!AX68/'Finalterm OVPAA-F-INS-055A RAW '!AX$17*100)</f>
        <v/>
      </c>
      <c r="AY68" s="126" t="str">
        <f>IF('Finalterm OVPAA-F-INS-055A RAW '!AY68="","",'Finalterm OVPAA-F-INS-055A RAW '!AY68/'Finalterm OVPAA-F-INS-055A RAW '!AY$17*100)</f>
        <v/>
      </c>
      <c r="AZ68" s="126" t="str">
        <f>IF('Finalterm OVPAA-F-INS-055A RAW '!AZ68="","",'Finalterm OVPAA-F-INS-055A RAW '!AZ68/'Finalterm OVPAA-F-INS-055A RAW '!AZ$17*100)</f>
        <v/>
      </c>
      <c r="BA68" s="126" t="str">
        <f>IF('Finalterm OVPAA-F-INS-055A RAW '!BA68="","",'Finalterm OVPAA-F-INS-055A RAW '!BA68/'Finalterm OVPAA-F-INS-055A RAW '!BA$17*100)</f>
        <v/>
      </c>
      <c r="BB68" s="126" t="str">
        <f>IF('Finalterm OVPAA-F-INS-055A RAW '!BB68="","",'Finalterm OVPAA-F-INS-055A RAW '!BB68/'Finalterm OVPAA-F-INS-055A RAW '!BB$17*100)</f>
        <v/>
      </c>
      <c r="BC68" s="126" t="str">
        <f>IF('Finalterm OVPAA-F-INS-055A RAW '!BC68="","",'Finalterm OVPAA-F-INS-055A RAW '!BC68/'Finalterm OVPAA-F-INS-055A RAW '!BC$17*100)</f>
        <v/>
      </c>
      <c r="BD68" s="126" t="str">
        <f>IF('Finalterm OVPAA-F-INS-055A RAW '!BD68="","",'Finalterm OVPAA-F-INS-055A RAW '!BD68/'Finalterm OVPAA-F-INS-055A RAW '!BD$17*100)</f>
        <v/>
      </c>
      <c r="BE68" s="126" t="str">
        <f>IF('Finalterm OVPAA-F-INS-055A RAW '!BE68="","",'Finalterm OVPAA-F-INS-055A RAW '!BE68/'Finalterm OVPAA-F-INS-055A RAW '!BE$17*100)</f>
        <v/>
      </c>
      <c r="BF68" s="126" t="str">
        <f>IF('Finalterm OVPAA-F-INS-055A RAW '!BF68="","",'Finalterm OVPAA-F-INS-055A RAW '!BF68/'Finalterm OVPAA-F-INS-055A RAW '!BF$17*100)</f>
        <v/>
      </c>
      <c r="BG68" s="126" t="str">
        <f>IF('Finalterm OVPAA-F-INS-055A RAW '!BG68="","",'Finalterm OVPAA-F-INS-055A RAW '!BG68/'Finalterm OVPAA-F-INS-055A RAW '!BG$17*100)</f>
        <v/>
      </c>
      <c r="BH68" s="126" t="str">
        <f>IF('Finalterm OVPAA-F-INS-055A RAW '!BH68="","",'Finalterm OVPAA-F-INS-055A RAW '!BH68/'Finalterm OVPAA-F-INS-055A RAW '!BH$17*100)</f>
        <v/>
      </c>
      <c r="BI68" s="126" t="str">
        <f>IF('Finalterm OVPAA-F-INS-055A RAW '!BI68="","",'Finalterm OVPAA-F-INS-055A RAW '!BI68/'Finalterm OVPAA-F-INS-055A RAW '!BI$17*100)</f>
        <v/>
      </c>
      <c r="BJ68" s="126" t="str">
        <f>IF('Finalterm OVPAA-F-INS-055A RAW '!BJ68="","",'Finalterm OVPAA-F-INS-055A RAW '!BJ68/'Finalterm OVPAA-F-INS-055A RAW '!BJ$17*100)</f>
        <v/>
      </c>
      <c r="BK68" s="126" t="str">
        <f>IF('Finalterm OVPAA-F-INS-055A RAW '!BK68="","",'Finalterm OVPAA-F-INS-055A RAW '!BK68/'Finalterm OVPAA-F-INS-055A RAW '!BK$17*100)</f>
        <v/>
      </c>
      <c r="BL68" s="126" t="str">
        <f>IF('Finalterm OVPAA-F-INS-055A RAW '!BL68="","",'Finalterm OVPAA-F-INS-055A RAW '!BL68/'Finalterm OVPAA-F-INS-055A RAW '!BL$17*100)</f>
        <v/>
      </c>
      <c r="BM68" s="126" t="str">
        <f>IF('Finalterm OVPAA-F-INS-055A RAW '!BM68="","",'Finalterm OVPAA-F-INS-055A RAW '!BM68/'Finalterm OVPAA-F-INS-055A RAW '!BM$17*100)</f>
        <v/>
      </c>
      <c r="BN68" s="126" t="str">
        <f>IF('Finalterm OVPAA-F-INS-055A RAW '!BN68="","",'Finalterm OVPAA-F-INS-055A RAW '!BN68/'Finalterm OVPAA-F-INS-055A RAW '!BN$17*100)</f>
        <v/>
      </c>
      <c r="BO68" s="126" t="str">
        <f>IF('Finalterm OVPAA-F-INS-055A RAW '!BO68="","",'Finalterm OVPAA-F-INS-055A RAW '!BO68/'Finalterm OVPAA-F-INS-055A RAW '!BO$17*100)</f>
        <v/>
      </c>
      <c r="BP68" s="126" t="str">
        <f>IF('Finalterm OVPAA-F-INS-055A RAW '!BP68="","",'Finalterm OVPAA-F-INS-055A RAW '!BP68/'Finalterm OVPAA-F-INS-055A RAW '!BP$17*100)</f>
        <v/>
      </c>
      <c r="BQ68" s="126" t="str">
        <f>IF('Finalterm OVPAA-F-INS-055A RAW '!BQ68="","",'Finalterm OVPAA-F-INS-055A RAW '!BQ68/'Finalterm OVPAA-F-INS-055A RAW '!BQ$17*100)</f>
        <v/>
      </c>
      <c r="BR68" s="126" t="str">
        <f>IF('Finalterm OVPAA-F-INS-055A RAW '!BR68="","",'Finalterm OVPAA-F-INS-055A RAW '!BR68/'Finalterm OVPAA-F-INS-055A RAW '!BR$17*100)</f>
        <v/>
      </c>
      <c r="BS68" s="126" t="str">
        <f>IF('Finalterm OVPAA-F-INS-055A RAW '!BS68="","",'Finalterm OVPAA-F-INS-055A RAW '!BS68/'Finalterm OVPAA-F-INS-055A RAW '!BS$17*100)</f>
        <v/>
      </c>
      <c r="BT68" s="126" t="str">
        <f>IF('Finalterm OVPAA-F-INS-055A RAW '!BT68="","",'Finalterm OVPAA-F-INS-055A RAW '!BT68/'Finalterm OVPAA-F-INS-055A RAW '!BT$17*100)</f>
        <v/>
      </c>
      <c r="BU68" s="127" t="str">
        <f t="array" ref="BU68">IF('Finalterm OVPAA-F-INS-055A RAW '!$G68="","",IF((SUMPRODUCT(--ISBLANK('Finalterm OVPAA-F-INS-055A RAW '!H68:BT68))=COLUMNS('Finalterm OVPAA-F-INS-055A RAW '!H68:BT68))=TRUE,"",(((COUNTA('Finalterm OVPAA-F-INS-055A RAW '!$H$17:$BT$17)+COUNTBLANK('Finalterm OVPAA-F-INS-055A RAW '!H68:BT68))-COLUMNS('Finalterm OVPAA-F-INS-055A RAW '!H68:BT68))*5+SUM(H68:BT68))/COUNTA('Finalterm OVPAA-F-INS-055A RAW '!$H$17:$BT$17)))</f>
        <v/>
      </c>
      <c r="BV68" s="165" t="str">
        <f>IF(BU68="","",VLOOKUP(BU68,IF('Midterm OVPAA-F-INS-055A RAW SC'!$V$12=0.5,TRANSMUTATION!$C$4:$D$17,TRANSMUTATION!$G$4:$H$17),2,TRUE))</f>
        <v/>
      </c>
      <c r="BW68" s="129" t="str">
        <f>IF('Finalterm OVPAA-F-INS-055A RAW '!BU68="","",'Finalterm OVPAA-F-INS-055A RAW '!BU68/'Finalterm OVPAA-F-INS-055A RAW '!BU$17*100)</f>
        <v/>
      </c>
      <c r="BX68" s="130" t="str">
        <f>IF('Finalterm OVPAA-F-INS-055A RAW '!BV68="","",'Finalterm OVPAA-F-INS-055A RAW '!BV68/'Finalterm OVPAA-F-INS-055A RAW '!BV$17*100)</f>
        <v/>
      </c>
      <c r="BY68" s="130" t="str">
        <f>IF('Finalterm OVPAA-F-INS-055A RAW '!BW68="","",'Finalterm OVPAA-F-INS-055A RAW '!BW68/'Finalterm OVPAA-F-INS-055A RAW '!BW$17*100)</f>
        <v/>
      </c>
      <c r="BZ68" s="130" t="str">
        <f>IF('Finalterm OVPAA-F-INS-055A RAW '!BX68="","",'Finalterm OVPAA-F-INS-055A RAW '!BX68/'Finalterm OVPAA-F-INS-055A RAW '!BX$17*100)</f>
        <v/>
      </c>
      <c r="CA68" s="130" t="str">
        <f>IF('Finalterm OVPAA-F-INS-055A RAW '!BY68="","",'Finalterm OVPAA-F-INS-055A RAW '!BY68/'Finalterm OVPAA-F-INS-055A RAW '!BY$17*100)</f>
        <v/>
      </c>
      <c r="CB68" s="130" t="str">
        <f>IF('Finalterm OVPAA-F-INS-055A RAW '!BZ68="","",'Finalterm OVPAA-F-INS-055A RAW '!BZ68/'Finalterm OVPAA-F-INS-055A RAW '!BZ$17*100)</f>
        <v/>
      </c>
      <c r="CC68" s="130" t="str">
        <f>IF('Finalterm OVPAA-F-INS-055A RAW '!CA68="","",'Finalterm OVPAA-F-INS-055A RAW '!CA68/'Finalterm OVPAA-F-INS-055A RAW '!CA$17*100)</f>
        <v/>
      </c>
      <c r="CD68" s="130" t="str">
        <f>IF('Finalterm OVPAA-F-INS-055A RAW '!CB68="","",'Finalterm OVPAA-F-INS-055A RAW '!CB68/'Finalterm OVPAA-F-INS-055A RAW '!CB$17*100)</f>
        <v/>
      </c>
      <c r="CE68" s="130" t="str">
        <f>IF('Finalterm OVPAA-F-INS-055A RAW '!CC68="","",'Finalterm OVPAA-F-INS-055A RAW '!CC68/'Finalterm OVPAA-F-INS-055A RAW '!CC$17*100)</f>
        <v/>
      </c>
      <c r="CF68" s="130" t="str">
        <f>IF('Finalterm OVPAA-F-INS-055A RAW '!CD68="","",'Finalterm OVPAA-F-INS-055A RAW '!CD68/'Finalterm OVPAA-F-INS-055A RAW '!CD$17*100)</f>
        <v/>
      </c>
      <c r="CG68" s="130" t="str">
        <f>IF('Finalterm OVPAA-F-INS-055A RAW '!CE68="","",'Finalterm OVPAA-F-INS-055A RAW '!CE68/'Finalterm OVPAA-F-INS-055A RAW '!CE$17*100)</f>
        <v/>
      </c>
      <c r="CH68" s="130" t="str">
        <f>IF('Finalterm OVPAA-F-INS-055A RAW '!CF68="","",'Finalterm OVPAA-F-INS-055A RAW '!CF68/'Finalterm OVPAA-F-INS-055A RAW '!CF$17*100)</f>
        <v/>
      </c>
      <c r="CI68" s="130" t="str">
        <f>IF('Finalterm OVPAA-F-INS-055A RAW '!CG68="","",'Finalterm OVPAA-F-INS-055A RAW '!CG68/'Finalterm OVPAA-F-INS-055A RAW '!CG$17*100)</f>
        <v/>
      </c>
      <c r="CJ68" s="130" t="str">
        <f>IF('Finalterm OVPAA-F-INS-055A RAW '!CH68="","",'Finalterm OVPAA-F-INS-055A RAW '!CH68/'Finalterm OVPAA-F-INS-055A RAW '!CH$17*100)</f>
        <v/>
      </c>
      <c r="CK68" s="130" t="str">
        <f>IF('Finalterm OVPAA-F-INS-055A RAW '!CI68="","",'Finalterm OVPAA-F-INS-055A RAW '!CI68/'Finalterm OVPAA-F-INS-055A RAW '!CI$17*100)</f>
        <v/>
      </c>
      <c r="CL68" s="130" t="str">
        <f>IF('Finalterm OVPAA-F-INS-055A RAW '!CJ68="","",'Finalterm OVPAA-F-INS-055A RAW '!CJ68/'Finalterm OVPAA-F-INS-055A RAW '!CJ$17*100)</f>
        <v/>
      </c>
      <c r="CM68" s="130" t="str">
        <f>IF('Finalterm OVPAA-F-INS-055A RAW '!CK68="","",'Finalterm OVPAA-F-INS-055A RAW '!CK68/'Finalterm OVPAA-F-INS-055A RAW '!CK$17*100)</f>
        <v/>
      </c>
      <c r="CN68" s="130" t="str">
        <f>IF('Finalterm OVPAA-F-INS-055A RAW '!CL68="","",'Finalterm OVPAA-F-INS-055A RAW '!CL68/'Finalterm OVPAA-F-INS-055A RAW '!CL$17*100)</f>
        <v/>
      </c>
      <c r="CO68" s="130" t="str">
        <f>IF('Finalterm OVPAA-F-INS-055A RAW '!CM68="","",'Finalterm OVPAA-F-INS-055A RAW '!CM68/'Finalterm OVPAA-F-INS-055A RAW '!CM$17*100)</f>
        <v/>
      </c>
      <c r="CP68" s="130" t="str">
        <f>IF('Finalterm OVPAA-F-INS-055A RAW '!CN68="","",'Finalterm OVPAA-F-INS-055A RAW '!CN68/'Finalterm OVPAA-F-INS-055A RAW '!CN$17*100)</f>
        <v/>
      </c>
      <c r="CQ68" s="131" t="str">
        <f t="array" ref="CQ68">IF('Midterm OVPAA-F-INS-055A RAW SC'!G68="","",IF((SUMPRODUCT(--ISBLANK('Finalterm OVPAA-F-INS-055A RAW '!BU68:CN68))=COLUMNS('Finalterm OVPAA-F-INS-055A RAW '!BU68:CN68))=TRUE,"",(((COUNTA('Finalterm OVPAA-F-INS-055A RAW '!$BU$17:$CN$17)+COUNTBLANK('Finalterm OVPAA-F-INS-055A RAW '!BU68:CN68))-COLUMNS('Finalterm OVPAA-F-INS-055A RAW '!BU68:CN68))*5+SUM(BW68:CP68))/COUNTA('Finalterm OVPAA-F-INS-055A RAW '!$BU$17:$CN$17)))</f>
        <v/>
      </c>
      <c r="CR68" s="132" t="str">
        <f>IF(CQ68="","",VLOOKUP(CQ68,IF('Midterm OVPAA-F-INS-055A RAW SC'!$V$12=0.5,TRANSMUTATION!$C$4:$D$17,TRANSMUTATION!$G$4:$H$17),2,TRUE))</f>
        <v/>
      </c>
      <c r="CS68" s="133" t="str">
        <f>IF('Finalterm OVPAA-F-INS-055A RAW '!CO68="","",'Finalterm OVPAA-F-INS-055A RAW '!CO68/'Finalterm OVPAA-F-INS-055A RAW '!CO$17*100)</f>
        <v/>
      </c>
      <c r="CT68" s="133" t="str">
        <f>IF('Finalterm OVPAA-F-INS-055A RAW '!CP68="","",'Finalterm OVPAA-F-INS-055A RAW '!CP68/'Finalterm OVPAA-F-INS-055A RAW '!CP$17*100)</f>
        <v/>
      </c>
      <c r="CU68" s="133" t="str">
        <f>IF('Finalterm OVPAA-F-INS-055A RAW '!CQ68="","",'Finalterm OVPAA-F-INS-055A RAW '!CQ68/'Finalterm OVPAA-F-INS-055A RAW '!CQ$17*100)</f>
        <v/>
      </c>
      <c r="CV68" s="133" t="str">
        <f>IF('Finalterm OVPAA-F-INS-055A RAW '!CR68="","",'Finalterm OVPAA-F-INS-055A RAW '!CR68/'Finalterm OVPAA-F-INS-055A RAW '!CR$17*100)</f>
        <v/>
      </c>
      <c r="CW68" s="133" t="str">
        <f>IF('Finalterm OVPAA-F-INS-055A RAW '!CS68="","",'Finalterm OVPAA-F-INS-055A RAW '!CS68/'Finalterm OVPAA-F-INS-055A RAW '!CS$17*100)</f>
        <v/>
      </c>
      <c r="CX68" s="133" t="str">
        <f>IF('Finalterm OVPAA-F-INS-055A RAW '!CT68="","",'Finalterm OVPAA-F-INS-055A RAW '!CT68/'Finalterm OVPAA-F-INS-055A RAW '!CT$17*100)</f>
        <v/>
      </c>
      <c r="CY68" s="133" t="str">
        <f>IF('Finalterm OVPAA-F-INS-055A RAW '!CU68="","",'Finalterm OVPAA-F-INS-055A RAW '!CU68/'Finalterm OVPAA-F-INS-055A RAW '!CU$17*100)</f>
        <v/>
      </c>
      <c r="CZ68" s="133" t="str">
        <f>IF('Finalterm OVPAA-F-INS-055A RAW '!CV68="","",'Finalterm OVPAA-F-INS-055A RAW '!CV68/'Finalterm OVPAA-F-INS-055A RAW '!CV$17*100)</f>
        <v/>
      </c>
      <c r="DA68" s="133" t="str">
        <f>IF('Finalterm OVPAA-F-INS-055A RAW '!CW68="","",'Finalterm OVPAA-F-INS-055A RAW '!CW68/'Finalterm OVPAA-F-INS-055A RAW '!CW$17*100)</f>
        <v/>
      </c>
      <c r="DB68" s="133" t="str">
        <f>IF('Finalterm OVPAA-F-INS-055A RAW '!CX68="","",'Finalterm OVPAA-F-INS-055A RAW '!CX68/'Finalterm OVPAA-F-INS-055A RAW '!CX$17*100)</f>
        <v/>
      </c>
      <c r="DC68" s="134" t="str">
        <f t="array" ref="DC68">IF('Midterm OVPAA-F-INS-055A RAW SC'!$G68="","",IF((SUMPRODUCT(--ISBLANK('Finalterm OVPAA-F-INS-055A RAW '!CO68:CX68))=COLUMNS('Finalterm OVPAA-F-INS-055A RAW '!CO68:CX68))=TRUE,"",(((COUNTA('Finalterm OVPAA-F-INS-055A RAW '!$CO$17:$CX$17)+COUNTBLANK('Finalterm OVPAA-F-INS-055A RAW '!CO68:CX68))-COLUMNS('Finalterm OVPAA-F-INS-055A RAW '!CO68:CX68))*5+SUM(CS68:DB68))/COUNTA('Finalterm OVPAA-F-INS-055A RAW '!$CO$17:$CX$17)))</f>
        <v/>
      </c>
      <c r="DD68" s="135" t="str">
        <f>IF(DC68="","",VLOOKUP(DC68,IF('Midterm OVPAA-F-INS-055A RAW SC'!$V$12=0.5,TRANSMUTATION!$C$4:$D$17,TRANSMUTATION!$G$4:$H$17),2,TRUE))</f>
        <v/>
      </c>
      <c r="DE68" s="136" t="str">
        <f t="shared" si="1"/>
        <v/>
      </c>
      <c r="DF68" s="166" t="str">
        <f t="shared" si="2"/>
        <v/>
      </c>
      <c r="DG68" s="167" t="str">
        <f t="shared" si="3"/>
        <v/>
      </c>
      <c r="DH68" s="168" t="str">
        <f t="shared" si="4"/>
        <v/>
      </c>
      <c r="DI68" s="169" t="str">
        <f t="shared" si="5"/>
        <v/>
      </c>
    </row>
    <row r="69" spans="5:113" ht="15.75" hidden="1" customHeight="1">
      <c r="E69" s="59">
        <v>52</v>
      </c>
      <c r="F69" s="124" t="str">
        <f>IF(NOT(ISBLANK('Midterm OVPAA-F-INS-055A RAW SC'!F69)),'Midterm OVPAA-F-INS-055A RAW SC'!F69,"")</f>
        <v/>
      </c>
      <c r="G69" s="125" t="str">
        <f>IF(NOT(ISBLANK('Midterm OVPAA-F-INS-055A RAW SC'!G69)),'Midterm OVPAA-F-INS-055A RAW SC'!G69,"")</f>
        <v/>
      </c>
      <c r="H69" s="126" t="str">
        <f>IF('Finalterm OVPAA-F-INS-055A RAW '!H69="","",'Finalterm OVPAA-F-INS-055A RAW '!H69/'Finalterm OVPAA-F-INS-055A RAW '!H$17*100)</f>
        <v/>
      </c>
      <c r="I69" s="126" t="str">
        <f>IF('Finalterm OVPAA-F-INS-055A RAW '!I69="","",'Finalterm OVPAA-F-INS-055A RAW '!I69/'Finalterm OVPAA-F-INS-055A RAW '!I$17*100)</f>
        <v/>
      </c>
      <c r="J69" s="126" t="str">
        <f>IF('Finalterm OVPAA-F-INS-055A RAW '!J69="","",'Finalterm OVPAA-F-INS-055A RAW '!J69/'Finalterm OVPAA-F-INS-055A RAW '!J$17*100)</f>
        <v/>
      </c>
      <c r="K69" s="126" t="str">
        <f>IF('Finalterm OVPAA-F-INS-055A RAW '!K69="","",'Finalterm OVPAA-F-INS-055A RAW '!K69/'Finalterm OVPAA-F-INS-055A RAW '!K$17*100)</f>
        <v/>
      </c>
      <c r="L69" s="126" t="str">
        <f>IF('Finalterm OVPAA-F-INS-055A RAW '!L69="","",'Finalterm OVPAA-F-INS-055A RAW '!L69/'Finalterm OVPAA-F-INS-055A RAW '!L$17*100)</f>
        <v/>
      </c>
      <c r="M69" s="126" t="str">
        <f>IF('Finalterm OVPAA-F-INS-055A RAW '!M69="","",'Finalterm OVPAA-F-INS-055A RAW '!M69/'Finalterm OVPAA-F-INS-055A RAW '!M$17*100)</f>
        <v/>
      </c>
      <c r="N69" s="126" t="str">
        <f>IF('Finalterm OVPAA-F-INS-055A RAW '!N69="","",'Finalterm OVPAA-F-INS-055A RAW '!N69/'Finalterm OVPAA-F-INS-055A RAW '!N$17*100)</f>
        <v/>
      </c>
      <c r="O69" s="126" t="str">
        <f>IF('Finalterm OVPAA-F-INS-055A RAW '!O69="","",'Finalterm OVPAA-F-INS-055A RAW '!O69/'Finalterm OVPAA-F-INS-055A RAW '!O$17*100)</f>
        <v/>
      </c>
      <c r="P69" s="126" t="str">
        <f>IF('Finalterm OVPAA-F-INS-055A RAW '!P69="","",'Finalterm OVPAA-F-INS-055A RAW '!P69/'Finalterm OVPAA-F-INS-055A RAW '!P$17*100)</f>
        <v/>
      </c>
      <c r="Q69" s="126" t="str">
        <f>IF('Finalterm OVPAA-F-INS-055A RAW '!Q69="","",'Finalterm OVPAA-F-INS-055A RAW '!Q69/'Finalterm OVPAA-F-INS-055A RAW '!Q$17*100)</f>
        <v/>
      </c>
      <c r="R69" s="126" t="str">
        <f>IF('Finalterm OVPAA-F-INS-055A RAW '!R69="","",'Finalterm OVPAA-F-INS-055A RAW '!R69/'Finalterm OVPAA-F-INS-055A RAW '!R$17*100)</f>
        <v/>
      </c>
      <c r="S69" s="126" t="str">
        <f>IF('Finalterm OVPAA-F-INS-055A RAW '!S69="","",'Finalterm OVPAA-F-INS-055A RAW '!S69/'Finalterm OVPAA-F-INS-055A RAW '!S$17*100)</f>
        <v/>
      </c>
      <c r="T69" s="126" t="str">
        <f>IF('Finalterm OVPAA-F-INS-055A RAW '!T69="","",'Finalterm OVPAA-F-INS-055A RAW '!T69/'Finalterm OVPAA-F-INS-055A RAW '!T$17*100)</f>
        <v/>
      </c>
      <c r="U69" s="126" t="str">
        <f>IF('Finalterm OVPAA-F-INS-055A RAW '!U69="","",'Finalterm OVPAA-F-INS-055A RAW '!U69/'Finalterm OVPAA-F-INS-055A RAW '!U$17*100)</f>
        <v/>
      </c>
      <c r="V69" s="126" t="str">
        <f>IF('Finalterm OVPAA-F-INS-055A RAW '!V69="","",'Finalterm OVPAA-F-INS-055A RAW '!V69/'Finalterm OVPAA-F-INS-055A RAW '!V$17*100)</f>
        <v/>
      </c>
      <c r="W69" s="126" t="str">
        <f>IF('Finalterm OVPAA-F-INS-055A RAW '!W69="","",'Finalterm OVPAA-F-INS-055A RAW '!W69/'Finalterm OVPAA-F-INS-055A RAW '!W$17*100)</f>
        <v/>
      </c>
      <c r="X69" s="126" t="str">
        <f>IF('Finalterm OVPAA-F-INS-055A RAW '!X69="","",'Finalterm OVPAA-F-INS-055A RAW '!X69/'Finalterm OVPAA-F-INS-055A RAW '!X$17*100)</f>
        <v/>
      </c>
      <c r="Y69" s="126" t="str">
        <f>IF('Finalterm OVPAA-F-INS-055A RAW '!Y69="","",'Finalterm OVPAA-F-INS-055A RAW '!Y69/'Finalterm OVPAA-F-INS-055A RAW '!Y$17*100)</f>
        <v/>
      </c>
      <c r="Z69" s="126" t="str">
        <f>IF('Finalterm OVPAA-F-INS-055A RAW '!Z69="","",'Finalterm OVPAA-F-INS-055A RAW '!Z69/'Finalterm OVPAA-F-INS-055A RAW '!Z$17*100)</f>
        <v/>
      </c>
      <c r="AA69" s="126" t="str">
        <f>IF('Finalterm OVPAA-F-INS-055A RAW '!AA69="","",'Finalterm OVPAA-F-INS-055A RAW '!AA69/'Finalterm OVPAA-F-INS-055A RAW '!AA$17*100)</f>
        <v/>
      </c>
      <c r="AB69" s="126" t="str">
        <f>IF('Finalterm OVPAA-F-INS-055A RAW '!AB69="","",'Finalterm OVPAA-F-INS-055A RAW '!AB69/'Finalterm OVPAA-F-INS-055A RAW '!AB$17*100)</f>
        <v/>
      </c>
      <c r="AC69" s="126" t="str">
        <f>IF('Finalterm OVPAA-F-INS-055A RAW '!AC69="","",'Finalterm OVPAA-F-INS-055A RAW '!AC69/'Finalterm OVPAA-F-INS-055A RAW '!AC$17*100)</f>
        <v/>
      </c>
      <c r="AD69" s="126" t="str">
        <f>IF('Finalterm OVPAA-F-INS-055A RAW '!AD69="","",'Finalterm OVPAA-F-INS-055A RAW '!AD69/'Finalterm OVPAA-F-INS-055A RAW '!AD$17*100)</f>
        <v/>
      </c>
      <c r="AE69" s="126" t="str">
        <f>IF('Finalterm OVPAA-F-INS-055A RAW '!AE69="","",'Finalterm OVPAA-F-INS-055A RAW '!AE69/'Finalterm OVPAA-F-INS-055A RAW '!AE$17*100)</f>
        <v/>
      </c>
      <c r="AF69" s="126" t="str">
        <f>IF('Finalterm OVPAA-F-INS-055A RAW '!AF69="","",'Finalterm OVPAA-F-INS-055A RAW '!AF69/'Finalterm OVPAA-F-INS-055A RAW '!AF$17*100)</f>
        <v/>
      </c>
      <c r="AG69" s="126" t="str">
        <f>IF('Finalterm OVPAA-F-INS-055A RAW '!AG69="","",'Finalterm OVPAA-F-INS-055A RAW '!AG69/'Finalterm OVPAA-F-INS-055A RAW '!AG$17*100)</f>
        <v/>
      </c>
      <c r="AH69" s="126" t="str">
        <f>IF('Finalterm OVPAA-F-INS-055A RAW '!AH69="","",'Finalterm OVPAA-F-INS-055A RAW '!AH69/'Finalterm OVPAA-F-INS-055A RAW '!AH$17*100)</f>
        <v/>
      </c>
      <c r="AI69" s="126" t="str">
        <f>IF('Finalterm OVPAA-F-INS-055A RAW '!AI69="","",'Finalterm OVPAA-F-INS-055A RAW '!AI69/'Finalterm OVPAA-F-INS-055A RAW '!AI$17*100)</f>
        <v/>
      </c>
      <c r="AJ69" s="126" t="str">
        <f>IF('Finalterm OVPAA-F-INS-055A RAW '!AJ69="","",'Finalterm OVPAA-F-INS-055A RAW '!AJ69/'Finalterm OVPAA-F-INS-055A RAW '!AJ$17*100)</f>
        <v/>
      </c>
      <c r="AK69" s="126" t="str">
        <f>IF('Finalterm OVPAA-F-INS-055A RAW '!AK69="","",'Finalterm OVPAA-F-INS-055A RAW '!AK69/'Finalterm OVPAA-F-INS-055A RAW '!AK$17*100)</f>
        <v/>
      </c>
      <c r="AL69" s="126" t="str">
        <f>IF('Finalterm OVPAA-F-INS-055A RAW '!AL69="","",'Finalterm OVPAA-F-INS-055A RAW '!AL69/'Finalterm OVPAA-F-INS-055A RAW '!AL$17*100)</f>
        <v/>
      </c>
      <c r="AM69" s="126" t="str">
        <f>IF('Finalterm OVPAA-F-INS-055A RAW '!AM69="","",'Finalterm OVPAA-F-INS-055A RAW '!AM69/'Finalterm OVPAA-F-INS-055A RAW '!AM$17*100)</f>
        <v/>
      </c>
      <c r="AN69" s="126" t="str">
        <f>IF('Finalterm OVPAA-F-INS-055A RAW '!AN69="","",'Finalterm OVPAA-F-INS-055A RAW '!AN69/'Finalterm OVPAA-F-INS-055A RAW '!AN$17*100)</f>
        <v/>
      </c>
      <c r="AO69" s="126" t="str">
        <f>IF('Finalterm OVPAA-F-INS-055A RAW '!AO69="","",'Finalterm OVPAA-F-INS-055A RAW '!AO69/'Finalterm OVPAA-F-INS-055A RAW '!AO$17*100)</f>
        <v/>
      </c>
      <c r="AP69" s="126" t="str">
        <f>IF('Finalterm OVPAA-F-INS-055A RAW '!AP69="","",'Finalterm OVPAA-F-INS-055A RAW '!AP69/'Finalterm OVPAA-F-INS-055A RAW '!AP$17*100)</f>
        <v/>
      </c>
      <c r="AQ69" s="126" t="str">
        <f>IF('Finalterm OVPAA-F-INS-055A RAW '!AQ69="","",'Finalterm OVPAA-F-INS-055A RAW '!AQ69/'Finalterm OVPAA-F-INS-055A RAW '!AQ$17*100)</f>
        <v/>
      </c>
      <c r="AR69" s="126" t="str">
        <f>IF('Finalterm OVPAA-F-INS-055A RAW '!AR69="","",'Finalterm OVPAA-F-INS-055A RAW '!AR69/'Finalterm OVPAA-F-INS-055A RAW '!AR$17*100)</f>
        <v/>
      </c>
      <c r="AS69" s="126" t="str">
        <f>IF('Finalterm OVPAA-F-INS-055A RAW '!AS69="","",'Finalterm OVPAA-F-INS-055A RAW '!AS69/'Finalterm OVPAA-F-INS-055A RAW '!AS$17*100)</f>
        <v/>
      </c>
      <c r="AT69" s="126" t="str">
        <f>IF('Finalterm OVPAA-F-INS-055A RAW '!AT69="","",'Finalterm OVPAA-F-INS-055A RAW '!AT69/'Finalterm OVPAA-F-INS-055A RAW '!AT$17*100)</f>
        <v/>
      </c>
      <c r="AU69" s="126" t="str">
        <f>IF('Finalterm OVPAA-F-INS-055A RAW '!AU69="","",'Finalterm OVPAA-F-INS-055A RAW '!AU69/'Finalterm OVPAA-F-INS-055A RAW '!AU$17*100)</f>
        <v/>
      </c>
      <c r="AV69" s="126" t="str">
        <f>IF('Finalterm OVPAA-F-INS-055A RAW '!AV69="","",'Finalterm OVPAA-F-INS-055A RAW '!AV69/'Finalterm OVPAA-F-INS-055A RAW '!AV$17*100)</f>
        <v/>
      </c>
      <c r="AW69" s="126" t="str">
        <f>IF('Finalterm OVPAA-F-INS-055A RAW '!AW69="","",'Finalterm OVPAA-F-INS-055A RAW '!AW69/'Finalterm OVPAA-F-INS-055A RAW '!AW$17*100)</f>
        <v/>
      </c>
      <c r="AX69" s="126" t="str">
        <f>IF('Finalterm OVPAA-F-INS-055A RAW '!AX69="","",'Finalterm OVPAA-F-INS-055A RAW '!AX69/'Finalterm OVPAA-F-INS-055A RAW '!AX$17*100)</f>
        <v/>
      </c>
      <c r="AY69" s="126" t="str">
        <f>IF('Finalterm OVPAA-F-INS-055A RAW '!AY69="","",'Finalterm OVPAA-F-INS-055A RAW '!AY69/'Finalterm OVPAA-F-INS-055A RAW '!AY$17*100)</f>
        <v/>
      </c>
      <c r="AZ69" s="126" t="str">
        <f>IF('Finalterm OVPAA-F-INS-055A RAW '!AZ69="","",'Finalterm OVPAA-F-INS-055A RAW '!AZ69/'Finalterm OVPAA-F-INS-055A RAW '!AZ$17*100)</f>
        <v/>
      </c>
      <c r="BA69" s="126" t="str">
        <f>IF('Finalterm OVPAA-F-INS-055A RAW '!BA69="","",'Finalterm OVPAA-F-INS-055A RAW '!BA69/'Finalterm OVPAA-F-INS-055A RAW '!BA$17*100)</f>
        <v/>
      </c>
      <c r="BB69" s="126" t="str">
        <f>IF('Finalterm OVPAA-F-INS-055A RAW '!BB69="","",'Finalterm OVPAA-F-INS-055A RAW '!BB69/'Finalterm OVPAA-F-INS-055A RAW '!BB$17*100)</f>
        <v/>
      </c>
      <c r="BC69" s="126" t="str">
        <f>IF('Finalterm OVPAA-F-INS-055A RAW '!BC69="","",'Finalterm OVPAA-F-INS-055A RAW '!BC69/'Finalterm OVPAA-F-INS-055A RAW '!BC$17*100)</f>
        <v/>
      </c>
      <c r="BD69" s="126" t="str">
        <f>IF('Finalterm OVPAA-F-INS-055A RAW '!BD69="","",'Finalterm OVPAA-F-INS-055A RAW '!BD69/'Finalterm OVPAA-F-INS-055A RAW '!BD$17*100)</f>
        <v/>
      </c>
      <c r="BE69" s="126" t="str">
        <f>IF('Finalterm OVPAA-F-INS-055A RAW '!BE69="","",'Finalterm OVPAA-F-INS-055A RAW '!BE69/'Finalterm OVPAA-F-INS-055A RAW '!BE$17*100)</f>
        <v/>
      </c>
      <c r="BF69" s="126" t="str">
        <f>IF('Finalterm OVPAA-F-INS-055A RAW '!BF69="","",'Finalterm OVPAA-F-INS-055A RAW '!BF69/'Finalterm OVPAA-F-INS-055A RAW '!BF$17*100)</f>
        <v/>
      </c>
      <c r="BG69" s="126" t="str">
        <f>IF('Finalterm OVPAA-F-INS-055A RAW '!BG69="","",'Finalterm OVPAA-F-INS-055A RAW '!BG69/'Finalterm OVPAA-F-INS-055A RAW '!BG$17*100)</f>
        <v/>
      </c>
      <c r="BH69" s="126" t="str">
        <f>IF('Finalterm OVPAA-F-INS-055A RAW '!BH69="","",'Finalterm OVPAA-F-INS-055A RAW '!BH69/'Finalterm OVPAA-F-INS-055A RAW '!BH$17*100)</f>
        <v/>
      </c>
      <c r="BI69" s="126" t="str">
        <f>IF('Finalterm OVPAA-F-INS-055A RAW '!BI69="","",'Finalterm OVPAA-F-INS-055A RAW '!BI69/'Finalterm OVPAA-F-INS-055A RAW '!BI$17*100)</f>
        <v/>
      </c>
      <c r="BJ69" s="126" t="str">
        <f>IF('Finalterm OVPAA-F-INS-055A RAW '!BJ69="","",'Finalterm OVPAA-F-INS-055A RAW '!BJ69/'Finalterm OVPAA-F-INS-055A RAW '!BJ$17*100)</f>
        <v/>
      </c>
      <c r="BK69" s="126" t="str">
        <f>IF('Finalterm OVPAA-F-INS-055A RAW '!BK69="","",'Finalterm OVPAA-F-INS-055A RAW '!BK69/'Finalterm OVPAA-F-INS-055A RAW '!BK$17*100)</f>
        <v/>
      </c>
      <c r="BL69" s="126" t="str">
        <f>IF('Finalterm OVPAA-F-INS-055A RAW '!BL69="","",'Finalterm OVPAA-F-INS-055A RAW '!BL69/'Finalterm OVPAA-F-INS-055A RAW '!BL$17*100)</f>
        <v/>
      </c>
      <c r="BM69" s="126" t="str">
        <f>IF('Finalterm OVPAA-F-INS-055A RAW '!BM69="","",'Finalterm OVPAA-F-INS-055A RAW '!BM69/'Finalterm OVPAA-F-INS-055A RAW '!BM$17*100)</f>
        <v/>
      </c>
      <c r="BN69" s="126" t="str">
        <f>IF('Finalterm OVPAA-F-INS-055A RAW '!BN69="","",'Finalterm OVPAA-F-INS-055A RAW '!BN69/'Finalterm OVPAA-F-INS-055A RAW '!BN$17*100)</f>
        <v/>
      </c>
      <c r="BO69" s="126" t="str">
        <f>IF('Finalterm OVPAA-F-INS-055A RAW '!BO69="","",'Finalterm OVPAA-F-INS-055A RAW '!BO69/'Finalterm OVPAA-F-INS-055A RAW '!BO$17*100)</f>
        <v/>
      </c>
      <c r="BP69" s="126" t="str">
        <f>IF('Finalterm OVPAA-F-INS-055A RAW '!BP69="","",'Finalterm OVPAA-F-INS-055A RAW '!BP69/'Finalterm OVPAA-F-INS-055A RAW '!BP$17*100)</f>
        <v/>
      </c>
      <c r="BQ69" s="126" t="str">
        <f>IF('Finalterm OVPAA-F-INS-055A RAW '!BQ69="","",'Finalterm OVPAA-F-INS-055A RAW '!BQ69/'Finalterm OVPAA-F-INS-055A RAW '!BQ$17*100)</f>
        <v/>
      </c>
      <c r="BR69" s="126" t="str">
        <f>IF('Finalterm OVPAA-F-INS-055A RAW '!BR69="","",'Finalterm OVPAA-F-INS-055A RAW '!BR69/'Finalterm OVPAA-F-INS-055A RAW '!BR$17*100)</f>
        <v/>
      </c>
      <c r="BS69" s="126" t="str">
        <f>IF('Finalterm OVPAA-F-INS-055A RAW '!BS69="","",'Finalterm OVPAA-F-INS-055A RAW '!BS69/'Finalterm OVPAA-F-INS-055A RAW '!BS$17*100)</f>
        <v/>
      </c>
      <c r="BT69" s="126" t="str">
        <f>IF('Finalterm OVPAA-F-INS-055A RAW '!BT69="","",'Finalterm OVPAA-F-INS-055A RAW '!BT69/'Finalterm OVPAA-F-INS-055A RAW '!BT$17*100)</f>
        <v/>
      </c>
      <c r="BU69" s="127" t="str">
        <f t="array" ref="BU69">IF('Finalterm OVPAA-F-INS-055A RAW '!$G69="","",IF((SUMPRODUCT(--ISBLANK('Finalterm OVPAA-F-INS-055A RAW '!H69:BT69))=COLUMNS('Finalterm OVPAA-F-INS-055A RAW '!H69:BT69))=TRUE,"",(((COUNTA('Finalterm OVPAA-F-INS-055A RAW '!$H$17:$BT$17)+COUNTBLANK('Finalterm OVPAA-F-INS-055A RAW '!H69:BT69))-COLUMNS('Finalterm OVPAA-F-INS-055A RAW '!H69:BT69))*5+SUM(H69:BT69))/COUNTA('Finalterm OVPAA-F-INS-055A RAW '!$H$17:$BT$17)))</f>
        <v/>
      </c>
      <c r="BV69" s="165" t="str">
        <f>IF(BU69="","",VLOOKUP(BU69,IF('Midterm OVPAA-F-INS-055A RAW SC'!$V$12=0.5,TRANSMUTATION!$C$4:$D$17,TRANSMUTATION!$G$4:$H$17),2,TRUE))</f>
        <v/>
      </c>
      <c r="BW69" s="129" t="str">
        <f>IF('Finalterm OVPAA-F-INS-055A RAW '!BU69="","",'Finalterm OVPAA-F-INS-055A RAW '!BU69/'Finalterm OVPAA-F-INS-055A RAW '!BU$17*100)</f>
        <v/>
      </c>
      <c r="BX69" s="130" t="str">
        <f>IF('Finalterm OVPAA-F-INS-055A RAW '!BV69="","",'Finalterm OVPAA-F-INS-055A RAW '!BV69/'Finalterm OVPAA-F-INS-055A RAW '!BV$17*100)</f>
        <v/>
      </c>
      <c r="BY69" s="130" t="str">
        <f>IF('Finalterm OVPAA-F-INS-055A RAW '!BW69="","",'Finalterm OVPAA-F-INS-055A RAW '!BW69/'Finalterm OVPAA-F-INS-055A RAW '!BW$17*100)</f>
        <v/>
      </c>
      <c r="BZ69" s="130" t="str">
        <f>IF('Finalterm OVPAA-F-INS-055A RAW '!BX69="","",'Finalterm OVPAA-F-INS-055A RAW '!BX69/'Finalterm OVPAA-F-INS-055A RAW '!BX$17*100)</f>
        <v/>
      </c>
      <c r="CA69" s="130" t="str">
        <f>IF('Finalterm OVPAA-F-INS-055A RAW '!BY69="","",'Finalterm OVPAA-F-INS-055A RAW '!BY69/'Finalterm OVPAA-F-INS-055A RAW '!BY$17*100)</f>
        <v/>
      </c>
      <c r="CB69" s="130" t="str">
        <f>IF('Finalterm OVPAA-F-INS-055A RAW '!BZ69="","",'Finalterm OVPAA-F-INS-055A RAW '!BZ69/'Finalterm OVPAA-F-INS-055A RAW '!BZ$17*100)</f>
        <v/>
      </c>
      <c r="CC69" s="130" t="str">
        <f>IF('Finalterm OVPAA-F-INS-055A RAW '!CA69="","",'Finalterm OVPAA-F-INS-055A RAW '!CA69/'Finalterm OVPAA-F-INS-055A RAW '!CA$17*100)</f>
        <v/>
      </c>
      <c r="CD69" s="130" t="str">
        <f>IF('Finalterm OVPAA-F-INS-055A RAW '!CB69="","",'Finalterm OVPAA-F-INS-055A RAW '!CB69/'Finalterm OVPAA-F-INS-055A RAW '!CB$17*100)</f>
        <v/>
      </c>
      <c r="CE69" s="130" t="str">
        <f>IF('Finalterm OVPAA-F-INS-055A RAW '!CC69="","",'Finalterm OVPAA-F-INS-055A RAW '!CC69/'Finalterm OVPAA-F-INS-055A RAW '!CC$17*100)</f>
        <v/>
      </c>
      <c r="CF69" s="130" t="str">
        <f>IF('Finalterm OVPAA-F-INS-055A RAW '!CD69="","",'Finalterm OVPAA-F-INS-055A RAW '!CD69/'Finalterm OVPAA-F-INS-055A RAW '!CD$17*100)</f>
        <v/>
      </c>
      <c r="CG69" s="130" t="str">
        <f>IF('Finalterm OVPAA-F-INS-055A RAW '!CE69="","",'Finalterm OVPAA-F-INS-055A RAW '!CE69/'Finalterm OVPAA-F-INS-055A RAW '!CE$17*100)</f>
        <v/>
      </c>
      <c r="CH69" s="130" t="str">
        <f>IF('Finalterm OVPAA-F-INS-055A RAW '!CF69="","",'Finalterm OVPAA-F-INS-055A RAW '!CF69/'Finalterm OVPAA-F-INS-055A RAW '!CF$17*100)</f>
        <v/>
      </c>
      <c r="CI69" s="130" t="str">
        <f>IF('Finalterm OVPAA-F-INS-055A RAW '!CG69="","",'Finalterm OVPAA-F-INS-055A RAW '!CG69/'Finalterm OVPAA-F-INS-055A RAW '!CG$17*100)</f>
        <v/>
      </c>
      <c r="CJ69" s="130" t="str">
        <f>IF('Finalterm OVPAA-F-INS-055A RAW '!CH69="","",'Finalterm OVPAA-F-INS-055A RAW '!CH69/'Finalterm OVPAA-F-INS-055A RAW '!CH$17*100)</f>
        <v/>
      </c>
      <c r="CK69" s="130" t="str">
        <f>IF('Finalterm OVPAA-F-INS-055A RAW '!CI69="","",'Finalterm OVPAA-F-INS-055A RAW '!CI69/'Finalterm OVPAA-F-INS-055A RAW '!CI$17*100)</f>
        <v/>
      </c>
      <c r="CL69" s="130" t="str">
        <f>IF('Finalterm OVPAA-F-INS-055A RAW '!CJ69="","",'Finalterm OVPAA-F-INS-055A RAW '!CJ69/'Finalterm OVPAA-F-INS-055A RAW '!CJ$17*100)</f>
        <v/>
      </c>
      <c r="CM69" s="130" t="str">
        <f>IF('Finalterm OVPAA-F-INS-055A RAW '!CK69="","",'Finalterm OVPAA-F-INS-055A RAW '!CK69/'Finalterm OVPAA-F-INS-055A RAW '!CK$17*100)</f>
        <v/>
      </c>
      <c r="CN69" s="130" t="str">
        <f>IF('Finalterm OVPAA-F-INS-055A RAW '!CL69="","",'Finalterm OVPAA-F-INS-055A RAW '!CL69/'Finalterm OVPAA-F-INS-055A RAW '!CL$17*100)</f>
        <v/>
      </c>
      <c r="CO69" s="130" t="str">
        <f>IF('Finalterm OVPAA-F-INS-055A RAW '!CM69="","",'Finalterm OVPAA-F-INS-055A RAW '!CM69/'Finalterm OVPAA-F-INS-055A RAW '!CM$17*100)</f>
        <v/>
      </c>
      <c r="CP69" s="130" t="str">
        <f>IF('Finalterm OVPAA-F-INS-055A RAW '!CN69="","",'Finalterm OVPAA-F-INS-055A RAW '!CN69/'Finalterm OVPAA-F-INS-055A RAW '!CN$17*100)</f>
        <v/>
      </c>
      <c r="CQ69" s="131" t="str">
        <f t="array" ref="CQ69">IF('Midterm OVPAA-F-INS-055A RAW SC'!G69="","",IF((SUMPRODUCT(--ISBLANK('Finalterm OVPAA-F-INS-055A RAW '!BU69:CN69))=COLUMNS('Finalterm OVPAA-F-INS-055A RAW '!BU69:CN69))=TRUE,"",(((COUNTA('Finalterm OVPAA-F-INS-055A RAW '!$BU$17:$CN$17)+COUNTBLANK('Finalterm OVPAA-F-INS-055A RAW '!BU69:CN69))-COLUMNS('Finalterm OVPAA-F-INS-055A RAW '!BU69:CN69))*5+SUM(BW69:CP69))/COUNTA('Finalterm OVPAA-F-INS-055A RAW '!$BU$17:$CN$17)))</f>
        <v/>
      </c>
      <c r="CR69" s="132" t="str">
        <f>IF(CQ69="","",VLOOKUP(CQ69,IF('Midterm OVPAA-F-INS-055A RAW SC'!$V$12=0.5,TRANSMUTATION!$C$4:$D$17,TRANSMUTATION!$G$4:$H$17),2,TRUE))</f>
        <v/>
      </c>
      <c r="CS69" s="133" t="str">
        <f>IF('Finalterm OVPAA-F-INS-055A RAW '!CO69="","",'Finalterm OVPAA-F-INS-055A RAW '!CO69/'Finalterm OVPAA-F-INS-055A RAW '!CO$17*100)</f>
        <v/>
      </c>
      <c r="CT69" s="133" t="str">
        <f>IF('Finalterm OVPAA-F-INS-055A RAW '!CP69="","",'Finalterm OVPAA-F-INS-055A RAW '!CP69/'Finalterm OVPAA-F-INS-055A RAW '!CP$17*100)</f>
        <v/>
      </c>
      <c r="CU69" s="133" t="str">
        <f>IF('Finalterm OVPAA-F-INS-055A RAW '!CQ69="","",'Finalterm OVPAA-F-INS-055A RAW '!CQ69/'Finalterm OVPAA-F-INS-055A RAW '!CQ$17*100)</f>
        <v/>
      </c>
      <c r="CV69" s="133" t="str">
        <f>IF('Finalterm OVPAA-F-INS-055A RAW '!CR69="","",'Finalterm OVPAA-F-INS-055A RAW '!CR69/'Finalterm OVPAA-F-INS-055A RAW '!CR$17*100)</f>
        <v/>
      </c>
      <c r="CW69" s="133" t="str">
        <f>IF('Finalterm OVPAA-F-INS-055A RAW '!CS69="","",'Finalterm OVPAA-F-INS-055A RAW '!CS69/'Finalterm OVPAA-F-INS-055A RAW '!CS$17*100)</f>
        <v/>
      </c>
      <c r="CX69" s="133" t="str">
        <f>IF('Finalterm OVPAA-F-INS-055A RAW '!CT69="","",'Finalterm OVPAA-F-INS-055A RAW '!CT69/'Finalterm OVPAA-F-INS-055A RAW '!CT$17*100)</f>
        <v/>
      </c>
      <c r="CY69" s="133" t="str">
        <f>IF('Finalterm OVPAA-F-INS-055A RAW '!CU69="","",'Finalterm OVPAA-F-INS-055A RAW '!CU69/'Finalterm OVPAA-F-INS-055A RAW '!CU$17*100)</f>
        <v/>
      </c>
      <c r="CZ69" s="133" t="str">
        <f>IF('Finalterm OVPAA-F-INS-055A RAW '!CV69="","",'Finalterm OVPAA-F-INS-055A RAW '!CV69/'Finalterm OVPAA-F-INS-055A RAW '!CV$17*100)</f>
        <v/>
      </c>
      <c r="DA69" s="133" t="str">
        <f>IF('Finalterm OVPAA-F-INS-055A RAW '!CW69="","",'Finalterm OVPAA-F-INS-055A RAW '!CW69/'Finalterm OVPAA-F-INS-055A RAW '!CW$17*100)</f>
        <v/>
      </c>
      <c r="DB69" s="133" t="str">
        <f>IF('Finalterm OVPAA-F-INS-055A RAW '!CX69="","",'Finalterm OVPAA-F-INS-055A RAW '!CX69/'Finalterm OVPAA-F-INS-055A RAW '!CX$17*100)</f>
        <v/>
      </c>
      <c r="DC69" s="134" t="str">
        <f t="array" ref="DC69">IF('Midterm OVPAA-F-INS-055A RAW SC'!$G69="","",IF((SUMPRODUCT(--ISBLANK('Finalterm OVPAA-F-INS-055A RAW '!CO69:CX69))=COLUMNS('Finalterm OVPAA-F-INS-055A RAW '!CO69:CX69))=TRUE,"",(((COUNTA('Finalterm OVPAA-F-INS-055A RAW '!$CO$17:$CX$17)+COUNTBLANK('Finalterm OVPAA-F-INS-055A RAW '!CO69:CX69))-COLUMNS('Finalterm OVPAA-F-INS-055A RAW '!CO69:CX69))*5+SUM(CS69:DB69))/COUNTA('Finalterm OVPAA-F-INS-055A RAW '!$CO$17:$CX$17)))</f>
        <v/>
      </c>
      <c r="DD69" s="135" t="str">
        <f>IF(DC69="","",VLOOKUP(DC69,IF('Midterm OVPAA-F-INS-055A RAW SC'!$V$12=0.5,TRANSMUTATION!$C$4:$D$17,TRANSMUTATION!$G$4:$H$17),2,TRUE))</f>
        <v/>
      </c>
      <c r="DE69" s="136" t="str">
        <f t="shared" si="1"/>
        <v/>
      </c>
      <c r="DF69" s="166" t="str">
        <f t="shared" si="2"/>
        <v/>
      </c>
      <c r="DG69" s="167" t="str">
        <f t="shared" si="3"/>
        <v/>
      </c>
      <c r="DH69" s="168" t="str">
        <f t="shared" si="4"/>
        <v/>
      </c>
      <c r="DI69" s="169" t="str">
        <f t="shared" si="5"/>
        <v/>
      </c>
    </row>
    <row r="70" spans="5:113" ht="15.75" hidden="1" customHeight="1">
      <c r="E70" s="59">
        <v>53</v>
      </c>
      <c r="F70" s="124" t="str">
        <f>IF(NOT(ISBLANK('Midterm OVPAA-F-INS-055A RAW SC'!F70)),'Midterm OVPAA-F-INS-055A RAW SC'!F70,"")</f>
        <v/>
      </c>
      <c r="G70" s="125" t="str">
        <f>IF(NOT(ISBLANK('Midterm OVPAA-F-INS-055A RAW SC'!G70)),'Midterm OVPAA-F-INS-055A RAW SC'!G70,"")</f>
        <v/>
      </c>
      <c r="H70" s="126" t="str">
        <f>IF('Finalterm OVPAA-F-INS-055A RAW '!H70="","",'Finalterm OVPAA-F-INS-055A RAW '!H70/'Finalterm OVPAA-F-INS-055A RAW '!H$17*100)</f>
        <v/>
      </c>
      <c r="I70" s="126" t="str">
        <f>IF('Finalterm OVPAA-F-INS-055A RAW '!I70="","",'Finalterm OVPAA-F-INS-055A RAW '!I70/'Finalterm OVPAA-F-INS-055A RAW '!I$17*100)</f>
        <v/>
      </c>
      <c r="J70" s="126" t="str">
        <f>IF('Finalterm OVPAA-F-INS-055A RAW '!J70="","",'Finalterm OVPAA-F-INS-055A RAW '!J70/'Finalterm OVPAA-F-INS-055A RAW '!J$17*100)</f>
        <v/>
      </c>
      <c r="K70" s="126" t="str">
        <f>IF('Finalterm OVPAA-F-INS-055A RAW '!K70="","",'Finalterm OVPAA-F-INS-055A RAW '!K70/'Finalterm OVPAA-F-INS-055A RAW '!K$17*100)</f>
        <v/>
      </c>
      <c r="L70" s="126" t="str">
        <f>IF('Finalterm OVPAA-F-INS-055A RAW '!L70="","",'Finalterm OVPAA-F-INS-055A RAW '!L70/'Finalterm OVPAA-F-INS-055A RAW '!L$17*100)</f>
        <v/>
      </c>
      <c r="M70" s="126" t="str">
        <f>IF('Finalterm OVPAA-F-INS-055A RAW '!M70="","",'Finalterm OVPAA-F-INS-055A RAW '!M70/'Finalterm OVPAA-F-INS-055A RAW '!M$17*100)</f>
        <v/>
      </c>
      <c r="N70" s="126" t="str">
        <f>IF('Finalterm OVPAA-F-INS-055A RAW '!N70="","",'Finalterm OVPAA-F-INS-055A RAW '!N70/'Finalterm OVPAA-F-INS-055A RAW '!N$17*100)</f>
        <v/>
      </c>
      <c r="O70" s="126" t="str">
        <f>IF('Finalterm OVPAA-F-INS-055A RAW '!O70="","",'Finalterm OVPAA-F-INS-055A RAW '!O70/'Finalterm OVPAA-F-INS-055A RAW '!O$17*100)</f>
        <v/>
      </c>
      <c r="P70" s="126" t="str">
        <f>IF('Finalterm OVPAA-F-INS-055A RAW '!P70="","",'Finalterm OVPAA-F-INS-055A RAW '!P70/'Finalterm OVPAA-F-INS-055A RAW '!P$17*100)</f>
        <v/>
      </c>
      <c r="Q70" s="126" t="str">
        <f>IF('Finalterm OVPAA-F-INS-055A RAW '!Q70="","",'Finalterm OVPAA-F-INS-055A RAW '!Q70/'Finalterm OVPAA-F-INS-055A RAW '!Q$17*100)</f>
        <v/>
      </c>
      <c r="R70" s="126" t="str">
        <f>IF('Finalterm OVPAA-F-INS-055A RAW '!R70="","",'Finalterm OVPAA-F-INS-055A RAW '!R70/'Finalterm OVPAA-F-INS-055A RAW '!R$17*100)</f>
        <v/>
      </c>
      <c r="S70" s="126" t="str">
        <f>IF('Finalterm OVPAA-F-INS-055A RAW '!S70="","",'Finalterm OVPAA-F-INS-055A RAW '!S70/'Finalterm OVPAA-F-INS-055A RAW '!S$17*100)</f>
        <v/>
      </c>
      <c r="T70" s="126" t="str">
        <f>IF('Finalterm OVPAA-F-INS-055A RAW '!T70="","",'Finalterm OVPAA-F-INS-055A RAW '!T70/'Finalterm OVPAA-F-INS-055A RAW '!T$17*100)</f>
        <v/>
      </c>
      <c r="U70" s="126" t="str">
        <f>IF('Finalterm OVPAA-F-INS-055A RAW '!U70="","",'Finalterm OVPAA-F-INS-055A RAW '!U70/'Finalterm OVPAA-F-INS-055A RAW '!U$17*100)</f>
        <v/>
      </c>
      <c r="V70" s="126" t="str">
        <f>IF('Finalterm OVPAA-F-INS-055A RAW '!V70="","",'Finalterm OVPAA-F-INS-055A RAW '!V70/'Finalterm OVPAA-F-INS-055A RAW '!V$17*100)</f>
        <v/>
      </c>
      <c r="W70" s="126" t="str">
        <f>IF('Finalterm OVPAA-F-INS-055A RAW '!W70="","",'Finalterm OVPAA-F-INS-055A RAW '!W70/'Finalterm OVPAA-F-INS-055A RAW '!W$17*100)</f>
        <v/>
      </c>
      <c r="X70" s="126" t="str">
        <f>IF('Finalterm OVPAA-F-INS-055A RAW '!X70="","",'Finalterm OVPAA-F-INS-055A RAW '!X70/'Finalterm OVPAA-F-INS-055A RAW '!X$17*100)</f>
        <v/>
      </c>
      <c r="Y70" s="126" t="str">
        <f>IF('Finalterm OVPAA-F-INS-055A RAW '!Y70="","",'Finalterm OVPAA-F-INS-055A RAW '!Y70/'Finalterm OVPAA-F-INS-055A RAW '!Y$17*100)</f>
        <v/>
      </c>
      <c r="Z70" s="126" t="str">
        <f>IF('Finalterm OVPAA-F-INS-055A RAW '!Z70="","",'Finalterm OVPAA-F-INS-055A RAW '!Z70/'Finalterm OVPAA-F-INS-055A RAW '!Z$17*100)</f>
        <v/>
      </c>
      <c r="AA70" s="126" t="str">
        <f>IF('Finalterm OVPAA-F-INS-055A RAW '!AA70="","",'Finalterm OVPAA-F-INS-055A RAW '!AA70/'Finalterm OVPAA-F-INS-055A RAW '!AA$17*100)</f>
        <v/>
      </c>
      <c r="AB70" s="126" t="str">
        <f>IF('Finalterm OVPAA-F-INS-055A RAW '!AB70="","",'Finalterm OVPAA-F-INS-055A RAW '!AB70/'Finalterm OVPAA-F-INS-055A RAW '!AB$17*100)</f>
        <v/>
      </c>
      <c r="AC70" s="126" t="str">
        <f>IF('Finalterm OVPAA-F-INS-055A RAW '!AC70="","",'Finalterm OVPAA-F-INS-055A RAW '!AC70/'Finalterm OVPAA-F-INS-055A RAW '!AC$17*100)</f>
        <v/>
      </c>
      <c r="AD70" s="126" t="str">
        <f>IF('Finalterm OVPAA-F-INS-055A RAW '!AD70="","",'Finalterm OVPAA-F-INS-055A RAW '!AD70/'Finalterm OVPAA-F-INS-055A RAW '!AD$17*100)</f>
        <v/>
      </c>
      <c r="AE70" s="126" t="str">
        <f>IF('Finalterm OVPAA-F-INS-055A RAW '!AE70="","",'Finalterm OVPAA-F-INS-055A RAW '!AE70/'Finalterm OVPAA-F-INS-055A RAW '!AE$17*100)</f>
        <v/>
      </c>
      <c r="AF70" s="126" t="str">
        <f>IF('Finalterm OVPAA-F-INS-055A RAW '!AF70="","",'Finalterm OVPAA-F-INS-055A RAW '!AF70/'Finalterm OVPAA-F-INS-055A RAW '!AF$17*100)</f>
        <v/>
      </c>
      <c r="AG70" s="126" t="str">
        <f>IF('Finalterm OVPAA-F-INS-055A RAW '!AG70="","",'Finalterm OVPAA-F-INS-055A RAW '!AG70/'Finalterm OVPAA-F-INS-055A RAW '!AG$17*100)</f>
        <v/>
      </c>
      <c r="AH70" s="126" t="str">
        <f>IF('Finalterm OVPAA-F-INS-055A RAW '!AH70="","",'Finalterm OVPAA-F-INS-055A RAW '!AH70/'Finalterm OVPAA-F-INS-055A RAW '!AH$17*100)</f>
        <v/>
      </c>
      <c r="AI70" s="126" t="str">
        <f>IF('Finalterm OVPAA-F-INS-055A RAW '!AI70="","",'Finalterm OVPAA-F-INS-055A RAW '!AI70/'Finalterm OVPAA-F-INS-055A RAW '!AI$17*100)</f>
        <v/>
      </c>
      <c r="AJ70" s="126" t="str">
        <f>IF('Finalterm OVPAA-F-INS-055A RAW '!AJ70="","",'Finalterm OVPAA-F-INS-055A RAW '!AJ70/'Finalterm OVPAA-F-INS-055A RAW '!AJ$17*100)</f>
        <v/>
      </c>
      <c r="AK70" s="126" t="str">
        <f>IF('Finalterm OVPAA-F-INS-055A RAW '!AK70="","",'Finalterm OVPAA-F-INS-055A RAW '!AK70/'Finalterm OVPAA-F-INS-055A RAW '!AK$17*100)</f>
        <v/>
      </c>
      <c r="AL70" s="126" t="str">
        <f>IF('Finalterm OVPAA-F-INS-055A RAW '!AL70="","",'Finalterm OVPAA-F-INS-055A RAW '!AL70/'Finalterm OVPAA-F-INS-055A RAW '!AL$17*100)</f>
        <v/>
      </c>
      <c r="AM70" s="126" t="str">
        <f>IF('Finalterm OVPAA-F-INS-055A RAW '!AM70="","",'Finalterm OVPAA-F-INS-055A RAW '!AM70/'Finalterm OVPAA-F-INS-055A RAW '!AM$17*100)</f>
        <v/>
      </c>
      <c r="AN70" s="126" t="str">
        <f>IF('Finalterm OVPAA-F-INS-055A RAW '!AN70="","",'Finalterm OVPAA-F-INS-055A RAW '!AN70/'Finalterm OVPAA-F-INS-055A RAW '!AN$17*100)</f>
        <v/>
      </c>
      <c r="AO70" s="126" t="str">
        <f>IF('Finalterm OVPAA-F-INS-055A RAW '!AO70="","",'Finalterm OVPAA-F-INS-055A RAW '!AO70/'Finalterm OVPAA-F-INS-055A RAW '!AO$17*100)</f>
        <v/>
      </c>
      <c r="AP70" s="126" t="str">
        <f>IF('Finalterm OVPAA-F-INS-055A RAW '!AP70="","",'Finalterm OVPAA-F-INS-055A RAW '!AP70/'Finalterm OVPAA-F-INS-055A RAW '!AP$17*100)</f>
        <v/>
      </c>
      <c r="AQ70" s="126" t="str">
        <f>IF('Finalterm OVPAA-F-INS-055A RAW '!AQ70="","",'Finalterm OVPAA-F-INS-055A RAW '!AQ70/'Finalterm OVPAA-F-INS-055A RAW '!AQ$17*100)</f>
        <v/>
      </c>
      <c r="AR70" s="126" t="str">
        <f>IF('Finalterm OVPAA-F-INS-055A RAW '!AR70="","",'Finalterm OVPAA-F-INS-055A RAW '!AR70/'Finalterm OVPAA-F-INS-055A RAW '!AR$17*100)</f>
        <v/>
      </c>
      <c r="AS70" s="126" t="str">
        <f>IF('Finalterm OVPAA-F-INS-055A RAW '!AS70="","",'Finalterm OVPAA-F-INS-055A RAW '!AS70/'Finalterm OVPAA-F-INS-055A RAW '!AS$17*100)</f>
        <v/>
      </c>
      <c r="AT70" s="126" t="str">
        <f>IF('Finalterm OVPAA-F-INS-055A RAW '!AT70="","",'Finalterm OVPAA-F-INS-055A RAW '!AT70/'Finalterm OVPAA-F-INS-055A RAW '!AT$17*100)</f>
        <v/>
      </c>
      <c r="AU70" s="126" t="str">
        <f>IF('Finalterm OVPAA-F-INS-055A RAW '!AU70="","",'Finalterm OVPAA-F-INS-055A RAW '!AU70/'Finalterm OVPAA-F-INS-055A RAW '!AU$17*100)</f>
        <v/>
      </c>
      <c r="AV70" s="126" t="str">
        <f>IF('Finalterm OVPAA-F-INS-055A RAW '!AV70="","",'Finalterm OVPAA-F-INS-055A RAW '!AV70/'Finalterm OVPAA-F-INS-055A RAW '!AV$17*100)</f>
        <v/>
      </c>
      <c r="AW70" s="126" t="str">
        <f>IF('Finalterm OVPAA-F-INS-055A RAW '!AW70="","",'Finalterm OVPAA-F-INS-055A RAW '!AW70/'Finalterm OVPAA-F-INS-055A RAW '!AW$17*100)</f>
        <v/>
      </c>
      <c r="AX70" s="126" t="str">
        <f>IF('Finalterm OVPAA-F-INS-055A RAW '!AX70="","",'Finalterm OVPAA-F-INS-055A RAW '!AX70/'Finalterm OVPAA-F-INS-055A RAW '!AX$17*100)</f>
        <v/>
      </c>
      <c r="AY70" s="126" t="str">
        <f>IF('Finalterm OVPAA-F-INS-055A RAW '!AY70="","",'Finalterm OVPAA-F-INS-055A RAW '!AY70/'Finalterm OVPAA-F-INS-055A RAW '!AY$17*100)</f>
        <v/>
      </c>
      <c r="AZ70" s="126" t="str">
        <f>IF('Finalterm OVPAA-F-INS-055A RAW '!AZ70="","",'Finalterm OVPAA-F-INS-055A RAW '!AZ70/'Finalterm OVPAA-F-INS-055A RAW '!AZ$17*100)</f>
        <v/>
      </c>
      <c r="BA70" s="126" t="str">
        <f>IF('Finalterm OVPAA-F-INS-055A RAW '!BA70="","",'Finalterm OVPAA-F-INS-055A RAW '!BA70/'Finalterm OVPAA-F-INS-055A RAW '!BA$17*100)</f>
        <v/>
      </c>
      <c r="BB70" s="126" t="str">
        <f>IF('Finalterm OVPAA-F-INS-055A RAW '!BB70="","",'Finalterm OVPAA-F-INS-055A RAW '!BB70/'Finalterm OVPAA-F-INS-055A RAW '!BB$17*100)</f>
        <v/>
      </c>
      <c r="BC70" s="126" t="str">
        <f>IF('Finalterm OVPAA-F-INS-055A RAW '!BC70="","",'Finalterm OVPAA-F-INS-055A RAW '!BC70/'Finalterm OVPAA-F-INS-055A RAW '!BC$17*100)</f>
        <v/>
      </c>
      <c r="BD70" s="126" t="str">
        <f>IF('Finalterm OVPAA-F-INS-055A RAW '!BD70="","",'Finalterm OVPAA-F-INS-055A RAW '!BD70/'Finalterm OVPAA-F-INS-055A RAW '!BD$17*100)</f>
        <v/>
      </c>
      <c r="BE70" s="126" t="str">
        <f>IF('Finalterm OVPAA-F-INS-055A RAW '!BE70="","",'Finalterm OVPAA-F-INS-055A RAW '!BE70/'Finalterm OVPAA-F-INS-055A RAW '!BE$17*100)</f>
        <v/>
      </c>
      <c r="BF70" s="126" t="str">
        <f>IF('Finalterm OVPAA-F-INS-055A RAW '!BF70="","",'Finalterm OVPAA-F-INS-055A RAW '!BF70/'Finalterm OVPAA-F-INS-055A RAW '!BF$17*100)</f>
        <v/>
      </c>
      <c r="BG70" s="126" t="str">
        <f>IF('Finalterm OVPAA-F-INS-055A RAW '!BG70="","",'Finalterm OVPAA-F-INS-055A RAW '!BG70/'Finalterm OVPAA-F-INS-055A RAW '!BG$17*100)</f>
        <v/>
      </c>
      <c r="BH70" s="126" t="str">
        <f>IF('Finalterm OVPAA-F-INS-055A RAW '!BH70="","",'Finalterm OVPAA-F-INS-055A RAW '!BH70/'Finalterm OVPAA-F-INS-055A RAW '!BH$17*100)</f>
        <v/>
      </c>
      <c r="BI70" s="126" t="str">
        <f>IF('Finalterm OVPAA-F-INS-055A RAW '!BI70="","",'Finalterm OVPAA-F-INS-055A RAW '!BI70/'Finalterm OVPAA-F-INS-055A RAW '!BI$17*100)</f>
        <v/>
      </c>
      <c r="BJ70" s="126" t="str">
        <f>IF('Finalterm OVPAA-F-INS-055A RAW '!BJ70="","",'Finalterm OVPAA-F-INS-055A RAW '!BJ70/'Finalterm OVPAA-F-INS-055A RAW '!BJ$17*100)</f>
        <v/>
      </c>
      <c r="BK70" s="126" t="str">
        <f>IF('Finalterm OVPAA-F-INS-055A RAW '!BK70="","",'Finalterm OVPAA-F-INS-055A RAW '!BK70/'Finalterm OVPAA-F-INS-055A RAW '!BK$17*100)</f>
        <v/>
      </c>
      <c r="BL70" s="126" t="str">
        <f>IF('Finalterm OVPAA-F-INS-055A RAW '!BL70="","",'Finalterm OVPAA-F-INS-055A RAW '!BL70/'Finalterm OVPAA-F-INS-055A RAW '!BL$17*100)</f>
        <v/>
      </c>
      <c r="BM70" s="126" t="str">
        <f>IF('Finalterm OVPAA-F-INS-055A RAW '!BM70="","",'Finalterm OVPAA-F-INS-055A RAW '!BM70/'Finalterm OVPAA-F-INS-055A RAW '!BM$17*100)</f>
        <v/>
      </c>
      <c r="BN70" s="126" t="str">
        <f>IF('Finalterm OVPAA-F-INS-055A RAW '!BN70="","",'Finalterm OVPAA-F-INS-055A RAW '!BN70/'Finalterm OVPAA-F-INS-055A RAW '!BN$17*100)</f>
        <v/>
      </c>
      <c r="BO70" s="126" t="str">
        <f>IF('Finalterm OVPAA-F-INS-055A RAW '!BO70="","",'Finalterm OVPAA-F-INS-055A RAW '!BO70/'Finalterm OVPAA-F-INS-055A RAW '!BO$17*100)</f>
        <v/>
      </c>
      <c r="BP70" s="126" t="str">
        <f>IF('Finalterm OVPAA-F-INS-055A RAW '!BP70="","",'Finalterm OVPAA-F-INS-055A RAW '!BP70/'Finalterm OVPAA-F-INS-055A RAW '!BP$17*100)</f>
        <v/>
      </c>
      <c r="BQ70" s="126" t="str">
        <f>IF('Finalterm OVPAA-F-INS-055A RAW '!BQ70="","",'Finalterm OVPAA-F-INS-055A RAW '!BQ70/'Finalterm OVPAA-F-INS-055A RAW '!BQ$17*100)</f>
        <v/>
      </c>
      <c r="BR70" s="126" t="str">
        <f>IF('Finalterm OVPAA-F-INS-055A RAW '!BR70="","",'Finalterm OVPAA-F-INS-055A RAW '!BR70/'Finalterm OVPAA-F-INS-055A RAW '!BR$17*100)</f>
        <v/>
      </c>
      <c r="BS70" s="126" t="str">
        <f>IF('Finalterm OVPAA-F-INS-055A RAW '!BS70="","",'Finalterm OVPAA-F-INS-055A RAW '!BS70/'Finalterm OVPAA-F-INS-055A RAW '!BS$17*100)</f>
        <v/>
      </c>
      <c r="BT70" s="126" t="str">
        <f>IF('Finalterm OVPAA-F-INS-055A RAW '!BT70="","",'Finalterm OVPAA-F-INS-055A RAW '!BT70/'Finalterm OVPAA-F-INS-055A RAW '!BT$17*100)</f>
        <v/>
      </c>
      <c r="BU70" s="127" t="str">
        <f t="array" ref="BU70">IF('Finalterm OVPAA-F-INS-055A RAW '!$G70="","",IF((SUMPRODUCT(--ISBLANK('Finalterm OVPAA-F-INS-055A RAW '!H70:BT70))=COLUMNS('Finalterm OVPAA-F-INS-055A RAW '!H70:BT70))=TRUE,"",(((COUNTA('Finalterm OVPAA-F-INS-055A RAW '!$H$17:$BT$17)+COUNTBLANK('Finalterm OVPAA-F-INS-055A RAW '!H70:BT70))-COLUMNS('Finalterm OVPAA-F-INS-055A RAW '!H70:BT70))*5+SUM(H70:BT70))/COUNTA('Finalterm OVPAA-F-INS-055A RAW '!$H$17:$BT$17)))</f>
        <v/>
      </c>
      <c r="BV70" s="165" t="str">
        <f>IF(BU70="","",VLOOKUP(BU70,IF('Midterm OVPAA-F-INS-055A RAW SC'!$V$12=0.5,TRANSMUTATION!$C$4:$D$17,TRANSMUTATION!$G$4:$H$17),2,TRUE))</f>
        <v/>
      </c>
      <c r="BW70" s="129" t="str">
        <f>IF('Finalterm OVPAA-F-INS-055A RAW '!BU70="","",'Finalterm OVPAA-F-INS-055A RAW '!BU70/'Finalterm OVPAA-F-INS-055A RAW '!BU$17*100)</f>
        <v/>
      </c>
      <c r="BX70" s="130" t="str">
        <f>IF('Finalterm OVPAA-F-INS-055A RAW '!BV70="","",'Finalterm OVPAA-F-INS-055A RAW '!BV70/'Finalterm OVPAA-F-INS-055A RAW '!BV$17*100)</f>
        <v/>
      </c>
      <c r="BY70" s="130" t="str">
        <f>IF('Finalterm OVPAA-F-INS-055A RAW '!BW70="","",'Finalterm OVPAA-F-INS-055A RAW '!BW70/'Finalterm OVPAA-F-INS-055A RAW '!BW$17*100)</f>
        <v/>
      </c>
      <c r="BZ70" s="130" t="str">
        <f>IF('Finalterm OVPAA-F-INS-055A RAW '!BX70="","",'Finalterm OVPAA-F-INS-055A RAW '!BX70/'Finalterm OVPAA-F-INS-055A RAW '!BX$17*100)</f>
        <v/>
      </c>
      <c r="CA70" s="130" t="str">
        <f>IF('Finalterm OVPAA-F-INS-055A RAW '!BY70="","",'Finalterm OVPAA-F-INS-055A RAW '!BY70/'Finalterm OVPAA-F-INS-055A RAW '!BY$17*100)</f>
        <v/>
      </c>
      <c r="CB70" s="130" t="str">
        <f>IF('Finalterm OVPAA-F-INS-055A RAW '!BZ70="","",'Finalterm OVPAA-F-INS-055A RAW '!BZ70/'Finalterm OVPAA-F-INS-055A RAW '!BZ$17*100)</f>
        <v/>
      </c>
      <c r="CC70" s="130" t="str">
        <f>IF('Finalterm OVPAA-F-INS-055A RAW '!CA70="","",'Finalterm OVPAA-F-INS-055A RAW '!CA70/'Finalterm OVPAA-F-INS-055A RAW '!CA$17*100)</f>
        <v/>
      </c>
      <c r="CD70" s="130" t="str">
        <f>IF('Finalterm OVPAA-F-INS-055A RAW '!CB70="","",'Finalterm OVPAA-F-INS-055A RAW '!CB70/'Finalterm OVPAA-F-INS-055A RAW '!CB$17*100)</f>
        <v/>
      </c>
      <c r="CE70" s="130" t="str">
        <f>IF('Finalterm OVPAA-F-INS-055A RAW '!CC70="","",'Finalterm OVPAA-F-INS-055A RAW '!CC70/'Finalterm OVPAA-F-INS-055A RAW '!CC$17*100)</f>
        <v/>
      </c>
      <c r="CF70" s="130" t="str">
        <f>IF('Finalterm OVPAA-F-INS-055A RAW '!CD70="","",'Finalterm OVPAA-F-INS-055A RAW '!CD70/'Finalterm OVPAA-F-INS-055A RAW '!CD$17*100)</f>
        <v/>
      </c>
      <c r="CG70" s="130" t="str">
        <f>IF('Finalterm OVPAA-F-INS-055A RAW '!CE70="","",'Finalterm OVPAA-F-INS-055A RAW '!CE70/'Finalterm OVPAA-F-INS-055A RAW '!CE$17*100)</f>
        <v/>
      </c>
      <c r="CH70" s="130" t="str">
        <f>IF('Finalterm OVPAA-F-INS-055A RAW '!CF70="","",'Finalterm OVPAA-F-INS-055A RAW '!CF70/'Finalterm OVPAA-F-INS-055A RAW '!CF$17*100)</f>
        <v/>
      </c>
      <c r="CI70" s="130" t="str">
        <f>IF('Finalterm OVPAA-F-INS-055A RAW '!CG70="","",'Finalterm OVPAA-F-INS-055A RAW '!CG70/'Finalterm OVPAA-F-INS-055A RAW '!CG$17*100)</f>
        <v/>
      </c>
      <c r="CJ70" s="130" t="str">
        <f>IF('Finalterm OVPAA-F-INS-055A RAW '!CH70="","",'Finalterm OVPAA-F-INS-055A RAW '!CH70/'Finalterm OVPAA-F-INS-055A RAW '!CH$17*100)</f>
        <v/>
      </c>
      <c r="CK70" s="130" t="str">
        <f>IF('Finalterm OVPAA-F-INS-055A RAW '!CI70="","",'Finalterm OVPAA-F-INS-055A RAW '!CI70/'Finalterm OVPAA-F-INS-055A RAW '!CI$17*100)</f>
        <v/>
      </c>
      <c r="CL70" s="130" t="str">
        <f>IF('Finalterm OVPAA-F-INS-055A RAW '!CJ70="","",'Finalterm OVPAA-F-INS-055A RAW '!CJ70/'Finalterm OVPAA-F-INS-055A RAW '!CJ$17*100)</f>
        <v/>
      </c>
      <c r="CM70" s="130" t="str">
        <f>IF('Finalterm OVPAA-F-INS-055A RAW '!CK70="","",'Finalterm OVPAA-F-INS-055A RAW '!CK70/'Finalterm OVPAA-F-INS-055A RAW '!CK$17*100)</f>
        <v/>
      </c>
      <c r="CN70" s="130" t="str">
        <f>IF('Finalterm OVPAA-F-INS-055A RAW '!CL70="","",'Finalterm OVPAA-F-INS-055A RAW '!CL70/'Finalterm OVPAA-F-INS-055A RAW '!CL$17*100)</f>
        <v/>
      </c>
      <c r="CO70" s="130" t="str">
        <f>IF('Finalterm OVPAA-F-INS-055A RAW '!CM70="","",'Finalterm OVPAA-F-INS-055A RAW '!CM70/'Finalterm OVPAA-F-INS-055A RAW '!CM$17*100)</f>
        <v/>
      </c>
      <c r="CP70" s="130" t="str">
        <f>IF('Finalterm OVPAA-F-INS-055A RAW '!CN70="","",'Finalterm OVPAA-F-INS-055A RAW '!CN70/'Finalterm OVPAA-F-INS-055A RAW '!CN$17*100)</f>
        <v/>
      </c>
      <c r="CQ70" s="131" t="str">
        <f t="array" ref="CQ70">IF('Midterm OVPAA-F-INS-055A RAW SC'!G70="","",IF((SUMPRODUCT(--ISBLANK('Finalterm OVPAA-F-INS-055A RAW '!BU70:CN70))=COLUMNS('Finalterm OVPAA-F-INS-055A RAW '!BU70:CN70))=TRUE,"",(((COUNTA('Finalterm OVPAA-F-INS-055A RAW '!$BU$17:$CN$17)+COUNTBLANK('Finalterm OVPAA-F-INS-055A RAW '!BU70:CN70))-COLUMNS('Finalterm OVPAA-F-INS-055A RAW '!BU70:CN70))*5+SUM(BW70:CP70))/COUNTA('Finalterm OVPAA-F-INS-055A RAW '!$BU$17:$CN$17)))</f>
        <v/>
      </c>
      <c r="CR70" s="132" t="str">
        <f>IF(CQ70="","",VLOOKUP(CQ70,IF('Midterm OVPAA-F-INS-055A RAW SC'!$V$12=0.5,TRANSMUTATION!$C$4:$D$17,TRANSMUTATION!$G$4:$H$17),2,TRUE))</f>
        <v/>
      </c>
      <c r="CS70" s="133" t="str">
        <f>IF('Finalterm OVPAA-F-INS-055A RAW '!CO70="","",'Finalterm OVPAA-F-INS-055A RAW '!CO70/'Finalterm OVPAA-F-INS-055A RAW '!CO$17*100)</f>
        <v/>
      </c>
      <c r="CT70" s="133" t="str">
        <f>IF('Finalterm OVPAA-F-INS-055A RAW '!CP70="","",'Finalterm OVPAA-F-INS-055A RAW '!CP70/'Finalterm OVPAA-F-INS-055A RAW '!CP$17*100)</f>
        <v/>
      </c>
      <c r="CU70" s="133" t="str">
        <f>IF('Finalterm OVPAA-F-INS-055A RAW '!CQ70="","",'Finalterm OVPAA-F-INS-055A RAW '!CQ70/'Finalterm OVPAA-F-INS-055A RAW '!CQ$17*100)</f>
        <v/>
      </c>
      <c r="CV70" s="133" t="str">
        <f>IF('Finalterm OVPAA-F-INS-055A RAW '!CR70="","",'Finalterm OVPAA-F-INS-055A RAW '!CR70/'Finalterm OVPAA-F-INS-055A RAW '!CR$17*100)</f>
        <v/>
      </c>
      <c r="CW70" s="133" t="str">
        <f>IF('Finalterm OVPAA-F-INS-055A RAW '!CS70="","",'Finalterm OVPAA-F-INS-055A RAW '!CS70/'Finalterm OVPAA-F-INS-055A RAW '!CS$17*100)</f>
        <v/>
      </c>
      <c r="CX70" s="133" t="str">
        <f>IF('Finalterm OVPAA-F-INS-055A RAW '!CT70="","",'Finalterm OVPAA-F-INS-055A RAW '!CT70/'Finalterm OVPAA-F-INS-055A RAW '!CT$17*100)</f>
        <v/>
      </c>
      <c r="CY70" s="133" t="str">
        <f>IF('Finalterm OVPAA-F-INS-055A RAW '!CU70="","",'Finalterm OVPAA-F-INS-055A RAW '!CU70/'Finalterm OVPAA-F-INS-055A RAW '!CU$17*100)</f>
        <v/>
      </c>
      <c r="CZ70" s="133" t="str">
        <f>IF('Finalterm OVPAA-F-INS-055A RAW '!CV70="","",'Finalterm OVPAA-F-INS-055A RAW '!CV70/'Finalterm OVPAA-F-INS-055A RAW '!CV$17*100)</f>
        <v/>
      </c>
      <c r="DA70" s="133" t="str">
        <f>IF('Finalterm OVPAA-F-INS-055A RAW '!CW70="","",'Finalterm OVPAA-F-INS-055A RAW '!CW70/'Finalterm OVPAA-F-INS-055A RAW '!CW$17*100)</f>
        <v/>
      </c>
      <c r="DB70" s="133" t="str">
        <f>IF('Finalterm OVPAA-F-INS-055A RAW '!CX70="","",'Finalterm OVPAA-F-INS-055A RAW '!CX70/'Finalterm OVPAA-F-INS-055A RAW '!CX$17*100)</f>
        <v/>
      </c>
      <c r="DC70" s="134" t="str">
        <f t="array" ref="DC70">IF('Midterm OVPAA-F-INS-055A RAW SC'!$G70="","",IF((SUMPRODUCT(--ISBLANK('Finalterm OVPAA-F-INS-055A RAW '!CO70:CX70))=COLUMNS('Finalterm OVPAA-F-INS-055A RAW '!CO70:CX70))=TRUE,"",(((COUNTA('Finalterm OVPAA-F-INS-055A RAW '!$CO$17:$CX$17)+COUNTBLANK('Finalterm OVPAA-F-INS-055A RAW '!CO70:CX70))-COLUMNS('Finalterm OVPAA-F-INS-055A RAW '!CO70:CX70))*5+SUM(CS70:DB70))/COUNTA('Finalterm OVPAA-F-INS-055A RAW '!$CO$17:$CX$17)))</f>
        <v/>
      </c>
      <c r="DD70" s="135" t="str">
        <f>IF(DC70="","",VLOOKUP(DC70,IF('Midterm OVPAA-F-INS-055A RAW SC'!$V$12=0.5,TRANSMUTATION!$C$4:$D$17,TRANSMUTATION!$G$4:$H$17),2,TRUE))</f>
        <v/>
      </c>
      <c r="DE70" s="136" t="str">
        <f t="shared" si="1"/>
        <v/>
      </c>
      <c r="DF70" s="166" t="str">
        <f t="shared" si="2"/>
        <v/>
      </c>
      <c r="DG70" s="167" t="str">
        <f t="shared" si="3"/>
        <v/>
      </c>
      <c r="DH70" s="168" t="str">
        <f t="shared" si="4"/>
        <v/>
      </c>
      <c r="DI70" s="169" t="str">
        <f t="shared" si="5"/>
        <v/>
      </c>
    </row>
    <row r="71" spans="5:113" ht="15.75" hidden="1" customHeight="1">
      <c r="E71" s="59">
        <v>54</v>
      </c>
      <c r="F71" s="124" t="str">
        <f>IF(NOT(ISBLANK('Midterm OVPAA-F-INS-055A RAW SC'!F71)),'Midterm OVPAA-F-INS-055A RAW SC'!F71,"")</f>
        <v/>
      </c>
      <c r="G71" s="125" t="str">
        <f>IF(NOT(ISBLANK('Midterm OVPAA-F-INS-055A RAW SC'!G71)),'Midterm OVPAA-F-INS-055A RAW SC'!G71,"")</f>
        <v/>
      </c>
      <c r="H71" s="126" t="str">
        <f>IF('Finalterm OVPAA-F-INS-055A RAW '!H71="","",'Finalterm OVPAA-F-INS-055A RAW '!H71/'Finalterm OVPAA-F-INS-055A RAW '!H$17*100)</f>
        <v/>
      </c>
      <c r="I71" s="126" t="str">
        <f>IF('Finalterm OVPAA-F-INS-055A RAW '!I71="","",'Finalterm OVPAA-F-INS-055A RAW '!I71/'Finalterm OVPAA-F-INS-055A RAW '!I$17*100)</f>
        <v/>
      </c>
      <c r="J71" s="126" t="str">
        <f>IF('Finalterm OVPAA-F-INS-055A RAW '!J71="","",'Finalterm OVPAA-F-INS-055A RAW '!J71/'Finalterm OVPAA-F-INS-055A RAW '!J$17*100)</f>
        <v/>
      </c>
      <c r="K71" s="126" t="str">
        <f>IF('Finalterm OVPAA-F-INS-055A RAW '!K71="","",'Finalterm OVPAA-F-INS-055A RAW '!K71/'Finalterm OVPAA-F-INS-055A RAW '!K$17*100)</f>
        <v/>
      </c>
      <c r="L71" s="126" t="str">
        <f>IF('Finalterm OVPAA-F-INS-055A RAW '!L71="","",'Finalterm OVPAA-F-INS-055A RAW '!L71/'Finalterm OVPAA-F-INS-055A RAW '!L$17*100)</f>
        <v/>
      </c>
      <c r="M71" s="126" t="str">
        <f>IF('Finalterm OVPAA-F-INS-055A RAW '!M71="","",'Finalterm OVPAA-F-INS-055A RAW '!M71/'Finalterm OVPAA-F-INS-055A RAW '!M$17*100)</f>
        <v/>
      </c>
      <c r="N71" s="126" t="str">
        <f>IF('Finalterm OVPAA-F-INS-055A RAW '!N71="","",'Finalterm OVPAA-F-INS-055A RAW '!N71/'Finalterm OVPAA-F-INS-055A RAW '!N$17*100)</f>
        <v/>
      </c>
      <c r="O71" s="126" t="str">
        <f>IF('Finalterm OVPAA-F-INS-055A RAW '!O71="","",'Finalterm OVPAA-F-INS-055A RAW '!O71/'Finalterm OVPAA-F-INS-055A RAW '!O$17*100)</f>
        <v/>
      </c>
      <c r="P71" s="126" t="str">
        <f>IF('Finalterm OVPAA-F-INS-055A RAW '!P71="","",'Finalterm OVPAA-F-INS-055A RAW '!P71/'Finalterm OVPAA-F-INS-055A RAW '!P$17*100)</f>
        <v/>
      </c>
      <c r="Q71" s="126" t="str">
        <f>IF('Finalterm OVPAA-F-INS-055A RAW '!Q71="","",'Finalterm OVPAA-F-INS-055A RAW '!Q71/'Finalterm OVPAA-F-INS-055A RAW '!Q$17*100)</f>
        <v/>
      </c>
      <c r="R71" s="126" t="str">
        <f>IF('Finalterm OVPAA-F-INS-055A RAW '!R71="","",'Finalterm OVPAA-F-INS-055A RAW '!R71/'Finalterm OVPAA-F-INS-055A RAW '!R$17*100)</f>
        <v/>
      </c>
      <c r="S71" s="126" t="str">
        <f>IF('Finalterm OVPAA-F-INS-055A RAW '!S71="","",'Finalterm OVPAA-F-INS-055A RAW '!S71/'Finalterm OVPAA-F-INS-055A RAW '!S$17*100)</f>
        <v/>
      </c>
      <c r="T71" s="126" t="str">
        <f>IF('Finalterm OVPAA-F-INS-055A RAW '!T71="","",'Finalterm OVPAA-F-INS-055A RAW '!T71/'Finalterm OVPAA-F-INS-055A RAW '!T$17*100)</f>
        <v/>
      </c>
      <c r="U71" s="126" t="str">
        <f>IF('Finalterm OVPAA-F-INS-055A RAW '!U71="","",'Finalterm OVPAA-F-INS-055A RAW '!U71/'Finalterm OVPAA-F-INS-055A RAW '!U$17*100)</f>
        <v/>
      </c>
      <c r="V71" s="126" t="str">
        <f>IF('Finalterm OVPAA-F-INS-055A RAW '!V71="","",'Finalterm OVPAA-F-INS-055A RAW '!V71/'Finalterm OVPAA-F-INS-055A RAW '!V$17*100)</f>
        <v/>
      </c>
      <c r="W71" s="126" t="str">
        <f>IF('Finalterm OVPAA-F-INS-055A RAW '!W71="","",'Finalterm OVPAA-F-INS-055A RAW '!W71/'Finalterm OVPAA-F-INS-055A RAW '!W$17*100)</f>
        <v/>
      </c>
      <c r="X71" s="126" t="str">
        <f>IF('Finalterm OVPAA-F-INS-055A RAW '!X71="","",'Finalterm OVPAA-F-INS-055A RAW '!X71/'Finalterm OVPAA-F-INS-055A RAW '!X$17*100)</f>
        <v/>
      </c>
      <c r="Y71" s="126" t="str">
        <f>IF('Finalterm OVPAA-F-INS-055A RAW '!Y71="","",'Finalterm OVPAA-F-INS-055A RAW '!Y71/'Finalterm OVPAA-F-INS-055A RAW '!Y$17*100)</f>
        <v/>
      </c>
      <c r="Z71" s="126" t="str">
        <f>IF('Finalterm OVPAA-F-INS-055A RAW '!Z71="","",'Finalterm OVPAA-F-INS-055A RAW '!Z71/'Finalterm OVPAA-F-INS-055A RAW '!Z$17*100)</f>
        <v/>
      </c>
      <c r="AA71" s="126" t="str">
        <f>IF('Finalterm OVPAA-F-INS-055A RAW '!AA71="","",'Finalterm OVPAA-F-INS-055A RAW '!AA71/'Finalterm OVPAA-F-INS-055A RAW '!AA$17*100)</f>
        <v/>
      </c>
      <c r="AB71" s="126" t="str">
        <f>IF('Finalterm OVPAA-F-INS-055A RAW '!AB71="","",'Finalterm OVPAA-F-INS-055A RAW '!AB71/'Finalterm OVPAA-F-INS-055A RAW '!AB$17*100)</f>
        <v/>
      </c>
      <c r="AC71" s="126" t="str">
        <f>IF('Finalterm OVPAA-F-INS-055A RAW '!AC71="","",'Finalterm OVPAA-F-INS-055A RAW '!AC71/'Finalterm OVPAA-F-INS-055A RAW '!AC$17*100)</f>
        <v/>
      </c>
      <c r="AD71" s="126" t="str">
        <f>IF('Finalterm OVPAA-F-INS-055A RAW '!AD71="","",'Finalterm OVPAA-F-INS-055A RAW '!AD71/'Finalterm OVPAA-F-INS-055A RAW '!AD$17*100)</f>
        <v/>
      </c>
      <c r="AE71" s="126" t="str">
        <f>IF('Finalterm OVPAA-F-INS-055A RAW '!AE71="","",'Finalterm OVPAA-F-INS-055A RAW '!AE71/'Finalterm OVPAA-F-INS-055A RAW '!AE$17*100)</f>
        <v/>
      </c>
      <c r="AF71" s="126" t="str">
        <f>IF('Finalterm OVPAA-F-INS-055A RAW '!AF71="","",'Finalterm OVPAA-F-INS-055A RAW '!AF71/'Finalterm OVPAA-F-INS-055A RAW '!AF$17*100)</f>
        <v/>
      </c>
      <c r="AG71" s="126" t="str">
        <f>IF('Finalterm OVPAA-F-INS-055A RAW '!AG71="","",'Finalterm OVPAA-F-INS-055A RAW '!AG71/'Finalterm OVPAA-F-INS-055A RAW '!AG$17*100)</f>
        <v/>
      </c>
      <c r="AH71" s="126" t="str">
        <f>IF('Finalterm OVPAA-F-INS-055A RAW '!AH71="","",'Finalterm OVPAA-F-INS-055A RAW '!AH71/'Finalterm OVPAA-F-INS-055A RAW '!AH$17*100)</f>
        <v/>
      </c>
      <c r="AI71" s="126" t="str">
        <f>IF('Finalterm OVPAA-F-INS-055A RAW '!AI71="","",'Finalterm OVPAA-F-INS-055A RAW '!AI71/'Finalterm OVPAA-F-INS-055A RAW '!AI$17*100)</f>
        <v/>
      </c>
      <c r="AJ71" s="126" t="str">
        <f>IF('Finalterm OVPAA-F-INS-055A RAW '!AJ71="","",'Finalterm OVPAA-F-INS-055A RAW '!AJ71/'Finalterm OVPAA-F-INS-055A RAW '!AJ$17*100)</f>
        <v/>
      </c>
      <c r="AK71" s="126" t="str">
        <f>IF('Finalterm OVPAA-F-INS-055A RAW '!AK71="","",'Finalterm OVPAA-F-INS-055A RAW '!AK71/'Finalterm OVPAA-F-INS-055A RAW '!AK$17*100)</f>
        <v/>
      </c>
      <c r="AL71" s="126" t="str">
        <f>IF('Finalterm OVPAA-F-INS-055A RAW '!AL71="","",'Finalterm OVPAA-F-INS-055A RAW '!AL71/'Finalterm OVPAA-F-INS-055A RAW '!AL$17*100)</f>
        <v/>
      </c>
      <c r="AM71" s="126" t="str">
        <f>IF('Finalterm OVPAA-F-INS-055A RAW '!AM71="","",'Finalterm OVPAA-F-INS-055A RAW '!AM71/'Finalterm OVPAA-F-INS-055A RAW '!AM$17*100)</f>
        <v/>
      </c>
      <c r="AN71" s="126" t="str">
        <f>IF('Finalterm OVPAA-F-INS-055A RAW '!AN71="","",'Finalterm OVPAA-F-INS-055A RAW '!AN71/'Finalterm OVPAA-F-INS-055A RAW '!AN$17*100)</f>
        <v/>
      </c>
      <c r="AO71" s="126" t="str">
        <f>IF('Finalterm OVPAA-F-INS-055A RAW '!AO71="","",'Finalterm OVPAA-F-INS-055A RAW '!AO71/'Finalterm OVPAA-F-INS-055A RAW '!AO$17*100)</f>
        <v/>
      </c>
      <c r="AP71" s="126" t="str">
        <f>IF('Finalterm OVPAA-F-INS-055A RAW '!AP71="","",'Finalterm OVPAA-F-INS-055A RAW '!AP71/'Finalterm OVPAA-F-INS-055A RAW '!AP$17*100)</f>
        <v/>
      </c>
      <c r="AQ71" s="126" t="str">
        <f>IF('Finalterm OVPAA-F-INS-055A RAW '!AQ71="","",'Finalterm OVPAA-F-INS-055A RAW '!AQ71/'Finalterm OVPAA-F-INS-055A RAW '!AQ$17*100)</f>
        <v/>
      </c>
      <c r="AR71" s="126" t="str">
        <f>IF('Finalterm OVPAA-F-INS-055A RAW '!AR71="","",'Finalterm OVPAA-F-INS-055A RAW '!AR71/'Finalterm OVPAA-F-INS-055A RAW '!AR$17*100)</f>
        <v/>
      </c>
      <c r="AS71" s="126" t="str">
        <f>IF('Finalterm OVPAA-F-INS-055A RAW '!AS71="","",'Finalterm OVPAA-F-INS-055A RAW '!AS71/'Finalterm OVPAA-F-INS-055A RAW '!AS$17*100)</f>
        <v/>
      </c>
      <c r="AT71" s="126" t="str">
        <f>IF('Finalterm OVPAA-F-INS-055A RAW '!AT71="","",'Finalterm OVPAA-F-INS-055A RAW '!AT71/'Finalterm OVPAA-F-INS-055A RAW '!AT$17*100)</f>
        <v/>
      </c>
      <c r="AU71" s="126" t="str">
        <f>IF('Finalterm OVPAA-F-INS-055A RAW '!AU71="","",'Finalterm OVPAA-F-INS-055A RAW '!AU71/'Finalterm OVPAA-F-INS-055A RAW '!AU$17*100)</f>
        <v/>
      </c>
      <c r="AV71" s="126" t="str">
        <f>IF('Finalterm OVPAA-F-INS-055A RAW '!AV71="","",'Finalterm OVPAA-F-INS-055A RAW '!AV71/'Finalterm OVPAA-F-INS-055A RAW '!AV$17*100)</f>
        <v/>
      </c>
      <c r="AW71" s="126" t="str">
        <f>IF('Finalterm OVPAA-F-INS-055A RAW '!AW71="","",'Finalterm OVPAA-F-INS-055A RAW '!AW71/'Finalterm OVPAA-F-INS-055A RAW '!AW$17*100)</f>
        <v/>
      </c>
      <c r="AX71" s="126" t="str">
        <f>IF('Finalterm OVPAA-F-INS-055A RAW '!AX71="","",'Finalterm OVPAA-F-INS-055A RAW '!AX71/'Finalterm OVPAA-F-INS-055A RAW '!AX$17*100)</f>
        <v/>
      </c>
      <c r="AY71" s="126" t="str">
        <f>IF('Finalterm OVPAA-F-INS-055A RAW '!AY71="","",'Finalterm OVPAA-F-INS-055A RAW '!AY71/'Finalterm OVPAA-F-INS-055A RAW '!AY$17*100)</f>
        <v/>
      </c>
      <c r="AZ71" s="126" t="str">
        <f>IF('Finalterm OVPAA-F-INS-055A RAW '!AZ71="","",'Finalterm OVPAA-F-INS-055A RAW '!AZ71/'Finalterm OVPAA-F-INS-055A RAW '!AZ$17*100)</f>
        <v/>
      </c>
      <c r="BA71" s="126" t="str">
        <f>IF('Finalterm OVPAA-F-INS-055A RAW '!BA71="","",'Finalterm OVPAA-F-INS-055A RAW '!BA71/'Finalterm OVPAA-F-INS-055A RAW '!BA$17*100)</f>
        <v/>
      </c>
      <c r="BB71" s="126" t="str">
        <f>IF('Finalterm OVPAA-F-INS-055A RAW '!BB71="","",'Finalterm OVPAA-F-INS-055A RAW '!BB71/'Finalterm OVPAA-F-INS-055A RAW '!BB$17*100)</f>
        <v/>
      </c>
      <c r="BC71" s="126" t="str">
        <f>IF('Finalterm OVPAA-F-INS-055A RAW '!BC71="","",'Finalterm OVPAA-F-INS-055A RAW '!BC71/'Finalterm OVPAA-F-INS-055A RAW '!BC$17*100)</f>
        <v/>
      </c>
      <c r="BD71" s="126" t="str">
        <f>IF('Finalterm OVPAA-F-INS-055A RAW '!BD71="","",'Finalterm OVPAA-F-INS-055A RAW '!BD71/'Finalterm OVPAA-F-INS-055A RAW '!BD$17*100)</f>
        <v/>
      </c>
      <c r="BE71" s="126" t="str">
        <f>IF('Finalterm OVPAA-F-INS-055A RAW '!BE71="","",'Finalterm OVPAA-F-INS-055A RAW '!BE71/'Finalterm OVPAA-F-INS-055A RAW '!BE$17*100)</f>
        <v/>
      </c>
      <c r="BF71" s="126" t="str">
        <f>IF('Finalterm OVPAA-F-INS-055A RAW '!BF71="","",'Finalterm OVPAA-F-INS-055A RAW '!BF71/'Finalterm OVPAA-F-INS-055A RAW '!BF$17*100)</f>
        <v/>
      </c>
      <c r="BG71" s="126" t="str">
        <f>IF('Finalterm OVPAA-F-INS-055A RAW '!BG71="","",'Finalterm OVPAA-F-INS-055A RAW '!BG71/'Finalterm OVPAA-F-INS-055A RAW '!BG$17*100)</f>
        <v/>
      </c>
      <c r="BH71" s="126" t="str">
        <f>IF('Finalterm OVPAA-F-INS-055A RAW '!BH71="","",'Finalterm OVPAA-F-INS-055A RAW '!BH71/'Finalterm OVPAA-F-INS-055A RAW '!BH$17*100)</f>
        <v/>
      </c>
      <c r="BI71" s="126" t="str">
        <f>IF('Finalterm OVPAA-F-INS-055A RAW '!BI71="","",'Finalterm OVPAA-F-INS-055A RAW '!BI71/'Finalterm OVPAA-F-INS-055A RAW '!BI$17*100)</f>
        <v/>
      </c>
      <c r="BJ71" s="126" t="str">
        <f>IF('Finalterm OVPAA-F-INS-055A RAW '!BJ71="","",'Finalterm OVPAA-F-INS-055A RAW '!BJ71/'Finalterm OVPAA-F-INS-055A RAW '!BJ$17*100)</f>
        <v/>
      </c>
      <c r="BK71" s="126" t="str">
        <f>IF('Finalterm OVPAA-F-INS-055A RAW '!BK71="","",'Finalterm OVPAA-F-INS-055A RAW '!BK71/'Finalterm OVPAA-F-INS-055A RAW '!BK$17*100)</f>
        <v/>
      </c>
      <c r="BL71" s="126" t="str">
        <f>IF('Finalterm OVPAA-F-INS-055A RAW '!BL71="","",'Finalterm OVPAA-F-INS-055A RAW '!BL71/'Finalterm OVPAA-F-INS-055A RAW '!BL$17*100)</f>
        <v/>
      </c>
      <c r="BM71" s="126" t="str">
        <f>IF('Finalterm OVPAA-F-INS-055A RAW '!BM71="","",'Finalterm OVPAA-F-INS-055A RAW '!BM71/'Finalterm OVPAA-F-INS-055A RAW '!BM$17*100)</f>
        <v/>
      </c>
      <c r="BN71" s="126" t="str">
        <f>IF('Finalterm OVPAA-F-INS-055A RAW '!BN71="","",'Finalterm OVPAA-F-INS-055A RAW '!BN71/'Finalterm OVPAA-F-INS-055A RAW '!BN$17*100)</f>
        <v/>
      </c>
      <c r="BO71" s="126" t="str">
        <f>IF('Finalterm OVPAA-F-INS-055A RAW '!BO71="","",'Finalterm OVPAA-F-INS-055A RAW '!BO71/'Finalterm OVPAA-F-INS-055A RAW '!BO$17*100)</f>
        <v/>
      </c>
      <c r="BP71" s="126" t="str">
        <f>IF('Finalterm OVPAA-F-INS-055A RAW '!BP71="","",'Finalterm OVPAA-F-INS-055A RAW '!BP71/'Finalterm OVPAA-F-INS-055A RAW '!BP$17*100)</f>
        <v/>
      </c>
      <c r="BQ71" s="126" t="str">
        <f>IF('Finalterm OVPAA-F-INS-055A RAW '!BQ71="","",'Finalterm OVPAA-F-INS-055A RAW '!BQ71/'Finalterm OVPAA-F-INS-055A RAW '!BQ$17*100)</f>
        <v/>
      </c>
      <c r="BR71" s="126" t="str">
        <f>IF('Finalterm OVPAA-F-INS-055A RAW '!BR71="","",'Finalterm OVPAA-F-INS-055A RAW '!BR71/'Finalterm OVPAA-F-INS-055A RAW '!BR$17*100)</f>
        <v/>
      </c>
      <c r="BS71" s="126" t="str">
        <f>IF('Finalterm OVPAA-F-INS-055A RAW '!BS71="","",'Finalterm OVPAA-F-INS-055A RAW '!BS71/'Finalterm OVPAA-F-INS-055A RAW '!BS$17*100)</f>
        <v/>
      </c>
      <c r="BT71" s="126" t="str">
        <f>IF('Finalterm OVPAA-F-INS-055A RAW '!BT71="","",'Finalterm OVPAA-F-INS-055A RAW '!BT71/'Finalterm OVPAA-F-INS-055A RAW '!BT$17*100)</f>
        <v/>
      </c>
      <c r="BU71" s="127" t="str">
        <f t="array" ref="BU71">IF('Finalterm OVPAA-F-INS-055A RAW '!$G71="","",IF((SUMPRODUCT(--ISBLANK('Finalterm OVPAA-F-INS-055A RAW '!H71:BT71))=COLUMNS('Finalterm OVPAA-F-INS-055A RAW '!H71:BT71))=TRUE,"",(((COUNTA('Finalterm OVPAA-F-INS-055A RAW '!$H$17:$BT$17)+COUNTBLANK('Finalterm OVPAA-F-INS-055A RAW '!H71:BT71))-COLUMNS('Finalterm OVPAA-F-INS-055A RAW '!H71:BT71))*5+SUM(H71:BT71))/COUNTA('Finalterm OVPAA-F-INS-055A RAW '!$H$17:$BT$17)))</f>
        <v/>
      </c>
      <c r="BV71" s="165" t="str">
        <f>IF(BU71="","",VLOOKUP(BU71,IF('Midterm OVPAA-F-INS-055A RAW SC'!$V$12=0.5,TRANSMUTATION!$C$4:$D$17,TRANSMUTATION!$G$4:$H$17),2,TRUE))</f>
        <v/>
      </c>
      <c r="BW71" s="129" t="str">
        <f>IF('Finalterm OVPAA-F-INS-055A RAW '!BU71="","",'Finalterm OVPAA-F-INS-055A RAW '!BU71/'Finalterm OVPAA-F-INS-055A RAW '!BU$17*100)</f>
        <v/>
      </c>
      <c r="BX71" s="130" t="str">
        <f>IF('Finalterm OVPAA-F-INS-055A RAW '!BV71="","",'Finalterm OVPAA-F-INS-055A RAW '!BV71/'Finalterm OVPAA-F-INS-055A RAW '!BV$17*100)</f>
        <v/>
      </c>
      <c r="BY71" s="130" t="str">
        <f>IF('Finalterm OVPAA-F-INS-055A RAW '!BW71="","",'Finalterm OVPAA-F-INS-055A RAW '!BW71/'Finalterm OVPAA-F-INS-055A RAW '!BW$17*100)</f>
        <v/>
      </c>
      <c r="BZ71" s="130" t="str">
        <f>IF('Finalterm OVPAA-F-INS-055A RAW '!BX71="","",'Finalterm OVPAA-F-INS-055A RAW '!BX71/'Finalterm OVPAA-F-INS-055A RAW '!BX$17*100)</f>
        <v/>
      </c>
      <c r="CA71" s="130" t="str">
        <f>IF('Finalterm OVPAA-F-INS-055A RAW '!BY71="","",'Finalterm OVPAA-F-INS-055A RAW '!BY71/'Finalterm OVPAA-F-INS-055A RAW '!BY$17*100)</f>
        <v/>
      </c>
      <c r="CB71" s="130" t="str">
        <f>IF('Finalterm OVPAA-F-INS-055A RAW '!BZ71="","",'Finalterm OVPAA-F-INS-055A RAW '!BZ71/'Finalterm OVPAA-F-INS-055A RAW '!BZ$17*100)</f>
        <v/>
      </c>
      <c r="CC71" s="130" t="str">
        <f>IF('Finalterm OVPAA-F-INS-055A RAW '!CA71="","",'Finalterm OVPAA-F-INS-055A RAW '!CA71/'Finalterm OVPAA-F-INS-055A RAW '!CA$17*100)</f>
        <v/>
      </c>
      <c r="CD71" s="130" t="str">
        <f>IF('Finalterm OVPAA-F-INS-055A RAW '!CB71="","",'Finalterm OVPAA-F-INS-055A RAW '!CB71/'Finalterm OVPAA-F-INS-055A RAW '!CB$17*100)</f>
        <v/>
      </c>
      <c r="CE71" s="130" t="str">
        <f>IF('Finalterm OVPAA-F-INS-055A RAW '!CC71="","",'Finalterm OVPAA-F-INS-055A RAW '!CC71/'Finalterm OVPAA-F-INS-055A RAW '!CC$17*100)</f>
        <v/>
      </c>
      <c r="CF71" s="130" t="str">
        <f>IF('Finalterm OVPAA-F-INS-055A RAW '!CD71="","",'Finalterm OVPAA-F-INS-055A RAW '!CD71/'Finalterm OVPAA-F-INS-055A RAW '!CD$17*100)</f>
        <v/>
      </c>
      <c r="CG71" s="130" t="str">
        <f>IF('Finalterm OVPAA-F-INS-055A RAW '!CE71="","",'Finalterm OVPAA-F-INS-055A RAW '!CE71/'Finalterm OVPAA-F-INS-055A RAW '!CE$17*100)</f>
        <v/>
      </c>
      <c r="CH71" s="130" t="str">
        <f>IF('Finalterm OVPAA-F-INS-055A RAW '!CF71="","",'Finalterm OVPAA-F-INS-055A RAW '!CF71/'Finalterm OVPAA-F-INS-055A RAW '!CF$17*100)</f>
        <v/>
      </c>
      <c r="CI71" s="130" t="str">
        <f>IF('Finalterm OVPAA-F-INS-055A RAW '!CG71="","",'Finalterm OVPAA-F-INS-055A RAW '!CG71/'Finalterm OVPAA-F-INS-055A RAW '!CG$17*100)</f>
        <v/>
      </c>
      <c r="CJ71" s="130" t="str">
        <f>IF('Finalterm OVPAA-F-INS-055A RAW '!CH71="","",'Finalterm OVPAA-F-INS-055A RAW '!CH71/'Finalterm OVPAA-F-INS-055A RAW '!CH$17*100)</f>
        <v/>
      </c>
      <c r="CK71" s="130" t="str">
        <f>IF('Finalterm OVPAA-F-INS-055A RAW '!CI71="","",'Finalterm OVPAA-F-INS-055A RAW '!CI71/'Finalterm OVPAA-F-INS-055A RAW '!CI$17*100)</f>
        <v/>
      </c>
      <c r="CL71" s="130" t="str">
        <f>IF('Finalterm OVPAA-F-INS-055A RAW '!CJ71="","",'Finalterm OVPAA-F-INS-055A RAW '!CJ71/'Finalterm OVPAA-F-INS-055A RAW '!CJ$17*100)</f>
        <v/>
      </c>
      <c r="CM71" s="130" t="str">
        <f>IF('Finalterm OVPAA-F-INS-055A RAW '!CK71="","",'Finalterm OVPAA-F-INS-055A RAW '!CK71/'Finalterm OVPAA-F-INS-055A RAW '!CK$17*100)</f>
        <v/>
      </c>
      <c r="CN71" s="130" t="str">
        <f>IF('Finalterm OVPAA-F-INS-055A RAW '!CL71="","",'Finalterm OVPAA-F-INS-055A RAW '!CL71/'Finalterm OVPAA-F-INS-055A RAW '!CL$17*100)</f>
        <v/>
      </c>
      <c r="CO71" s="130" t="str">
        <f>IF('Finalterm OVPAA-F-INS-055A RAW '!CM71="","",'Finalterm OVPAA-F-INS-055A RAW '!CM71/'Finalterm OVPAA-F-INS-055A RAW '!CM$17*100)</f>
        <v/>
      </c>
      <c r="CP71" s="130" t="str">
        <f>IF('Finalterm OVPAA-F-INS-055A RAW '!CN71="","",'Finalterm OVPAA-F-INS-055A RAW '!CN71/'Finalterm OVPAA-F-INS-055A RAW '!CN$17*100)</f>
        <v/>
      </c>
      <c r="CQ71" s="131" t="str">
        <f t="array" ref="CQ71">IF('Midterm OVPAA-F-INS-055A RAW SC'!G71="","",IF((SUMPRODUCT(--ISBLANK('Finalterm OVPAA-F-INS-055A RAW '!BU71:CN71))=COLUMNS('Finalterm OVPAA-F-INS-055A RAW '!BU71:CN71))=TRUE,"",(((COUNTA('Finalterm OVPAA-F-INS-055A RAW '!$BU$17:$CN$17)+COUNTBLANK('Finalterm OVPAA-F-INS-055A RAW '!BU71:CN71))-COLUMNS('Finalterm OVPAA-F-INS-055A RAW '!BU71:CN71))*5+SUM(BW71:CP71))/COUNTA('Finalterm OVPAA-F-INS-055A RAW '!$BU$17:$CN$17)))</f>
        <v/>
      </c>
      <c r="CR71" s="132" t="str">
        <f>IF(CQ71="","",VLOOKUP(CQ71,IF('Midterm OVPAA-F-INS-055A RAW SC'!$V$12=0.5,TRANSMUTATION!$C$4:$D$17,TRANSMUTATION!$G$4:$H$17),2,TRUE))</f>
        <v/>
      </c>
      <c r="CS71" s="133" t="str">
        <f>IF('Finalterm OVPAA-F-INS-055A RAW '!CO71="","",'Finalterm OVPAA-F-INS-055A RAW '!CO71/'Finalterm OVPAA-F-INS-055A RAW '!CO$17*100)</f>
        <v/>
      </c>
      <c r="CT71" s="133" t="str">
        <f>IF('Finalterm OVPAA-F-INS-055A RAW '!CP71="","",'Finalterm OVPAA-F-INS-055A RAW '!CP71/'Finalterm OVPAA-F-INS-055A RAW '!CP$17*100)</f>
        <v/>
      </c>
      <c r="CU71" s="133" t="str">
        <f>IF('Finalterm OVPAA-F-INS-055A RAW '!CQ71="","",'Finalterm OVPAA-F-INS-055A RAW '!CQ71/'Finalterm OVPAA-F-INS-055A RAW '!CQ$17*100)</f>
        <v/>
      </c>
      <c r="CV71" s="133" t="str">
        <f>IF('Finalterm OVPAA-F-INS-055A RAW '!CR71="","",'Finalterm OVPAA-F-INS-055A RAW '!CR71/'Finalterm OVPAA-F-INS-055A RAW '!CR$17*100)</f>
        <v/>
      </c>
      <c r="CW71" s="133" t="str">
        <f>IF('Finalterm OVPAA-F-INS-055A RAW '!CS71="","",'Finalterm OVPAA-F-INS-055A RAW '!CS71/'Finalterm OVPAA-F-INS-055A RAW '!CS$17*100)</f>
        <v/>
      </c>
      <c r="CX71" s="133" t="str">
        <f>IF('Finalterm OVPAA-F-INS-055A RAW '!CT71="","",'Finalterm OVPAA-F-INS-055A RAW '!CT71/'Finalterm OVPAA-F-INS-055A RAW '!CT$17*100)</f>
        <v/>
      </c>
      <c r="CY71" s="133" t="str">
        <f>IF('Finalterm OVPAA-F-INS-055A RAW '!CU71="","",'Finalterm OVPAA-F-INS-055A RAW '!CU71/'Finalterm OVPAA-F-INS-055A RAW '!CU$17*100)</f>
        <v/>
      </c>
      <c r="CZ71" s="133" t="str">
        <f>IF('Finalterm OVPAA-F-INS-055A RAW '!CV71="","",'Finalterm OVPAA-F-INS-055A RAW '!CV71/'Finalterm OVPAA-F-INS-055A RAW '!CV$17*100)</f>
        <v/>
      </c>
      <c r="DA71" s="133" t="str">
        <f>IF('Finalterm OVPAA-F-INS-055A RAW '!CW71="","",'Finalterm OVPAA-F-INS-055A RAW '!CW71/'Finalterm OVPAA-F-INS-055A RAW '!CW$17*100)</f>
        <v/>
      </c>
      <c r="DB71" s="133" t="str">
        <f>IF('Finalterm OVPAA-F-INS-055A RAW '!CX71="","",'Finalterm OVPAA-F-INS-055A RAW '!CX71/'Finalterm OVPAA-F-INS-055A RAW '!CX$17*100)</f>
        <v/>
      </c>
      <c r="DC71" s="134" t="str">
        <f t="array" ref="DC71">IF('Midterm OVPAA-F-INS-055A RAW SC'!$G71="","",IF((SUMPRODUCT(--ISBLANK('Finalterm OVPAA-F-INS-055A RAW '!CO71:CX71))=COLUMNS('Finalterm OVPAA-F-INS-055A RAW '!CO71:CX71))=TRUE,"",(((COUNTA('Finalterm OVPAA-F-INS-055A RAW '!$CO$17:$CX$17)+COUNTBLANK('Finalterm OVPAA-F-INS-055A RAW '!CO71:CX71))-COLUMNS('Finalterm OVPAA-F-INS-055A RAW '!CO71:CX71))*5+SUM(CS71:DB71))/COUNTA('Finalterm OVPAA-F-INS-055A RAW '!$CO$17:$CX$17)))</f>
        <v/>
      </c>
      <c r="DD71" s="135" t="str">
        <f>IF(DC71="","",VLOOKUP(DC71,IF('Midterm OVPAA-F-INS-055A RAW SC'!$V$12=0.5,TRANSMUTATION!$C$4:$D$17,TRANSMUTATION!$G$4:$H$17),2,TRUE))</f>
        <v/>
      </c>
      <c r="DE71" s="136" t="str">
        <f t="shared" si="1"/>
        <v/>
      </c>
      <c r="DF71" s="166" t="str">
        <f t="shared" si="2"/>
        <v/>
      </c>
      <c r="DG71" s="167" t="str">
        <f t="shared" si="3"/>
        <v/>
      </c>
      <c r="DH71" s="168" t="str">
        <f t="shared" si="4"/>
        <v/>
      </c>
      <c r="DI71" s="169" t="str">
        <f t="shared" si="5"/>
        <v/>
      </c>
    </row>
    <row r="72" spans="5:113" ht="15.75" hidden="1" customHeight="1">
      <c r="E72" s="59">
        <v>55</v>
      </c>
      <c r="F72" s="124" t="str">
        <f>IF(NOT(ISBLANK('Midterm OVPAA-F-INS-055A RAW SC'!F72)),'Midterm OVPAA-F-INS-055A RAW SC'!F72,"")</f>
        <v/>
      </c>
      <c r="G72" s="125" t="str">
        <f>IF(NOT(ISBLANK('Midterm OVPAA-F-INS-055A RAW SC'!G72)),'Midterm OVPAA-F-INS-055A RAW SC'!G72,"")</f>
        <v/>
      </c>
      <c r="H72" s="126" t="str">
        <f>IF('Finalterm OVPAA-F-INS-055A RAW '!H72="","",'Finalterm OVPAA-F-INS-055A RAW '!H72/'Finalterm OVPAA-F-INS-055A RAW '!H$17*100)</f>
        <v/>
      </c>
      <c r="I72" s="126" t="str">
        <f>IF('Finalterm OVPAA-F-INS-055A RAW '!I72="","",'Finalterm OVPAA-F-INS-055A RAW '!I72/'Finalterm OVPAA-F-INS-055A RAW '!I$17*100)</f>
        <v/>
      </c>
      <c r="J72" s="126" t="str">
        <f>IF('Finalterm OVPAA-F-INS-055A RAW '!J72="","",'Finalterm OVPAA-F-INS-055A RAW '!J72/'Finalterm OVPAA-F-INS-055A RAW '!J$17*100)</f>
        <v/>
      </c>
      <c r="K72" s="126" t="str">
        <f>IF('Finalterm OVPAA-F-INS-055A RAW '!K72="","",'Finalterm OVPAA-F-INS-055A RAW '!K72/'Finalterm OVPAA-F-INS-055A RAW '!K$17*100)</f>
        <v/>
      </c>
      <c r="L72" s="126" t="str">
        <f>IF('Finalterm OVPAA-F-INS-055A RAW '!L72="","",'Finalterm OVPAA-F-INS-055A RAW '!L72/'Finalterm OVPAA-F-INS-055A RAW '!L$17*100)</f>
        <v/>
      </c>
      <c r="M72" s="126" t="str">
        <f>IF('Finalterm OVPAA-F-INS-055A RAW '!M72="","",'Finalterm OVPAA-F-INS-055A RAW '!M72/'Finalterm OVPAA-F-INS-055A RAW '!M$17*100)</f>
        <v/>
      </c>
      <c r="N72" s="126" t="str">
        <f>IF('Finalterm OVPAA-F-INS-055A RAW '!N72="","",'Finalterm OVPAA-F-INS-055A RAW '!N72/'Finalterm OVPAA-F-INS-055A RAW '!N$17*100)</f>
        <v/>
      </c>
      <c r="O72" s="126" t="str">
        <f>IF('Finalterm OVPAA-F-INS-055A RAW '!O72="","",'Finalterm OVPAA-F-INS-055A RAW '!O72/'Finalterm OVPAA-F-INS-055A RAW '!O$17*100)</f>
        <v/>
      </c>
      <c r="P72" s="126" t="str">
        <f>IF('Finalterm OVPAA-F-INS-055A RAW '!P72="","",'Finalterm OVPAA-F-INS-055A RAW '!P72/'Finalterm OVPAA-F-INS-055A RAW '!P$17*100)</f>
        <v/>
      </c>
      <c r="Q72" s="126" t="str">
        <f>IF('Finalterm OVPAA-F-INS-055A RAW '!Q72="","",'Finalterm OVPAA-F-INS-055A RAW '!Q72/'Finalterm OVPAA-F-INS-055A RAW '!Q$17*100)</f>
        <v/>
      </c>
      <c r="R72" s="126" t="str">
        <f>IF('Finalterm OVPAA-F-INS-055A RAW '!R72="","",'Finalterm OVPAA-F-INS-055A RAW '!R72/'Finalterm OVPAA-F-INS-055A RAW '!R$17*100)</f>
        <v/>
      </c>
      <c r="S72" s="126" t="str">
        <f>IF('Finalterm OVPAA-F-INS-055A RAW '!S72="","",'Finalterm OVPAA-F-INS-055A RAW '!S72/'Finalterm OVPAA-F-INS-055A RAW '!S$17*100)</f>
        <v/>
      </c>
      <c r="T72" s="126" t="str">
        <f>IF('Finalterm OVPAA-F-INS-055A RAW '!T72="","",'Finalterm OVPAA-F-INS-055A RAW '!T72/'Finalterm OVPAA-F-INS-055A RAW '!T$17*100)</f>
        <v/>
      </c>
      <c r="U72" s="126" t="str">
        <f>IF('Finalterm OVPAA-F-INS-055A RAW '!U72="","",'Finalterm OVPAA-F-INS-055A RAW '!U72/'Finalterm OVPAA-F-INS-055A RAW '!U$17*100)</f>
        <v/>
      </c>
      <c r="V72" s="126" t="str">
        <f>IF('Finalterm OVPAA-F-INS-055A RAW '!V72="","",'Finalterm OVPAA-F-INS-055A RAW '!V72/'Finalterm OVPAA-F-INS-055A RAW '!V$17*100)</f>
        <v/>
      </c>
      <c r="W72" s="126" t="str">
        <f>IF('Finalterm OVPAA-F-INS-055A RAW '!W72="","",'Finalterm OVPAA-F-INS-055A RAW '!W72/'Finalterm OVPAA-F-INS-055A RAW '!W$17*100)</f>
        <v/>
      </c>
      <c r="X72" s="126" t="str">
        <f>IF('Finalterm OVPAA-F-INS-055A RAW '!X72="","",'Finalterm OVPAA-F-INS-055A RAW '!X72/'Finalterm OVPAA-F-INS-055A RAW '!X$17*100)</f>
        <v/>
      </c>
      <c r="Y72" s="126" t="str">
        <f>IF('Finalterm OVPAA-F-INS-055A RAW '!Y72="","",'Finalterm OVPAA-F-INS-055A RAW '!Y72/'Finalterm OVPAA-F-INS-055A RAW '!Y$17*100)</f>
        <v/>
      </c>
      <c r="Z72" s="126" t="str">
        <f>IF('Finalterm OVPAA-F-INS-055A RAW '!Z72="","",'Finalterm OVPAA-F-INS-055A RAW '!Z72/'Finalterm OVPAA-F-INS-055A RAW '!Z$17*100)</f>
        <v/>
      </c>
      <c r="AA72" s="126" t="str">
        <f>IF('Finalterm OVPAA-F-INS-055A RAW '!AA72="","",'Finalterm OVPAA-F-INS-055A RAW '!AA72/'Finalterm OVPAA-F-INS-055A RAW '!AA$17*100)</f>
        <v/>
      </c>
      <c r="AB72" s="126" t="str">
        <f>IF('Finalterm OVPAA-F-INS-055A RAW '!AB72="","",'Finalterm OVPAA-F-INS-055A RAW '!AB72/'Finalterm OVPAA-F-INS-055A RAW '!AB$17*100)</f>
        <v/>
      </c>
      <c r="AC72" s="126" t="str">
        <f>IF('Finalterm OVPAA-F-INS-055A RAW '!AC72="","",'Finalterm OVPAA-F-INS-055A RAW '!AC72/'Finalterm OVPAA-F-INS-055A RAW '!AC$17*100)</f>
        <v/>
      </c>
      <c r="AD72" s="126" t="str">
        <f>IF('Finalterm OVPAA-F-INS-055A RAW '!AD72="","",'Finalterm OVPAA-F-INS-055A RAW '!AD72/'Finalterm OVPAA-F-INS-055A RAW '!AD$17*100)</f>
        <v/>
      </c>
      <c r="AE72" s="126" t="str">
        <f>IF('Finalterm OVPAA-F-INS-055A RAW '!AE72="","",'Finalterm OVPAA-F-INS-055A RAW '!AE72/'Finalterm OVPAA-F-INS-055A RAW '!AE$17*100)</f>
        <v/>
      </c>
      <c r="AF72" s="126" t="str">
        <f>IF('Finalterm OVPAA-F-INS-055A RAW '!AF72="","",'Finalterm OVPAA-F-INS-055A RAW '!AF72/'Finalterm OVPAA-F-INS-055A RAW '!AF$17*100)</f>
        <v/>
      </c>
      <c r="AG72" s="126" t="str">
        <f>IF('Finalterm OVPAA-F-INS-055A RAW '!AG72="","",'Finalterm OVPAA-F-INS-055A RAW '!AG72/'Finalterm OVPAA-F-INS-055A RAW '!AG$17*100)</f>
        <v/>
      </c>
      <c r="AH72" s="126" t="str">
        <f>IF('Finalterm OVPAA-F-INS-055A RAW '!AH72="","",'Finalterm OVPAA-F-INS-055A RAW '!AH72/'Finalterm OVPAA-F-INS-055A RAW '!AH$17*100)</f>
        <v/>
      </c>
      <c r="AI72" s="126" t="str">
        <f>IF('Finalterm OVPAA-F-INS-055A RAW '!AI72="","",'Finalterm OVPAA-F-INS-055A RAW '!AI72/'Finalterm OVPAA-F-INS-055A RAW '!AI$17*100)</f>
        <v/>
      </c>
      <c r="AJ72" s="126" t="str">
        <f>IF('Finalterm OVPAA-F-INS-055A RAW '!AJ72="","",'Finalterm OVPAA-F-INS-055A RAW '!AJ72/'Finalterm OVPAA-F-INS-055A RAW '!AJ$17*100)</f>
        <v/>
      </c>
      <c r="AK72" s="126" t="str">
        <f>IF('Finalterm OVPAA-F-INS-055A RAW '!AK72="","",'Finalterm OVPAA-F-INS-055A RAW '!AK72/'Finalterm OVPAA-F-INS-055A RAW '!AK$17*100)</f>
        <v/>
      </c>
      <c r="AL72" s="126" t="str">
        <f>IF('Finalterm OVPAA-F-INS-055A RAW '!AL72="","",'Finalterm OVPAA-F-INS-055A RAW '!AL72/'Finalterm OVPAA-F-INS-055A RAW '!AL$17*100)</f>
        <v/>
      </c>
      <c r="AM72" s="126" t="str">
        <f>IF('Finalterm OVPAA-F-INS-055A RAW '!AM72="","",'Finalterm OVPAA-F-INS-055A RAW '!AM72/'Finalterm OVPAA-F-INS-055A RAW '!AM$17*100)</f>
        <v/>
      </c>
      <c r="AN72" s="126" t="str">
        <f>IF('Finalterm OVPAA-F-INS-055A RAW '!AN72="","",'Finalterm OVPAA-F-INS-055A RAW '!AN72/'Finalterm OVPAA-F-INS-055A RAW '!AN$17*100)</f>
        <v/>
      </c>
      <c r="AO72" s="126" t="str">
        <f>IF('Finalterm OVPAA-F-INS-055A RAW '!AO72="","",'Finalterm OVPAA-F-INS-055A RAW '!AO72/'Finalterm OVPAA-F-INS-055A RAW '!AO$17*100)</f>
        <v/>
      </c>
      <c r="AP72" s="126" t="str">
        <f>IF('Finalterm OVPAA-F-INS-055A RAW '!AP72="","",'Finalterm OVPAA-F-INS-055A RAW '!AP72/'Finalterm OVPAA-F-INS-055A RAW '!AP$17*100)</f>
        <v/>
      </c>
      <c r="AQ72" s="126" t="str">
        <f>IF('Finalterm OVPAA-F-INS-055A RAW '!AQ72="","",'Finalterm OVPAA-F-INS-055A RAW '!AQ72/'Finalterm OVPAA-F-INS-055A RAW '!AQ$17*100)</f>
        <v/>
      </c>
      <c r="AR72" s="126" t="str">
        <f>IF('Finalterm OVPAA-F-INS-055A RAW '!AR72="","",'Finalterm OVPAA-F-INS-055A RAW '!AR72/'Finalterm OVPAA-F-INS-055A RAW '!AR$17*100)</f>
        <v/>
      </c>
      <c r="AS72" s="126" t="str">
        <f>IF('Finalterm OVPAA-F-INS-055A RAW '!AS72="","",'Finalterm OVPAA-F-INS-055A RAW '!AS72/'Finalterm OVPAA-F-INS-055A RAW '!AS$17*100)</f>
        <v/>
      </c>
      <c r="AT72" s="126" t="str">
        <f>IF('Finalterm OVPAA-F-INS-055A RAW '!AT72="","",'Finalterm OVPAA-F-INS-055A RAW '!AT72/'Finalterm OVPAA-F-INS-055A RAW '!AT$17*100)</f>
        <v/>
      </c>
      <c r="AU72" s="126" t="str">
        <f>IF('Finalterm OVPAA-F-INS-055A RAW '!AU72="","",'Finalterm OVPAA-F-INS-055A RAW '!AU72/'Finalterm OVPAA-F-INS-055A RAW '!AU$17*100)</f>
        <v/>
      </c>
      <c r="AV72" s="126" t="str">
        <f>IF('Finalterm OVPAA-F-INS-055A RAW '!AV72="","",'Finalterm OVPAA-F-INS-055A RAW '!AV72/'Finalterm OVPAA-F-INS-055A RAW '!AV$17*100)</f>
        <v/>
      </c>
      <c r="AW72" s="126" t="str">
        <f>IF('Finalterm OVPAA-F-INS-055A RAW '!AW72="","",'Finalterm OVPAA-F-INS-055A RAW '!AW72/'Finalterm OVPAA-F-INS-055A RAW '!AW$17*100)</f>
        <v/>
      </c>
      <c r="AX72" s="126" t="str">
        <f>IF('Finalterm OVPAA-F-INS-055A RAW '!AX72="","",'Finalterm OVPAA-F-INS-055A RAW '!AX72/'Finalterm OVPAA-F-INS-055A RAW '!AX$17*100)</f>
        <v/>
      </c>
      <c r="AY72" s="126" t="str">
        <f>IF('Finalterm OVPAA-F-INS-055A RAW '!AY72="","",'Finalterm OVPAA-F-INS-055A RAW '!AY72/'Finalterm OVPAA-F-INS-055A RAW '!AY$17*100)</f>
        <v/>
      </c>
      <c r="AZ72" s="126" t="str">
        <f>IF('Finalterm OVPAA-F-INS-055A RAW '!AZ72="","",'Finalterm OVPAA-F-INS-055A RAW '!AZ72/'Finalterm OVPAA-F-INS-055A RAW '!AZ$17*100)</f>
        <v/>
      </c>
      <c r="BA72" s="126" t="str">
        <f>IF('Finalterm OVPAA-F-INS-055A RAW '!BA72="","",'Finalterm OVPAA-F-INS-055A RAW '!BA72/'Finalterm OVPAA-F-INS-055A RAW '!BA$17*100)</f>
        <v/>
      </c>
      <c r="BB72" s="126" t="str">
        <f>IF('Finalterm OVPAA-F-INS-055A RAW '!BB72="","",'Finalterm OVPAA-F-INS-055A RAW '!BB72/'Finalterm OVPAA-F-INS-055A RAW '!BB$17*100)</f>
        <v/>
      </c>
      <c r="BC72" s="126" t="str">
        <f>IF('Finalterm OVPAA-F-INS-055A RAW '!BC72="","",'Finalterm OVPAA-F-INS-055A RAW '!BC72/'Finalterm OVPAA-F-INS-055A RAW '!BC$17*100)</f>
        <v/>
      </c>
      <c r="BD72" s="126" t="str">
        <f>IF('Finalterm OVPAA-F-INS-055A RAW '!BD72="","",'Finalterm OVPAA-F-INS-055A RAW '!BD72/'Finalterm OVPAA-F-INS-055A RAW '!BD$17*100)</f>
        <v/>
      </c>
      <c r="BE72" s="126" t="str">
        <f>IF('Finalterm OVPAA-F-INS-055A RAW '!BE72="","",'Finalterm OVPAA-F-INS-055A RAW '!BE72/'Finalterm OVPAA-F-INS-055A RAW '!BE$17*100)</f>
        <v/>
      </c>
      <c r="BF72" s="126" t="str">
        <f>IF('Finalterm OVPAA-F-INS-055A RAW '!BF72="","",'Finalterm OVPAA-F-INS-055A RAW '!BF72/'Finalterm OVPAA-F-INS-055A RAW '!BF$17*100)</f>
        <v/>
      </c>
      <c r="BG72" s="126" t="str">
        <f>IF('Finalterm OVPAA-F-INS-055A RAW '!BG72="","",'Finalterm OVPAA-F-INS-055A RAW '!BG72/'Finalterm OVPAA-F-INS-055A RAW '!BG$17*100)</f>
        <v/>
      </c>
      <c r="BH72" s="126" t="str">
        <f>IF('Finalterm OVPAA-F-INS-055A RAW '!BH72="","",'Finalterm OVPAA-F-INS-055A RAW '!BH72/'Finalterm OVPAA-F-INS-055A RAW '!BH$17*100)</f>
        <v/>
      </c>
      <c r="BI72" s="126" t="str">
        <f>IF('Finalterm OVPAA-F-INS-055A RAW '!BI72="","",'Finalterm OVPAA-F-INS-055A RAW '!BI72/'Finalterm OVPAA-F-INS-055A RAW '!BI$17*100)</f>
        <v/>
      </c>
      <c r="BJ72" s="126" t="str">
        <f>IF('Finalterm OVPAA-F-INS-055A RAW '!BJ72="","",'Finalterm OVPAA-F-INS-055A RAW '!BJ72/'Finalterm OVPAA-F-INS-055A RAW '!BJ$17*100)</f>
        <v/>
      </c>
      <c r="BK72" s="126" t="str">
        <f>IF('Finalterm OVPAA-F-INS-055A RAW '!BK72="","",'Finalterm OVPAA-F-INS-055A RAW '!BK72/'Finalterm OVPAA-F-INS-055A RAW '!BK$17*100)</f>
        <v/>
      </c>
      <c r="BL72" s="126" t="str">
        <f>IF('Finalterm OVPAA-F-INS-055A RAW '!BL72="","",'Finalterm OVPAA-F-INS-055A RAW '!BL72/'Finalterm OVPAA-F-INS-055A RAW '!BL$17*100)</f>
        <v/>
      </c>
      <c r="BM72" s="126" t="str">
        <f>IF('Finalterm OVPAA-F-INS-055A RAW '!BM72="","",'Finalterm OVPAA-F-INS-055A RAW '!BM72/'Finalterm OVPAA-F-INS-055A RAW '!BM$17*100)</f>
        <v/>
      </c>
      <c r="BN72" s="126" t="str">
        <f>IF('Finalterm OVPAA-F-INS-055A RAW '!BN72="","",'Finalterm OVPAA-F-INS-055A RAW '!BN72/'Finalterm OVPAA-F-INS-055A RAW '!BN$17*100)</f>
        <v/>
      </c>
      <c r="BO72" s="126" t="str">
        <f>IF('Finalterm OVPAA-F-INS-055A RAW '!BO72="","",'Finalterm OVPAA-F-INS-055A RAW '!BO72/'Finalterm OVPAA-F-INS-055A RAW '!BO$17*100)</f>
        <v/>
      </c>
      <c r="BP72" s="126" t="str">
        <f>IF('Finalterm OVPAA-F-INS-055A RAW '!BP72="","",'Finalterm OVPAA-F-INS-055A RAW '!BP72/'Finalterm OVPAA-F-INS-055A RAW '!BP$17*100)</f>
        <v/>
      </c>
      <c r="BQ72" s="126" t="str">
        <f>IF('Finalterm OVPAA-F-INS-055A RAW '!BQ72="","",'Finalterm OVPAA-F-INS-055A RAW '!BQ72/'Finalterm OVPAA-F-INS-055A RAW '!BQ$17*100)</f>
        <v/>
      </c>
      <c r="BR72" s="126" t="str">
        <f>IF('Finalterm OVPAA-F-INS-055A RAW '!BR72="","",'Finalterm OVPAA-F-INS-055A RAW '!BR72/'Finalterm OVPAA-F-INS-055A RAW '!BR$17*100)</f>
        <v/>
      </c>
      <c r="BS72" s="126" t="str">
        <f>IF('Finalterm OVPAA-F-INS-055A RAW '!BS72="","",'Finalterm OVPAA-F-INS-055A RAW '!BS72/'Finalterm OVPAA-F-INS-055A RAW '!BS$17*100)</f>
        <v/>
      </c>
      <c r="BT72" s="126" t="str">
        <f>IF('Finalterm OVPAA-F-INS-055A RAW '!BT72="","",'Finalterm OVPAA-F-INS-055A RAW '!BT72/'Finalterm OVPAA-F-INS-055A RAW '!BT$17*100)</f>
        <v/>
      </c>
      <c r="BU72" s="127" t="str">
        <f t="array" ref="BU72">IF('Finalterm OVPAA-F-INS-055A RAW '!$G72="","",IF((SUMPRODUCT(--ISBLANK('Finalterm OVPAA-F-INS-055A RAW '!H72:BT72))=COLUMNS('Finalterm OVPAA-F-INS-055A RAW '!H72:BT72))=TRUE,"",(((COUNTA('Finalterm OVPAA-F-INS-055A RAW '!$H$17:$BT$17)+COUNTBLANK('Finalterm OVPAA-F-INS-055A RAW '!H72:BT72))-COLUMNS('Finalterm OVPAA-F-INS-055A RAW '!H72:BT72))*5+SUM(H72:BT72))/COUNTA('Finalterm OVPAA-F-INS-055A RAW '!$H$17:$BT$17)))</f>
        <v/>
      </c>
      <c r="BV72" s="165" t="str">
        <f>IF(BU72="","",VLOOKUP(BU72,IF('Midterm OVPAA-F-INS-055A RAW SC'!$V$12=0.5,TRANSMUTATION!$C$4:$D$17,TRANSMUTATION!$G$4:$H$17),2,TRUE))</f>
        <v/>
      </c>
      <c r="BW72" s="129" t="str">
        <f>IF('Finalterm OVPAA-F-INS-055A RAW '!BU72="","",'Finalterm OVPAA-F-INS-055A RAW '!BU72/'Finalterm OVPAA-F-INS-055A RAW '!BU$17*100)</f>
        <v/>
      </c>
      <c r="BX72" s="130" t="str">
        <f>IF('Finalterm OVPAA-F-INS-055A RAW '!BV72="","",'Finalterm OVPAA-F-INS-055A RAW '!BV72/'Finalterm OVPAA-F-INS-055A RAW '!BV$17*100)</f>
        <v/>
      </c>
      <c r="BY72" s="130" t="str">
        <f>IF('Finalterm OVPAA-F-INS-055A RAW '!BW72="","",'Finalterm OVPAA-F-INS-055A RAW '!BW72/'Finalterm OVPAA-F-INS-055A RAW '!BW$17*100)</f>
        <v/>
      </c>
      <c r="BZ72" s="130" t="str">
        <f>IF('Finalterm OVPAA-F-INS-055A RAW '!BX72="","",'Finalterm OVPAA-F-INS-055A RAW '!BX72/'Finalterm OVPAA-F-INS-055A RAW '!BX$17*100)</f>
        <v/>
      </c>
      <c r="CA72" s="130" t="str">
        <f>IF('Finalterm OVPAA-F-INS-055A RAW '!BY72="","",'Finalterm OVPAA-F-INS-055A RAW '!BY72/'Finalterm OVPAA-F-INS-055A RAW '!BY$17*100)</f>
        <v/>
      </c>
      <c r="CB72" s="130" t="str">
        <f>IF('Finalterm OVPAA-F-INS-055A RAW '!BZ72="","",'Finalterm OVPAA-F-INS-055A RAW '!BZ72/'Finalterm OVPAA-F-INS-055A RAW '!BZ$17*100)</f>
        <v/>
      </c>
      <c r="CC72" s="130" t="str">
        <f>IF('Finalterm OVPAA-F-INS-055A RAW '!CA72="","",'Finalterm OVPAA-F-INS-055A RAW '!CA72/'Finalterm OVPAA-F-INS-055A RAW '!CA$17*100)</f>
        <v/>
      </c>
      <c r="CD72" s="130" t="str">
        <f>IF('Finalterm OVPAA-F-INS-055A RAW '!CB72="","",'Finalterm OVPAA-F-INS-055A RAW '!CB72/'Finalterm OVPAA-F-INS-055A RAW '!CB$17*100)</f>
        <v/>
      </c>
      <c r="CE72" s="130" t="str">
        <f>IF('Finalterm OVPAA-F-INS-055A RAW '!CC72="","",'Finalterm OVPAA-F-INS-055A RAW '!CC72/'Finalterm OVPAA-F-INS-055A RAW '!CC$17*100)</f>
        <v/>
      </c>
      <c r="CF72" s="130" t="str">
        <f>IF('Finalterm OVPAA-F-INS-055A RAW '!CD72="","",'Finalterm OVPAA-F-INS-055A RAW '!CD72/'Finalterm OVPAA-F-INS-055A RAW '!CD$17*100)</f>
        <v/>
      </c>
      <c r="CG72" s="130" t="str">
        <f>IF('Finalterm OVPAA-F-INS-055A RAW '!CE72="","",'Finalterm OVPAA-F-INS-055A RAW '!CE72/'Finalterm OVPAA-F-INS-055A RAW '!CE$17*100)</f>
        <v/>
      </c>
      <c r="CH72" s="130" t="str">
        <f>IF('Finalterm OVPAA-F-INS-055A RAW '!CF72="","",'Finalterm OVPAA-F-INS-055A RAW '!CF72/'Finalterm OVPAA-F-INS-055A RAW '!CF$17*100)</f>
        <v/>
      </c>
      <c r="CI72" s="130" t="str">
        <f>IF('Finalterm OVPAA-F-INS-055A RAW '!CG72="","",'Finalterm OVPAA-F-INS-055A RAW '!CG72/'Finalterm OVPAA-F-INS-055A RAW '!CG$17*100)</f>
        <v/>
      </c>
      <c r="CJ72" s="130" t="str">
        <f>IF('Finalterm OVPAA-F-INS-055A RAW '!CH72="","",'Finalterm OVPAA-F-INS-055A RAW '!CH72/'Finalterm OVPAA-F-INS-055A RAW '!CH$17*100)</f>
        <v/>
      </c>
      <c r="CK72" s="130" t="str">
        <f>IF('Finalterm OVPAA-F-INS-055A RAW '!CI72="","",'Finalterm OVPAA-F-INS-055A RAW '!CI72/'Finalterm OVPAA-F-INS-055A RAW '!CI$17*100)</f>
        <v/>
      </c>
      <c r="CL72" s="130" t="str">
        <f>IF('Finalterm OVPAA-F-INS-055A RAW '!CJ72="","",'Finalterm OVPAA-F-INS-055A RAW '!CJ72/'Finalterm OVPAA-F-INS-055A RAW '!CJ$17*100)</f>
        <v/>
      </c>
      <c r="CM72" s="130" t="str">
        <f>IF('Finalterm OVPAA-F-INS-055A RAW '!CK72="","",'Finalterm OVPAA-F-INS-055A RAW '!CK72/'Finalterm OVPAA-F-INS-055A RAW '!CK$17*100)</f>
        <v/>
      </c>
      <c r="CN72" s="130" t="str">
        <f>IF('Finalterm OVPAA-F-INS-055A RAW '!CL72="","",'Finalterm OVPAA-F-INS-055A RAW '!CL72/'Finalterm OVPAA-F-INS-055A RAW '!CL$17*100)</f>
        <v/>
      </c>
      <c r="CO72" s="130" t="str">
        <f>IF('Finalterm OVPAA-F-INS-055A RAW '!CM72="","",'Finalterm OVPAA-F-INS-055A RAW '!CM72/'Finalterm OVPAA-F-INS-055A RAW '!CM$17*100)</f>
        <v/>
      </c>
      <c r="CP72" s="130" t="str">
        <f>IF('Finalterm OVPAA-F-INS-055A RAW '!CN72="","",'Finalterm OVPAA-F-INS-055A RAW '!CN72/'Finalterm OVPAA-F-INS-055A RAW '!CN$17*100)</f>
        <v/>
      </c>
      <c r="CQ72" s="131" t="str">
        <f t="array" ref="CQ72">IF('Midterm OVPAA-F-INS-055A RAW SC'!G72="","",IF((SUMPRODUCT(--ISBLANK('Finalterm OVPAA-F-INS-055A RAW '!BU72:CN72))=COLUMNS('Finalterm OVPAA-F-INS-055A RAW '!BU72:CN72))=TRUE,"",(((COUNTA('Finalterm OVPAA-F-INS-055A RAW '!$BU$17:$CN$17)+COUNTBLANK('Finalterm OVPAA-F-INS-055A RAW '!BU72:CN72))-COLUMNS('Finalterm OVPAA-F-INS-055A RAW '!BU72:CN72))*5+SUM(BW72:CP72))/COUNTA('Finalterm OVPAA-F-INS-055A RAW '!$BU$17:$CN$17)))</f>
        <v/>
      </c>
      <c r="CR72" s="132" t="str">
        <f>IF(CQ72="","",VLOOKUP(CQ72,IF('Midterm OVPAA-F-INS-055A RAW SC'!$V$12=0.5,TRANSMUTATION!$C$4:$D$17,TRANSMUTATION!$G$4:$H$17),2,TRUE))</f>
        <v/>
      </c>
      <c r="CS72" s="133" t="str">
        <f>IF('Finalterm OVPAA-F-INS-055A RAW '!CO72="","",'Finalterm OVPAA-F-INS-055A RAW '!CO72/'Finalterm OVPAA-F-INS-055A RAW '!CO$17*100)</f>
        <v/>
      </c>
      <c r="CT72" s="133" t="str">
        <f>IF('Finalterm OVPAA-F-INS-055A RAW '!CP72="","",'Finalterm OVPAA-F-INS-055A RAW '!CP72/'Finalterm OVPAA-F-INS-055A RAW '!CP$17*100)</f>
        <v/>
      </c>
      <c r="CU72" s="133" t="str">
        <f>IF('Finalterm OVPAA-F-INS-055A RAW '!CQ72="","",'Finalterm OVPAA-F-INS-055A RAW '!CQ72/'Finalterm OVPAA-F-INS-055A RAW '!CQ$17*100)</f>
        <v/>
      </c>
      <c r="CV72" s="133" t="str">
        <f>IF('Finalterm OVPAA-F-INS-055A RAW '!CR72="","",'Finalterm OVPAA-F-INS-055A RAW '!CR72/'Finalterm OVPAA-F-INS-055A RAW '!CR$17*100)</f>
        <v/>
      </c>
      <c r="CW72" s="133" t="str">
        <f>IF('Finalterm OVPAA-F-INS-055A RAW '!CS72="","",'Finalterm OVPAA-F-INS-055A RAW '!CS72/'Finalterm OVPAA-F-INS-055A RAW '!CS$17*100)</f>
        <v/>
      </c>
      <c r="CX72" s="133" t="str">
        <f>IF('Finalterm OVPAA-F-INS-055A RAW '!CT72="","",'Finalterm OVPAA-F-INS-055A RAW '!CT72/'Finalterm OVPAA-F-INS-055A RAW '!CT$17*100)</f>
        <v/>
      </c>
      <c r="CY72" s="133" t="str">
        <f>IF('Finalterm OVPAA-F-INS-055A RAW '!CU72="","",'Finalterm OVPAA-F-INS-055A RAW '!CU72/'Finalterm OVPAA-F-INS-055A RAW '!CU$17*100)</f>
        <v/>
      </c>
      <c r="CZ72" s="133" t="str">
        <f>IF('Finalterm OVPAA-F-INS-055A RAW '!CV72="","",'Finalterm OVPAA-F-INS-055A RAW '!CV72/'Finalterm OVPAA-F-INS-055A RAW '!CV$17*100)</f>
        <v/>
      </c>
      <c r="DA72" s="133" t="str">
        <f>IF('Finalterm OVPAA-F-INS-055A RAW '!CW72="","",'Finalterm OVPAA-F-INS-055A RAW '!CW72/'Finalterm OVPAA-F-INS-055A RAW '!CW$17*100)</f>
        <v/>
      </c>
      <c r="DB72" s="133" t="str">
        <f>IF('Finalterm OVPAA-F-INS-055A RAW '!CX72="","",'Finalterm OVPAA-F-INS-055A RAW '!CX72/'Finalterm OVPAA-F-INS-055A RAW '!CX$17*100)</f>
        <v/>
      </c>
      <c r="DC72" s="134" t="str">
        <f t="array" ref="DC72">IF('Midterm OVPAA-F-INS-055A RAW SC'!$G72="","",IF((SUMPRODUCT(--ISBLANK('Finalterm OVPAA-F-INS-055A RAW '!CO72:CX72))=COLUMNS('Finalterm OVPAA-F-INS-055A RAW '!CO72:CX72))=TRUE,"",(((COUNTA('Finalterm OVPAA-F-INS-055A RAW '!$CO$17:$CX$17)+COUNTBLANK('Finalterm OVPAA-F-INS-055A RAW '!CO72:CX72))-COLUMNS('Finalterm OVPAA-F-INS-055A RAW '!CO72:CX72))*5+SUM(CS72:DB72))/COUNTA('Finalterm OVPAA-F-INS-055A RAW '!$CO$17:$CX$17)))</f>
        <v/>
      </c>
      <c r="DD72" s="135" t="str">
        <f>IF(DC72="","",VLOOKUP(DC72,IF('Midterm OVPAA-F-INS-055A RAW SC'!$V$12=0.5,TRANSMUTATION!$C$4:$D$17,TRANSMUTATION!$G$4:$H$17),2,TRUE))</f>
        <v/>
      </c>
      <c r="DE72" s="136" t="str">
        <f t="shared" si="1"/>
        <v/>
      </c>
      <c r="DF72" s="166" t="str">
        <f t="shared" si="2"/>
        <v/>
      </c>
      <c r="DG72" s="167" t="str">
        <f t="shared" si="3"/>
        <v/>
      </c>
      <c r="DH72" s="168" t="str">
        <f t="shared" si="4"/>
        <v/>
      </c>
      <c r="DI72" s="169" t="str">
        <f t="shared" si="5"/>
        <v/>
      </c>
    </row>
    <row r="73" spans="5:113" ht="15.75" hidden="1" customHeight="1">
      <c r="E73" s="59">
        <v>56</v>
      </c>
      <c r="F73" s="124" t="str">
        <f>IF(NOT(ISBLANK('Midterm OVPAA-F-INS-055A RAW SC'!F73)),'Midterm OVPAA-F-INS-055A RAW SC'!F73,"")</f>
        <v/>
      </c>
      <c r="G73" s="125" t="str">
        <f>IF(NOT(ISBLANK('Midterm OVPAA-F-INS-055A RAW SC'!G73)),'Midterm OVPAA-F-INS-055A RAW SC'!G73,"")</f>
        <v/>
      </c>
      <c r="H73" s="126" t="str">
        <f>IF('Finalterm OVPAA-F-INS-055A RAW '!H73="","",'Finalterm OVPAA-F-INS-055A RAW '!H73/'Finalterm OVPAA-F-INS-055A RAW '!H$17*100)</f>
        <v/>
      </c>
      <c r="I73" s="126" t="str">
        <f>IF('Finalterm OVPAA-F-INS-055A RAW '!I73="","",'Finalterm OVPAA-F-INS-055A RAW '!I73/'Finalterm OVPAA-F-INS-055A RAW '!I$17*100)</f>
        <v/>
      </c>
      <c r="J73" s="126" t="str">
        <f>IF('Finalterm OVPAA-F-INS-055A RAW '!J73="","",'Finalterm OVPAA-F-INS-055A RAW '!J73/'Finalterm OVPAA-F-INS-055A RAW '!J$17*100)</f>
        <v/>
      </c>
      <c r="K73" s="126" t="str">
        <f>IF('Finalterm OVPAA-F-INS-055A RAW '!K73="","",'Finalterm OVPAA-F-INS-055A RAW '!K73/'Finalterm OVPAA-F-INS-055A RAW '!K$17*100)</f>
        <v/>
      </c>
      <c r="L73" s="126" t="str">
        <f>IF('Finalterm OVPAA-F-INS-055A RAW '!L73="","",'Finalterm OVPAA-F-INS-055A RAW '!L73/'Finalterm OVPAA-F-INS-055A RAW '!L$17*100)</f>
        <v/>
      </c>
      <c r="M73" s="126" t="str">
        <f>IF('Finalterm OVPAA-F-INS-055A RAW '!M73="","",'Finalterm OVPAA-F-INS-055A RAW '!M73/'Finalterm OVPAA-F-INS-055A RAW '!M$17*100)</f>
        <v/>
      </c>
      <c r="N73" s="126" t="str">
        <f>IF('Finalterm OVPAA-F-INS-055A RAW '!N73="","",'Finalterm OVPAA-F-INS-055A RAW '!N73/'Finalterm OVPAA-F-INS-055A RAW '!N$17*100)</f>
        <v/>
      </c>
      <c r="O73" s="126" t="str">
        <f>IF('Finalterm OVPAA-F-INS-055A RAW '!O73="","",'Finalterm OVPAA-F-INS-055A RAW '!O73/'Finalterm OVPAA-F-INS-055A RAW '!O$17*100)</f>
        <v/>
      </c>
      <c r="P73" s="126" t="str">
        <f>IF('Finalterm OVPAA-F-INS-055A RAW '!P73="","",'Finalterm OVPAA-F-INS-055A RAW '!P73/'Finalterm OVPAA-F-INS-055A RAW '!P$17*100)</f>
        <v/>
      </c>
      <c r="Q73" s="126" t="str">
        <f>IF('Finalterm OVPAA-F-INS-055A RAW '!Q73="","",'Finalterm OVPAA-F-INS-055A RAW '!Q73/'Finalterm OVPAA-F-INS-055A RAW '!Q$17*100)</f>
        <v/>
      </c>
      <c r="R73" s="126" t="str">
        <f>IF('Finalterm OVPAA-F-INS-055A RAW '!R73="","",'Finalterm OVPAA-F-INS-055A RAW '!R73/'Finalterm OVPAA-F-INS-055A RAW '!R$17*100)</f>
        <v/>
      </c>
      <c r="S73" s="126" t="str">
        <f>IF('Finalterm OVPAA-F-INS-055A RAW '!S73="","",'Finalterm OVPAA-F-INS-055A RAW '!S73/'Finalterm OVPAA-F-INS-055A RAW '!S$17*100)</f>
        <v/>
      </c>
      <c r="T73" s="126" t="str">
        <f>IF('Finalterm OVPAA-F-INS-055A RAW '!T73="","",'Finalterm OVPAA-F-INS-055A RAW '!T73/'Finalterm OVPAA-F-INS-055A RAW '!T$17*100)</f>
        <v/>
      </c>
      <c r="U73" s="126" t="str">
        <f>IF('Finalterm OVPAA-F-INS-055A RAW '!U73="","",'Finalterm OVPAA-F-INS-055A RAW '!U73/'Finalterm OVPAA-F-INS-055A RAW '!U$17*100)</f>
        <v/>
      </c>
      <c r="V73" s="126" t="str">
        <f>IF('Finalterm OVPAA-F-INS-055A RAW '!V73="","",'Finalterm OVPAA-F-INS-055A RAW '!V73/'Finalterm OVPAA-F-INS-055A RAW '!V$17*100)</f>
        <v/>
      </c>
      <c r="W73" s="126" t="str">
        <f>IF('Finalterm OVPAA-F-INS-055A RAW '!W73="","",'Finalterm OVPAA-F-INS-055A RAW '!W73/'Finalterm OVPAA-F-INS-055A RAW '!W$17*100)</f>
        <v/>
      </c>
      <c r="X73" s="126" t="str">
        <f>IF('Finalterm OVPAA-F-INS-055A RAW '!X73="","",'Finalterm OVPAA-F-INS-055A RAW '!X73/'Finalterm OVPAA-F-INS-055A RAW '!X$17*100)</f>
        <v/>
      </c>
      <c r="Y73" s="126" t="str">
        <f>IF('Finalterm OVPAA-F-INS-055A RAW '!Y73="","",'Finalterm OVPAA-F-INS-055A RAW '!Y73/'Finalterm OVPAA-F-INS-055A RAW '!Y$17*100)</f>
        <v/>
      </c>
      <c r="Z73" s="126" t="str">
        <f>IF('Finalterm OVPAA-F-INS-055A RAW '!Z73="","",'Finalterm OVPAA-F-INS-055A RAW '!Z73/'Finalterm OVPAA-F-INS-055A RAW '!Z$17*100)</f>
        <v/>
      </c>
      <c r="AA73" s="126" t="str">
        <f>IF('Finalterm OVPAA-F-INS-055A RAW '!AA73="","",'Finalterm OVPAA-F-INS-055A RAW '!AA73/'Finalterm OVPAA-F-INS-055A RAW '!AA$17*100)</f>
        <v/>
      </c>
      <c r="AB73" s="126" t="str">
        <f>IF('Finalterm OVPAA-F-INS-055A RAW '!AB73="","",'Finalterm OVPAA-F-INS-055A RAW '!AB73/'Finalterm OVPAA-F-INS-055A RAW '!AB$17*100)</f>
        <v/>
      </c>
      <c r="AC73" s="126" t="str">
        <f>IF('Finalterm OVPAA-F-INS-055A RAW '!AC73="","",'Finalterm OVPAA-F-INS-055A RAW '!AC73/'Finalterm OVPAA-F-INS-055A RAW '!AC$17*100)</f>
        <v/>
      </c>
      <c r="AD73" s="126" t="str">
        <f>IF('Finalterm OVPAA-F-INS-055A RAW '!AD73="","",'Finalterm OVPAA-F-INS-055A RAW '!AD73/'Finalterm OVPAA-F-INS-055A RAW '!AD$17*100)</f>
        <v/>
      </c>
      <c r="AE73" s="126" t="str">
        <f>IF('Finalterm OVPAA-F-INS-055A RAW '!AE73="","",'Finalterm OVPAA-F-INS-055A RAW '!AE73/'Finalterm OVPAA-F-INS-055A RAW '!AE$17*100)</f>
        <v/>
      </c>
      <c r="AF73" s="126" t="str">
        <f>IF('Finalterm OVPAA-F-INS-055A RAW '!AF73="","",'Finalterm OVPAA-F-INS-055A RAW '!AF73/'Finalterm OVPAA-F-INS-055A RAW '!AF$17*100)</f>
        <v/>
      </c>
      <c r="AG73" s="126" t="str">
        <f>IF('Finalterm OVPAA-F-INS-055A RAW '!AG73="","",'Finalterm OVPAA-F-INS-055A RAW '!AG73/'Finalterm OVPAA-F-INS-055A RAW '!AG$17*100)</f>
        <v/>
      </c>
      <c r="AH73" s="126" t="str">
        <f>IF('Finalterm OVPAA-F-INS-055A RAW '!AH73="","",'Finalterm OVPAA-F-INS-055A RAW '!AH73/'Finalterm OVPAA-F-INS-055A RAW '!AH$17*100)</f>
        <v/>
      </c>
      <c r="AI73" s="126" t="str">
        <f>IF('Finalterm OVPAA-F-INS-055A RAW '!AI73="","",'Finalterm OVPAA-F-INS-055A RAW '!AI73/'Finalterm OVPAA-F-INS-055A RAW '!AI$17*100)</f>
        <v/>
      </c>
      <c r="AJ73" s="126" t="str">
        <f>IF('Finalterm OVPAA-F-INS-055A RAW '!AJ73="","",'Finalterm OVPAA-F-INS-055A RAW '!AJ73/'Finalterm OVPAA-F-INS-055A RAW '!AJ$17*100)</f>
        <v/>
      </c>
      <c r="AK73" s="126" t="str">
        <f>IF('Finalterm OVPAA-F-INS-055A RAW '!AK73="","",'Finalterm OVPAA-F-INS-055A RAW '!AK73/'Finalterm OVPAA-F-INS-055A RAW '!AK$17*100)</f>
        <v/>
      </c>
      <c r="AL73" s="126" t="str">
        <f>IF('Finalterm OVPAA-F-INS-055A RAW '!AL73="","",'Finalterm OVPAA-F-INS-055A RAW '!AL73/'Finalterm OVPAA-F-INS-055A RAW '!AL$17*100)</f>
        <v/>
      </c>
      <c r="AM73" s="126" t="str">
        <f>IF('Finalterm OVPAA-F-INS-055A RAW '!AM73="","",'Finalterm OVPAA-F-INS-055A RAW '!AM73/'Finalterm OVPAA-F-INS-055A RAW '!AM$17*100)</f>
        <v/>
      </c>
      <c r="AN73" s="126" t="str">
        <f>IF('Finalterm OVPAA-F-INS-055A RAW '!AN73="","",'Finalterm OVPAA-F-INS-055A RAW '!AN73/'Finalterm OVPAA-F-INS-055A RAW '!AN$17*100)</f>
        <v/>
      </c>
      <c r="AO73" s="126" t="str">
        <f>IF('Finalterm OVPAA-F-INS-055A RAW '!AO73="","",'Finalterm OVPAA-F-INS-055A RAW '!AO73/'Finalterm OVPAA-F-INS-055A RAW '!AO$17*100)</f>
        <v/>
      </c>
      <c r="AP73" s="126" t="str">
        <f>IF('Finalterm OVPAA-F-INS-055A RAW '!AP73="","",'Finalterm OVPAA-F-INS-055A RAW '!AP73/'Finalterm OVPAA-F-INS-055A RAW '!AP$17*100)</f>
        <v/>
      </c>
      <c r="AQ73" s="126" t="str">
        <f>IF('Finalterm OVPAA-F-INS-055A RAW '!AQ73="","",'Finalterm OVPAA-F-INS-055A RAW '!AQ73/'Finalterm OVPAA-F-INS-055A RAW '!AQ$17*100)</f>
        <v/>
      </c>
      <c r="AR73" s="126" t="str">
        <f>IF('Finalterm OVPAA-F-INS-055A RAW '!AR73="","",'Finalterm OVPAA-F-INS-055A RAW '!AR73/'Finalterm OVPAA-F-INS-055A RAW '!AR$17*100)</f>
        <v/>
      </c>
      <c r="AS73" s="126" t="str">
        <f>IF('Finalterm OVPAA-F-INS-055A RAW '!AS73="","",'Finalterm OVPAA-F-INS-055A RAW '!AS73/'Finalterm OVPAA-F-INS-055A RAW '!AS$17*100)</f>
        <v/>
      </c>
      <c r="AT73" s="126" t="str">
        <f>IF('Finalterm OVPAA-F-INS-055A RAW '!AT73="","",'Finalterm OVPAA-F-INS-055A RAW '!AT73/'Finalterm OVPAA-F-INS-055A RAW '!AT$17*100)</f>
        <v/>
      </c>
      <c r="AU73" s="126" t="str">
        <f>IF('Finalterm OVPAA-F-INS-055A RAW '!AU73="","",'Finalterm OVPAA-F-INS-055A RAW '!AU73/'Finalterm OVPAA-F-INS-055A RAW '!AU$17*100)</f>
        <v/>
      </c>
      <c r="AV73" s="126" t="str">
        <f>IF('Finalterm OVPAA-F-INS-055A RAW '!AV73="","",'Finalterm OVPAA-F-INS-055A RAW '!AV73/'Finalterm OVPAA-F-INS-055A RAW '!AV$17*100)</f>
        <v/>
      </c>
      <c r="AW73" s="126" t="str">
        <f>IF('Finalterm OVPAA-F-INS-055A RAW '!AW73="","",'Finalterm OVPAA-F-INS-055A RAW '!AW73/'Finalterm OVPAA-F-INS-055A RAW '!AW$17*100)</f>
        <v/>
      </c>
      <c r="AX73" s="126" t="str">
        <f>IF('Finalterm OVPAA-F-INS-055A RAW '!AX73="","",'Finalterm OVPAA-F-INS-055A RAW '!AX73/'Finalterm OVPAA-F-INS-055A RAW '!AX$17*100)</f>
        <v/>
      </c>
      <c r="AY73" s="126" t="str">
        <f>IF('Finalterm OVPAA-F-INS-055A RAW '!AY73="","",'Finalterm OVPAA-F-INS-055A RAW '!AY73/'Finalterm OVPAA-F-INS-055A RAW '!AY$17*100)</f>
        <v/>
      </c>
      <c r="AZ73" s="126" t="str">
        <f>IF('Finalterm OVPAA-F-INS-055A RAW '!AZ73="","",'Finalterm OVPAA-F-INS-055A RAW '!AZ73/'Finalterm OVPAA-F-INS-055A RAW '!AZ$17*100)</f>
        <v/>
      </c>
      <c r="BA73" s="126" t="str">
        <f>IF('Finalterm OVPAA-F-INS-055A RAW '!BA73="","",'Finalterm OVPAA-F-INS-055A RAW '!BA73/'Finalterm OVPAA-F-INS-055A RAW '!BA$17*100)</f>
        <v/>
      </c>
      <c r="BB73" s="126" t="str">
        <f>IF('Finalterm OVPAA-F-INS-055A RAW '!BB73="","",'Finalterm OVPAA-F-INS-055A RAW '!BB73/'Finalterm OVPAA-F-INS-055A RAW '!BB$17*100)</f>
        <v/>
      </c>
      <c r="BC73" s="126" t="str">
        <f>IF('Finalterm OVPAA-F-INS-055A RAW '!BC73="","",'Finalterm OVPAA-F-INS-055A RAW '!BC73/'Finalterm OVPAA-F-INS-055A RAW '!BC$17*100)</f>
        <v/>
      </c>
      <c r="BD73" s="126" t="str">
        <f>IF('Finalterm OVPAA-F-INS-055A RAW '!BD73="","",'Finalterm OVPAA-F-INS-055A RAW '!BD73/'Finalterm OVPAA-F-INS-055A RAW '!BD$17*100)</f>
        <v/>
      </c>
      <c r="BE73" s="126" t="str">
        <f>IF('Finalterm OVPAA-F-INS-055A RAW '!BE73="","",'Finalterm OVPAA-F-INS-055A RAW '!BE73/'Finalterm OVPAA-F-INS-055A RAW '!BE$17*100)</f>
        <v/>
      </c>
      <c r="BF73" s="126" t="str">
        <f>IF('Finalterm OVPAA-F-INS-055A RAW '!BF73="","",'Finalterm OVPAA-F-INS-055A RAW '!BF73/'Finalterm OVPAA-F-INS-055A RAW '!BF$17*100)</f>
        <v/>
      </c>
      <c r="BG73" s="126" t="str">
        <f>IF('Finalterm OVPAA-F-INS-055A RAW '!BG73="","",'Finalterm OVPAA-F-INS-055A RAW '!BG73/'Finalterm OVPAA-F-INS-055A RAW '!BG$17*100)</f>
        <v/>
      </c>
      <c r="BH73" s="126" t="str">
        <f>IF('Finalterm OVPAA-F-INS-055A RAW '!BH73="","",'Finalterm OVPAA-F-INS-055A RAW '!BH73/'Finalterm OVPAA-F-INS-055A RAW '!BH$17*100)</f>
        <v/>
      </c>
      <c r="BI73" s="126" t="str">
        <f>IF('Finalterm OVPAA-F-INS-055A RAW '!BI73="","",'Finalterm OVPAA-F-INS-055A RAW '!BI73/'Finalterm OVPAA-F-INS-055A RAW '!BI$17*100)</f>
        <v/>
      </c>
      <c r="BJ73" s="126" t="str">
        <f>IF('Finalterm OVPAA-F-INS-055A RAW '!BJ73="","",'Finalterm OVPAA-F-INS-055A RAW '!BJ73/'Finalterm OVPAA-F-INS-055A RAW '!BJ$17*100)</f>
        <v/>
      </c>
      <c r="BK73" s="126" t="str">
        <f>IF('Finalterm OVPAA-F-INS-055A RAW '!BK73="","",'Finalterm OVPAA-F-INS-055A RAW '!BK73/'Finalterm OVPAA-F-INS-055A RAW '!BK$17*100)</f>
        <v/>
      </c>
      <c r="BL73" s="126" t="str">
        <f>IF('Finalterm OVPAA-F-INS-055A RAW '!BL73="","",'Finalterm OVPAA-F-INS-055A RAW '!BL73/'Finalterm OVPAA-F-INS-055A RAW '!BL$17*100)</f>
        <v/>
      </c>
      <c r="BM73" s="126" t="str">
        <f>IF('Finalterm OVPAA-F-INS-055A RAW '!BM73="","",'Finalterm OVPAA-F-INS-055A RAW '!BM73/'Finalterm OVPAA-F-INS-055A RAW '!BM$17*100)</f>
        <v/>
      </c>
      <c r="BN73" s="126" t="str">
        <f>IF('Finalterm OVPAA-F-INS-055A RAW '!BN73="","",'Finalterm OVPAA-F-INS-055A RAW '!BN73/'Finalterm OVPAA-F-INS-055A RAW '!BN$17*100)</f>
        <v/>
      </c>
      <c r="BO73" s="126" t="str">
        <f>IF('Finalterm OVPAA-F-INS-055A RAW '!BO73="","",'Finalterm OVPAA-F-INS-055A RAW '!BO73/'Finalterm OVPAA-F-INS-055A RAW '!BO$17*100)</f>
        <v/>
      </c>
      <c r="BP73" s="126" t="str">
        <f>IF('Finalterm OVPAA-F-INS-055A RAW '!BP73="","",'Finalterm OVPAA-F-INS-055A RAW '!BP73/'Finalterm OVPAA-F-INS-055A RAW '!BP$17*100)</f>
        <v/>
      </c>
      <c r="BQ73" s="126" t="str">
        <f>IF('Finalterm OVPAA-F-INS-055A RAW '!BQ73="","",'Finalterm OVPAA-F-INS-055A RAW '!BQ73/'Finalterm OVPAA-F-INS-055A RAW '!BQ$17*100)</f>
        <v/>
      </c>
      <c r="BR73" s="126" t="str">
        <f>IF('Finalterm OVPAA-F-INS-055A RAW '!BR73="","",'Finalterm OVPAA-F-INS-055A RAW '!BR73/'Finalterm OVPAA-F-INS-055A RAW '!BR$17*100)</f>
        <v/>
      </c>
      <c r="BS73" s="126" t="str">
        <f>IF('Finalterm OVPAA-F-INS-055A RAW '!BS73="","",'Finalterm OVPAA-F-INS-055A RAW '!BS73/'Finalterm OVPAA-F-INS-055A RAW '!BS$17*100)</f>
        <v/>
      </c>
      <c r="BT73" s="126" t="str">
        <f>IF('Finalterm OVPAA-F-INS-055A RAW '!BT73="","",'Finalterm OVPAA-F-INS-055A RAW '!BT73/'Finalterm OVPAA-F-INS-055A RAW '!BT$17*100)</f>
        <v/>
      </c>
      <c r="BU73" s="127" t="str">
        <f t="array" ref="BU73">IF('Finalterm OVPAA-F-INS-055A RAW '!$G73="","",IF((SUMPRODUCT(--ISBLANK('Finalterm OVPAA-F-INS-055A RAW '!H73:BT73))=COLUMNS('Finalterm OVPAA-F-INS-055A RAW '!H73:BT73))=TRUE,"",(((COUNTA('Finalterm OVPAA-F-INS-055A RAW '!$H$17:$BT$17)+COUNTBLANK('Finalterm OVPAA-F-INS-055A RAW '!H73:BT73))-COLUMNS('Finalterm OVPAA-F-INS-055A RAW '!H73:BT73))*5+SUM(H73:BT73))/COUNTA('Finalterm OVPAA-F-INS-055A RAW '!$H$17:$BT$17)))</f>
        <v/>
      </c>
      <c r="BV73" s="165" t="str">
        <f>IF(BU73="","",VLOOKUP(BU73,IF('Midterm OVPAA-F-INS-055A RAW SC'!$V$12=0.5,TRANSMUTATION!$C$4:$D$17,TRANSMUTATION!$G$4:$H$17),2,TRUE))</f>
        <v/>
      </c>
      <c r="BW73" s="129" t="str">
        <f>IF('Finalterm OVPAA-F-INS-055A RAW '!BU73="","",'Finalterm OVPAA-F-INS-055A RAW '!BU73/'Finalterm OVPAA-F-INS-055A RAW '!BU$17*100)</f>
        <v/>
      </c>
      <c r="BX73" s="130" t="str">
        <f>IF('Finalterm OVPAA-F-INS-055A RAW '!BV73="","",'Finalterm OVPAA-F-INS-055A RAW '!BV73/'Finalterm OVPAA-F-INS-055A RAW '!BV$17*100)</f>
        <v/>
      </c>
      <c r="BY73" s="130" t="str">
        <f>IF('Finalterm OVPAA-F-INS-055A RAW '!BW73="","",'Finalterm OVPAA-F-INS-055A RAW '!BW73/'Finalterm OVPAA-F-INS-055A RAW '!BW$17*100)</f>
        <v/>
      </c>
      <c r="BZ73" s="130" t="str">
        <f>IF('Finalterm OVPAA-F-INS-055A RAW '!BX73="","",'Finalterm OVPAA-F-INS-055A RAW '!BX73/'Finalterm OVPAA-F-INS-055A RAW '!BX$17*100)</f>
        <v/>
      </c>
      <c r="CA73" s="130" t="str">
        <f>IF('Finalterm OVPAA-F-INS-055A RAW '!BY73="","",'Finalterm OVPAA-F-INS-055A RAW '!BY73/'Finalterm OVPAA-F-INS-055A RAW '!BY$17*100)</f>
        <v/>
      </c>
      <c r="CB73" s="130" t="str">
        <f>IF('Finalterm OVPAA-F-INS-055A RAW '!BZ73="","",'Finalterm OVPAA-F-INS-055A RAW '!BZ73/'Finalterm OVPAA-F-INS-055A RAW '!BZ$17*100)</f>
        <v/>
      </c>
      <c r="CC73" s="130" t="str">
        <f>IF('Finalterm OVPAA-F-INS-055A RAW '!CA73="","",'Finalterm OVPAA-F-INS-055A RAW '!CA73/'Finalterm OVPAA-F-INS-055A RAW '!CA$17*100)</f>
        <v/>
      </c>
      <c r="CD73" s="130" t="str">
        <f>IF('Finalterm OVPAA-F-INS-055A RAW '!CB73="","",'Finalterm OVPAA-F-INS-055A RAW '!CB73/'Finalterm OVPAA-F-INS-055A RAW '!CB$17*100)</f>
        <v/>
      </c>
      <c r="CE73" s="130" t="str">
        <f>IF('Finalterm OVPAA-F-INS-055A RAW '!CC73="","",'Finalterm OVPAA-F-INS-055A RAW '!CC73/'Finalterm OVPAA-F-INS-055A RAW '!CC$17*100)</f>
        <v/>
      </c>
      <c r="CF73" s="130" t="str">
        <f>IF('Finalterm OVPAA-F-INS-055A RAW '!CD73="","",'Finalterm OVPAA-F-INS-055A RAW '!CD73/'Finalterm OVPAA-F-INS-055A RAW '!CD$17*100)</f>
        <v/>
      </c>
      <c r="CG73" s="130" t="str">
        <f>IF('Finalterm OVPAA-F-INS-055A RAW '!CE73="","",'Finalterm OVPAA-F-INS-055A RAW '!CE73/'Finalterm OVPAA-F-INS-055A RAW '!CE$17*100)</f>
        <v/>
      </c>
      <c r="CH73" s="130" t="str">
        <f>IF('Finalterm OVPAA-F-INS-055A RAW '!CF73="","",'Finalterm OVPAA-F-INS-055A RAW '!CF73/'Finalterm OVPAA-F-INS-055A RAW '!CF$17*100)</f>
        <v/>
      </c>
      <c r="CI73" s="130" t="str">
        <f>IF('Finalterm OVPAA-F-INS-055A RAW '!CG73="","",'Finalterm OVPAA-F-INS-055A RAW '!CG73/'Finalterm OVPAA-F-INS-055A RAW '!CG$17*100)</f>
        <v/>
      </c>
      <c r="CJ73" s="130" t="str">
        <f>IF('Finalterm OVPAA-F-INS-055A RAW '!CH73="","",'Finalterm OVPAA-F-INS-055A RAW '!CH73/'Finalterm OVPAA-F-INS-055A RAW '!CH$17*100)</f>
        <v/>
      </c>
      <c r="CK73" s="130" t="str">
        <f>IF('Finalterm OVPAA-F-INS-055A RAW '!CI73="","",'Finalterm OVPAA-F-INS-055A RAW '!CI73/'Finalterm OVPAA-F-INS-055A RAW '!CI$17*100)</f>
        <v/>
      </c>
      <c r="CL73" s="130" t="str">
        <f>IF('Finalterm OVPAA-F-INS-055A RAW '!CJ73="","",'Finalterm OVPAA-F-INS-055A RAW '!CJ73/'Finalterm OVPAA-F-INS-055A RAW '!CJ$17*100)</f>
        <v/>
      </c>
      <c r="CM73" s="130" t="str">
        <f>IF('Finalterm OVPAA-F-INS-055A RAW '!CK73="","",'Finalterm OVPAA-F-INS-055A RAW '!CK73/'Finalterm OVPAA-F-INS-055A RAW '!CK$17*100)</f>
        <v/>
      </c>
      <c r="CN73" s="130" t="str">
        <f>IF('Finalterm OVPAA-F-INS-055A RAW '!CL73="","",'Finalterm OVPAA-F-INS-055A RAW '!CL73/'Finalterm OVPAA-F-INS-055A RAW '!CL$17*100)</f>
        <v/>
      </c>
      <c r="CO73" s="130" t="str">
        <f>IF('Finalterm OVPAA-F-INS-055A RAW '!CM73="","",'Finalterm OVPAA-F-INS-055A RAW '!CM73/'Finalterm OVPAA-F-INS-055A RAW '!CM$17*100)</f>
        <v/>
      </c>
      <c r="CP73" s="130" t="str">
        <f>IF('Finalterm OVPAA-F-INS-055A RAW '!CN73="","",'Finalterm OVPAA-F-INS-055A RAW '!CN73/'Finalterm OVPAA-F-INS-055A RAW '!CN$17*100)</f>
        <v/>
      </c>
      <c r="CQ73" s="131" t="str">
        <f t="array" ref="CQ73">IF('Midterm OVPAA-F-INS-055A RAW SC'!G73="","",IF((SUMPRODUCT(--ISBLANK('Finalterm OVPAA-F-INS-055A RAW '!BU73:CN73))=COLUMNS('Finalterm OVPAA-F-INS-055A RAW '!BU73:CN73))=TRUE,"",(((COUNTA('Finalterm OVPAA-F-INS-055A RAW '!$BU$17:$CN$17)+COUNTBLANK('Finalterm OVPAA-F-INS-055A RAW '!BU73:CN73))-COLUMNS('Finalterm OVPAA-F-INS-055A RAW '!BU73:CN73))*5+SUM(BW73:CP73))/COUNTA('Finalterm OVPAA-F-INS-055A RAW '!$BU$17:$CN$17)))</f>
        <v/>
      </c>
      <c r="CR73" s="132" t="str">
        <f>IF(CQ73="","",VLOOKUP(CQ73,IF('Midterm OVPAA-F-INS-055A RAW SC'!$V$12=0.5,TRANSMUTATION!$C$4:$D$17,TRANSMUTATION!$G$4:$H$17),2,TRUE))</f>
        <v/>
      </c>
      <c r="CS73" s="133" t="str">
        <f>IF('Finalterm OVPAA-F-INS-055A RAW '!CO73="","",'Finalterm OVPAA-F-INS-055A RAW '!CO73/'Finalterm OVPAA-F-INS-055A RAW '!CO$17*100)</f>
        <v/>
      </c>
      <c r="CT73" s="133" t="str">
        <f>IF('Finalterm OVPAA-F-INS-055A RAW '!CP73="","",'Finalterm OVPAA-F-INS-055A RAW '!CP73/'Finalterm OVPAA-F-INS-055A RAW '!CP$17*100)</f>
        <v/>
      </c>
      <c r="CU73" s="133" t="str">
        <f>IF('Finalterm OVPAA-F-INS-055A RAW '!CQ73="","",'Finalterm OVPAA-F-INS-055A RAW '!CQ73/'Finalterm OVPAA-F-INS-055A RAW '!CQ$17*100)</f>
        <v/>
      </c>
      <c r="CV73" s="133" t="str">
        <f>IF('Finalterm OVPAA-F-INS-055A RAW '!CR73="","",'Finalterm OVPAA-F-INS-055A RAW '!CR73/'Finalterm OVPAA-F-INS-055A RAW '!CR$17*100)</f>
        <v/>
      </c>
      <c r="CW73" s="133" t="str">
        <f>IF('Finalterm OVPAA-F-INS-055A RAW '!CS73="","",'Finalterm OVPAA-F-INS-055A RAW '!CS73/'Finalterm OVPAA-F-INS-055A RAW '!CS$17*100)</f>
        <v/>
      </c>
      <c r="CX73" s="133" t="str">
        <f>IF('Finalterm OVPAA-F-INS-055A RAW '!CT73="","",'Finalterm OVPAA-F-INS-055A RAW '!CT73/'Finalterm OVPAA-F-INS-055A RAW '!CT$17*100)</f>
        <v/>
      </c>
      <c r="CY73" s="133" t="str">
        <f>IF('Finalterm OVPAA-F-INS-055A RAW '!CU73="","",'Finalterm OVPAA-F-INS-055A RAW '!CU73/'Finalterm OVPAA-F-INS-055A RAW '!CU$17*100)</f>
        <v/>
      </c>
      <c r="CZ73" s="133" t="str">
        <f>IF('Finalterm OVPAA-F-INS-055A RAW '!CV73="","",'Finalterm OVPAA-F-INS-055A RAW '!CV73/'Finalterm OVPAA-F-INS-055A RAW '!CV$17*100)</f>
        <v/>
      </c>
      <c r="DA73" s="133" t="str">
        <f>IF('Finalterm OVPAA-F-INS-055A RAW '!CW73="","",'Finalterm OVPAA-F-INS-055A RAW '!CW73/'Finalterm OVPAA-F-INS-055A RAW '!CW$17*100)</f>
        <v/>
      </c>
      <c r="DB73" s="133" t="str">
        <f>IF('Finalterm OVPAA-F-INS-055A RAW '!CX73="","",'Finalterm OVPAA-F-INS-055A RAW '!CX73/'Finalterm OVPAA-F-INS-055A RAW '!CX$17*100)</f>
        <v/>
      </c>
      <c r="DC73" s="134" t="str">
        <f t="array" ref="DC73">IF('Midterm OVPAA-F-INS-055A RAW SC'!$G73="","",IF((SUMPRODUCT(--ISBLANK('Finalterm OVPAA-F-INS-055A RAW '!CO73:CX73))=COLUMNS('Finalterm OVPAA-F-INS-055A RAW '!CO73:CX73))=TRUE,"",(((COUNTA('Finalterm OVPAA-F-INS-055A RAW '!$CO$17:$CX$17)+COUNTBLANK('Finalterm OVPAA-F-INS-055A RAW '!CO73:CX73))-COLUMNS('Finalterm OVPAA-F-INS-055A RAW '!CO73:CX73))*5+SUM(CS73:DB73))/COUNTA('Finalterm OVPAA-F-INS-055A RAW '!$CO$17:$CX$17)))</f>
        <v/>
      </c>
      <c r="DD73" s="135" t="str">
        <f>IF(DC73="","",VLOOKUP(DC73,IF('Midterm OVPAA-F-INS-055A RAW SC'!$V$12=0.5,TRANSMUTATION!$C$4:$D$17,TRANSMUTATION!$G$4:$H$17),2,TRUE))</f>
        <v/>
      </c>
      <c r="DE73" s="136" t="str">
        <f t="shared" si="1"/>
        <v/>
      </c>
      <c r="DF73" s="166" t="str">
        <f t="shared" si="2"/>
        <v/>
      </c>
      <c r="DG73" s="167" t="str">
        <f t="shared" si="3"/>
        <v/>
      </c>
      <c r="DH73" s="168" t="str">
        <f t="shared" si="4"/>
        <v/>
      </c>
      <c r="DI73" s="169" t="str">
        <f t="shared" si="5"/>
        <v/>
      </c>
    </row>
    <row r="74" spans="5:113" ht="15.75" hidden="1" customHeight="1">
      <c r="E74" s="59">
        <v>57</v>
      </c>
      <c r="F74" s="124" t="str">
        <f>IF(NOT(ISBLANK('Midterm OVPAA-F-INS-055A RAW SC'!F74)),'Midterm OVPAA-F-INS-055A RAW SC'!F74,"")</f>
        <v/>
      </c>
      <c r="G74" s="125" t="str">
        <f>IF(NOT(ISBLANK('Midterm OVPAA-F-INS-055A RAW SC'!G74)),'Midterm OVPAA-F-INS-055A RAW SC'!G74,"")</f>
        <v/>
      </c>
      <c r="H74" s="126" t="str">
        <f>IF('Finalterm OVPAA-F-INS-055A RAW '!H74="","",'Finalterm OVPAA-F-INS-055A RAW '!H74/'Finalterm OVPAA-F-INS-055A RAW '!H$17*100)</f>
        <v/>
      </c>
      <c r="I74" s="126" t="str">
        <f>IF('Finalterm OVPAA-F-INS-055A RAW '!I74="","",'Finalterm OVPAA-F-INS-055A RAW '!I74/'Finalterm OVPAA-F-INS-055A RAW '!I$17*100)</f>
        <v/>
      </c>
      <c r="J74" s="126" t="str">
        <f>IF('Finalterm OVPAA-F-INS-055A RAW '!J74="","",'Finalterm OVPAA-F-INS-055A RAW '!J74/'Finalterm OVPAA-F-INS-055A RAW '!J$17*100)</f>
        <v/>
      </c>
      <c r="K74" s="126" t="str">
        <f>IF('Finalterm OVPAA-F-INS-055A RAW '!K74="","",'Finalterm OVPAA-F-INS-055A RAW '!K74/'Finalterm OVPAA-F-INS-055A RAW '!K$17*100)</f>
        <v/>
      </c>
      <c r="L74" s="126" t="str">
        <f>IF('Finalterm OVPAA-F-INS-055A RAW '!L74="","",'Finalterm OVPAA-F-INS-055A RAW '!L74/'Finalterm OVPAA-F-INS-055A RAW '!L$17*100)</f>
        <v/>
      </c>
      <c r="M74" s="126" t="str">
        <f>IF('Finalterm OVPAA-F-INS-055A RAW '!M74="","",'Finalterm OVPAA-F-INS-055A RAW '!M74/'Finalterm OVPAA-F-INS-055A RAW '!M$17*100)</f>
        <v/>
      </c>
      <c r="N74" s="126" t="str">
        <f>IF('Finalterm OVPAA-F-INS-055A RAW '!N74="","",'Finalterm OVPAA-F-INS-055A RAW '!N74/'Finalterm OVPAA-F-INS-055A RAW '!N$17*100)</f>
        <v/>
      </c>
      <c r="O74" s="126" t="str">
        <f>IF('Finalterm OVPAA-F-INS-055A RAW '!O74="","",'Finalterm OVPAA-F-INS-055A RAW '!O74/'Finalterm OVPAA-F-INS-055A RAW '!O$17*100)</f>
        <v/>
      </c>
      <c r="P74" s="126" t="str">
        <f>IF('Finalterm OVPAA-F-INS-055A RAW '!P74="","",'Finalterm OVPAA-F-INS-055A RAW '!P74/'Finalterm OVPAA-F-INS-055A RAW '!P$17*100)</f>
        <v/>
      </c>
      <c r="Q74" s="126" t="str">
        <f>IF('Finalterm OVPAA-F-INS-055A RAW '!Q74="","",'Finalterm OVPAA-F-INS-055A RAW '!Q74/'Finalterm OVPAA-F-INS-055A RAW '!Q$17*100)</f>
        <v/>
      </c>
      <c r="R74" s="126" t="str">
        <f>IF('Finalterm OVPAA-F-INS-055A RAW '!R74="","",'Finalterm OVPAA-F-INS-055A RAW '!R74/'Finalterm OVPAA-F-INS-055A RAW '!R$17*100)</f>
        <v/>
      </c>
      <c r="S74" s="126" t="str">
        <f>IF('Finalterm OVPAA-F-INS-055A RAW '!S74="","",'Finalterm OVPAA-F-INS-055A RAW '!S74/'Finalterm OVPAA-F-INS-055A RAW '!S$17*100)</f>
        <v/>
      </c>
      <c r="T74" s="126" t="str">
        <f>IF('Finalterm OVPAA-F-INS-055A RAW '!T74="","",'Finalterm OVPAA-F-INS-055A RAW '!T74/'Finalterm OVPAA-F-INS-055A RAW '!T$17*100)</f>
        <v/>
      </c>
      <c r="U74" s="126" t="str">
        <f>IF('Finalterm OVPAA-F-INS-055A RAW '!U74="","",'Finalterm OVPAA-F-INS-055A RAW '!U74/'Finalterm OVPAA-F-INS-055A RAW '!U$17*100)</f>
        <v/>
      </c>
      <c r="V74" s="126" t="str">
        <f>IF('Finalterm OVPAA-F-INS-055A RAW '!V74="","",'Finalterm OVPAA-F-INS-055A RAW '!V74/'Finalterm OVPAA-F-INS-055A RAW '!V$17*100)</f>
        <v/>
      </c>
      <c r="W74" s="126" t="str">
        <f>IF('Finalterm OVPAA-F-INS-055A RAW '!W74="","",'Finalterm OVPAA-F-INS-055A RAW '!W74/'Finalterm OVPAA-F-INS-055A RAW '!W$17*100)</f>
        <v/>
      </c>
      <c r="X74" s="126" t="str">
        <f>IF('Finalterm OVPAA-F-INS-055A RAW '!X74="","",'Finalterm OVPAA-F-INS-055A RAW '!X74/'Finalterm OVPAA-F-INS-055A RAW '!X$17*100)</f>
        <v/>
      </c>
      <c r="Y74" s="126" t="str">
        <f>IF('Finalterm OVPAA-F-INS-055A RAW '!Y74="","",'Finalterm OVPAA-F-INS-055A RAW '!Y74/'Finalterm OVPAA-F-INS-055A RAW '!Y$17*100)</f>
        <v/>
      </c>
      <c r="Z74" s="126" t="str">
        <f>IF('Finalterm OVPAA-F-INS-055A RAW '!Z74="","",'Finalterm OVPAA-F-INS-055A RAW '!Z74/'Finalterm OVPAA-F-INS-055A RAW '!Z$17*100)</f>
        <v/>
      </c>
      <c r="AA74" s="126" t="str">
        <f>IF('Finalterm OVPAA-F-INS-055A RAW '!AA74="","",'Finalterm OVPAA-F-INS-055A RAW '!AA74/'Finalterm OVPAA-F-INS-055A RAW '!AA$17*100)</f>
        <v/>
      </c>
      <c r="AB74" s="126" t="str">
        <f>IF('Finalterm OVPAA-F-INS-055A RAW '!AB74="","",'Finalterm OVPAA-F-INS-055A RAW '!AB74/'Finalterm OVPAA-F-INS-055A RAW '!AB$17*100)</f>
        <v/>
      </c>
      <c r="AC74" s="126" t="str">
        <f>IF('Finalterm OVPAA-F-INS-055A RAW '!AC74="","",'Finalterm OVPAA-F-INS-055A RAW '!AC74/'Finalterm OVPAA-F-INS-055A RAW '!AC$17*100)</f>
        <v/>
      </c>
      <c r="AD74" s="126" t="str">
        <f>IF('Finalterm OVPAA-F-INS-055A RAW '!AD74="","",'Finalterm OVPAA-F-INS-055A RAW '!AD74/'Finalterm OVPAA-F-INS-055A RAW '!AD$17*100)</f>
        <v/>
      </c>
      <c r="AE74" s="126" t="str">
        <f>IF('Finalterm OVPAA-F-INS-055A RAW '!AE74="","",'Finalterm OVPAA-F-INS-055A RAW '!AE74/'Finalterm OVPAA-F-INS-055A RAW '!AE$17*100)</f>
        <v/>
      </c>
      <c r="AF74" s="126" t="str">
        <f>IF('Finalterm OVPAA-F-INS-055A RAW '!AF74="","",'Finalterm OVPAA-F-INS-055A RAW '!AF74/'Finalterm OVPAA-F-INS-055A RAW '!AF$17*100)</f>
        <v/>
      </c>
      <c r="AG74" s="126" t="str">
        <f>IF('Finalterm OVPAA-F-INS-055A RAW '!AG74="","",'Finalterm OVPAA-F-INS-055A RAW '!AG74/'Finalterm OVPAA-F-INS-055A RAW '!AG$17*100)</f>
        <v/>
      </c>
      <c r="AH74" s="126" t="str">
        <f>IF('Finalterm OVPAA-F-INS-055A RAW '!AH74="","",'Finalterm OVPAA-F-INS-055A RAW '!AH74/'Finalterm OVPAA-F-INS-055A RAW '!AH$17*100)</f>
        <v/>
      </c>
      <c r="AI74" s="126" t="str">
        <f>IF('Finalterm OVPAA-F-INS-055A RAW '!AI74="","",'Finalterm OVPAA-F-INS-055A RAW '!AI74/'Finalterm OVPAA-F-INS-055A RAW '!AI$17*100)</f>
        <v/>
      </c>
      <c r="AJ74" s="126" t="str">
        <f>IF('Finalterm OVPAA-F-INS-055A RAW '!AJ74="","",'Finalterm OVPAA-F-INS-055A RAW '!AJ74/'Finalterm OVPAA-F-INS-055A RAW '!AJ$17*100)</f>
        <v/>
      </c>
      <c r="AK74" s="126" t="str">
        <f>IF('Finalterm OVPAA-F-INS-055A RAW '!AK74="","",'Finalterm OVPAA-F-INS-055A RAW '!AK74/'Finalterm OVPAA-F-INS-055A RAW '!AK$17*100)</f>
        <v/>
      </c>
      <c r="AL74" s="126" t="str">
        <f>IF('Finalterm OVPAA-F-INS-055A RAW '!AL74="","",'Finalterm OVPAA-F-INS-055A RAW '!AL74/'Finalterm OVPAA-F-INS-055A RAW '!AL$17*100)</f>
        <v/>
      </c>
      <c r="AM74" s="126" t="str">
        <f>IF('Finalterm OVPAA-F-INS-055A RAW '!AM74="","",'Finalterm OVPAA-F-INS-055A RAW '!AM74/'Finalterm OVPAA-F-INS-055A RAW '!AM$17*100)</f>
        <v/>
      </c>
      <c r="AN74" s="126" t="str">
        <f>IF('Finalterm OVPAA-F-INS-055A RAW '!AN74="","",'Finalterm OVPAA-F-INS-055A RAW '!AN74/'Finalterm OVPAA-F-INS-055A RAW '!AN$17*100)</f>
        <v/>
      </c>
      <c r="AO74" s="126" t="str">
        <f>IF('Finalterm OVPAA-F-INS-055A RAW '!AO74="","",'Finalterm OVPAA-F-INS-055A RAW '!AO74/'Finalterm OVPAA-F-INS-055A RAW '!AO$17*100)</f>
        <v/>
      </c>
      <c r="AP74" s="126" t="str">
        <f>IF('Finalterm OVPAA-F-INS-055A RAW '!AP74="","",'Finalterm OVPAA-F-INS-055A RAW '!AP74/'Finalterm OVPAA-F-INS-055A RAW '!AP$17*100)</f>
        <v/>
      </c>
      <c r="AQ74" s="126" t="str">
        <f>IF('Finalterm OVPAA-F-INS-055A RAW '!AQ74="","",'Finalterm OVPAA-F-INS-055A RAW '!AQ74/'Finalterm OVPAA-F-INS-055A RAW '!AQ$17*100)</f>
        <v/>
      </c>
      <c r="AR74" s="126" t="str">
        <f>IF('Finalterm OVPAA-F-INS-055A RAW '!AR74="","",'Finalterm OVPAA-F-INS-055A RAW '!AR74/'Finalterm OVPAA-F-INS-055A RAW '!AR$17*100)</f>
        <v/>
      </c>
      <c r="AS74" s="126" t="str">
        <f>IF('Finalterm OVPAA-F-INS-055A RAW '!AS74="","",'Finalterm OVPAA-F-INS-055A RAW '!AS74/'Finalterm OVPAA-F-INS-055A RAW '!AS$17*100)</f>
        <v/>
      </c>
      <c r="AT74" s="126" t="str">
        <f>IF('Finalterm OVPAA-F-INS-055A RAW '!AT74="","",'Finalterm OVPAA-F-INS-055A RAW '!AT74/'Finalterm OVPAA-F-INS-055A RAW '!AT$17*100)</f>
        <v/>
      </c>
      <c r="AU74" s="126" t="str">
        <f>IF('Finalterm OVPAA-F-INS-055A RAW '!AU74="","",'Finalterm OVPAA-F-INS-055A RAW '!AU74/'Finalterm OVPAA-F-INS-055A RAW '!AU$17*100)</f>
        <v/>
      </c>
      <c r="AV74" s="126" t="str">
        <f>IF('Finalterm OVPAA-F-INS-055A RAW '!AV74="","",'Finalterm OVPAA-F-INS-055A RAW '!AV74/'Finalterm OVPAA-F-INS-055A RAW '!AV$17*100)</f>
        <v/>
      </c>
      <c r="AW74" s="126" t="str">
        <f>IF('Finalterm OVPAA-F-INS-055A RAW '!AW74="","",'Finalterm OVPAA-F-INS-055A RAW '!AW74/'Finalterm OVPAA-F-INS-055A RAW '!AW$17*100)</f>
        <v/>
      </c>
      <c r="AX74" s="126" t="str">
        <f>IF('Finalterm OVPAA-F-INS-055A RAW '!AX74="","",'Finalterm OVPAA-F-INS-055A RAW '!AX74/'Finalterm OVPAA-F-INS-055A RAW '!AX$17*100)</f>
        <v/>
      </c>
      <c r="AY74" s="126" t="str">
        <f>IF('Finalterm OVPAA-F-INS-055A RAW '!AY74="","",'Finalterm OVPAA-F-INS-055A RAW '!AY74/'Finalterm OVPAA-F-INS-055A RAW '!AY$17*100)</f>
        <v/>
      </c>
      <c r="AZ74" s="126" t="str">
        <f>IF('Finalterm OVPAA-F-INS-055A RAW '!AZ74="","",'Finalterm OVPAA-F-INS-055A RAW '!AZ74/'Finalterm OVPAA-F-INS-055A RAW '!AZ$17*100)</f>
        <v/>
      </c>
      <c r="BA74" s="126" t="str">
        <f>IF('Finalterm OVPAA-F-INS-055A RAW '!BA74="","",'Finalterm OVPAA-F-INS-055A RAW '!BA74/'Finalterm OVPAA-F-INS-055A RAW '!BA$17*100)</f>
        <v/>
      </c>
      <c r="BB74" s="126" t="str">
        <f>IF('Finalterm OVPAA-F-INS-055A RAW '!BB74="","",'Finalterm OVPAA-F-INS-055A RAW '!BB74/'Finalterm OVPAA-F-INS-055A RAW '!BB$17*100)</f>
        <v/>
      </c>
      <c r="BC74" s="126" t="str">
        <f>IF('Finalterm OVPAA-F-INS-055A RAW '!BC74="","",'Finalterm OVPAA-F-INS-055A RAW '!BC74/'Finalterm OVPAA-F-INS-055A RAW '!BC$17*100)</f>
        <v/>
      </c>
      <c r="BD74" s="126" t="str">
        <f>IF('Finalterm OVPAA-F-INS-055A RAW '!BD74="","",'Finalterm OVPAA-F-INS-055A RAW '!BD74/'Finalterm OVPAA-F-INS-055A RAW '!BD$17*100)</f>
        <v/>
      </c>
      <c r="BE74" s="126" t="str">
        <f>IF('Finalterm OVPAA-F-INS-055A RAW '!BE74="","",'Finalterm OVPAA-F-INS-055A RAW '!BE74/'Finalterm OVPAA-F-INS-055A RAW '!BE$17*100)</f>
        <v/>
      </c>
      <c r="BF74" s="126" t="str">
        <f>IF('Finalterm OVPAA-F-INS-055A RAW '!BF74="","",'Finalterm OVPAA-F-INS-055A RAW '!BF74/'Finalterm OVPAA-F-INS-055A RAW '!BF$17*100)</f>
        <v/>
      </c>
      <c r="BG74" s="126" t="str">
        <f>IF('Finalterm OVPAA-F-INS-055A RAW '!BG74="","",'Finalterm OVPAA-F-INS-055A RAW '!BG74/'Finalterm OVPAA-F-INS-055A RAW '!BG$17*100)</f>
        <v/>
      </c>
      <c r="BH74" s="126" t="str">
        <f>IF('Finalterm OVPAA-F-INS-055A RAW '!BH74="","",'Finalterm OVPAA-F-INS-055A RAW '!BH74/'Finalterm OVPAA-F-INS-055A RAW '!BH$17*100)</f>
        <v/>
      </c>
      <c r="BI74" s="126" t="str">
        <f>IF('Finalterm OVPAA-F-INS-055A RAW '!BI74="","",'Finalterm OVPAA-F-INS-055A RAW '!BI74/'Finalterm OVPAA-F-INS-055A RAW '!BI$17*100)</f>
        <v/>
      </c>
      <c r="BJ74" s="126" t="str">
        <f>IF('Finalterm OVPAA-F-INS-055A RAW '!BJ74="","",'Finalterm OVPAA-F-INS-055A RAW '!BJ74/'Finalterm OVPAA-F-INS-055A RAW '!BJ$17*100)</f>
        <v/>
      </c>
      <c r="BK74" s="126" t="str">
        <f>IF('Finalterm OVPAA-F-INS-055A RAW '!BK74="","",'Finalterm OVPAA-F-INS-055A RAW '!BK74/'Finalterm OVPAA-F-INS-055A RAW '!BK$17*100)</f>
        <v/>
      </c>
      <c r="BL74" s="126" t="str">
        <f>IF('Finalterm OVPAA-F-INS-055A RAW '!BL74="","",'Finalterm OVPAA-F-INS-055A RAW '!BL74/'Finalterm OVPAA-F-INS-055A RAW '!BL$17*100)</f>
        <v/>
      </c>
      <c r="BM74" s="126" t="str">
        <f>IF('Finalterm OVPAA-F-INS-055A RAW '!BM74="","",'Finalterm OVPAA-F-INS-055A RAW '!BM74/'Finalterm OVPAA-F-INS-055A RAW '!BM$17*100)</f>
        <v/>
      </c>
      <c r="BN74" s="126" t="str">
        <f>IF('Finalterm OVPAA-F-INS-055A RAW '!BN74="","",'Finalterm OVPAA-F-INS-055A RAW '!BN74/'Finalterm OVPAA-F-INS-055A RAW '!BN$17*100)</f>
        <v/>
      </c>
      <c r="BO74" s="126" t="str">
        <f>IF('Finalterm OVPAA-F-INS-055A RAW '!BO74="","",'Finalterm OVPAA-F-INS-055A RAW '!BO74/'Finalterm OVPAA-F-INS-055A RAW '!BO$17*100)</f>
        <v/>
      </c>
      <c r="BP74" s="126" t="str">
        <f>IF('Finalterm OVPAA-F-INS-055A RAW '!BP74="","",'Finalterm OVPAA-F-INS-055A RAW '!BP74/'Finalterm OVPAA-F-INS-055A RAW '!BP$17*100)</f>
        <v/>
      </c>
      <c r="BQ74" s="126" t="str">
        <f>IF('Finalterm OVPAA-F-INS-055A RAW '!BQ74="","",'Finalterm OVPAA-F-INS-055A RAW '!BQ74/'Finalterm OVPAA-F-INS-055A RAW '!BQ$17*100)</f>
        <v/>
      </c>
      <c r="BR74" s="126" t="str">
        <f>IF('Finalterm OVPAA-F-INS-055A RAW '!BR74="","",'Finalterm OVPAA-F-INS-055A RAW '!BR74/'Finalterm OVPAA-F-INS-055A RAW '!BR$17*100)</f>
        <v/>
      </c>
      <c r="BS74" s="126" t="str">
        <f>IF('Finalterm OVPAA-F-INS-055A RAW '!BS74="","",'Finalterm OVPAA-F-INS-055A RAW '!BS74/'Finalterm OVPAA-F-INS-055A RAW '!BS$17*100)</f>
        <v/>
      </c>
      <c r="BT74" s="126" t="str">
        <f>IF('Finalterm OVPAA-F-INS-055A RAW '!BT74="","",'Finalterm OVPAA-F-INS-055A RAW '!BT74/'Finalterm OVPAA-F-INS-055A RAW '!BT$17*100)</f>
        <v/>
      </c>
      <c r="BU74" s="127" t="str">
        <f t="array" ref="BU74">IF('Finalterm OVPAA-F-INS-055A RAW '!$G74="","",IF((SUMPRODUCT(--ISBLANK('Finalterm OVPAA-F-INS-055A RAW '!H74:BT74))=COLUMNS('Finalterm OVPAA-F-INS-055A RAW '!H74:BT74))=TRUE,"",(((COUNTA('Finalterm OVPAA-F-INS-055A RAW '!$H$17:$BT$17)+COUNTBLANK('Finalterm OVPAA-F-INS-055A RAW '!H74:BT74))-COLUMNS('Finalterm OVPAA-F-INS-055A RAW '!H74:BT74))*5+SUM(H74:BT74))/COUNTA('Finalterm OVPAA-F-INS-055A RAW '!$H$17:$BT$17)))</f>
        <v/>
      </c>
      <c r="BV74" s="165" t="str">
        <f>IF(BU74="","",VLOOKUP(BU74,IF('Midterm OVPAA-F-INS-055A RAW SC'!$V$12=0.5,TRANSMUTATION!$C$4:$D$17,TRANSMUTATION!$G$4:$H$17),2,TRUE))</f>
        <v/>
      </c>
      <c r="BW74" s="129" t="str">
        <f>IF('Finalterm OVPAA-F-INS-055A RAW '!BU74="","",'Finalterm OVPAA-F-INS-055A RAW '!BU74/'Finalterm OVPAA-F-INS-055A RAW '!BU$17*100)</f>
        <v/>
      </c>
      <c r="BX74" s="130" t="str">
        <f>IF('Finalterm OVPAA-F-INS-055A RAW '!BV74="","",'Finalterm OVPAA-F-INS-055A RAW '!BV74/'Finalterm OVPAA-F-INS-055A RAW '!BV$17*100)</f>
        <v/>
      </c>
      <c r="BY74" s="130" t="str">
        <f>IF('Finalterm OVPAA-F-INS-055A RAW '!BW74="","",'Finalterm OVPAA-F-INS-055A RAW '!BW74/'Finalterm OVPAA-F-INS-055A RAW '!BW$17*100)</f>
        <v/>
      </c>
      <c r="BZ74" s="130" t="str">
        <f>IF('Finalterm OVPAA-F-INS-055A RAW '!BX74="","",'Finalterm OVPAA-F-INS-055A RAW '!BX74/'Finalterm OVPAA-F-INS-055A RAW '!BX$17*100)</f>
        <v/>
      </c>
      <c r="CA74" s="130" t="str">
        <f>IF('Finalterm OVPAA-F-INS-055A RAW '!BY74="","",'Finalterm OVPAA-F-INS-055A RAW '!BY74/'Finalterm OVPAA-F-INS-055A RAW '!BY$17*100)</f>
        <v/>
      </c>
      <c r="CB74" s="130" t="str">
        <f>IF('Finalterm OVPAA-F-INS-055A RAW '!BZ74="","",'Finalterm OVPAA-F-INS-055A RAW '!BZ74/'Finalterm OVPAA-F-INS-055A RAW '!BZ$17*100)</f>
        <v/>
      </c>
      <c r="CC74" s="130" t="str">
        <f>IF('Finalterm OVPAA-F-INS-055A RAW '!CA74="","",'Finalterm OVPAA-F-INS-055A RAW '!CA74/'Finalterm OVPAA-F-INS-055A RAW '!CA$17*100)</f>
        <v/>
      </c>
      <c r="CD74" s="130" t="str">
        <f>IF('Finalterm OVPAA-F-INS-055A RAW '!CB74="","",'Finalterm OVPAA-F-INS-055A RAW '!CB74/'Finalterm OVPAA-F-INS-055A RAW '!CB$17*100)</f>
        <v/>
      </c>
      <c r="CE74" s="130" t="str">
        <f>IF('Finalterm OVPAA-F-INS-055A RAW '!CC74="","",'Finalterm OVPAA-F-INS-055A RAW '!CC74/'Finalterm OVPAA-F-INS-055A RAW '!CC$17*100)</f>
        <v/>
      </c>
      <c r="CF74" s="130" t="str">
        <f>IF('Finalterm OVPAA-F-INS-055A RAW '!CD74="","",'Finalterm OVPAA-F-INS-055A RAW '!CD74/'Finalterm OVPAA-F-INS-055A RAW '!CD$17*100)</f>
        <v/>
      </c>
      <c r="CG74" s="130" t="str">
        <f>IF('Finalterm OVPAA-F-INS-055A RAW '!CE74="","",'Finalterm OVPAA-F-INS-055A RAW '!CE74/'Finalterm OVPAA-F-INS-055A RAW '!CE$17*100)</f>
        <v/>
      </c>
      <c r="CH74" s="130" t="str">
        <f>IF('Finalterm OVPAA-F-INS-055A RAW '!CF74="","",'Finalterm OVPAA-F-INS-055A RAW '!CF74/'Finalterm OVPAA-F-INS-055A RAW '!CF$17*100)</f>
        <v/>
      </c>
      <c r="CI74" s="130" t="str">
        <f>IF('Finalterm OVPAA-F-INS-055A RAW '!CG74="","",'Finalterm OVPAA-F-INS-055A RAW '!CG74/'Finalterm OVPAA-F-INS-055A RAW '!CG$17*100)</f>
        <v/>
      </c>
      <c r="CJ74" s="130" t="str">
        <f>IF('Finalterm OVPAA-F-INS-055A RAW '!CH74="","",'Finalterm OVPAA-F-INS-055A RAW '!CH74/'Finalterm OVPAA-F-INS-055A RAW '!CH$17*100)</f>
        <v/>
      </c>
      <c r="CK74" s="130" t="str">
        <f>IF('Finalterm OVPAA-F-INS-055A RAW '!CI74="","",'Finalterm OVPAA-F-INS-055A RAW '!CI74/'Finalterm OVPAA-F-INS-055A RAW '!CI$17*100)</f>
        <v/>
      </c>
      <c r="CL74" s="130" t="str">
        <f>IF('Finalterm OVPAA-F-INS-055A RAW '!CJ74="","",'Finalterm OVPAA-F-INS-055A RAW '!CJ74/'Finalterm OVPAA-F-INS-055A RAW '!CJ$17*100)</f>
        <v/>
      </c>
      <c r="CM74" s="130" t="str">
        <f>IF('Finalterm OVPAA-F-INS-055A RAW '!CK74="","",'Finalterm OVPAA-F-INS-055A RAW '!CK74/'Finalterm OVPAA-F-INS-055A RAW '!CK$17*100)</f>
        <v/>
      </c>
      <c r="CN74" s="130" t="str">
        <f>IF('Finalterm OVPAA-F-INS-055A RAW '!CL74="","",'Finalterm OVPAA-F-INS-055A RAW '!CL74/'Finalterm OVPAA-F-INS-055A RAW '!CL$17*100)</f>
        <v/>
      </c>
      <c r="CO74" s="130" t="str">
        <f>IF('Finalterm OVPAA-F-INS-055A RAW '!CM74="","",'Finalterm OVPAA-F-INS-055A RAW '!CM74/'Finalterm OVPAA-F-INS-055A RAW '!CM$17*100)</f>
        <v/>
      </c>
      <c r="CP74" s="130" t="str">
        <f>IF('Finalterm OVPAA-F-INS-055A RAW '!CN74="","",'Finalterm OVPAA-F-INS-055A RAW '!CN74/'Finalterm OVPAA-F-INS-055A RAW '!CN$17*100)</f>
        <v/>
      </c>
      <c r="CQ74" s="131" t="str">
        <f t="array" ref="CQ74">IF('Midterm OVPAA-F-INS-055A RAW SC'!G74="","",IF((SUMPRODUCT(--ISBLANK('Finalterm OVPAA-F-INS-055A RAW '!BU74:CN74))=COLUMNS('Finalterm OVPAA-F-INS-055A RAW '!BU74:CN74))=TRUE,"",(((COUNTA('Finalterm OVPAA-F-INS-055A RAW '!$BU$17:$CN$17)+COUNTBLANK('Finalterm OVPAA-F-INS-055A RAW '!BU74:CN74))-COLUMNS('Finalterm OVPAA-F-INS-055A RAW '!BU74:CN74))*5+SUM(BW74:CP74))/COUNTA('Finalterm OVPAA-F-INS-055A RAW '!$BU$17:$CN$17)))</f>
        <v/>
      </c>
      <c r="CR74" s="132" t="str">
        <f>IF(CQ74="","",VLOOKUP(CQ74,IF('Midterm OVPAA-F-INS-055A RAW SC'!$V$12=0.5,TRANSMUTATION!$C$4:$D$17,TRANSMUTATION!$G$4:$H$17),2,TRUE))</f>
        <v/>
      </c>
      <c r="CS74" s="133" t="str">
        <f>IF('Finalterm OVPAA-F-INS-055A RAW '!CO74="","",'Finalterm OVPAA-F-INS-055A RAW '!CO74/'Finalterm OVPAA-F-INS-055A RAW '!CO$17*100)</f>
        <v/>
      </c>
      <c r="CT74" s="133" t="str">
        <f>IF('Finalterm OVPAA-F-INS-055A RAW '!CP74="","",'Finalterm OVPAA-F-INS-055A RAW '!CP74/'Finalterm OVPAA-F-INS-055A RAW '!CP$17*100)</f>
        <v/>
      </c>
      <c r="CU74" s="133" t="str">
        <f>IF('Finalterm OVPAA-F-INS-055A RAW '!CQ74="","",'Finalterm OVPAA-F-INS-055A RAW '!CQ74/'Finalterm OVPAA-F-INS-055A RAW '!CQ$17*100)</f>
        <v/>
      </c>
      <c r="CV74" s="133" t="str">
        <f>IF('Finalterm OVPAA-F-INS-055A RAW '!CR74="","",'Finalterm OVPAA-F-INS-055A RAW '!CR74/'Finalterm OVPAA-F-INS-055A RAW '!CR$17*100)</f>
        <v/>
      </c>
      <c r="CW74" s="133" t="str">
        <f>IF('Finalterm OVPAA-F-INS-055A RAW '!CS74="","",'Finalterm OVPAA-F-INS-055A RAW '!CS74/'Finalterm OVPAA-F-INS-055A RAW '!CS$17*100)</f>
        <v/>
      </c>
      <c r="CX74" s="133" t="str">
        <f>IF('Finalterm OVPAA-F-INS-055A RAW '!CT74="","",'Finalterm OVPAA-F-INS-055A RAW '!CT74/'Finalterm OVPAA-F-INS-055A RAW '!CT$17*100)</f>
        <v/>
      </c>
      <c r="CY74" s="133" t="str">
        <f>IF('Finalterm OVPAA-F-INS-055A RAW '!CU74="","",'Finalterm OVPAA-F-INS-055A RAW '!CU74/'Finalterm OVPAA-F-INS-055A RAW '!CU$17*100)</f>
        <v/>
      </c>
      <c r="CZ74" s="133" t="str">
        <f>IF('Finalterm OVPAA-F-INS-055A RAW '!CV74="","",'Finalterm OVPAA-F-INS-055A RAW '!CV74/'Finalterm OVPAA-F-INS-055A RAW '!CV$17*100)</f>
        <v/>
      </c>
      <c r="DA74" s="133" t="str">
        <f>IF('Finalterm OVPAA-F-INS-055A RAW '!CW74="","",'Finalterm OVPAA-F-INS-055A RAW '!CW74/'Finalterm OVPAA-F-INS-055A RAW '!CW$17*100)</f>
        <v/>
      </c>
      <c r="DB74" s="133" t="str">
        <f>IF('Finalterm OVPAA-F-INS-055A RAW '!CX74="","",'Finalterm OVPAA-F-INS-055A RAW '!CX74/'Finalterm OVPAA-F-INS-055A RAW '!CX$17*100)</f>
        <v/>
      </c>
      <c r="DC74" s="134" t="str">
        <f t="array" ref="DC74">IF('Midterm OVPAA-F-INS-055A RAW SC'!$G74="","",IF((SUMPRODUCT(--ISBLANK('Finalterm OVPAA-F-INS-055A RAW '!CO74:CX74))=COLUMNS('Finalterm OVPAA-F-INS-055A RAW '!CO74:CX74))=TRUE,"",(((COUNTA('Finalterm OVPAA-F-INS-055A RAW '!$CO$17:$CX$17)+COUNTBLANK('Finalterm OVPAA-F-INS-055A RAW '!CO74:CX74))-COLUMNS('Finalterm OVPAA-F-INS-055A RAW '!CO74:CX74))*5+SUM(CS74:DB74))/COUNTA('Finalterm OVPAA-F-INS-055A RAW '!$CO$17:$CX$17)))</f>
        <v/>
      </c>
      <c r="DD74" s="135" t="str">
        <f>IF(DC74="","",VLOOKUP(DC74,IF('Midterm OVPAA-F-INS-055A RAW SC'!$V$12=0.5,TRANSMUTATION!$C$4:$D$17,TRANSMUTATION!$G$4:$H$17),2,TRUE))</f>
        <v/>
      </c>
      <c r="DE74" s="136" t="str">
        <f t="shared" si="1"/>
        <v/>
      </c>
      <c r="DF74" s="166" t="str">
        <f t="shared" si="2"/>
        <v/>
      </c>
      <c r="DG74" s="167" t="str">
        <f t="shared" si="3"/>
        <v/>
      </c>
      <c r="DH74" s="168" t="str">
        <f t="shared" si="4"/>
        <v/>
      </c>
      <c r="DI74" s="169" t="str">
        <f t="shared" si="5"/>
        <v/>
      </c>
    </row>
    <row r="75" spans="5:113" ht="15.75" hidden="1" customHeight="1">
      <c r="E75" s="59">
        <v>58</v>
      </c>
      <c r="F75" s="124" t="str">
        <f>IF(NOT(ISBLANK('Midterm OVPAA-F-INS-055A RAW SC'!F75)),'Midterm OVPAA-F-INS-055A RAW SC'!F75,"")</f>
        <v/>
      </c>
      <c r="G75" s="125" t="str">
        <f>IF(NOT(ISBLANK('Midterm OVPAA-F-INS-055A RAW SC'!G75)),'Midterm OVPAA-F-INS-055A RAW SC'!G75,"")</f>
        <v/>
      </c>
      <c r="H75" s="126" t="str">
        <f>IF('Finalterm OVPAA-F-INS-055A RAW '!H75="","",'Finalterm OVPAA-F-INS-055A RAW '!H75/'Finalterm OVPAA-F-INS-055A RAW '!H$17*100)</f>
        <v/>
      </c>
      <c r="I75" s="126" t="str">
        <f>IF('Finalterm OVPAA-F-INS-055A RAW '!I75="","",'Finalterm OVPAA-F-INS-055A RAW '!I75/'Finalterm OVPAA-F-INS-055A RAW '!I$17*100)</f>
        <v/>
      </c>
      <c r="J75" s="126" t="str">
        <f>IF('Finalterm OVPAA-F-INS-055A RAW '!J75="","",'Finalterm OVPAA-F-INS-055A RAW '!J75/'Finalterm OVPAA-F-INS-055A RAW '!J$17*100)</f>
        <v/>
      </c>
      <c r="K75" s="126" t="str">
        <f>IF('Finalterm OVPAA-F-INS-055A RAW '!K75="","",'Finalterm OVPAA-F-INS-055A RAW '!K75/'Finalterm OVPAA-F-INS-055A RAW '!K$17*100)</f>
        <v/>
      </c>
      <c r="L75" s="126" t="str">
        <f>IF('Finalterm OVPAA-F-INS-055A RAW '!L75="","",'Finalterm OVPAA-F-INS-055A RAW '!L75/'Finalterm OVPAA-F-INS-055A RAW '!L$17*100)</f>
        <v/>
      </c>
      <c r="M75" s="126" t="str">
        <f>IF('Finalterm OVPAA-F-INS-055A RAW '!M75="","",'Finalterm OVPAA-F-INS-055A RAW '!M75/'Finalterm OVPAA-F-INS-055A RAW '!M$17*100)</f>
        <v/>
      </c>
      <c r="N75" s="126" t="str">
        <f>IF('Finalterm OVPAA-F-INS-055A RAW '!N75="","",'Finalterm OVPAA-F-INS-055A RAW '!N75/'Finalterm OVPAA-F-INS-055A RAW '!N$17*100)</f>
        <v/>
      </c>
      <c r="O75" s="126" t="str">
        <f>IF('Finalterm OVPAA-F-INS-055A RAW '!O75="","",'Finalterm OVPAA-F-INS-055A RAW '!O75/'Finalterm OVPAA-F-INS-055A RAW '!O$17*100)</f>
        <v/>
      </c>
      <c r="P75" s="126" t="str">
        <f>IF('Finalterm OVPAA-F-INS-055A RAW '!P75="","",'Finalterm OVPAA-F-INS-055A RAW '!P75/'Finalterm OVPAA-F-INS-055A RAW '!P$17*100)</f>
        <v/>
      </c>
      <c r="Q75" s="126" t="str">
        <f>IF('Finalterm OVPAA-F-INS-055A RAW '!Q75="","",'Finalterm OVPAA-F-INS-055A RAW '!Q75/'Finalterm OVPAA-F-INS-055A RAW '!Q$17*100)</f>
        <v/>
      </c>
      <c r="R75" s="126" t="str">
        <f>IF('Finalterm OVPAA-F-INS-055A RAW '!R75="","",'Finalterm OVPAA-F-INS-055A RAW '!R75/'Finalterm OVPAA-F-INS-055A RAW '!R$17*100)</f>
        <v/>
      </c>
      <c r="S75" s="126" t="str">
        <f>IF('Finalterm OVPAA-F-INS-055A RAW '!S75="","",'Finalterm OVPAA-F-INS-055A RAW '!S75/'Finalterm OVPAA-F-INS-055A RAW '!S$17*100)</f>
        <v/>
      </c>
      <c r="T75" s="126" t="str">
        <f>IF('Finalterm OVPAA-F-INS-055A RAW '!T75="","",'Finalterm OVPAA-F-INS-055A RAW '!T75/'Finalterm OVPAA-F-INS-055A RAW '!T$17*100)</f>
        <v/>
      </c>
      <c r="U75" s="126" t="str">
        <f>IF('Finalterm OVPAA-F-INS-055A RAW '!U75="","",'Finalterm OVPAA-F-INS-055A RAW '!U75/'Finalterm OVPAA-F-INS-055A RAW '!U$17*100)</f>
        <v/>
      </c>
      <c r="V75" s="126" t="str">
        <f>IF('Finalterm OVPAA-F-INS-055A RAW '!V75="","",'Finalterm OVPAA-F-INS-055A RAW '!V75/'Finalterm OVPAA-F-INS-055A RAW '!V$17*100)</f>
        <v/>
      </c>
      <c r="W75" s="126" t="str">
        <f>IF('Finalterm OVPAA-F-INS-055A RAW '!W75="","",'Finalterm OVPAA-F-INS-055A RAW '!W75/'Finalterm OVPAA-F-INS-055A RAW '!W$17*100)</f>
        <v/>
      </c>
      <c r="X75" s="126" t="str">
        <f>IF('Finalterm OVPAA-F-INS-055A RAW '!X75="","",'Finalterm OVPAA-F-INS-055A RAW '!X75/'Finalterm OVPAA-F-INS-055A RAW '!X$17*100)</f>
        <v/>
      </c>
      <c r="Y75" s="126" t="str">
        <f>IF('Finalterm OVPAA-F-INS-055A RAW '!Y75="","",'Finalterm OVPAA-F-INS-055A RAW '!Y75/'Finalterm OVPAA-F-INS-055A RAW '!Y$17*100)</f>
        <v/>
      </c>
      <c r="Z75" s="126" t="str">
        <f>IF('Finalterm OVPAA-F-INS-055A RAW '!Z75="","",'Finalterm OVPAA-F-INS-055A RAW '!Z75/'Finalterm OVPAA-F-INS-055A RAW '!Z$17*100)</f>
        <v/>
      </c>
      <c r="AA75" s="126" t="str">
        <f>IF('Finalterm OVPAA-F-INS-055A RAW '!AA75="","",'Finalterm OVPAA-F-INS-055A RAW '!AA75/'Finalterm OVPAA-F-INS-055A RAW '!AA$17*100)</f>
        <v/>
      </c>
      <c r="AB75" s="126" t="str">
        <f>IF('Finalterm OVPAA-F-INS-055A RAW '!AB75="","",'Finalterm OVPAA-F-INS-055A RAW '!AB75/'Finalterm OVPAA-F-INS-055A RAW '!AB$17*100)</f>
        <v/>
      </c>
      <c r="AC75" s="126" t="str">
        <f>IF('Finalterm OVPAA-F-INS-055A RAW '!AC75="","",'Finalterm OVPAA-F-INS-055A RAW '!AC75/'Finalterm OVPAA-F-INS-055A RAW '!AC$17*100)</f>
        <v/>
      </c>
      <c r="AD75" s="126" t="str">
        <f>IF('Finalterm OVPAA-F-INS-055A RAW '!AD75="","",'Finalterm OVPAA-F-INS-055A RAW '!AD75/'Finalterm OVPAA-F-INS-055A RAW '!AD$17*100)</f>
        <v/>
      </c>
      <c r="AE75" s="126" t="str">
        <f>IF('Finalterm OVPAA-F-INS-055A RAW '!AE75="","",'Finalterm OVPAA-F-INS-055A RAW '!AE75/'Finalterm OVPAA-F-INS-055A RAW '!AE$17*100)</f>
        <v/>
      </c>
      <c r="AF75" s="126" t="str">
        <f>IF('Finalterm OVPAA-F-INS-055A RAW '!AF75="","",'Finalterm OVPAA-F-INS-055A RAW '!AF75/'Finalterm OVPAA-F-INS-055A RAW '!AF$17*100)</f>
        <v/>
      </c>
      <c r="AG75" s="126" t="str">
        <f>IF('Finalterm OVPAA-F-INS-055A RAW '!AG75="","",'Finalterm OVPAA-F-INS-055A RAW '!AG75/'Finalterm OVPAA-F-INS-055A RAW '!AG$17*100)</f>
        <v/>
      </c>
      <c r="AH75" s="126" t="str">
        <f>IF('Finalterm OVPAA-F-INS-055A RAW '!AH75="","",'Finalterm OVPAA-F-INS-055A RAW '!AH75/'Finalterm OVPAA-F-INS-055A RAW '!AH$17*100)</f>
        <v/>
      </c>
      <c r="AI75" s="126" t="str">
        <f>IF('Finalterm OVPAA-F-INS-055A RAW '!AI75="","",'Finalterm OVPAA-F-INS-055A RAW '!AI75/'Finalterm OVPAA-F-INS-055A RAW '!AI$17*100)</f>
        <v/>
      </c>
      <c r="AJ75" s="126" t="str">
        <f>IF('Finalterm OVPAA-F-INS-055A RAW '!AJ75="","",'Finalterm OVPAA-F-INS-055A RAW '!AJ75/'Finalterm OVPAA-F-INS-055A RAW '!AJ$17*100)</f>
        <v/>
      </c>
      <c r="AK75" s="126" t="str">
        <f>IF('Finalterm OVPAA-F-INS-055A RAW '!AK75="","",'Finalterm OVPAA-F-INS-055A RAW '!AK75/'Finalterm OVPAA-F-INS-055A RAW '!AK$17*100)</f>
        <v/>
      </c>
      <c r="AL75" s="126" t="str">
        <f>IF('Finalterm OVPAA-F-INS-055A RAW '!AL75="","",'Finalterm OVPAA-F-INS-055A RAW '!AL75/'Finalterm OVPAA-F-INS-055A RAW '!AL$17*100)</f>
        <v/>
      </c>
      <c r="AM75" s="126" t="str">
        <f>IF('Finalterm OVPAA-F-INS-055A RAW '!AM75="","",'Finalterm OVPAA-F-INS-055A RAW '!AM75/'Finalterm OVPAA-F-INS-055A RAW '!AM$17*100)</f>
        <v/>
      </c>
      <c r="AN75" s="126" t="str">
        <f>IF('Finalterm OVPAA-F-INS-055A RAW '!AN75="","",'Finalterm OVPAA-F-INS-055A RAW '!AN75/'Finalterm OVPAA-F-INS-055A RAW '!AN$17*100)</f>
        <v/>
      </c>
      <c r="AO75" s="126" t="str">
        <f>IF('Finalterm OVPAA-F-INS-055A RAW '!AO75="","",'Finalterm OVPAA-F-INS-055A RAW '!AO75/'Finalterm OVPAA-F-INS-055A RAW '!AO$17*100)</f>
        <v/>
      </c>
      <c r="AP75" s="126" t="str">
        <f>IF('Finalterm OVPAA-F-INS-055A RAW '!AP75="","",'Finalterm OVPAA-F-INS-055A RAW '!AP75/'Finalterm OVPAA-F-INS-055A RAW '!AP$17*100)</f>
        <v/>
      </c>
      <c r="AQ75" s="126" t="str">
        <f>IF('Finalterm OVPAA-F-INS-055A RAW '!AQ75="","",'Finalterm OVPAA-F-INS-055A RAW '!AQ75/'Finalterm OVPAA-F-INS-055A RAW '!AQ$17*100)</f>
        <v/>
      </c>
      <c r="AR75" s="126" t="str">
        <f>IF('Finalterm OVPAA-F-INS-055A RAW '!AR75="","",'Finalterm OVPAA-F-INS-055A RAW '!AR75/'Finalterm OVPAA-F-INS-055A RAW '!AR$17*100)</f>
        <v/>
      </c>
      <c r="AS75" s="126" t="str">
        <f>IF('Finalterm OVPAA-F-INS-055A RAW '!AS75="","",'Finalterm OVPAA-F-INS-055A RAW '!AS75/'Finalterm OVPAA-F-INS-055A RAW '!AS$17*100)</f>
        <v/>
      </c>
      <c r="AT75" s="126" t="str">
        <f>IF('Finalterm OVPAA-F-INS-055A RAW '!AT75="","",'Finalterm OVPAA-F-INS-055A RAW '!AT75/'Finalterm OVPAA-F-INS-055A RAW '!AT$17*100)</f>
        <v/>
      </c>
      <c r="AU75" s="126" t="str">
        <f>IF('Finalterm OVPAA-F-INS-055A RAW '!AU75="","",'Finalterm OVPAA-F-INS-055A RAW '!AU75/'Finalterm OVPAA-F-INS-055A RAW '!AU$17*100)</f>
        <v/>
      </c>
      <c r="AV75" s="126" t="str">
        <f>IF('Finalterm OVPAA-F-INS-055A RAW '!AV75="","",'Finalterm OVPAA-F-INS-055A RAW '!AV75/'Finalterm OVPAA-F-INS-055A RAW '!AV$17*100)</f>
        <v/>
      </c>
      <c r="AW75" s="126" t="str">
        <f>IF('Finalterm OVPAA-F-INS-055A RAW '!AW75="","",'Finalterm OVPAA-F-INS-055A RAW '!AW75/'Finalterm OVPAA-F-INS-055A RAW '!AW$17*100)</f>
        <v/>
      </c>
      <c r="AX75" s="126" t="str">
        <f>IF('Finalterm OVPAA-F-INS-055A RAW '!AX75="","",'Finalterm OVPAA-F-INS-055A RAW '!AX75/'Finalterm OVPAA-F-INS-055A RAW '!AX$17*100)</f>
        <v/>
      </c>
      <c r="AY75" s="126" t="str">
        <f>IF('Finalterm OVPAA-F-INS-055A RAW '!AY75="","",'Finalterm OVPAA-F-INS-055A RAW '!AY75/'Finalterm OVPAA-F-INS-055A RAW '!AY$17*100)</f>
        <v/>
      </c>
      <c r="AZ75" s="126" t="str">
        <f>IF('Finalterm OVPAA-F-INS-055A RAW '!AZ75="","",'Finalterm OVPAA-F-INS-055A RAW '!AZ75/'Finalterm OVPAA-F-INS-055A RAW '!AZ$17*100)</f>
        <v/>
      </c>
      <c r="BA75" s="126" t="str">
        <f>IF('Finalterm OVPAA-F-INS-055A RAW '!BA75="","",'Finalterm OVPAA-F-INS-055A RAW '!BA75/'Finalterm OVPAA-F-INS-055A RAW '!BA$17*100)</f>
        <v/>
      </c>
      <c r="BB75" s="126" t="str">
        <f>IF('Finalterm OVPAA-F-INS-055A RAW '!BB75="","",'Finalterm OVPAA-F-INS-055A RAW '!BB75/'Finalterm OVPAA-F-INS-055A RAW '!BB$17*100)</f>
        <v/>
      </c>
      <c r="BC75" s="126" t="str">
        <f>IF('Finalterm OVPAA-F-INS-055A RAW '!BC75="","",'Finalterm OVPAA-F-INS-055A RAW '!BC75/'Finalterm OVPAA-F-INS-055A RAW '!BC$17*100)</f>
        <v/>
      </c>
      <c r="BD75" s="126" t="str">
        <f>IF('Finalterm OVPAA-F-INS-055A RAW '!BD75="","",'Finalterm OVPAA-F-INS-055A RAW '!BD75/'Finalterm OVPAA-F-INS-055A RAW '!BD$17*100)</f>
        <v/>
      </c>
      <c r="BE75" s="126" t="str">
        <f>IF('Finalterm OVPAA-F-INS-055A RAW '!BE75="","",'Finalterm OVPAA-F-INS-055A RAW '!BE75/'Finalterm OVPAA-F-INS-055A RAW '!BE$17*100)</f>
        <v/>
      </c>
      <c r="BF75" s="126" t="str">
        <f>IF('Finalterm OVPAA-F-INS-055A RAW '!BF75="","",'Finalterm OVPAA-F-INS-055A RAW '!BF75/'Finalterm OVPAA-F-INS-055A RAW '!BF$17*100)</f>
        <v/>
      </c>
      <c r="BG75" s="126" t="str">
        <f>IF('Finalterm OVPAA-F-INS-055A RAW '!BG75="","",'Finalterm OVPAA-F-INS-055A RAW '!BG75/'Finalterm OVPAA-F-INS-055A RAW '!BG$17*100)</f>
        <v/>
      </c>
      <c r="BH75" s="126" t="str">
        <f>IF('Finalterm OVPAA-F-INS-055A RAW '!BH75="","",'Finalterm OVPAA-F-INS-055A RAW '!BH75/'Finalterm OVPAA-F-INS-055A RAW '!BH$17*100)</f>
        <v/>
      </c>
      <c r="BI75" s="126" t="str">
        <f>IF('Finalterm OVPAA-F-INS-055A RAW '!BI75="","",'Finalterm OVPAA-F-INS-055A RAW '!BI75/'Finalterm OVPAA-F-INS-055A RAW '!BI$17*100)</f>
        <v/>
      </c>
      <c r="BJ75" s="126" t="str">
        <f>IF('Finalterm OVPAA-F-INS-055A RAW '!BJ75="","",'Finalterm OVPAA-F-INS-055A RAW '!BJ75/'Finalterm OVPAA-F-INS-055A RAW '!BJ$17*100)</f>
        <v/>
      </c>
      <c r="BK75" s="126" t="str">
        <f>IF('Finalterm OVPAA-F-INS-055A RAW '!BK75="","",'Finalterm OVPAA-F-INS-055A RAW '!BK75/'Finalterm OVPAA-F-INS-055A RAW '!BK$17*100)</f>
        <v/>
      </c>
      <c r="BL75" s="126" t="str">
        <f>IF('Finalterm OVPAA-F-INS-055A RAW '!BL75="","",'Finalterm OVPAA-F-INS-055A RAW '!BL75/'Finalterm OVPAA-F-INS-055A RAW '!BL$17*100)</f>
        <v/>
      </c>
      <c r="BM75" s="126" t="str">
        <f>IF('Finalterm OVPAA-F-INS-055A RAW '!BM75="","",'Finalterm OVPAA-F-INS-055A RAW '!BM75/'Finalterm OVPAA-F-INS-055A RAW '!BM$17*100)</f>
        <v/>
      </c>
      <c r="BN75" s="126" t="str">
        <f>IF('Finalterm OVPAA-F-INS-055A RAW '!BN75="","",'Finalterm OVPAA-F-INS-055A RAW '!BN75/'Finalterm OVPAA-F-INS-055A RAW '!BN$17*100)</f>
        <v/>
      </c>
      <c r="BO75" s="126" t="str">
        <f>IF('Finalterm OVPAA-F-INS-055A RAW '!BO75="","",'Finalterm OVPAA-F-INS-055A RAW '!BO75/'Finalterm OVPAA-F-INS-055A RAW '!BO$17*100)</f>
        <v/>
      </c>
      <c r="BP75" s="126" t="str">
        <f>IF('Finalterm OVPAA-F-INS-055A RAW '!BP75="","",'Finalterm OVPAA-F-INS-055A RAW '!BP75/'Finalterm OVPAA-F-INS-055A RAW '!BP$17*100)</f>
        <v/>
      </c>
      <c r="BQ75" s="126" t="str">
        <f>IF('Finalterm OVPAA-F-INS-055A RAW '!BQ75="","",'Finalterm OVPAA-F-INS-055A RAW '!BQ75/'Finalterm OVPAA-F-INS-055A RAW '!BQ$17*100)</f>
        <v/>
      </c>
      <c r="BR75" s="126" t="str">
        <f>IF('Finalterm OVPAA-F-INS-055A RAW '!BR75="","",'Finalterm OVPAA-F-INS-055A RAW '!BR75/'Finalterm OVPAA-F-INS-055A RAW '!BR$17*100)</f>
        <v/>
      </c>
      <c r="BS75" s="126" t="str">
        <f>IF('Finalterm OVPAA-F-INS-055A RAW '!BS75="","",'Finalterm OVPAA-F-INS-055A RAW '!BS75/'Finalterm OVPAA-F-INS-055A RAW '!BS$17*100)</f>
        <v/>
      </c>
      <c r="BT75" s="126" t="str">
        <f>IF('Finalterm OVPAA-F-INS-055A RAW '!BT75="","",'Finalterm OVPAA-F-INS-055A RAW '!BT75/'Finalterm OVPAA-F-INS-055A RAW '!BT$17*100)</f>
        <v/>
      </c>
      <c r="BU75" s="127" t="str">
        <f t="array" ref="BU75">IF('Finalterm OVPAA-F-INS-055A RAW '!$G75="","",IF((SUMPRODUCT(--ISBLANK('Finalterm OVPAA-F-INS-055A RAW '!H75:BT75))=COLUMNS('Finalterm OVPAA-F-INS-055A RAW '!H75:BT75))=TRUE,"",(((COUNTA('Finalterm OVPAA-F-INS-055A RAW '!$H$17:$BT$17)+COUNTBLANK('Finalterm OVPAA-F-INS-055A RAW '!H75:BT75))-COLUMNS('Finalterm OVPAA-F-INS-055A RAW '!H75:BT75))*5+SUM(H75:BT75))/COUNTA('Finalterm OVPAA-F-INS-055A RAW '!$H$17:$BT$17)))</f>
        <v/>
      </c>
      <c r="BV75" s="165" t="str">
        <f>IF(BU75="","",VLOOKUP(BU75,IF('Midterm OVPAA-F-INS-055A RAW SC'!$V$12=0.5,TRANSMUTATION!$C$4:$D$17,TRANSMUTATION!$G$4:$H$17),2,TRUE))</f>
        <v/>
      </c>
      <c r="BW75" s="129" t="str">
        <f>IF('Finalterm OVPAA-F-INS-055A RAW '!BU75="","",'Finalterm OVPAA-F-INS-055A RAW '!BU75/'Finalterm OVPAA-F-INS-055A RAW '!BU$17*100)</f>
        <v/>
      </c>
      <c r="BX75" s="130" t="str">
        <f>IF('Finalterm OVPAA-F-INS-055A RAW '!BV75="","",'Finalterm OVPAA-F-INS-055A RAW '!BV75/'Finalterm OVPAA-F-INS-055A RAW '!BV$17*100)</f>
        <v/>
      </c>
      <c r="BY75" s="130" t="str">
        <f>IF('Finalterm OVPAA-F-INS-055A RAW '!BW75="","",'Finalterm OVPAA-F-INS-055A RAW '!BW75/'Finalterm OVPAA-F-INS-055A RAW '!BW$17*100)</f>
        <v/>
      </c>
      <c r="BZ75" s="130" t="str">
        <f>IF('Finalterm OVPAA-F-INS-055A RAW '!BX75="","",'Finalterm OVPAA-F-INS-055A RAW '!BX75/'Finalterm OVPAA-F-INS-055A RAW '!BX$17*100)</f>
        <v/>
      </c>
      <c r="CA75" s="130" t="str">
        <f>IF('Finalterm OVPAA-F-INS-055A RAW '!BY75="","",'Finalterm OVPAA-F-INS-055A RAW '!BY75/'Finalterm OVPAA-F-INS-055A RAW '!BY$17*100)</f>
        <v/>
      </c>
      <c r="CB75" s="130" t="str">
        <f>IF('Finalterm OVPAA-F-INS-055A RAW '!BZ75="","",'Finalterm OVPAA-F-INS-055A RAW '!BZ75/'Finalterm OVPAA-F-INS-055A RAW '!BZ$17*100)</f>
        <v/>
      </c>
      <c r="CC75" s="130" t="str">
        <f>IF('Finalterm OVPAA-F-INS-055A RAW '!CA75="","",'Finalterm OVPAA-F-INS-055A RAW '!CA75/'Finalterm OVPAA-F-INS-055A RAW '!CA$17*100)</f>
        <v/>
      </c>
      <c r="CD75" s="130" t="str">
        <f>IF('Finalterm OVPAA-F-INS-055A RAW '!CB75="","",'Finalterm OVPAA-F-INS-055A RAW '!CB75/'Finalterm OVPAA-F-INS-055A RAW '!CB$17*100)</f>
        <v/>
      </c>
      <c r="CE75" s="130" t="str">
        <f>IF('Finalterm OVPAA-F-INS-055A RAW '!CC75="","",'Finalterm OVPAA-F-INS-055A RAW '!CC75/'Finalterm OVPAA-F-INS-055A RAW '!CC$17*100)</f>
        <v/>
      </c>
      <c r="CF75" s="130" t="str">
        <f>IF('Finalterm OVPAA-F-INS-055A RAW '!CD75="","",'Finalterm OVPAA-F-INS-055A RAW '!CD75/'Finalterm OVPAA-F-INS-055A RAW '!CD$17*100)</f>
        <v/>
      </c>
      <c r="CG75" s="130" t="str">
        <f>IF('Finalterm OVPAA-F-INS-055A RAW '!CE75="","",'Finalterm OVPAA-F-INS-055A RAW '!CE75/'Finalterm OVPAA-F-INS-055A RAW '!CE$17*100)</f>
        <v/>
      </c>
      <c r="CH75" s="130" t="str">
        <f>IF('Finalterm OVPAA-F-INS-055A RAW '!CF75="","",'Finalterm OVPAA-F-INS-055A RAW '!CF75/'Finalterm OVPAA-F-INS-055A RAW '!CF$17*100)</f>
        <v/>
      </c>
      <c r="CI75" s="130" t="str">
        <f>IF('Finalterm OVPAA-F-INS-055A RAW '!CG75="","",'Finalterm OVPAA-F-INS-055A RAW '!CG75/'Finalterm OVPAA-F-INS-055A RAW '!CG$17*100)</f>
        <v/>
      </c>
      <c r="CJ75" s="130" t="str">
        <f>IF('Finalterm OVPAA-F-INS-055A RAW '!CH75="","",'Finalterm OVPAA-F-INS-055A RAW '!CH75/'Finalterm OVPAA-F-INS-055A RAW '!CH$17*100)</f>
        <v/>
      </c>
      <c r="CK75" s="130" t="str">
        <f>IF('Finalterm OVPAA-F-INS-055A RAW '!CI75="","",'Finalterm OVPAA-F-INS-055A RAW '!CI75/'Finalterm OVPAA-F-INS-055A RAW '!CI$17*100)</f>
        <v/>
      </c>
      <c r="CL75" s="130" t="str">
        <f>IF('Finalterm OVPAA-F-INS-055A RAW '!CJ75="","",'Finalterm OVPAA-F-INS-055A RAW '!CJ75/'Finalterm OVPAA-F-INS-055A RAW '!CJ$17*100)</f>
        <v/>
      </c>
      <c r="CM75" s="130" t="str">
        <f>IF('Finalterm OVPAA-F-INS-055A RAW '!CK75="","",'Finalterm OVPAA-F-INS-055A RAW '!CK75/'Finalterm OVPAA-F-INS-055A RAW '!CK$17*100)</f>
        <v/>
      </c>
      <c r="CN75" s="130" t="str">
        <f>IF('Finalterm OVPAA-F-INS-055A RAW '!CL75="","",'Finalterm OVPAA-F-INS-055A RAW '!CL75/'Finalterm OVPAA-F-INS-055A RAW '!CL$17*100)</f>
        <v/>
      </c>
      <c r="CO75" s="130" t="str">
        <f>IF('Finalterm OVPAA-F-INS-055A RAW '!CM75="","",'Finalterm OVPAA-F-INS-055A RAW '!CM75/'Finalterm OVPAA-F-INS-055A RAW '!CM$17*100)</f>
        <v/>
      </c>
      <c r="CP75" s="130" t="str">
        <f>IF('Finalterm OVPAA-F-INS-055A RAW '!CN75="","",'Finalterm OVPAA-F-INS-055A RAW '!CN75/'Finalterm OVPAA-F-INS-055A RAW '!CN$17*100)</f>
        <v/>
      </c>
      <c r="CQ75" s="131" t="str">
        <f t="array" ref="CQ75">IF('Midterm OVPAA-F-INS-055A RAW SC'!G75="","",IF((SUMPRODUCT(--ISBLANK('Finalterm OVPAA-F-INS-055A RAW '!BU75:CN75))=COLUMNS('Finalterm OVPAA-F-INS-055A RAW '!BU75:CN75))=TRUE,"",(((COUNTA('Finalterm OVPAA-F-INS-055A RAW '!$BU$17:$CN$17)+COUNTBLANK('Finalterm OVPAA-F-INS-055A RAW '!BU75:CN75))-COLUMNS('Finalterm OVPAA-F-INS-055A RAW '!BU75:CN75))*5+SUM(BW75:CP75))/COUNTA('Finalterm OVPAA-F-INS-055A RAW '!$BU$17:$CN$17)))</f>
        <v/>
      </c>
      <c r="CR75" s="132" t="str">
        <f>IF(CQ75="","",VLOOKUP(CQ75,IF('Midterm OVPAA-F-INS-055A RAW SC'!$V$12=0.5,TRANSMUTATION!$C$4:$D$17,TRANSMUTATION!$G$4:$H$17),2,TRUE))</f>
        <v/>
      </c>
      <c r="CS75" s="133" t="str">
        <f>IF('Finalterm OVPAA-F-INS-055A RAW '!CO75="","",'Finalterm OVPAA-F-INS-055A RAW '!CO75/'Finalterm OVPAA-F-INS-055A RAW '!CO$17*100)</f>
        <v/>
      </c>
      <c r="CT75" s="133" t="str">
        <f>IF('Finalterm OVPAA-F-INS-055A RAW '!CP75="","",'Finalterm OVPAA-F-INS-055A RAW '!CP75/'Finalterm OVPAA-F-INS-055A RAW '!CP$17*100)</f>
        <v/>
      </c>
      <c r="CU75" s="133" t="str">
        <f>IF('Finalterm OVPAA-F-INS-055A RAW '!CQ75="","",'Finalterm OVPAA-F-INS-055A RAW '!CQ75/'Finalterm OVPAA-F-INS-055A RAW '!CQ$17*100)</f>
        <v/>
      </c>
      <c r="CV75" s="133" t="str">
        <f>IF('Finalterm OVPAA-F-INS-055A RAW '!CR75="","",'Finalterm OVPAA-F-INS-055A RAW '!CR75/'Finalterm OVPAA-F-INS-055A RAW '!CR$17*100)</f>
        <v/>
      </c>
      <c r="CW75" s="133" t="str">
        <f>IF('Finalterm OVPAA-F-INS-055A RAW '!CS75="","",'Finalterm OVPAA-F-INS-055A RAW '!CS75/'Finalterm OVPAA-F-INS-055A RAW '!CS$17*100)</f>
        <v/>
      </c>
      <c r="CX75" s="133" t="str">
        <f>IF('Finalterm OVPAA-F-INS-055A RAW '!CT75="","",'Finalterm OVPAA-F-INS-055A RAW '!CT75/'Finalterm OVPAA-F-INS-055A RAW '!CT$17*100)</f>
        <v/>
      </c>
      <c r="CY75" s="133" t="str">
        <f>IF('Finalterm OVPAA-F-INS-055A RAW '!CU75="","",'Finalterm OVPAA-F-INS-055A RAW '!CU75/'Finalterm OVPAA-F-INS-055A RAW '!CU$17*100)</f>
        <v/>
      </c>
      <c r="CZ75" s="133" t="str">
        <f>IF('Finalterm OVPAA-F-INS-055A RAW '!CV75="","",'Finalterm OVPAA-F-INS-055A RAW '!CV75/'Finalterm OVPAA-F-INS-055A RAW '!CV$17*100)</f>
        <v/>
      </c>
      <c r="DA75" s="133" t="str">
        <f>IF('Finalterm OVPAA-F-INS-055A RAW '!CW75="","",'Finalterm OVPAA-F-INS-055A RAW '!CW75/'Finalterm OVPAA-F-INS-055A RAW '!CW$17*100)</f>
        <v/>
      </c>
      <c r="DB75" s="133" t="str">
        <f>IF('Finalterm OVPAA-F-INS-055A RAW '!CX75="","",'Finalterm OVPAA-F-INS-055A RAW '!CX75/'Finalterm OVPAA-F-INS-055A RAW '!CX$17*100)</f>
        <v/>
      </c>
      <c r="DC75" s="134" t="str">
        <f t="array" ref="DC75">IF('Midterm OVPAA-F-INS-055A RAW SC'!$G75="","",IF((SUMPRODUCT(--ISBLANK('Finalterm OVPAA-F-INS-055A RAW '!CO75:CX75))=COLUMNS('Finalterm OVPAA-F-INS-055A RAW '!CO75:CX75))=TRUE,"",(((COUNTA('Finalterm OVPAA-F-INS-055A RAW '!$CO$17:$CX$17)+COUNTBLANK('Finalterm OVPAA-F-INS-055A RAW '!CO75:CX75))-COLUMNS('Finalterm OVPAA-F-INS-055A RAW '!CO75:CX75))*5+SUM(CS75:DB75))/COUNTA('Finalterm OVPAA-F-INS-055A RAW '!$CO$17:$CX$17)))</f>
        <v/>
      </c>
      <c r="DD75" s="135" t="str">
        <f>IF(DC75="","",VLOOKUP(DC75,IF('Midterm OVPAA-F-INS-055A RAW SC'!$V$12=0.5,TRANSMUTATION!$C$4:$D$17,TRANSMUTATION!$G$4:$H$17),2,TRUE))</f>
        <v/>
      </c>
      <c r="DE75" s="136" t="str">
        <f t="shared" si="1"/>
        <v/>
      </c>
      <c r="DF75" s="166" t="str">
        <f t="shared" si="2"/>
        <v/>
      </c>
      <c r="DG75" s="167" t="str">
        <f t="shared" si="3"/>
        <v/>
      </c>
      <c r="DH75" s="168" t="str">
        <f t="shared" si="4"/>
        <v/>
      </c>
      <c r="DI75" s="169" t="str">
        <f t="shared" si="5"/>
        <v/>
      </c>
    </row>
    <row r="76" spans="5:113" ht="15.75" hidden="1" customHeight="1">
      <c r="E76" s="59">
        <v>59</v>
      </c>
      <c r="F76" s="124" t="str">
        <f>IF(NOT(ISBLANK('Midterm OVPAA-F-INS-055A RAW SC'!F76)),'Midterm OVPAA-F-INS-055A RAW SC'!F76,"")</f>
        <v/>
      </c>
      <c r="G76" s="125" t="str">
        <f>IF(NOT(ISBLANK('Midterm OVPAA-F-INS-055A RAW SC'!G76)),'Midterm OVPAA-F-INS-055A RAW SC'!G76,"")</f>
        <v/>
      </c>
      <c r="H76" s="126" t="str">
        <f>IF('Finalterm OVPAA-F-INS-055A RAW '!H76="","",'Finalterm OVPAA-F-INS-055A RAW '!H76/'Finalterm OVPAA-F-INS-055A RAW '!H$17*100)</f>
        <v/>
      </c>
      <c r="I76" s="126" t="str">
        <f>IF('Finalterm OVPAA-F-INS-055A RAW '!I76="","",'Finalterm OVPAA-F-INS-055A RAW '!I76/'Finalterm OVPAA-F-INS-055A RAW '!I$17*100)</f>
        <v/>
      </c>
      <c r="J76" s="126" t="str">
        <f>IF('Finalterm OVPAA-F-INS-055A RAW '!J76="","",'Finalterm OVPAA-F-INS-055A RAW '!J76/'Finalterm OVPAA-F-INS-055A RAW '!J$17*100)</f>
        <v/>
      </c>
      <c r="K76" s="126" t="str">
        <f>IF('Finalterm OVPAA-F-INS-055A RAW '!K76="","",'Finalterm OVPAA-F-INS-055A RAW '!K76/'Finalterm OVPAA-F-INS-055A RAW '!K$17*100)</f>
        <v/>
      </c>
      <c r="L76" s="126" t="str">
        <f>IF('Finalterm OVPAA-F-INS-055A RAW '!L76="","",'Finalterm OVPAA-F-INS-055A RAW '!L76/'Finalterm OVPAA-F-INS-055A RAW '!L$17*100)</f>
        <v/>
      </c>
      <c r="M76" s="126" t="str">
        <f>IF('Finalterm OVPAA-F-INS-055A RAW '!M76="","",'Finalterm OVPAA-F-INS-055A RAW '!M76/'Finalterm OVPAA-F-INS-055A RAW '!M$17*100)</f>
        <v/>
      </c>
      <c r="N76" s="126" t="str">
        <f>IF('Finalterm OVPAA-F-INS-055A RAW '!N76="","",'Finalterm OVPAA-F-INS-055A RAW '!N76/'Finalterm OVPAA-F-INS-055A RAW '!N$17*100)</f>
        <v/>
      </c>
      <c r="O76" s="126" t="str">
        <f>IF('Finalterm OVPAA-F-INS-055A RAW '!O76="","",'Finalterm OVPAA-F-INS-055A RAW '!O76/'Finalterm OVPAA-F-INS-055A RAW '!O$17*100)</f>
        <v/>
      </c>
      <c r="P76" s="126" t="str">
        <f>IF('Finalterm OVPAA-F-INS-055A RAW '!P76="","",'Finalterm OVPAA-F-INS-055A RAW '!P76/'Finalterm OVPAA-F-INS-055A RAW '!P$17*100)</f>
        <v/>
      </c>
      <c r="Q76" s="126" t="str">
        <f>IF('Finalterm OVPAA-F-INS-055A RAW '!Q76="","",'Finalterm OVPAA-F-INS-055A RAW '!Q76/'Finalterm OVPAA-F-INS-055A RAW '!Q$17*100)</f>
        <v/>
      </c>
      <c r="R76" s="126" t="str">
        <f>IF('Finalterm OVPAA-F-INS-055A RAW '!R76="","",'Finalterm OVPAA-F-INS-055A RAW '!R76/'Finalterm OVPAA-F-INS-055A RAW '!R$17*100)</f>
        <v/>
      </c>
      <c r="S76" s="126" t="str">
        <f>IF('Finalterm OVPAA-F-INS-055A RAW '!S76="","",'Finalterm OVPAA-F-INS-055A RAW '!S76/'Finalterm OVPAA-F-INS-055A RAW '!S$17*100)</f>
        <v/>
      </c>
      <c r="T76" s="126" t="str">
        <f>IF('Finalterm OVPAA-F-INS-055A RAW '!T76="","",'Finalterm OVPAA-F-INS-055A RAW '!T76/'Finalterm OVPAA-F-INS-055A RAW '!T$17*100)</f>
        <v/>
      </c>
      <c r="U76" s="126" t="str">
        <f>IF('Finalterm OVPAA-F-INS-055A RAW '!U76="","",'Finalterm OVPAA-F-INS-055A RAW '!U76/'Finalterm OVPAA-F-INS-055A RAW '!U$17*100)</f>
        <v/>
      </c>
      <c r="V76" s="126" t="str">
        <f>IF('Finalterm OVPAA-F-INS-055A RAW '!V76="","",'Finalterm OVPAA-F-INS-055A RAW '!V76/'Finalterm OVPAA-F-INS-055A RAW '!V$17*100)</f>
        <v/>
      </c>
      <c r="W76" s="126" t="str">
        <f>IF('Finalterm OVPAA-F-INS-055A RAW '!W76="","",'Finalterm OVPAA-F-INS-055A RAW '!W76/'Finalterm OVPAA-F-INS-055A RAW '!W$17*100)</f>
        <v/>
      </c>
      <c r="X76" s="126" t="str">
        <f>IF('Finalterm OVPAA-F-INS-055A RAW '!X76="","",'Finalterm OVPAA-F-INS-055A RAW '!X76/'Finalterm OVPAA-F-INS-055A RAW '!X$17*100)</f>
        <v/>
      </c>
      <c r="Y76" s="126" t="str">
        <f>IF('Finalterm OVPAA-F-INS-055A RAW '!Y76="","",'Finalterm OVPAA-F-INS-055A RAW '!Y76/'Finalterm OVPAA-F-INS-055A RAW '!Y$17*100)</f>
        <v/>
      </c>
      <c r="Z76" s="126" t="str">
        <f>IF('Finalterm OVPAA-F-INS-055A RAW '!Z76="","",'Finalterm OVPAA-F-INS-055A RAW '!Z76/'Finalterm OVPAA-F-INS-055A RAW '!Z$17*100)</f>
        <v/>
      </c>
      <c r="AA76" s="126" t="str">
        <f>IF('Finalterm OVPAA-F-INS-055A RAW '!AA76="","",'Finalterm OVPAA-F-INS-055A RAW '!AA76/'Finalterm OVPAA-F-INS-055A RAW '!AA$17*100)</f>
        <v/>
      </c>
      <c r="AB76" s="126" t="str">
        <f>IF('Finalterm OVPAA-F-INS-055A RAW '!AB76="","",'Finalterm OVPAA-F-INS-055A RAW '!AB76/'Finalterm OVPAA-F-INS-055A RAW '!AB$17*100)</f>
        <v/>
      </c>
      <c r="AC76" s="126" t="str">
        <f>IF('Finalterm OVPAA-F-INS-055A RAW '!AC76="","",'Finalterm OVPAA-F-INS-055A RAW '!AC76/'Finalterm OVPAA-F-INS-055A RAW '!AC$17*100)</f>
        <v/>
      </c>
      <c r="AD76" s="126" t="str">
        <f>IF('Finalterm OVPAA-F-INS-055A RAW '!AD76="","",'Finalterm OVPAA-F-INS-055A RAW '!AD76/'Finalterm OVPAA-F-INS-055A RAW '!AD$17*100)</f>
        <v/>
      </c>
      <c r="AE76" s="126" t="str">
        <f>IF('Finalterm OVPAA-F-INS-055A RAW '!AE76="","",'Finalterm OVPAA-F-INS-055A RAW '!AE76/'Finalterm OVPAA-F-INS-055A RAW '!AE$17*100)</f>
        <v/>
      </c>
      <c r="AF76" s="126" t="str">
        <f>IF('Finalterm OVPAA-F-INS-055A RAW '!AF76="","",'Finalterm OVPAA-F-INS-055A RAW '!AF76/'Finalterm OVPAA-F-INS-055A RAW '!AF$17*100)</f>
        <v/>
      </c>
      <c r="AG76" s="126" t="str">
        <f>IF('Finalterm OVPAA-F-INS-055A RAW '!AG76="","",'Finalterm OVPAA-F-INS-055A RAW '!AG76/'Finalterm OVPAA-F-INS-055A RAW '!AG$17*100)</f>
        <v/>
      </c>
      <c r="AH76" s="126" t="str">
        <f>IF('Finalterm OVPAA-F-INS-055A RAW '!AH76="","",'Finalterm OVPAA-F-INS-055A RAW '!AH76/'Finalterm OVPAA-F-INS-055A RAW '!AH$17*100)</f>
        <v/>
      </c>
      <c r="AI76" s="126" t="str">
        <f>IF('Finalterm OVPAA-F-INS-055A RAW '!AI76="","",'Finalterm OVPAA-F-INS-055A RAW '!AI76/'Finalterm OVPAA-F-INS-055A RAW '!AI$17*100)</f>
        <v/>
      </c>
      <c r="AJ76" s="126" t="str">
        <f>IF('Finalterm OVPAA-F-INS-055A RAW '!AJ76="","",'Finalterm OVPAA-F-INS-055A RAW '!AJ76/'Finalterm OVPAA-F-INS-055A RAW '!AJ$17*100)</f>
        <v/>
      </c>
      <c r="AK76" s="126" t="str">
        <f>IF('Finalterm OVPAA-F-INS-055A RAW '!AK76="","",'Finalterm OVPAA-F-INS-055A RAW '!AK76/'Finalterm OVPAA-F-INS-055A RAW '!AK$17*100)</f>
        <v/>
      </c>
      <c r="AL76" s="126" t="str">
        <f>IF('Finalterm OVPAA-F-INS-055A RAW '!AL76="","",'Finalterm OVPAA-F-INS-055A RAW '!AL76/'Finalterm OVPAA-F-INS-055A RAW '!AL$17*100)</f>
        <v/>
      </c>
      <c r="AM76" s="126" t="str">
        <f>IF('Finalterm OVPAA-F-INS-055A RAW '!AM76="","",'Finalterm OVPAA-F-INS-055A RAW '!AM76/'Finalterm OVPAA-F-INS-055A RAW '!AM$17*100)</f>
        <v/>
      </c>
      <c r="AN76" s="126" t="str">
        <f>IF('Finalterm OVPAA-F-INS-055A RAW '!AN76="","",'Finalterm OVPAA-F-INS-055A RAW '!AN76/'Finalterm OVPAA-F-INS-055A RAW '!AN$17*100)</f>
        <v/>
      </c>
      <c r="AO76" s="126" t="str">
        <f>IF('Finalterm OVPAA-F-INS-055A RAW '!AO76="","",'Finalterm OVPAA-F-INS-055A RAW '!AO76/'Finalterm OVPAA-F-INS-055A RAW '!AO$17*100)</f>
        <v/>
      </c>
      <c r="AP76" s="126" t="str">
        <f>IF('Finalterm OVPAA-F-INS-055A RAW '!AP76="","",'Finalterm OVPAA-F-INS-055A RAW '!AP76/'Finalterm OVPAA-F-INS-055A RAW '!AP$17*100)</f>
        <v/>
      </c>
      <c r="AQ76" s="126" t="str">
        <f>IF('Finalterm OVPAA-F-INS-055A RAW '!AQ76="","",'Finalterm OVPAA-F-INS-055A RAW '!AQ76/'Finalterm OVPAA-F-INS-055A RAW '!AQ$17*100)</f>
        <v/>
      </c>
      <c r="AR76" s="126" t="str">
        <f>IF('Finalterm OVPAA-F-INS-055A RAW '!AR76="","",'Finalterm OVPAA-F-INS-055A RAW '!AR76/'Finalterm OVPAA-F-INS-055A RAW '!AR$17*100)</f>
        <v/>
      </c>
      <c r="AS76" s="126" t="str">
        <f>IF('Finalterm OVPAA-F-INS-055A RAW '!AS76="","",'Finalterm OVPAA-F-INS-055A RAW '!AS76/'Finalterm OVPAA-F-INS-055A RAW '!AS$17*100)</f>
        <v/>
      </c>
      <c r="AT76" s="126" t="str">
        <f>IF('Finalterm OVPAA-F-INS-055A RAW '!AT76="","",'Finalterm OVPAA-F-INS-055A RAW '!AT76/'Finalterm OVPAA-F-INS-055A RAW '!AT$17*100)</f>
        <v/>
      </c>
      <c r="AU76" s="126" t="str">
        <f>IF('Finalterm OVPAA-F-INS-055A RAW '!AU76="","",'Finalterm OVPAA-F-INS-055A RAW '!AU76/'Finalterm OVPAA-F-INS-055A RAW '!AU$17*100)</f>
        <v/>
      </c>
      <c r="AV76" s="126" t="str">
        <f>IF('Finalterm OVPAA-F-INS-055A RAW '!AV76="","",'Finalterm OVPAA-F-INS-055A RAW '!AV76/'Finalterm OVPAA-F-INS-055A RAW '!AV$17*100)</f>
        <v/>
      </c>
      <c r="AW76" s="126" t="str">
        <f>IF('Finalterm OVPAA-F-INS-055A RAW '!AW76="","",'Finalterm OVPAA-F-INS-055A RAW '!AW76/'Finalterm OVPAA-F-INS-055A RAW '!AW$17*100)</f>
        <v/>
      </c>
      <c r="AX76" s="126" t="str">
        <f>IF('Finalterm OVPAA-F-INS-055A RAW '!AX76="","",'Finalterm OVPAA-F-INS-055A RAW '!AX76/'Finalterm OVPAA-F-INS-055A RAW '!AX$17*100)</f>
        <v/>
      </c>
      <c r="AY76" s="126" t="str">
        <f>IF('Finalterm OVPAA-F-INS-055A RAW '!AY76="","",'Finalterm OVPAA-F-INS-055A RAW '!AY76/'Finalterm OVPAA-F-INS-055A RAW '!AY$17*100)</f>
        <v/>
      </c>
      <c r="AZ76" s="126" t="str">
        <f>IF('Finalterm OVPAA-F-INS-055A RAW '!AZ76="","",'Finalterm OVPAA-F-INS-055A RAW '!AZ76/'Finalterm OVPAA-F-INS-055A RAW '!AZ$17*100)</f>
        <v/>
      </c>
      <c r="BA76" s="126" t="str">
        <f>IF('Finalterm OVPAA-F-INS-055A RAW '!BA76="","",'Finalterm OVPAA-F-INS-055A RAW '!BA76/'Finalterm OVPAA-F-INS-055A RAW '!BA$17*100)</f>
        <v/>
      </c>
      <c r="BB76" s="126" t="str">
        <f>IF('Finalterm OVPAA-F-INS-055A RAW '!BB76="","",'Finalterm OVPAA-F-INS-055A RAW '!BB76/'Finalterm OVPAA-F-INS-055A RAW '!BB$17*100)</f>
        <v/>
      </c>
      <c r="BC76" s="126" t="str">
        <f>IF('Finalterm OVPAA-F-INS-055A RAW '!BC76="","",'Finalterm OVPAA-F-INS-055A RAW '!BC76/'Finalterm OVPAA-F-INS-055A RAW '!BC$17*100)</f>
        <v/>
      </c>
      <c r="BD76" s="126" t="str">
        <f>IF('Finalterm OVPAA-F-INS-055A RAW '!BD76="","",'Finalterm OVPAA-F-INS-055A RAW '!BD76/'Finalterm OVPAA-F-INS-055A RAW '!BD$17*100)</f>
        <v/>
      </c>
      <c r="BE76" s="126" t="str">
        <f>IF('Finalterm OVPAA-F-INS-055A RAW '!BE76="","",'Finalterm OVPAA-F-INS-055A RAW '!BE76/'Finalterm OVPAA-F-INS-055A RAW '!BE$17*100)</f>
        <v/>
      </c>
      <c r="BF76" s="126" t="str">
        <f>IF('Finalterm OVPAA-F-INS-055A RAW '!BF76="","",'Finalterm OVPAA-F-INS-055A RAW '!BF76/'Finalterm OVPAA-F-INS-055A RAW '!BF$17*100)</f>
        <v/>
      </c>
      <c r="BG76" s="126" t="str">
        <f>IF('Finalterm OVPAA-F-INS-055A RAW '!BG76="","",'Finalterm OVPAA-F-INS-055A RAW '!BG76/'Finalterm OVPAA-F-INS-055A RAW '!BG$17*100)</f>
        <v/>
      </c>
      <c r="BH76" s="126" t="str">
        <f>IF('Finalterm OVPAA-F-INS-055A RAW '!BH76="","",'Finalterm OVPAA-F-INS-055A RAW '!BH76/'Finalterm OVPAA-F-INS-055A RAW '!BH$17*100)</f>
        <v/>
      </c>
      <c r="BI76" s="126" t="str">
        <f>IF('Finalterm OVPAA-F-INS-055A RAW '!BI76="","",'Finalterm OVPAA-F-INS-055A RAW '!BI76/'Finalterm OVPAA-F-INS-055A RAW '!BI$17*100)</f>
        <v/>
      </c>
      <c r="BJ76" s="126" t="str">
        <f>IF('Finalterm OVPAA-F-INS-055A RAW '!BJ76="","",'Finalterm OVPAA-F-INS-055A RAW '!BJ76/'Finalterm OVPAA-F-INS-055A RAW '!BJ$17*100)</f>
        <v/>
      </c>
      <c r="BK76" s="126" t="str">
        <f>IF('Finalterm OVPAA-F-INS-055A RAW '!BK76="","",'Finalterm OVPAA-F-INS-055A RAW '!BK76/'Finalterm OVPAA-F-INS-055A RAW '!BK$17*100)</f>
        <v/>
      </c>
      <c r="BL76" s="126" t="str">
        <f>IF('Finalterm OVPAA-F-INS-055A RAW '!BL76="","",'Finalterm OVPAA-F-INS-055A RAW '!BL76/'Finalterm OVPAA-F-INS-055A RAW '!BL$17*100)</f>
        <v/>
      </c>
      <c r="BM76" s="126" t="str">
        <f>IF('Finalterm OVPAA-F-INS-055A RAW '!BM76="","",'Finalterm OVPAA-F-INS-055A RAW '!BM76/'Finalterm OVPAA-F-INS-055A RAW '!BM$17*100)</f>
        <v/>
      </c>
      <c r="BN76" s="126" t="str">
        <f>IF('Finalterm OVPAA-F-INS-055A RAW '!BN76="","",'Finalterm OVPAA-F-INS-055A RAW '!BN76/'Finalterm OVPAA-F-INS-055A RAW '!BN$17*100)</f>
        <v/>
      </c>
      <c r="BO76" s="126" t="str">
        <f>IF('Finalterm OVPAA-F-INS-055A RAW '!BO76="","",'Finalterm OVPAA-F-INS-055A RAW '!BO76/'Finalterm OVPAA-F-INS-055A RAW '!BO$17*100)</f>
        <v/>
      </c>
      <c r="BP76" s="126" t="str">
        <f>IF('Finalterm OVPAA-F-INS-055A RAW '!BP76="","",'Finalterm OVPAA-F-INS-055A RAW '!BP76/'Finalterm OVPAA-F-INS-055A RAW '!BP$17*100)</f>
        <v/>
      </c>
      <c r="BQ76" s="126" t="str">
        <f>IF('Finalterm OVPAA-F-INS-055A RAW '!BQ76="","",'Finalterm OVPAA-F-INS-055A RAW '!BQ76/'Finalterm OVPAA-F-INS-055A RAW '!BQ$17*100)</f>
        <v/>
      </c>
      <c r="BR76" s="126" t="str">
        <f>IF('Finalterm OVPAA-F-INS-055A RAW '!BR76="","",'Finalterm OVPAA-F-INS-055A RAW '!BR76/'Finalterm OVPAA-F-INS-055A RAW '!BR$17*100)</f>
        <v/>
      </c>
      <c r="BS76" s="126" t="str">
        <f>IF('Finalterm OVPAA-F-INS-055A RAW '!BS76="","",'Finalterm OVPAA-F-INS-055A RAW '!BS76/'Finalterm OVPAA-F-INS-055A RAW '!BS$17*100)</f>
        <v/>
      </c>
      <c r="BT76" s="126" t="str">
        <f>IF('Finalterm OVPAA-F-INS-055A RAW '!BT76="","",'Finalterm OVPAA-F-INS-055A RAW '!BT76/'Finalterm OVPAA-F-INS-055A RAW '!BT$17*100)</f>
        <v/>
      </c>
      <c r="BU76" s="127" t="str">
        <f t="array" ref="BU76">IF('Finalterm OVPAA-F-INS-055A RAW '!$G76="","",IF((SUMPRODUCT(--ISBLANK('Finalterm OVPAA-F-INS-055A RAW '!H76:BT76))=COLUMNS('Finalterm OVPAA-F-INS-055A RAW '!H76:BT76))=TRUE,"",(((COUNTA('Finalterm OVPAA-F-INS-055A RAW '!$H$17:$BT$17)+COUNTBLANK('Finalterm OVPAA-F-INS-055A RAW '!H76:BT76))-COLUMNS('Finalterm OVPAA-F-INS-055A RAW '!H76:BT76))*5+SUM(H76:BT76))/COUNTA('Finalterm OVPAA-F-INS-055A RAW '!$H$17:$BT$17)))</f>
        <v/>
      </c>
      <c r="BV76" s="165" t="str">
        <f>IF(BU76="","",VLOOKUP(BU76,IF('Midterm OVPAA-F-INS-055A RAW SC'!$V$12=0.5,TRANSMUTATION!$C$4:$D$17,TRANSMUTATION!$G$4:$H$17),2,TRUE))</f>
        <v/>
      </c>
      <c r="BW76" s="129" t="str">
        <f>IF('Finalterm OVPAA-F-INS-055A RAW '!BU76="","",'Finalterm OVPAA-F-INS-055A RAW '!BU76/'Finalterm OVPAA-F-INS-055A RAW '!BU$17*100)</f>
        <v/>
      </c>
      <c r="BX76" s="130" t="str">
        <f>IF('Finalterm OVPAA-F-INS-055A RAW '!BV76="","",'Finalterm OVPAA-F-INS-055A RAW '!BV76/'Finalterm OVPAA-F-INS-055A RAW '!BV$17*100)</f>
        <v/>
      </c>
      <c r="BY76" s="130" t="str">
        <f>IF('Finalterm OVPAA-F-INS-055A RAW '!BW76="","",'Finalterm OVPAA-F-INS-055A RAW '!BW76/'Finalterm OVPAA-F-INS-055A RAW '!BW$17*100)</f>
        <v/>
      </c>
      <c r="BZ76" s="130" t="str">
        <f>IF('Finalterm OVPAA-F-INS-055A RAW '!BX76="","",'Finalterm OVPAA-F-INS-055A RAW '!BX76/'Finalterm OVPAA-F-INS-055A RAW '!BX$17*100)</f>
        <v/>
      </c>
      <c r="CA76" s="130" t="str">
        <f>IF('Finalterm OVPAA-F-INS-055A RAW '!BY76="","",'Finalterm OVPAA-F-INS-055A RAW '!BY76/'Finalterm OVPAA-F-INS-055A RAW '!BY$17*100)</f>
        <v/>
      </c>
      <c r="CB76" s="130" t="str">
        <f>IF('Finalterm OVPAA-F-INS-055A RAW '!BZ76="","",'Finalterm OVPAA-F-INS-055A RAW '!BZ76/'Finalterm OVPAA-F-INS-055A RAW '!BZ$17*100)</f>
        <v/>
      </c>
      <c r="CC76" s="130" t="str">
        <f>IF('Finalterm OVPAA-F-INS-055A RAW '!CA76="","",'Finalterm OVPAA-F-INS-055A RAW '!CA76/'Finalterm OVPAA-F-INS-055A RAW '!CA$17*100)</f>
        <v/>
      </c>
      <c r="CD76" s="130" t="str">
        <f>IF('Finalterm OVPAA-F-INS-055A RAW '!CB76="","",'Finalterm OVPAA-F-INS-055A RAW '!CB76/'Finalterm OVPAA-F-INS-055A RAW '!CB$17*100)</f>
        <v/>
      </c>
      <c r="CE76" s="130" t="str">
        <f>IF('Finalterm OVPAA-F-INS-055A RAW '!CC76="","",'Finalterm OVPAA-F-INS-055A RAW '!CC76/'Finalterm OVPAA-F-INS-055A RAW '!CC$17*100)</f>
        <v/>
      </c>
      <c r="CF76" s="130" t="str">
        <f>IF('Finalterm OVPAA-F-INS-055A RAW '!CD76="","",'Finalterm OVPAA-F-INS-055A RAW '!CD76/'Finalterm OVPAA-F-INS-055A RAW '!CD$17*100)</f>
        <v/>
      </c>
      <c r="CG76" s="130" t="str">
        <f>IF('Finalterm OVPAA-F-INS-055A RAW '!CE76="","",'Finalterm OVPAA-F-INS-055A RAW '!CE76/'Finalterm OVPAA-F-INS-055A RAW '!CE$17*100)</f>
        <v/>
      </c>
      <c r="CH76" s="130" t="str">
        <f>IF('Finalterm OVPAA-F-INS-055A RAW '!CF76="","",'Finalterm OVPAA-F-INS-055A RAW '!CF76/'Finalterm OVPAA-F-INS-055A RAW '!CF$17*100)</f>
        <v/>
      </c>
      <c r="CI76" s="130" t="str">
        <f>IF('Finalterm OVPAA-F-INS-055A RAW '!CG76="","",'Finalterm OVPAA-F-INS-055A RAW '!CG76/'Finalterm OVPAA-F-INS-055A RAW '!CG$17*100)</f>
        <v/>
      </c>
      <c r="CJ76" s="130" t="str">
        <f>IF('Finalterm OVPAA-F-INS-055A RAW '!CH76="","",'Finalterm OVPAA-F-INS-055A RAW '!CH76/'Finalterm OVPAA-F-INS-055A RAW '!CH$17*100)</f>
        <v/>
      </c>
      <c r="CK76" s="130" t="str">
        <f>IF('Finalterm OVPAA-F-INS-055A RAW '!CI76="","",'Finalterm OVPAA-F-INS-055A RAW '!CI76/'Finalterm OVPAA-F-INS-055A RAW '!CI$17*100)</f>
        <v/>
      </c>
      <c r="CL76" s="130" t="str">
        <f>IF('Finalterm OVPAA-F-INS-055A RAW '!CJ76="","",'Finalterm OVPAA-F-INS-055A RAW '!CJ76/'Finalterm OVPAA-F-INS-055A RAW '!CJ$17*100)</f>
        <v/>
      </c>
      <c r="CM76" s="130" t="str">
        <f>IF('Finalterm OVPAA-F-INS-055A RAW '!CK76="","",'Finalterm OVPAA-F-INS-055A RAW '!CK76/'Finalterm OVPAA-F-INS-055A RAW '!CK$17*100)</f>
        <v/>
      </c>
      <c r="CN76" s="130" t="str">
        <f>IF('Finalterm OVPAA-F-INS-055A RAW '!CL76="","",'Finalterm OVPAA-F-INS-055A RAW '!CL76/'Finalterm OVPAA-F-INS-055A RAW '!CL$17*100)</f>
        <v/>
      </c>
      <c r="CO76" s="130" t="str">
        <f>IF('Finalterm OVPAA-F-INS-055A RAW '!CM76="","",'Finalterm OVPAA-F-INS-055A RAW '!CM76/'Finalterm OVPAA-F-INS-055A RAW '!CM$17*100)</f>
        <v/>
      </c>
      <c r="CP76" s="130" t="str">
        <f>IF('Finalterm OVPAA-F-INS-055A RAW '!CN76="","",'Finalterm OVPAA-F-INS-055A RAW '!CN76/'Finalterm OVPAA-F-INS-055A RAW '!CN$17*100)</f>
        <v/>
      </c>
      <c r="CQ76" s="131" t="str">
        <f t="array" ref="CQ76">IF('Midterm OVPAA-F-INS-055A RAW SC'!G76="","",IF((SUMPRODUCT(--ISBLANK('Finalterm OVPAA-F-INS-055A RAW '!BU76:CN76))=COLUMNS('Finalterm OVPAA-F-INS-055A RAW '!BU76:CN76))=TRUE,"",(((COUNTA('Finalterm OVPAA-F-INS-055A RAW '!$BU$17:$CN$17)+COUNTBLANK('Finalterm OVPAA-F-INS-055A RAW '!BU76:CN76))-COLUMNS('Finalterm OVPAA-F-INS-055A RAW '!BU76:CN76))*5+SUM(BW76:CP76))/COUNTA('Finalterm OVPAA-F-INS-055A RAW '!$BU$17:$CN$17)))</f>
        <v/>
      </c>
      <c r="CR76" s="132" t="str">
        <f>IF(CQ76="","",VLOOKUP(CQ76,IF('Midterm OVPAA-F-INS-055A RAW SC'!$V$12=0.5,TRANSMUTATION!$C$4:$D$17,TRANSMUTATION!$G$4:$H$17),2,TRUE))</f>
        <v/>
      </c>
      <c r="CS76" s="133" t="str">
        <f>IF('Finalterm OVPAA-F-INS-055A RAW '!CO76="","",'Finalterm OVPAA-F-INS-055A RAW '!CO76/'Finalterm OVPAA-F-INS-055A RAW '!CO$17*100)</f>
        <v/>
      </c>
      <c r="CT76" s="133" t="str">
        <f>IF('Finalterm OVPAA-F-INS-055A RAW '!CP76="","",'Finalterm OVPAA-F-INS-055A RAW '!CP76/'Finalterm OVPAA-F-INS-055A RAW '!CP$17*100)</f>
        <v/>
      </c>
      <c r="CU76" s="133" t="str">
        <f>IF('Finalterm OVPAA-F-INS-055A RAW '!CQ76="","",'Finalterm OVPAA-F-INS-055A RAW '!CQ76/'Finalterm OVPAA-F-INS-055A RAW '!CQ$17*100)</f>
        <v/>
      </c>
      <c r="CV76" s="133" t="str">
        <f>IF('Finalterm OVPAA-F-INS-055A RAW '!CR76="","",'Finalterm OVPAA-F-INS-055A RAW '!CR76/'Finalterm OVPAA-F-INS-055A RAW '!CR$17*100)</f>
        <v/>
      </c>
      <c r="CW76" s="133" t="str">
        <f>IF('Finalterm OVPAA-F-INS-055A RAW '!CS76="","",'Finalterm OVPAA-F-INS-055A RAW '!CS76/'Finalterm OVPAA-F-INS-055A RAW '!CS$17*100)</f>
        <v/>
      </c>
      <c r="CX76" s="133" t="str">
        <f>IF('Finalterm OVPAA-F-INS-055A RAW '!CT76="","",'Finalterm OVPAA-F-INS-055A RAW '!CT76/'Finalterm OVPAA-F-INS-055A RAW '!CT$17*100)</f>
        <v/>
      </c>
      <c r="CY76" s="133" t="str">
        <f>IF('Finalterm OVPAA-F-INS-055A RAW '!CU76="","",'Finalterm OVPAA-F-INS-055A RAW '!CU76/'Finalterm OVPAA-F-INS-055A RAW '!CU$17*100)</f>
        <v/>
      </c>
      <c r="CZ76" s="133" t="str">
        <f>IF('Finalterm OVPAA-F-INS-055A RAW '!CV76="","",'Finalterm OVPAA-F-INS-055A RAW '!CV76/'Finalterm OVPAA-F-INS-055A RAW '!CV$17*100)</f>
        <v/>
      </c>
      <c r="DA76" s="133" t="str">
        <f>IF('Finalterm OVPAA-F-INS-055A RAW '!CW76="","",'Finalterm OVPAA-F-INS-055A RAW '!CW76/'Finalterm OVPAA-F-INS-055A RAW '!CW$17*100)</f>
        <v/>
      </c>
      <c r="DB76" s="133" t="str">
        <f>IF('Finalterm OVPAA-F-INS-055A RAW '!CX76="","",'Finalterm OVPAA-F-INS-055A RAW '!CX76/'Finalterm OVPAA-F-INS-055A RAW '!CX$17*100)</f>
        <v/>
      </c>
      <c r="DC76" s="134" t="str">
        <f t="array" ref="DC76">IF('Midterm OVPAA-F-INS-055A RAW SC'!$G76="","",IF((SUMPRODUCT(--ISBLANK('Finalterm OVPAA-F-INS-055A RAW '!CO76:CX76))=COLUMNS('Finalterm OVPAA-F-INS-055A RAW '!CO76:CX76))=TRUE,"",(((COUNTA('Finalterm OVPAA-F-INS-055A RAW '!$CO$17:$CX$17)+COUNTBLANK('Finalterm OVPAA-F-INS-055A RAW '!CO76:CX76))-COLUMNS('Finalterm OVPAA-F-INS-055A RAW '!CO76:CX76))*5+SUM(CS76:DB76))/COUNTA('Finalterm OVPAA-F-INS-055A RAW '!$CO$17:$CX$17)))</f>
        <v/>
      </c>
      <c r="DD76" s="135" t="str">
        <f>IF(DC76="","",VLOOKUP(DC76,IF('Midterm OVPAA-F-INS-055A RAW SC'!$V$12=0.5,TRANSMUTATION!$C$4:$D$17,TRANSMUTATION!$G$4:$H$17),2,TRUE))</f>
        <v/>
      </c>
      <c r="DE76" s="136" t="str">
        <f t="shared" si="1"/>
        <v/>
      </c>
      <c r="DF76" s="166" t="str">
        <f t="shared" si="2"/>
        <v/>
      </c>
      <c r="DG76" s="167" t="str">
        <f t="shared" si="3"/>
        <v/>
      </c>
      <c r="DH76" s="168" t="str">
        <f t="shared" si="4"/>
        <v/>
      </c>
      <c r="DI76" s="169" t="str">
        <f t="shared" si="5"/>
        <v/>
      </c>
    </row>
    <row r="77" spans="5:113" ht="15.75" hidden="1" customHeight="1">
      <c r="E77" s="59">
        <v>60</v>
      </c>
      <c r="F77" s="124" t="str">
        <f>IF(NOT(ISBLANK('Midterm OVPAA-F-INS-055A RAW SC'!F77)),'Midterm OVPAA-F-INS-055A RAW SC'!F77,"")</f>
        <v/>
      </c>
      <c r="G77" s="125" t="str">
        <f>IF(NOT(ISBLANK('Midterm OVPAA-F-INS-055A RAW SC'!G77)),'Midterm OVPAA-F-INS-055A RAW SC'!G77,"")</f>
        <v/>
      </c>
      <c r="H77" s="126" t="str">
        <f>IF('Finalterm OVPAA-F-INS-055A RAW '!H77="","",'Finalterm OVPAA-F-INS-055A RAW '!H77/'Finalterm OVPAA-F-INS-055A RAW '!H$17*100)</f>
        <v/>
      </c>
      <c r="I77" s="126" t="str">
        <f>IF('Finalterm OVPAA-F-INS-055A RAW '!I77="","",'Finalterm OVPAA-F-INS-055A RAW '!I77/'Finalterm OVPAA-F-INS-055A RAW '!I$17*100)</f>
        <v/>
      </c>
      <c r="J77" s="126" t="str">
        <f>IF('Finalterm OVPAA-F-INS-055A RAW '!J77="","",'Finalterm OVPAA-F-INS-055A RAW '!J77/'Finalterm OVPAA-F-INS-055A RAW '!J$17*100)</f>
        <v/>
      </c>
      <c r="K77" s="126" t="str">
        <f>IF('Finalterm OVPAA-F-INS-055A RAW '!K77="","",'Finalterm OVPAA-F-INS-055A RAW '!K77/'Finalterm OVPAA-F-INS-055A RAW '!K$17*100)</f>
        <v/>
      </c>
      <c r="L77" s="126" t="str">
        <f>IF('Finalterm OVPAA-F-INS-055A RAW '!L77="","",'Finalterm OVPAA-F-INS-055A RAW '!L77/'Finalterm OVPAA-F-INS-055A RAW '!L$17*100)</f>
        <v/>
      </c>
      <c r="M77" s="126" t="str">
        <f>IF('Finalterm OVPAA-F-INS-055A RAW '!M77="","",'Finalterm OVPAA-F-INS-055A RAW '!M77/'Finalterm OVPAA-F-INS-055A RAW '!M$17*100)</f>
        <v/>
      </c>
      <c r="N77" s="126" t="str">
        <f>IF('Finalterm OVPAA-F-INS-055A RAW '!N77="","",'Finalterm OVPAA-F-INS-055A RAW '!N77/'Finalterm OVPAA-F-INS-055A RAW '!N$17*100)</f>
        <v/>
      </c>
      <c r="O77" s="126" t="str">
        <f>IF('Finalterm OVPAA-F-INS-055A RAW '!O77="","",'Finalterm OVPAA-F-INS-055A RAW '!O77/'Finalterm OVPAA-F-INS-055A RAW '!O$17*100)</f>
        <v/>
      </c>
      <c r="P77" s="126" t="str">
        <f>IF('Finalterm OVPAA-F-INS-055A RAW '!P77="","",'Finalterm OVPAA-F-INS-055A RAW '!P77/'Finalterm OVPAA-F-INS-055A RAW '!P$17*100)</f>
        <v/>
      </c>
      <c r="Q77" s="126" t="str">
        <f>IF('Finalterm OVPAA-F-INS-055A RAW '!Q77="","",'Finalterm OVPAA-F-INS-055A RAW '!Q77/'Finalterm OVPAA-F-INS-055A RAW '!Q$17*100)</f>
        <v/>
      </c>
      <c r="R77" s="126" t="str">
        <f>IF('Finalterm OVPAA-F-INS-055A RAW '!R77="","",'Finalterm OVPAA-F-INS-055A RAW '!R77/'Finalterm OVPAA-F-INS-055A RAW '!R$17*100)</f>
        <v/>
      </c>
      <c r="S77" s="126" t="str">
        <f>IF('Finalterm OVPAA-F-INS-055A RAW '!S77="","",'Finalterm OVPAA-F-INS-055A RAW '!S77/'Finalterm OVPAA-F-INS-055A RAW '!S$17*100)</f>
        <v/>
      </c>
      <c r="T77" s="126" t="str">
        <f>IF('Finalterm OVPAA-F-INS-055A RAW '!T77="","",'Finalterm OVPAA-F-INS-055A RAW '!T77/'Finalterm OVPAA-F-INS-055A RAW '!T$17*100)</f>
        <v/>
      </c>
      <c r="U77" s="126" t="str">
        <f>IF('Finalterm OVPAA-F-INS-055A RAW '!U77="","",'Finalterm OVPAA-F-INS-055A RAW '!U77/'Finalterm OVPAA-F-INS-055A RAW '!U$17*100)</f>
        <v/>
      </c>
      <c r="V77" s="126" t="str">
        <f>IF('Finalterm OVPAA-F-INS-055A RAW '!V77="","",'Finalterm OVPAA-F-INS-055A RAW '!V77/'Finalterm OVPAA-F-INS-055A RAW '!V$17*100)</f>
        <v/>
      </c>
      <c r="W77" s="126" t="str">
        <f>IF('Finalterm OVPAA-F-INS-055A RAW '!W77="","",'Finalterm OVPAA-F-INS-055A RAW '!W77/'Finalterm OVPAA-F-INS-055A RAW '!W$17*100)</f>
        <v/>
      </c>
      <c r="X77" s="126" t="str">
        <f>IF('Finalterm OVPAA-F-INS-055A RAW '!X77="","",'Finalterm OVPAA-F-INS-055A RAW '!X77/'Finalterm OVPAA-F-INS-055A RAW '!X$17*100)</f>
        <v/>
      </c>
      <c r="Y77" s="126" t="str">
        <f>IF('Finalterm OVPAA-F-INS-055A RAW '!Y77="","",'Finalterm OVPAA-F-INS-055A RAW '!Y77/'Finalterm OVPAA-F-INS-055A RAW '!Y$17*100)</f>
        <v/>
      </c>
      <c r="Z77" s="126" t="str">
        <f>IF('Finalterm OVPAA-F-INS-055A RAW '!Z77="","",'Finalterm OVPAA-F-INS-055A RAW '!Z77/'Finalterm OVPAA-F-INS-055A RAW '!Z$17*100)</f>
        <v/>
      </c>
      <c r="AA77" s="126" t="str">
        <f>IF('Finalterm OVPAA-F-INS-055A RAW '!AA77="","",'Finalterm OVPAA-F-INS-055A RAW '!AA77/'Finalterm OVPAA-F-INS-055A RAW '!AA$17*100)</f>
        <v/>
      </c>
      <c r="AB77" s="126" t="str">
        <f>IF('Finalterm OVPAA-F-INS-055A RAW '!AB77="","",'Finalterm OVPAA-F-INS-055A RAW '!AB77/'Finalterm OVPAA-F-INS-055A RAW '!AB$17*100)</f>
        <v/>
      </c>
      <c r="AC77" s="126" t="str">
        <f>IF('Finalterm OVPAA-F-INS-055A RAW '!AC77="","",'Finalterm OVPAA-F-INS-055A RAW '!AC77/'Finalterm OVPAA-F-INS-055A RAW '!AC$17*100)</f>
        <v/>
      </c>
      <c r="AD77" s="126" t="str">
        <f>IF('Finalterm OVPAA-F-INS-055A RAW '!AD77="","",'Finalterm OVPAA-F-INS-055A RAW '!AD77/'Finalterm OVPAA-F-INS-055A RAW '!AD$17*100)</f>
        <v/>
      </c>
      <c r="AE77" s="126" t="str">
        <f>IF('Finalterm OVPAA-F-INS-055A RAW '!AE77="","",'Finalterm OVPAA-F-INS-055A RAW '!AE77/'Finalterm OVPAA-F-INS-055A RAW '!AE$17*100)</f>
        <v/>
      </c>
      <c r="AF77" s="126" t="str">
        <f>IF('Finalterm OVPAA-F-INS-055A RAW '!AF77="","",'Finalterm OVPAA-F-INS-055A RAW '!AF77/'Finalterm OVPAA-F-INS-055A RAW '!AF$17*100)</f>
        <v/>
      </c>
      <c r="AG77" s="126" t="str">
        <f>IF('Finalterm OVPAA-F-INS-055A RAW '!AG77="","",'Finalterm OVPAA-F-INS-055A RAW '!AG77/'Finalterm OVPAA-F-INS-055A RAW '!AG$17*100)</f>
        <v/>
      </c>
      <c r="AH77" s="126" t="str">
        <f>IF('Finalterm OVPAA-F-INS-055A RAW '!AH77="","",'Finalterm OVPAA-F-INS-055A RAW '!AH77/'Finalterm OVPAA-F-INS-055A RAW '!AH$17*100)</f>
        <v/>
      </c>
      <c r="AI77" s="126" t="str">
        <f>IF('Finalterm OVPAA-F-INS-055A RAW '!AI77="","",'Finalterm OVPAA-F-INS-055A RAW '!AI77/'Finalterm OVPAA-F-INS-055A RAW '!AI$17*100)</f>
        <v/>
      </c>
      <c r="AJ77" s="126" t="str">
        <f>IF('Finalterm OVPAA-F-INS-055A RAW '!AJ77="","",'Finalterm OVPAA-F-INS-055A RAW '!AJ77/'Finalterm OVPAA-F-INS-055A RAW '!AJ$17*100)</f>
        <v/>
      </c>
      <c r="AK77" s="126" t="str">
        <f>IF('Finalterm OVPAA-F-INS-055A RAW '!AK77="","",'Finalterm OVPAA-F-INS-055A RAW '!AK77/'Finalterm OVPAA-F-INS-055A RAW '!AK$17*100)</f>
        <v/>
      </c>
      <c r="AL77" s="126" t="str">
        <f>IF('Finalterm OVPAA-F-INS-055A RAW '!AL77="","",'Finalterm OVPAA-F-INS-055A RAW '!AL77/'Finalterm OVPAA-F-INS-055A RAW '!AL$17*100)</f>
        <v/>
      </c>
      <c r="AM77" s="126" t="str">
        <f>IF('Finalterm OVPAA-F-INS-055A RAW '!AM77="","",'Finalterm OVPAA-F-INS-055A RAW '!AM77/'Finalterm OVPAA-F-INS-055A RAW '!AM$17*100)</f>
        <v/>
      </c>
      <c r="AN77" s="126" t="str">
        <f>IF('Finalterm OVPAA-F-INS-055A RAW '!AN77="","",'Finalterm OVPAA-F-INS-055A RAW '!AN77/'Finalterm OVPAA-F-INS-055A RAW '!AN$17*100)</f>
        <v/>
      </c>
      <c r="AO77" s="126" t="str">
        <f>IF('Finalterm OVPAA-F-INS-055A RAW '!AO77="","",'Finalterm OVPAA-F-INS-055A RAW '!AO77/'Finalterm OVPAA-F-INS-055A RAW '!AO$17*100)</f>
        <v/>
      </c>
      <c r="AP77" s="126" t="str">
        <f>IF('Finalterm OVPAA-F-INS-055A RAW '!AP77="","",'Finalterm OVPAA-F-INS-055A RAW '!AP77/'Finalterm OVPAA-F-INS-055A RAW '!AP$17*100)</f>
        <v/>
      </c>
      <c r="AQ77" s="126" t="str">
        <f>IF('Finalterm OVPAA-F-INS-055A RAW '!AQ77="","",'Finalterm OVPAA-F-INS-055A RAW '!AQ77/'Finalterm OVPAA-F-INS-055A RAW '!AQ$17*100)</f>
        <v/>
      </c>
      <c r="AR77" s="126" t="str">
        <f>IF('Finalterm OVPAA-F-INS-055A RAW '!AR77="","",'Finalterm OVPAA-F-INS-055A RAW '!AR77/'Finalterm OVPAA-F-INS-055A RAW '!AR$17*100)</f>
        <v/>
      </c>
      <c r="AS77" s="126" t="str">
        <f>IF('Finalterm OVPAA-F-INS-055A RAW '!AS77="","",'Finalterm OVPAA-F-INS-055A RAW '!AS77/'Finalterm OVPAA-F-INS-055A RAW '!AS$17*100)</f>
        <v/>
      </c>
      <c r="AT77" s="126" t="str">
        <f>IF('Finalterm OVPAA-F-INS-055A RAW '!AT77="","",'Finalterm OVPAA-F-INS-055A RAW '!AT77/'Finalterm OVPAA-F-INS-055A RAW '!AT$17*100)</f>
        <v/>
      </c>
      <c r="AU77" s="126" t="str">
        <f>IF('Finalterm OVPAA-F-INS-055A RAW '!AU77="","",'Finalterm OVPAA-F-INS-055A RAW '!AU77/'Finalterm OVPAA-F-INS-055A RAW '!AU$17*100)</f>
        <v/>
      </c>
      <c r="AV77" s="126" t="str">
        <f>IF('Finalterm OVPAA-F-INS-055A RAW '!AV77="","",'Finalterm OVPAA-F-INS-055A RAW '!AV77/'Finalterm OVPAA-F-INS-055A RAW '!AV$17*100)</f>
        <v/>
      </c>
      <c r="AW77" s="126" t="str">
        <f>IF('Finalterm OVPAA-F-INS-055A RAW '!AW77="","",'Finalterm OVPAA-F-INS-055A RAW '!AW77/'Finalterm OVPAA-F-INS-055A RAW '!AW$17*100)</f>
        <v/>
      </c>
      <c r="AX77" s="126" t="str">
        <f>IF('Finalterm OVPAA-F-INS-055A RAW '!AX77="","",'Finalterm OVPAA-F-INS-055A RAW '!AX77/'Finalterm OVPAA-F-INS-055A RAW '!AX$17*100)</f>
        <v/>
      </c>
      <c r="AY77" s="126" t="str">
        <f>IF('Finalterm OVPAA-F-INS-055A RAW '!AY77="","",'Finalterm OVPAA-F-INS-055A RAW '!AY77/'Finalterm OVPAA-F-INS-055A RAW '!AY$17*100)</f>
        <v/>
      </c>
      <c r="AZ77" s="126" t="str">
        <f>IF('Finalterm OVPAA-F-INS-055A RAW '!AZ77="","",'Finalterm OVPAA-F-INS-055A RAW '!AZ77/'Finalterm OVPAA-F-INS-055A RAW '!AZ$17*100)</f>
        <v/>
      </c>
      <c r="BA77" s="126" t="str">
        <f>IF('Finalterm OVPAA-F-INS-055A RAW '!BA77="","",'Finalterm OVPAA-F-INS-055A RAW '!BA77/'Finalterm OVPAA-F-INS-055A RAW '!BA$17*100)</f>
        <v/>
      </c>
      <c r="BB77" s="126" t="str">
        <f>IF('Finalterm OVPAA-F-INS-055A RAW '!BB77="","",'Finalterm OVPAA-F-INS-055A RAW '!BB77/'Finalterm OVPAA-F-INS-055A RAW '!BB$17*100)</f>
        <v/>
      </c>
      <c r="BC77" s="126" t="str">
        <f>IF('Finalterm OVPAA-F-INS-055A RAW '!BC77="","",'Finalterm OVPAA-F-INS-055A RAW '!BC77/'Finalterm OVPAA-F-INS-055A RAW '!BC$17*100)</f>
        <v/>
      </c>
      <c r="BD77" s="126" t="str">
        <f>IF('Finalterm OVPAA-F-INS-055A RAW '!BD77="","",'Finalterm OVPAA-F-INS-055A RAW '!BD77/'Finalterm OVPAA-F-INS-055A RAW '!BD$17*100)</f>
        <v/>
      </c>
      <c r="BE77" s="126" t="str">
        <f>IF('Finalterm OVPAA-F-INS-055A RAW '!BE77="","",'Finalterm OVPAA-F-INS-055A RAW '!BE77/'Finalterm OVPAA-F-INS-055A RAW '!BE$17*100)</f>
        <v/>
      </c>
      <c r="BF77" s="126" t="str">
        <f>IF('Finalterm OVPAA-F-INS-055A RAW '!BF77="","",'Finalterm OVPAA-F-INS-055A RAW '!BF77/'Finalterm OVPAA-F-INS-055A RAW '!BF$17*100)</f>
        <v/>
      </c>
      <c r="BG77" s="126" t="str">
        <f>IF('Finalterm OVPAA-F-INS-055A RAW '!BG77="","",'Finalterm OVPAA-F-INS-055A RAW '!BG77/'Finalterm OVPAA-F-INS-055A RAW '!BG$17*100)</f>
        <v/>
      </c>
      <c r="BH77" s="126" t="str">
        <f>IF('Finalterm OVPAA-F-INS-055A RAW '!BH77="","",'Finalterm OVPAA-F-INS-055A RAW '!BH77/'Finalterm OVPAA-F-INS-055A RAW '!BH$17*100)</f>
        <v/>
      </c>
      <c r="BI77" s="126" t="str">
        <f>IF('Finalterm OVPAA-F-INS-055A RAW '!BI77="","",'Finalterm OVPAA-F-INS-055A RAW '!BI77/'Finalterm OVPAA-F-INS-055A RAW '!BI$17*100)</f>
        <v/>
      </c>
      <c r="BJ77" s="126" t="str">
        <f>IF('Finalterm OVPAA-F-INS-055A RAW '!BJ77="","",'Finalterm OVPAA-F-INS-055A RAW '!BJ77/'Finalterm OVPAA-F-INS-055A RAW '!BJ$17*100)</f>
        <v/>
      </c>
      <c r="BK77" s="126" t="str">
        <f>IF('Finalterm OVPAA-F-INS-055A RAW '!BK77="","",'Finalterm OVPAA-F-INS-055A RAW '!BK77/'Finalterm OVPAA-F-INS-055A RAW '!BK$17*100)</f>
        <v/>
      </c>
      <c r="BL77" s="126" t="str">
        <f>IF('Finalterm OVPAA-F-INS-055A RAW '!BL77="","",'Finalterm OVPAA-F-INS-055A RAW '!BL77/'Finalterm OVPAA-F-INS-055A RAW '!BL$17*100)</f>
        <v/>
      </c>
      <c r="BM77" s="126" t="str">
        <f>IF('Finalterm OVPAA-F-INS-055A RAW '!BM77="","",'Finalterm OVPAA-F-INS-055A RAW '!BM77/'Finalterm OVPAA-F-INS-055A RAW '!BM$17*100)</f>
        <v/>
      </c>
      <c r="BN77" s="126" t="str">
        <f>IF('Finalterm OVPAA-F-INS-055A RAW '!BN77="","",'Finalterm OVPAA-F-INS-055A RAW '!BN77/'Finalterm OVPAA-F-INS-055A RAW '!BN$17*100)</f>
        <v/>
      </c>
      <c r="BO77" s="126" t="str">
        <f>IF('Finalterm OVPAA-F-INS-055A RAW '!BO77="","",'Finalterm OVPAA-F-INS-055A RAW '!BO77/'Finalterm OVPAA-F-INS-055A RAW '!BO$17*100)</f>
        <v/>
      </c>
      <c r="BP77" s="126" t="str">
        <f>IF('Finalterm OVPAA-F-INS-055A RAW '!BP77="","",'Finalterm OVPAA-F-INS-055A RAW '!BP77/'Finalterm OVPAA-F-INS-055A RAW '!BP$17*100)</f>
        <v/>
      </c>
      <c r="BQ77" s="126" t="str">
        <f>IF('Finalterm OVPAA-F-INS-055A RAW '!BQ77="","",'Finalterm OVPAA-F-INS-055A RAW '!BQ77/'Finalterm OVPAA-F-INS-055A RAW '!BQ$17*100)</f>
        <v/>
      </c>
      <c r="BR77" s="126" t="str">
        <f>IF('Finalterm OVPAA-F-INS-055A RAW '!BR77="","",'Finalterm OVPAA-F-INS-055A RAW '!BR77/'Finalterm OVPAA-F-INS-055A RAW '!BR$17*100)</f>
        <v/>
      </c>
      <c r="BS77" s="126" t="str">
        <f>IF('Finalterm OVPAA-F-INS-055A RAW '!BS77="","",'Finalterm OVPAA-F-INS-055A RAW '!BS77/'Finalterm OVPAA-F-INS-055A RAW '!BS$17*100)</f>
        <v/>
      </c>
      <c r="BT77" s="126" t="str">
        <f>IF('Finalterm OVPAA-F-INS-055A RAW '!BT77="","",'Finalterm OVPAA-F-INS-055A RAW '!BT77/'Finalterm OVPAA-F-INS-055A RAW '!BT$17*100)</f>
        <v/>
      </c>
      <c r="BU77" s="127" t="str">
        <f t="array" ref="BU77">IF('Finalterm OVPAA-F-INS-055A RAW '!$G77="","",IF((SUMPRODUCT(--ISBLANK('Finalterm OVPAA-F-INS-055A RAW '!H77:BT77))=COLUMNS('Finalterm OVPAA-F-INS-055A RAW '!H77:BT77))=TRUE,"",(((COUNTA('Finalterm OVPAA-F-INS-055A RAW '!$H$17:$BT$17)+COUNTBLANK('Finalterm OVPAA-F-INS-055A RAW '!H77:BT77))-COLUMNS('Finalterm OVPAA-F-INS-055A RAW '!H77:BT77))*5+SUM(H77:BT77))/COUNTA('Finalterm OVPAA-F-INS-055A RAW '!$H$17:$BT$17)))</f>
        <v/>
      </c>
      <c r="BV77" s="165" t="str">
        <f>IF(BU77="","",VLOOKUP(BU77,IF('Midterm OVPAA-F-INS-055A RAW SC'!$V$12=0.5,TRANSMUTATION!$C$4:$D$17,TRANSMUTATION!$G$4:$H$17),2,TRUE))</f>
        <v/>
      </c>
      <c r="BW77" s="129" t="str">
        <f>IF('Finalterm OVPAA-F-INS-055A RAW '!BU77="","",'Finalterm OVPAA-F-INS-055A RAW '!BU77/'Finalterm OVPAA-F-INS-055A RAW '!BU$17*100)</f>
        <v/>
      </c>
      <c r="BX77" s="130" t="str">
        <f>IF('Finalterm OVPAA-F-INS-055A RAW '!BV77="","",'Finalterm OVPAA-F-INS-055A RAW '!BV77/'Finalterm OVPAA-F-INS-055A RAW '!BV$17*100)</f>
        <v/>
      </c>
      <c r="BY77" s="130" t="str">
        <f>IF('Finalterm OVPAA-F-INS-055A RAW '!BW77="","",'Finalterm OVPAA-F-INS-055A RAW '!BW77/'Finalterm OVPAA-F-INS-055A RAW '!BW$17*100)</f>
        <v/>
      </c>
      <c r="BZ77" s="130" t="str">
        <f>IF('Finalterm OVPAA-F-INS-055A RAW '!BX77="","",'Finalterm OVPAA-F-INS-055A RAW '!BX77/'Finalterm OVPAA-F-INS-055A RAW '!BX$17*100)</f>
        <v/>
      </c>
      <c r="CA77" s="130" t="str">
        <f>IF('Finalterm OVPAA-F-INS-055A RAW '!BY77="","",'Finalterm OVPAA-F-INS-055A RAW '!BY77/'Finalterm OVPAA-F-INS-055A RAW '!BY$17*100)</f>
        <v/>
      </c>
      <c r="CB77" s="130" t="str">
        <f>IF('Finalterm OVPAA-F-INS-055A RAW '!BZ77="","",'Finalterm OVPAA-F-INS-055A RAW '!BZ77/'Finalterm OVPAA-F-INS-055A RAW '!BZ$17*100)</f>
        <v/>
      </c>
      <c r="CC77" s="130" t="str">
        <f>IF('Finalterm OVPAA-F-INS-055A RAW '!CA77="","",'Finalterm OVPAA-F-INS-055A RAW '!CA77/'Finalterm OVPAA-F-INS-055A RAW '!CA$17*100)</f>
        <v/>
      </c>
      <c r="CD77" s="130" t="str">
        <f>IF('Finalterm OVPAA-F-INS-055A RAW '!CB77="","",'Finalterm OVPAA-F-INS-055A RAW '!CB77/'Finalterm OVPAA-F-INS-055A RAW '!CB$17*100)</f>
        <v/>
      </c>
      <c r="CE77" s="130" t="str">
        <f>IF('Finalterm OVPAA-F-INS-055A RAW '!CC77="","",'Finalterm OVPAA-F-INS-055A RAW '!CC77/'Finalterm OVPAA-F-INS-055A RAW '!CC$17*100)</f>
        <v/>
      </c>
      <c r="CF77" s="130" t="str">
        <f>IF('Finalterm OVPAA-F-INS-055A RAW '!CD77="","",'Finalterm OVPAA-F-INS-055A RAW '!CD77/'Finalterm OVPAA-F-INS-055A RAW '!CD$17*100)</f>
        <v/>
      </c>
      <c r="CG77" s="130" t="str">
        <f>IF('Finalterm OVPAA-F-INS-055A RAW '!CE77="","",'Finalterm OVPAA-F-INS-055A RAW '!CE77/'Finalterm OVPAA-F-INS-055A RAW '!CE$17*100)</f>
        <v/>
      </c>
      <c r="CH77" s="130" t="str">
        <f>IF('Finalterm OVPAA-F-INS-055A RAW '!CF77="","",'Finalterm OVPAA-F-INS-055A RAW '!CF77/'Finalterm OVPAA-F-INS-055A RAW '!CF$17*100)</f>
        <v/>
      </c>
      <c r="CI77" s="130" t="str">
        <f>IF('Finalterm OVPAA-F-INS-055A RAW '!CG77="","",'Finalterm OVPAA-F-INS-055A RAW '!CG77/'Finalterm OVPAA-F-INS-055A RAW '!CG$17*100)</f>
        <v/>
      </c>
      <c r="CJ77" s="130" t="str">
        <f>IF('Finalterm OVPAA-F-INS-055A RAW '!CH77="","",'Finalterm OVPAA-F-INS-055A RAW '!CH77/'Finalterm OVPAA-F-INS-055A RAW '!CH$17*100)</f>
        <v/>
      </c>
      <c r="CK77" s="130" t="str">
        <f>IF('Finalterm OVPAA-F-INS-055A RAW '!CI77="","",'Finalterm OVPAA-F-INS-055A RAW '!CI77/'Finalterm OVPAA-F-INS-055A RAW '!CI$17*100)</f>
        <v/>
      </c>
      <c r="CL77" s="130" t="str">
        <f>IF('Finalterm OVPAA-F-INS-055A RAW '!CJ77="","",'Finalterm OVPAA-F-INS-055A RAW '!CJ77/'Finalterm OVPAA-F-INS-055A RAW '!CJ$17*100)</f>
        <v/>
      </c>
      <c r="CM77" s="130" t="str">
        <f>IF('Finalterm OVPAA-F-INS-055A RAW '!CK77="","",'Finalterm OVPAA-F-INS-055A RAW '!CK77/'Finalterm OVPAA-F-INS-055A RAW '!CK$17*100)</f>
        <v/>
      </c>
      <c r="CN77" s="130" t="str">
        <f>IF('Finalterm OVPAA-F-INS-055A RAW '!CL77="","",'Finalterm OVPAA-F-INS-055A RAW '!CL77/'Finalterm OVPAA-F-INS-055A RAW '!CL$17*100)</f>
        <v/>
      </c>
      <c r="CO77" s="130" t="str">
        <f>IF('Finalterm OVPAA-F-INS-055A RAW '!CM77="","",'Finalterm OVPAA-F-INS-055A RAW '!CM77/'Finalterm OVPAA-F-INS-055A RAW '!CM$17*100)</f>
        <v/>
      </c>
      <c r="CP77" s="130" t="str">
        <f>IF('Finalterm OVPAA-F-INS-055A RAW '!CN77="","",'Finalterm OVPAA-F-INS-055A RAW '!CN77/'Finalterm OVPAA-F-INS-055A RAW '!CN$17*100)</f>
        <v/>
      </c>
      <c r="CQ77" s="131" t="str">
        <f t="array" ref="CQ77">IF('Midterm OVPAA-F-INS-055A RAW SC'!G77="","",IF((SUMPRODUCT(--ISBLANK('Finalterm OVPAA-F-INS-055A RAW '!BU77:CN77))=COLUMNS('Finalterm OVPAA-F-INS-055A RAW '!BU77:CN77))=TRUE,"",(((COUNTA('Finalterm OVPAA-F-INS-055A RAW '!$BU$17:$CN$17)+COUNTBLANK('Finalterm OVPAA-F-INS-055A RAW '!BU77:CN77))-COLUMNS('Finalterm OVPAA-F-INS-055A RAW '!BU77:CN77))*5+SUM(BW77:CP77))/COUNTA('Finalterm OVPAA-F-INS-055A RAW '!$BU$17:$CN$17)))</f>
        <v/>
      </c>
      <c r="CR77" s="132" t="str">
        <f>IF(CQ77="","",VLOOKUP(CQ77,IF('Midterm OVPAA-F-INS-055A RAW SC'!$V$12=0.5,TRANSMUTATION!$C$4:$D$17,TRANSMUTATION!$G$4:$H$17),2,TRUE))</f>
        <v/>
      </c>
      <c r="CS77" s="133" t="str">
        <f>IF('Finalterm OVPAA-F-INS-055A RAW '!CO77="","",'Finalterm OVPAA-F-INS-055A RAW '!CO77/'Finalterm OVPAA-F-INS-055A RAW '!CO$17*100)</f>
        <v/>
      </c>
      <c r="CT77" s="133" t="str">
        <f>IF('Finalterm OVPAA-F-INS-055A RAW '!CP77="","",'Finalterm OVPAA-F-INS-055A RAW '!CP77/'Finalterm OVPAA-F-INS-055A RAW '!CP$17*100)</f>
        <v/>
      </c>
      <c r="CU77" s="133" t="str">
        <f>IF('Finalterm OVPAA-F-INS-055A RAW '!CQ77="","",'Finalterm OVPAA-F-INS-055A RAW '!CQ77/'Finalterm OVPAA-F-INS-055A RAW '!CQ$17*100)</f>
        <v/>
      </c>
      <c r="CV77" s="133" t="str">
        <f>IF('Finalterm OVPAA-F-INS-055A RAW '!CR77="","",'Finalterm OVPAA-F-INS-055A RAW '!CR77/'Finalterm OVPAA-F-INS-055A RAW '!CR$17*100)</f>
        <v/>
      </c>
      <c r="CW77" s="133" t="str">
        <f>IF('Finalterm OVPAA-F-INS-055A RAW '!CS77="","",'Finalterm OVPAA-F-INS-055A RAW '!CS77/'Finalterm OVPAA-F-INS-055A RAW '!CS$17*100)</f>
        <v/>
      </c>
      <c r="CX77" s="133" t="str">
        <f>IF('Finalterm OVPAA-F-INS-055A RAW '!CT77="","",'Finalterm OVPAA-F-INS-055A RAW '!CT77/'Finalterm OVPAA-F-INS-055A RAW '!CT$17*100)</f>
        <v/>
      </c>
      <c r="CY77" s="133" t="str">
        <f>IF('Finalterm OVPAA-F-INS-055A RAW '!CU77="","",'Finalterm OVPAA-F-INS-055A RAW '!CU77/'Finalterm OVPAA-F-INS-055A RAW '!CU$17*100)</f>
        <v/>
      </c>
      <c r="CZ77" s="133" t="str">
        <f>IF('Finalterm OVPAA-F-INS-055A RAW '!CV77="","",'Finalterm OVPAA-F-INS-055A RAW '!CV77/'Finalterm OVPAA-F-INS-055A RAW '!CV$17*100)</f>
        <v/>
      </c>
      <c r="DA77" s="133" t="str">
        <f>IF('Finalterm OVPAA-F-INS-055A RAW '!CW77="","",'Finalterm OVPAA-F-INS-055A RAW '!CW77/'Finalterm OVPAA-F-INS-055A RAW '!CW$17*100)</f>
        <v/>
      </c>
      <c r="DB77" s="133" t="str">
        <f>IF('Finalterm OVPAA-F-INS-055A RAW '!CX77="","",'Finalterm OVPAA-F-INS-055A RAW '!CX77/'Finalterm OVPAA-F-INS-055A RAW '!CX$17*100)</f>
        <v/>
      </c>
      <c r="DC77" s="134" t="str">
        <f t="array" ref="DC77">IF('Midterm OVPAA-F-INS-055A RAW SC'!$G77="","",IF((SUMPRODUCT(--ISBLANK('Finalterm OVPAA-F-INS-055A RAW '!CO77:CX77))=COLUMNS('Finalterm OVPAA-F-INS-055A RAW '!CO77:CX77))=TRUE,"",(((COUNTA('Finalterm OVPAA-F-INS-055A RAW '!$CO$17:$CX$17)+COUNTBLANK('Finalterm OVPAA-F-INS-055A RAW '!CO77:CX77))-COLUMNS('Finalterm OVPAA-F-INS-055A RAW '!CO77:CX77))*5+SUM(CS77:DB77))/COUNTA('Finalterm OVPAA-F-INS-055A RAW '!$CO$17:$CX$17)))</f>
        <v/>
      </c>
      <c r="DD77" s="135" t="str">
        <f>IF(DC77="","",VLOOKUP(DC77,IF('Midterm OVPAA-F-INS-055A RAW SC'!$V$12=0.5,TRANSMUTATION!$C$4:$D$17,TRANSMUTATION!$G$4:$H$17),2,TRUE))</f>
        <v/>
      </c>
      <c r="DE77" s="136" t="str">
        <f t="shared" si="1"/>
        <v/>
      </c>
      <c r="DF77" s="166" t="str">
        <f t="shared" si="2"/>
        <v/>
      </c>
      <c r="DG77" s="167" t="str">
        <f t="shared" si="3"/>
        <v/>
      </c>
      <c r="DH77" s="168" t="str">
        <f t="shared" si="4"/>
        <v/>
      </c>
      <c r="DI77" s="169" t="str">
        <f t="shared" si="5"/>
        <v/>
      </c>
    </row>
    <row r="78" spans="5:113" ht="15.75" hidden="1" customHeight="1">
      <c r="E78" s="59">
        <v>61</v>
      </c>
      <c r="F78" s="124" t="str">
        <f>IF(NOT(ISBLANK('Midterm OVPAA-F-INS-055A RAW SC'!F78)),'Midterm OVPAA-F-INS-055A RAW SC'!F78,"")</f>
        <v/>
      </c>
      <c r="G78" s="125" t="str">
        <f>IF(NOT(ISBLANK('Midterm OVPAA-F-INS-055A RAW SC'!G78)),'Midterm OVPAA-F-INS-055A RAW SC'!G78,"")</f>
        <v/>
      </c>
      <c r="H78" s="126" t="str">
        <f>IF('Finalterm OVPAA-F-INS-055A RAW '!H78="","",'Finalterm OVPAA-F-INS-055A RAW '!H78/'Finalterm OVPAA-F-INS-055A RAW '!H$17*100)</f>
        <v/>
      </c>
      <c r="I78" s="126" t="str">
        <f>IF('Finalterm OVPAA-F-INS-055A RAW '!I78="","",'Finalterm OVPAA-F-INS-055A RAW '!I78/'Finalterm OVPAA-F-INS-055A RAW '!I$17*100)</f>
        <v/>
      </c>
      <c r="J78" s="126" t="str">
        <f>IF('Finalterm OVPAA-F-INS-055A RAW '!J78="","",'Finalterm OVPAA-F-INS-055A RAW '!J78/'Finalterm OVPAA-F-INS-055A RAW '!J$17*100)</f>
        <v/>
      </c>
      <c r="K78" s="126" t="str">
        <f>IF('Finalterm OVPAA-F-INS-055A RAW '!K78="","",'Finalterm OVPAA-F-INS-055A RAW '!K78/'Finalterm OVPAA-F-INS-055A RAW '!K$17*100)</f>
        <v/>
      </c>
      <c r="L78" s="126" t="str">
        <f>IF('Finalterm OVPAA-F-INS-055A RAW '!L78="","",'Finalterm OVPAA-F-INS-055A RAW '!L78/'Finalterm OVPAA-F-INS-055A RAW '!L$17*100)</f>
        <v/>
      </c>
      <c r="M78" s="126" t="str">
        <f>IF('Finalterm OVPAA-F-INS-055A RAW '!M78="","",'Finalterm OVPAA-F-INS-055A RAW '!M78/'Finalterm OVPAA-F-INS-055A RAW '!M$17*100)</f>
        <v/>
      </c>
      <c r="N78" s="126" t="str">
        <f>IF('Finalterm OVPAA-F-INS-055A RAW '!N78="","",'Finalterm OVPAA-F-INS-055A RAW '!N78/'Finalterm OVPAA-F-INS-055A RAW '!N$17*100)</f>
        <v/>
      </c>
      <c r="O78" s="126" t="str">
        <f>IF('Finalterm OVPAA-F-INS-055A RAW '!O78="","",'Finalterm OVPAA-F-INS-055A RAW '!O78/'Finalterm OVPAA-F-INS-055A RAW '!O$17*100)</f>
        <v/>
      </c>
      <c r="P78" s="126" t="str">
        <f>IF('Finalterm OVPAA-F-INS-055A RAW '!P78="","",'Finalterm OVPAA-F-INS-055A RAW '!P78/'Finalterm OVPAA-F-INS-055A RAW '!P$17*100)</f>
        <v/>
      </c>
      <c r="Q78" s="126" t="str">
        <f>IF('Finalterm OVPAA-F-INS-055A RAW '!Q78="","",'Finalterm OVPAA-F-INS-055A RAW '!Q78/'Finalterm OVPAA-F-INS-055A RAW '!Q$17*100)</f>
        <v/>
      </c>
      <c r="R78" s="126" t="str">
        <f>IF('Finalterm OVPAA-F-INS-055A RAW '!R78="","",'Finalterm OVPAA-F-INS-055A RAW '!R78/'Finalterm OVPAA-F-INS-055A RAW '!R$17*100)</f>
        <v/>
      </c>
      <c r="S78" s="126" t="str">
        <f>IF('Finalterm OVPAA-F-INS-055A RAW '!S78="","",'Finalterm OVPAA-F-INS-055A RAW '!S78/'Finalterm OVPAA-F-INS-055A RAW '!S$17*100)</f>
        <v/>
      </c>
      <c r="T78" s="126" t="str">
        <f>IF('Finalterm OVPAA-F-INS-055A RAW '!T78="","",'Finalterm OVPAA-F-INS-055A RAW '!T78/'Finalterm OVPAA-F-INS-055A RAW '!T$17*100)</f>
        <v/>
      </c>
      <c r="U78" s="126" t="str">
        <f>IF('Finalterm OVPAA-F-INS-055A RAW '!U78="","",'Finalterm OVPAA-F-INS-055A RAW '!U78/'Finalterm OVPAA-F-INS-055A RAW '!U$17*100)</f>
        <v/>
      </c>
      <c r="V78" s="126" t="str">
        <f>IF('Finalterm OVPAA-F-INS-055A RAW '!V78="","",'Finalterm OVPAA-F-INS-055A RAW '!V78/'Finalterm OVPAA-F-INS-055A RAW '!V$17*100)</f>
        <v/>
      </c>
      <c r="W78" s="126" t="str">
        <f>IF('Finalterm OVPAA-F-INS-055A RAW '!W78="","",'Finalterm OVPAA-F-INS-055A RAW '!W78/'Finalterm OVPAA-F-INS-055A RAW '!W$17*100)</f>
        <v/>
      </c>
      <c r="X78" s="126" t="str">
        <f>IF('Finalterm OVPAA-F-INS-055A RAW '!X78="","",'Finalterm OVPAA-F-INS-055A RAW '!X78/'Finalterm OVPAA-F-INS-055A RAW '!X$17*100)</f>
        <v/>
      </c>
      <c r="Y78" s="126" t="str">
        <f>IF('Finalterm OVPAA-F-INS-055A RAW '!Y78="","",'Finalterm OVPAA-F-INS-055A RAW '!Y78/'Finalterm OVPAA-F-INS-055A RAW '!Y$17*100)</f>
        <v/>
      </c>
      <c r="Z78" s="126" t="str">
        <f>IF('Finalterm OVPAA-F-INS-055A RAW '!Z78="","",'Finalterm OVPAA-F-INS-055A RAW '!Z78/'Finalterm OVPAA-F-INS-055A RAW '!Z$17*100)</f>
        <v/>
      </c>
      <c r="AA78" s="126" t="str">
        <f>IF('Finalterm OVPAA-F-INS-055A RAW '!AA78="","",'Finalterm OVPAA-F-INS-055A RAW '!AA78/'Finalterm OVPAA-F-INS-055A RAW '!AA$17*100)</f>
        <v/>
      </c>
      <c r="AB78" s="126" t="str">
        <f>IF('Finalterm OVPAA-F-INS-055A RAW '!AB78="","",'Finalterm OVPAA-F-INS-055A RAW '!AB78/'Finalterm OVPAA-F-INS-055A RAW '!AB$17*100)</f>
        <v/>
      </c>
      <c r="AC78" s="126" t="str">
        <f>IF('Finalterm OVPAA-F-INS-055A RAW '!AC78="","",'Finalterm OVPAA-F-INS-055A RAW '!AC78/'Finalterm OVPAA-F-INS-055A RAW '!AC$17*100)</f>
        <v/>
      </c>
      <c r="AD78" s="126" t="str">
        <f>IF('Finalterm OVPAA-F-INS-055A RAW '!AD78="","",'Finalterm OVPAA-F-INS-055A RAW '!AD78/'Finalterm OVPAA-F-INS-055A RAW '!AD$17*100)</f>
        <v/>
      </c>
      <c r="AE78" s="126" t="str">
        <f>IF('Finalterm OVPAA-F-INS-055A RAW '!AE78="","",'Finalterm OVPAA-F-INS-055A RAW '!AE78/'Finalterm OVPAA-F-INS-055A RAW '!AE$17*100)</f>
        <v/>
      </c>
      <c r="AF78" s="126" t="str">
        <f>IF('Finalterm OVPAA-F-INS-055A RAW '!AF78="","",'Finalterm OVPAA-F-INS-055A RAW '!AF78/'Finalterm OVPAA-F-INS-055A RAW '!AF$17*100)</f>
        <v/>
      </c>
      <c r="AG78" s="126" t="str">
        <f>IF('Finalterm OVPAA-F-INS-055A RAW '!AG78="","",'Finalterm OVPAA-F-INS-055A RAW '!AG78/'Finalterm OVPAA-F-INS-055A RAW '!AG$17*100)</f>
        <v/>
      </c>
      <c r="AH78" s="126" t="str">
        <f>IF('Finalterm OVPAA-F-INS-055A RAW '!AH78="","",'Finalterm OVPAA-F-INS-055A RAW '!AH78/'Finalterm OVPAA-F-INS-055A RAW '!AH$17*100)</f>
        <v/>
      </c>
      <c r="AI78" s="126" t="str">
        <f>IF('Finalterm OVPAA-F-INS-055A RAW '!AI78="","",'Finalterm OVPAA-F-INS-055A RAW '!AI78/'Finalterm OVPAA-F-INS-055A RAW '!AI$17*100)</f>
        <v/>
      </c>
      <c r="AJ78" s="126" t="str">
        <f>IF('Finalterm OVPAA-F-INS-055A RAW '!AJ78="","",'Finalterm OVPAA-F-INS-055A RAW '!AJ78/'Finalterm OVPAA-F-INS-055A RAW '!AJ$17*100)</f>
        <v/>
      </c>
      <c r="AK78" s="126" t="str">
        <f>IF('Finalterm OVPAA-F-INS-055A RAW '!AK78="","",'Finalterm OVPAA-F-INS-055A RAW '!AK78/'Finalterm OVPAA-F-INS-055A RAW '!AK$17*100)</f>
        <v/>
      </c>
      <c r="AL78" s="126" t="str">
        <f>IF('Finalterm OVPAA-F-INS-055A RAW '!AL78="","",'Finalterm OVPAA-F-INS-055A RAW '!AL78/'Finalterm OVPAA-F-INS-055A RAW '!AL$17*100)</f>
        <v/>
      </c>
      <c r="AM78" s="126" t="str">
        <f>IF('Finalterm OVPAA-F-INS-055A RAW '!AM78="","",'Finalterm OVPAA-F-INS-055A RAW '!AM78/'Finalterm OVPAA-F-INS-055A RAW '!AM$17*100)</f>
        <v/>
      </c>
      <c r="AN78" s="126" t="str">
        <f>IF('Finalterm OVPAA-F-INS-055A RAW '!AN78="","",'Finalterm OVPAA-F-INS-055A RAW '!AN78/'Finalterm OVPAA-F-INS-055A RAW '!AN$17*100)</f>
        <v/>
      </c>
      <c r="AO78" s="126" t="str">
        <f>IF('Finalterm OVPAA-F-INS-055A RAW '!AO78="","",'Finalterm OVPAA-F-INS-055A RAW '!AO78/'Finalterm OVPAA-F-INS-055A RAW '!AO$17*100)</f>
        <v/>
      </c>
      <c r="AP78" s="126" t="str">
        <f>IF('Finalterm OVPAA-F-INS-055A RAW '!AP78="","",'Finalterm OVPAA-F-INS-055A RAW '!AP78/'Finalterm OVPAA-F-INS-055A RAW '!AP$17*100)</f>
        <v/>
      </c>
      <c r="AQ78" s="126" t="str">
        <f>IF('Finalterm OVPAA-F-INS-055A RAW '!AQ78="","",'Finalterm OVPAA-F-INS-055A RAW '!AQ78/'Finalterm OVPAA-F-INS-055A RAW '!AQ$17*100)</f>
        <v/>
      </c>
      <c r="AR78" s="126" t="str">
        <f>IF('Finalterm OVPAA-F-INS-055A RAW '!AR78="","",'Finalterm OVPAA-F-INS-055A RAW '!AR78/'Finalterm OVPAA-F-INS-055A RAW '!AR$17*100)</f>
        <v/>
      </c>
      <c r="AS78" s="126" t="str">
        <f>IF('Finalterm OVPAA-F-INS-055A RAW '!AS78="","",'Finalterm OVPAA-F-INS-055A RAW '!AS78/'Finalterm OVPAA-F-INS-055A RAW '!AS$17*100)</f>
        <v/>
      </c>
      <c r="AT78" s="126" t="str">
        <f>IF('Finalterm OVPAA-F-INS-055A RAW '!AT78="","",'Finalterm OVPAA-F-INS-055A RAW '!AT78/'Finalterm OVPAA-F-INS-055A RAW '!AT$17*100)</f>
        <v/>
      </c>
      <c r="AU78" s="126" t="str">
        <f>IF('Finalterm OVPAA-F-INS-055A RAW '!AU78="","",'Finalterm OVPAA-F-INS-055A RAW '!AU78/'Finalterm OVPAA-F-INS-055A RAW '!AU$17*100)</f>
        <v/>
      </c>
      <c r="AV78" s="126" t="str">
        <f>IF('Finalterm OVPAA-F-INS-055A RAW '!AV78="","",'Finalterm OVPAA-F-INS-055A RAW '!AV78/'Finalterm OVPAA-F-INS-055A RAW '!AV$17*100)</f>
        <v/>
      </c>
      <c r="AW78" s="126" t="str">
        <f>IF('Finalterm OVPAA-F-INS-055A RAW '!AW78="","",'Finalterm OVPAA-F-INS-055A RAW '!AW78/'Finalterm OVPAA-F-INS-055A RAW '!AW$17*100)</f>
        <v/>
      </c>
      <c r="AX78" s="126" t="str">
        <f>IF('Finalterm OVPAA-F-INS-055A RAW '!AX78="","",'Finalterm OVPAA-F-INS-055A RAW '!AX78/'Finalterm OVPAA-F-INS-055A RAW '!AX$17*100)</f>
        <v/>
      </c>
      <c r="AY78" s="126" t="str">
        <f>IF('Finalterm OVPAA-F-INS-055A RAW '!AY78="","",'Finalterm OVPAA-F-INS-055A RAW '!AY78/'Finalterm OVPAA-F-INS-055A RAW '!AY$17*100)</f>
        <v/>
      </c>
      <c r="AZ78" s="126" t="str">
        <f>IF('Finalterm OVPAA-F-INS-055A RAW '!AZ78="","",'Finalterm OVPAA-F-INS-055A RAW '!AZ78/'Finalterm OVPAA-F-INS-055A RAW '!AZ$17*100)</f>
        <v/>
      </c>
      <c r="BA78" s="126" t="str">
        <f>IF('Finalterm OVPAA-F-INS-055A RAW '!BA78="","",'Finalterm OVPAA-F-INS-055A RAW '!BA78/'Finalterm OVPAA-F-INS-055A RAW '!BA$17*100)</f>
        <v/>
      </c>
      <c r="BB78" s="126" t="str">
        <f>IF('Finalterm OVPAA-F-INS-055A RAW '!BB78="","",'Finalterm OVPAA-F-INS-055A RAW '!BB78/'Finalterm OVPAA-F-INS-055A RAW '!BB$17*100)</f>
        <v/>
      </c>
      <c r="BC78" s="126" t="str">
        <f>IF('Finalterm OVPAA-F-INS-055A RAW '!BC78="","",'Finalterm OVPAA-F-INS-055A RAW '!BC78/'Finalterm OVPAA-F-INS-055A RAW '!BC$17*100)</f>
        <v/>
      </c>
      <c r="BD78" s="126" t="str">
        <f>IF('Finalterm OVPAA-F-INS-055A RAW '!BD78="","",'Finalterm OVPAA-F-INS-055A RAW '!BD78/'Finalterm OVPAA-F-INS-055A RAW '!BD$17*100)</f>
        <v/>
      </c>
      <c r="BE78" s="126" t="str">
        <f>IF('Finalterm OVPAA-F-INS-055A RAW '!BE78="","",'Finalterm OVPAA-F-INS-055A RAW '!BE78/'Finalterm OVPAA-F-INS-055A RAW '!BE$17*100)</f>
        <v/>
      </c>
      <c r="BF78" s="126" t="str">
        <f>IF('Finalterm OVPAA-F-INS-055A RAW '!BF78="","",'Finalterm OVPAA-F-INS-055A RAW '!BF78/'Finalterm OVPAA-F-INS-055A RAW '!BF$17*100)</f>
        <v/>
      </c>
      <c r="BG78" s="126" t="str">
        <f>IF('Finalterm OVPAA-F-INS-055A RAW '!BG78="","",'Finalterm OVPAA-F-INS-055A RAW '!BG78/'Finalterm OVPAA-F-INS-055A RAW '!BG$17*100)</f>
        <v/>
      </c>
      <c r="BH78" s="126" t="str">
        <f>IF('Finalterm OVPAA-F-INS-055A RAW '!BH78="","",'Finalterm OVPAA-F-INS-055A RAW '!BH78/'Finalterm OVPAA-F-INS-055A RAW '!BH$17*100)</f>
        <v/>
      </c>
      <c r="BI78" s="126" t="str">
        <f>IF('Finalterm OVPAA-F-INS-055A RAW '!BI78="","",'Finalterm OVPAA-F-INS-055A RAW '!BI78/'Finalterm OVPAA-F-INS-055A RAW '!BI$17*100)</f>
        <v/>
      </c>
      <c r="BJ78" s="126" t="str">
        <f>IF('Finalterm OVPAA-F-INS-055A RAW '!BJ78="","",'Finalterm OVPAA-F-INS-055A RAW '!BJ78/'Finalterm OVPAA-F-INS-055A RAW '!BJ$17*100)</f>
        <v/>
      </c>
      <c r="BK78" s="126" t="str">
        <f>IF('Finalterm OVPAA-F-INS-055A RAW '!BK78="","",'Finalterm OVPAA-F-INS-055A RAW '!BK78/'Finalterm OVPAA-F-INS-055A RAW '!BK$17*100)</f>
        <v/>
      </c>
      <c r="BL78" s="126" t="str">
        <f>IF('Finalterm OVPAA-F-INS-055A RAW '!BL78="","",'Finalterm OVPAA-F-INS-055A RAW '!BL78/'Finalterm OVPAA-F-INS-055A RAW '!BL$17*100)</f>
        <v/>
      </c>
      <c r="BM78" s="126" t="str">
        <f>IF('Finalterm OVPAA-F-INS-055A RAW '!BM78="","",'Finalterm OVPAA-F-INS-055A RAW '!BM78/'Finalterm OVPAA-F-INS-055A RAW '!BM$17*100)</f>
        <v/>
      </c>
      <c r="BN78" s="126" t="str">
        <f>IF('Finalterm OVPAA-F-INS-055A RAW '!BN78="","",'Finalterm OVPAA-F-INS-055A RAW '!BN78/'Finalterm OVPAA-F-INS-055A RAW '!BN$17*100)</f>
        <v/>
      </c>
      <c r="BO78" s="126" t="str">
        <f>IF('Finalterm OVPAA-F-INS-055A RAW '!BO78="","",'Finalterm OVPAA-F-INS-055A RAW '!BO78/'Finalterm OVPAA-F-INS-055A RAW '!BO$17*100)</f>
        <v/>
      </c>
      <c r="BP78" s="126" t="str">
        <f>IF('Finalterm OVPAA-F-INS-055A RAW '!BP78="","",'Finalterm OVPAA-F-INS-055A RAW '!BP78/'Finalterm OVPAA-F-INS-055A RAW '!BP$17*100)</f>
        <v/>
      </c>
      <c r="BQ78" s="126" t="str">
        <f>IF('Finalterm OVPAA-F-INS-055A RAW '!BQ78="","",'Finalterm OVPAA-F-INS-055A RAW '!BQ78/'Finalterm OVPAA-F-INS-055A RAW '!BQ$17*100)</f>
        <v/>
      </c>
      <c r="BR78" s="126" t="str">
        <f>IF('Finalterm OVPAA-F-INS-055A RAW '!BR78="","",'Finalterm OVPAA-F-INS-055A RAW '!BR78/'Finalterm OVPAA-F-INS-055A RAW '!BR$17*100)</f>
        <v/>
      </c>
      <c r="BS78" s="126" t="str">
        <f>IF('Finalterm OVPAA-F-INS-055A RAW '!BS78="","",'Finalterm OVPAA-F-INS-055A RAW '!BS78/'Finalterm OVPAA-F-INS-055A RAW '!BS$17*100)</f>
        <v/>
      </c>
      <c r="BT78" s="126" t="str">
        <f>IF('Finalterm OVPAA-F-INS-055A RAW '!BT78="","",'Finalterm OVPAA-F-INS-055A RAW '!BT78/'Finalterm OVPAA-F-INS-055A RAW '!BT$17*100)</f>
        <v/>
      </c>
      <c r="BU78" s="127" t="str">
        <f t="array" ref="BU78">IF('Finalterm OVPAA-F-INS-055A RAW '!$G78="","",IF((SUMPRODUCT(--ISBLANK('Finalterm OVPAA-F-INS-055A RAW '!H78:BT78))=COLUMNS('Finalterm OVPAA-F-INS-055A RAW '!H78:BT78))=TRUE,"",(((COUNTA('Finalterm OVPAA-F-INS-055A RAW '!$H$17:$BT$17)+COUNTBLANK('Finalterm OVPAA-F-INS-055A RAW '!H78:BT78))-COLUMNS('Finalterm OVPAA-F-INS-055A RAW '!H78:BT78))*5+SUM(H78:BT78))/COUNTA('Finalterm OVPAA-F-INS-055A RAW '!$H$17:$BT$17)))</f>
        <v/>
      </c>
      <c r="BV78" s="165" t="str">
        <f>IF(BU78="","",VLOOKUP(BU78,IF('Midterm OVPAA-F-INS-055A RAW SC'!$V$12=0.5,TRANSMUTATION!$C$4:$D$17,TRANSMUTATION!$G$4:$H$17),2,TRUE))</f>
        <v/>
      </c>
      <c r="BW78" s="129" t="str">
        <f>IF('Finalterm OVPAA-F-INS-055A RAW '!BU78="","",'Finalterm OVPAA-F-INS-055A RAW '!BU78/'Finalterm OVPAA-F-INS-055A RAW '!BU$17*100)</f>
        <v/>
      </c>
      <c r="BX78" s="130" t="str">
        <f>IF('Finalterm OVPAA-F-INS-055A RAW '!BV78="","",'Finalterm OVPAA-F-INS-055A RAW '!BV78/'Finalterm OVPAA-F-INS-055A RAW '!BV$17*100)</f>
        <v/>
      </c>
      <c r="BY78" s="130" t="str">
        <f>IF('Finalterm OVPAA-F-INS-055A RAW '!BW78="","",'Finalterm OVPAA-F-INS-055A RAW '!BW78/'Finalterm OVPAA-F-INS-055A RAW '!BW$17*100)</f>
        <v/>
      </c>
      <c r="BZ78" s="130" t="str">
        <f>IF('Finalterm OVPAA-F-INS-055A RAW '!BX78="","",'Finalterm OVPAA-F-INS-055A RAW '!BX78/'Finalterm OVPAA-F-INS-055A RAW '!BX$17*100)</f>
        <v/>
      </c>
      <c r="CA78" s="130" t="str">
        <f>IF('Finalterm OVPAA-F-INS-055A RAW '!BY78="","",'Finalterm OVPAA-F-INS-055A RAW '!BY78/'Finalterm OVPAA-F-INS-055A RAW '!BY$17*100)</f>
        <v/>
      </c>
      <c r="CB78" s="130" t="str">
        <f>IF('Finalterm OVPAA-F-INS-055A RAW '!BZ78="","",'Finalterm OVPAA-F-INS-055A RAW '!BZ78/'Finalterm OVPAA-F-INS-055A RAW '!BZ$17*100)</f>
        <v/>
      </c>
      <c r="CC78" s="130" t="str">
        <f>IF('Finalterm OVPAA-F-INS-055A RAW '!CA78="","",'Finalterm OVPAA-F-INS-055A RAW '!CA78/'Finalterm OVPAA-F-INS-055A RAW '!CA$17*100)</f>
        <v/>
      </c>
      <c r="CD78" s="130" t="str">
        <f>IF('Finalterm OVPAA-F-INS-055A RAW '!CB78="","",'Finalterm OVPAA-F-INS-055A RAW '!CB78/'Finalterm OVPAA-F-INS-055A RAW '!CB$17*100)</f>
        <v/>
      </c>
      <c r="CE78" s="130" t="str">
        <f>IF('Finalterm OVPAA-F-INS-055A RAW '!CC78="","",'Finalterm OVPAA-F-INS-055A RAW '!CC78/'Finalterm OVPAA-F-INS-055A RAW '!CC$17*100)</f>
        <v/>
      </c>
      <c r="CF78" s="130" t="str">
        <f>IF('Finalterm OVPAA-F-INS-055A RAW '!CD78="","",'Finalterm OVPAA-F-INS-055A RAW '!CD78/'Finalterm OVPAA-F-INS-055A RAW '!CD$17*100)</f>
        <v/>
      </c>
      <c r="CG78" s="130" t="str">
        <f>IF('Finalterm OVPAA-F-INS-055A RAW '!CE78="","",'Finalterm OVPAA-F-INS-055A RAW '!CE78/'Finalterm OVPAA-F-INS-055A RAW '!CE$17*100)</f>
        <v/>
      </c>
      <c r="CH78" s="130" t="str">
        <f>IF('Finalterm OVPAA-F-INS-055A RAW '!CF78="","",'Finalterm OVPAA-F-INS-055A RAW '!CF78/'Finalterm OVPAA-F-INS-055A RAW '!CF$17*100)</f>
        <v/>
      </c>
      <c r="CI78" s="130" t="str">
        <f>IF('Finalterm OVPAA-F-INS-055A RAW '!CG78="","",'Finalterm OVPAA-F-INS-055A RAW '!CG78/'Finalterm OVPAA-F-INS-055A RAW '!CG$17*100)</f>
        <v/>
      </c>
      <c r="CJ78" s="130" t="str">
        <f>IF('Finalterm OVPAA-F-INS-055A RAW '!CH78="","",'Finalterm OVPAA-F-INS-055A RAW '!CH78/'Finalterm OVPAA-F-INS-055A RAW '!CH$17*100)</f>
        <v/>
      </c>
      <c r="CK78" s="130" t="str">
        <f>IF('Finalterm OVPAA-F-INS-055A RAW '!CI78="","",'Finalterm OVPAA-F-INS-055A RAW '!CI78/'Finalterm OVPAA-F-INS-055A RAW '!CI$17*100)</f>
        <v/>
      </c>
      <c r="CL78" s="130" t="str">
        <f>IF('Finalterm OVPAA-F-INS-055A RAW '!CJ78="","",'Finalterm OVPAA-F-INS-055A RAW '!CJ78/'Finalterm OVPAA-F-INS-055A RAW '!CJ$17*100)</f>
        <v/>
      </c>
      <c r="CM78" s="130" t="str">
        <f>IF('Finalterm OVPAA-F-INS-055A RAW '!CK78="","",'Finalterm OVPAA-F-INS-055A RAW '!CK78/'Finalterm OVPAA-F-INS-055A RAW '!CK$17*100)</f>
        <v/>
      </c>
      <c r="CN78" s="130" t="str">
        <f>IF('Finalterm OVPAA-F-INS-055A RAW '!CL78="","",'Finalterm OVPAA-F-INS-055A RAW '!CL78/'Finalterm OVPAA-F-INS-055A RAW '!CL$17*100)</f>
        <v/>
      </c>
      <c r="CO78" s="130" t="str">
        <f>IF('Finalterm OVPAA-F-INS-055A RAW '!CM78="","",'Finalterm OVPAA-F-INS-055A RAW '!CM78/'Finalterm OVPAA-F-INS-055A RAW '!CM$17*100)</f>
        <v/>
      </c>
      <c r="CP78" s="130" t="str">
        <f>IF('Finalterm OVPAA-F-INS-055A RAW '!CN78="","",'Finalterm OVPAA-F-INS-055A RAW '!CN78/'Finalterm OVPAA-F-INS-055A RAW '!CN$17*100)</f>
        <v/>
      </c>
      <c r="CQ78" s="131" t="str">
        <f t="array" ref="CQ78">IF('Midterm OVPAA-F-INS-055A RAW SC'!G78="","",IF((SUMPRODUCT(--ISBLANK('Finalterm OVPAA-F-INS-055A RAW '!BU78:CN78))=COLUMNS('Finalterm OVPAA-F-INS-055A RAW '!BU78:CN78))=TRUE,"",(((COUNTA('Finalterm OVPAA-F-INS-055A RAW '!$BU$17:$CN$17)+COUNTBLANK('Finalterm OVPAA-F-INS-055A RAW '!BU78:CN78))-COLUMNS('Finalterm OVPAA-F-INS-055A RAW '!BU78:CN78))*5+SUM(BW78:CP78))/COUNTA('Finalterm OVPAA-F-INS-055A RAW '!$BU$17:$CN$17)))</f>
        <v/>
      </c>
      <c r="CR78" s="132" t="str">
        <f>IF(CQ78="","",VLOOKUP(CQ78,IF('Midterm OVPAA-F-INS-055A RAW SC'!$V$12=0.5,TRANSMUTATION!$C$4:$D$17,TRANSMUTATION!$G$4:$H$17),2,TRUE))</f>
        <v/>
      </c>
      <c r="CS78" s="133" t="str">
        <f>IF('Finalterm OVPAA-F-INS-055A RAW '!CO78="","",'Finalterm OVPAA-F-INS-055A RAW '!CO78/'Finalterm OVPAA-F-INS-055A RAW '!CO$17*100)</f>
        <v/>
      </c>
      <c r="CT78" s="133" t="str">
        <f>IF('Finalterm OVPAA-F-INS-055A RAW '!CP78="","",'Finalterm OVPAA-F-INS-055A RAW '!CP78/'Finalterm OVPAA-F-INS-055A RAW '!CP$17*100)</f>
        <v/>
      </c>
      <c r="CU78" s="133" t="str">
        <f>IF('Finalterm OVPAA-F-INS-055A RAW '!CQ78="","",'Finalterm OVPAA-F-INS-055A RAW '!CQ78/'Finalterm OVPAA-F-INS-055A RAW '!CQ$17*100)</f>
        <v/>
      </c>
      <c r="CV78" s="133" t="str">
        <f>IF('Finalterm OVPAA-F-INS-055A RAW '!CR78="","",'Finalterm OVPAA-F-INS-055A RAW '!CR78/'Finalterm OVPAA-F-INS-055A RAW '!CR$17*100)</f>
        <v/>
      </c>
      <c r="CW78" s="133" t="str">
        <f>IF('Finalterm OVPAA-F-INS-055A RAW '!CS78="","",'Finalterm OVPAA-F-INS-055A RAW '!CS78/'Finalterm OVPAA-F-INS-055A RAW '!CS$17*100)</f>
        <v/>
      </c>
      <c r="CX78" s="133" t="str">
        <f>IF('Finalterm OVPAA-F-INS-055A RAW '!CT78="","",'Finalterm OVPAA-F-INS-055A RAW '!CT78/'Finalterm OVPAA-F-INS-055A RAW '!CT$17*100)</f>
        <v/>
      </c>
      <c r="CY78" s="133" t="str">
        <f>IF('Finalterm OVPAA-F-INS-055A RAW '!CU78="","",'Finalterm OVPAA-F-INS-055A RAW '!CU78/'Finalterm OVPAA-F-INS-055A RAW '!CU$17*100)</f>
        <v/>
      </c>
      <c r="CZ78" s="133" t="str">
        <f>IF('Finalterm OVPAA-F-INS-055A RAW '!CV78="","",'Finalterm OVPAA-F-INS-055A RAW '!CV78/'Finalterm OVPAA-F-INS-055A RAW '!CV$17*100)</f>
        <v/>
      </c>
      <c r="DA78" s="133" t="str">
        <f>IF('Finalterm OVPAA-F-INS-055A RAW '!CW78="","",'Finalterm OVPAA-F-INS-055A RAW '!CW78/'Finalterm OVPAA-F-INS-055A RAW '!CW$17*100)</f>
        <v/>
      </c>
      <c r="DB78" s="133" t="str">
        <f>IF('Finalterm OVPAA-F-INS-055A RAW '!CX78="","",'Finalterm OVPAA-F-INS-055A RAW '!CX78/'Finalterm OVPAA-F-INS-055A RAW '!CX$17*100)</f>
        <v/>
      </c>
      <c r="DC78" s="134" t="str">
        <f t="array" ref="DC78">IF('Midterm OVPAA-F-INS-055A RAW SC'!$G78="","",IF((SUMPRODUCT(--ISBLANK('Finalterm OVPAA-F-INS-055A RAW '!CO78:CX78))=COLUMNS('Finalterm OVPAA-F-INS-055A RAW '!CO78:CX78))=TRUE,"",(((COUNTA('Finalterm OVPAA-F-INS-055A RAW '!$CO$17:$CX$17)+COUNTBLANK('Finalterm OVPAA-F-INS-055A RAW '!CO78:CX78))-COLUMNS('Finalterm OVPAA-F-INS-055A RAW '!CO78:CX78))*5+SUM(CS78:DB78))/COUNTA('Finalterm OVPAA-F-INS-055A RAW '!$CO$17:$CX$17)))</f>
        <v/>
      </c>
      <c r="DD78" s="135" t="str">
        <f>IF(DC78="","",VLOOKUP(DC78,IF('Midterm OVPAA-F-INS-055A RAW SC'!$V$12=0.5,TRANSMUTATION!$C$4:$D$17,TRANSMUTATION!$G$4:$H$17),2,TRUE))</f>
        <v/>
      </c>
      <c r="DE78" s="136" t="str">
        <f t="shared" si="1"/>
        <v/>
      </c>
      <c r="DF78" s="166" t="str">
        <f t="shared" si="2"/>
        <v/>
      </c>
      <c r="DG78" s="167" t="str">
        <f t="shared" si="3"/>
        <v/>
      </c>
      <c r="DH78" s="168" t="str">
        <f t="shared" si="4"/>
        <v/>
      </c>
      <c r="DI78" s="169" t="str">
        <f t="shared" si="5"/>
        <v/>
      </c>
    </row>
    <row r="79" spans="5:113" ht="15.75" hidden="1" customHeight="1">
      <c r="E79" s="59">
        <v>62</v>
      </c>
      <c r="F79" s="124" t="str">
        <f>IF(NOT(ISBLANK('Midterm OVPAA-F-INS-055A RAW SC'!F79)),'Midterm OVPAA-F-INS-055A RAW SC'!F79,"")</f>
        <v/>
      </c>
      <c r="G79" s="125" t="str">
        <f>IF(NOT(ISBLANK('Midterm OVPAA-F-INS-055A RAW SC'!G79)),'Midterm OVPAA-F-INS-055A RAW SC'!G79,"")</f>
        <v/>
      </c>
      <c r="H79" s="126" t="str">
        <f>IF('Finalterm OVPAA-F-INS-055A RAW '!H79="","",'Finalterm OVPAA-F-INS-055A RAW '!H79/'Finalterm OVPAA-F-INS-055A RAW '!H$17*100)</f>
        <v/>
      </c>
      <c r="I79" s="126" t="str">
        <f>IF('Finalterm OVPAA-F-INS-055A RAW '!I79="","",'Finalterm OVPAA-F-INS-055A RAW '!I79/'Finalterm OVPAA-F-INS-055A RAW '!I$17*100)</f>
        <v/>
      </c>
      <c r="J79" s="126" t="str">
        <f>IF('Finalterm OVPAA-F-INS-055A RAW '!J79="","",'Finalterm OVPAA-F-INS-055A RAW '!J79/'Finalterm OVPAA-F-INS-055A RAW '!J$17*100)</f>
        <v/>
      </c>
      <c r="K79" s="126" t="str">
        <f>IF('Finalterm OVPAA-F-INS-055A RAW '!K79="","",'Finalterm OVPAA-F-INS-055A RAW '!K79/'Finalterm OVPAA-F-INS-055A RAW '!K$17*100)</f>
        <v/>
      </c>
      <c r="L79" s="126" t="str">
        <f>IF('Finalterm OVPAA-F-INS-055A RAW '!L79="","",'Finalterm OVPAA-F-INS-055A RAW '!L79/'Finalterm OVPAA-F-INS-055A RAW '!L$17*100)</f>
        <v/>
      </c>
      <c r="M79" s="126" t="str">
        <f>IF('Finalterm OVPAA-F-INS-055A RAW '!M79="","",'Finalterm OVPAA-F-INS-055A RAW '!M79/'Finalterm OVPAA-F-INS-055A RAW '!M$17*100)</f>
        <v/>
      </c>
      <c r="N79" s="126" t="str">
        <f>IF('Finalterm OVPAA-F-INS-055A RAW '!N79="","",'Finalterm OVPAA-F-INS-055A RAW '!N79/'Finalterm OVPAA-F-INS-055A RAW '!N$17*100)</f>
        <v/>
      </c>
      <c r="O79" s="126" t="str">
        <f>IF('Finalterm OVPAA-F-INS-055A RAW '!O79="","",'Finalterm OVPAA-F-INS-055A RAW '!O79/'Finalterm OVPAA-F-INS-055A RAW '!O$17*100)</f>
        <v/>
      </c>
      <c r="P79" s="126" t="str">
        <f>IF('Finalterm OVPAA-F-INS-055A RAW '!P79="","",'Finalterm OVPAA-F-INS-055A RAW '!P79/'Finalterm OVPAA-F-INS-055A RAW '!P$17*100)</f>
        <v/>
      </c>
      <c r="Q79" s="126" t="str">
        <f>IF('Finalterm OVPAA-F-INS-055A RAW '!Q79="","",'Finalterm OVPAA-F-INS-055A RAW '!Q79/'Finalterm OVPAA-F-INS-055A RAW '!Q$17*100)</f>
        <v/>
      </c>
      <c r="R79" s="126" t="str">
        <f>IF('Finalterm OVPAA-F-INS-055A RAW '!R79="","",'Finalterm OVPAA-F-INS-055A RAW '!R79/'Finalterm OVPAA-F-INS-055A RAW '!R$17*100)</f>
        <v/>
      </c>
      <c r="S79" s="126" t="str">
        <f>IF('Finalterm OVPAA-F-INS-055A RAW '!S79="","",'Finalterm OVPAA-F-INS-055A RAW '!S79/'Finalterm OVPAA-F-INS-055A RAW '!S$17*100)</f>
        <v/>
      </c>
      <c r="T79" s="126" t="str">
        <f>IF('Finalterm OVPAA-F-INS-055A RAW '!T79="","",'Finalterm OVPAA-F-INS-055A RAW '!T79/'Finalterm OVPAA-F-INS-055A RAW '!T$17*100)</f>
        <v/>
      </c>
      <c r="U79" s="126" t="str">
        <f>IF('Finalterm OVPAA-F-INS-055A RAW '!U79="","",'Finalterm OVPAA-F-INS-055A RAW '!U79/'Finalterm OVPAA-F-INS-055A RAW '!U$17*100)</f>
        <v/>
      </c>
      <c r="V79" s="126" t="str">
        <f>IF('Finalterm OVPAA-F-INS-055A RAW '!V79="","",'Finalterm OVPAA-F-INS-055A RAW '!V79/'Finalterm OVPAA-F-INS-055A RAW '!V$17*100)</f>
        <v/>
      </c>
      <c r="W79" s="126" t="str">
        <f>IF('Finalterm OVPAA-F-INS-055A RAW '!W79="","",'Finalterm OVPAA-F-INS-055A RAW '!W79/'Finalterm OVPAA-F-INS-055A RAW '!W$17*100)</f>
        <v/>
      </c>
      <c r="X79" s="126" t="str">
        <f>IF('Finalterm OVPAA-F-INS-055A RAW '!X79="","",'Finalterm OVPAA-F-INS-055A RAW '!X79/'Finalterm OVPAA-F-INS-055A RAW '!X$17*100)</f>
        <v/>
      </c>
      <c r="Y79" s="126" t="str">
        <f>IF('Finalterm OVPAA-F-INS-055A RAW '!Y79="","",'Finalterm OVPAA-F-INS-055A RAW '!Y79/'Finalterm OVPAA-F-INS-055A RAW '!Y$17*100)</f>
        <v/>
      </c>
      <c r="Z79" s="126" t="str">
        <f>IF('Finalterm OVPAA-F-INS-055A RAW '!Z79="","",'Finalterm OVPAA-F-INS-055A RAW '!Z79/'Finalterm OVPAA-F-INS-055A RAW '!Z$17*100)</f>
        <v/>
      </c>
      <c r="AA79" s="126" t="str">
        <f>IF('Finalterm OVPAA-F-INS-055A RAW '!AA79="","",'Finalterm OVPAA-F-INS-055A RAW '!AA79/'Finalterm OVPAA-F-INS-055A RAW '!AA$17*100)</f>
        <v/>
      </c>
      <c r="AB79" s="126" t="str">
        <f>IF('Finalterm OVPAA-F-INS-055A RAW '!AB79="","",'Finalterm OVPAA-F-INS-055A RAW '!AB79/'Finalterm OVPAA-F-INS-055A RAW '!AB$17*100)</f>
        <v/>
      </c>
      <c r="AC79" s="126" t="str">
        <f>IF('Finalterm OVPAA-F-INS-055A RAW '!AC79="","",'Finalterm OVPAA-F-INS-055A RAW '!AC79/'Finalterm OVPAA-F-INS-055A RAW '!AC$17*100)</f>
        <v/>
      </c>
      <c r="AD79" s="126" t="str">
        <f>IF('Finalterm OVPAA-F-INS-055A RAW '!AD79="","",'Finalterm OVPAA-F-INS-055A RAW '!AD79/'Finalterm OVPAA-F-INS-055A RAW '!AD$17*100)</f>
        <v/>
      </c>
      <c r="AE79" s="126" t="str">
        <f>IF('Finalterm OVPAA-F-INS-055A RAW '!AE79="","",'Finalterm OVPAA-F-INS-055A RAW '!AE79/'Finalterm OVPAA-F-INS-055A RAW '!AE$17*100)</f>
        <v/>
      </c>
      <c r="AF79" s="126" t="str">
        <f>IF('Finalterm OVPAA-F-INS-055A RAW '!AF79="","",'Finalterm OVPAA-F-INS-055A RAW '!AF79/'Finalterm OVPAA-F-INS-055A RAW '!AF$17*100)</f>
        <v/>
      </c>
      <c r="AG79" s="126" t="str">
        <f>IF('Finalterm OVPAA-F-INS-055A RAW '!AG79="","",'Finalterm OVPAA-F-INS-055A RAW '!AG79/'Finalterm OVPAA-F-INS-055A RAW '!AG$17*100)</f>
        <v/>
      </c>
      <c r="AH79" s="126" t="str">
        <f>IF('Finalterm OVPAA-F-INS-055A RAW '!AH79="","",'Finalterm OVPAA-F-INS-055A RAW '!AH79/'Finalterm OVPAA-F-INS-055A RAW '!AH$17*100)</f>
        <v/>
      </c>
      <c r="AI79" s="126" t="str">
        <f>IF('Finalterm OVPAA-F-INS-055A RAW '!AI79="","",'Finalterm OVPAA-F-INS-055A RAW '!AI79/'Finalterm OVPAA-F-INS-055A RAW '!AI$17*100)</f>
        <v/>
      </c>
      <c r="AJ79" s="126" t="str">
        <f>IF('Finalterm OVPAA-F-INS-055A RAW '!AJ79="","",'Finalterm OVPAA-F-INS-055A RAW '!AJ79/'Finalterm OVPAA-F-INS-055A RAW '!AJ$17*100)</f>
        <v/>
      </c>
      <c r="AK79" s="126" t="str">
        <f>IF('Finalterm OVPAA-F-INS-055A RAW '!AK79="","",'Finalterm OVPAA-F-INS-055A RAW '!AK79/'Finalterm OVPAA-F-INS-055A RAW '!AK$17*100)</f>
        <v/>
      </c>
      <c r="AL79" s="126" t="str">
        <f>IF('Finalterm OVPAA-F-INS-055A RAW '!AL79="","",'Finalterm OVPAA-F-INS-055A RAW '!AL79/'Finalterm OVPAA-F-INS-055A RAW '!AL$17*100)</f>
        <v/>
      </c>
      <c r="AM79" s="126" t="str">
        <f>IF('Finalterm OVPAA-F-INS-055A RAW '!AM79="","",'Finalterm OVPAA-F-INS-055A RAW '!AM79/'Finalterm OVPAA-F-INS-055A RAW '!AM$17*100)</f>
        <v/>
      </c>
      <c r="AN79" s="126" t="str">
        <f>IF('Finalterm OVPAA-F-INS-055A RAW '!AN79="","",'Finalterm OVPAA-F-INS-055A RAW '!AN79/'Finalterm OVPAA-F-INS-055A RAW '!AN$17*100)</f>
        <v/>
      </c>
      <c r="AO79" s="126" t="str">
        <f>IF('Finalterm OVPAA-F-INS-055A RAW '!AO79="","",'Finalterm OVPAA-F-INS-055A RAW '!AO79/'Finalterm OVPAA-F-INS-055A RAW '!AO$17*100)</f>
        <v/>
      </c>
      <c r="AP79" s="126" t="str">
        <f>IF('Finalterm OVPAA-F-INS-055A RAW '!AP79="","",'Finalterm OVPAA-F-INS-055A RAW '!AP79/'Finalterm OVPAA-F-INS-055A RAW '!AP$17*100)</f>
        <v/>
      </c>
      <c r="AQ79" s="126" t="str">
        <f>IF('Finalterm OVPAA-F-INS-055A RAW '!AQ79="","",'Finalterm OVPAA-F-INS-055A RAW '!AQ79/'Finalterm OVPAA-F-INS-055A RAW '!AQ$17*100)</f>
        <v/>
      </c>
      <c r="AR79" s="126" t="str">
        <f>IF('Finalterm OVPAA-F-INS-055A RAW '!AR79="","",'Finalterm OVPAA-F-INS-055A RAW '!AR79/'Finalterm OVPAA-F-INS-055A RAW '!AR$17*100)</f>
        <v/>
      </c>
      <c r="AS79" s="126" t="str">
        <f>IF('Finalterm OVPAA-F-INS-055A RAW '!AS79="","",'Finalterm OVPAA-F-INS-055A RAW '!AS79/'Finalterm OVPAA-F-INS-055A RAW '!AS$17*100)</f>
        <v/>
      </c>
      <c r="AT79" s="126" t="str">
        <f>IF('Finalterm OVPAA-F-INS-055A RAW '!AT79="","",'Finalterm OVPAA-F-INS-055A RAW '!AT79/'Finalterm OVPAA-F-INS-055A RAW '!AT$17*100)</f>
        <v/>
      </c>
      <c r="AU79" s="126" t="str">
        <f>IF('Finalterm OVPAA-F-INS-055A RAW '!AU79="","",'Finalterm OVPAA-F-INS-055A RAW '!AU79/'Finalterm OVPAA-F-INS-055A RAW '!AU$17*100)</f>
        <v/>
      </c>
      <c r="AV79" s="126" t="str">
        <f>IF('Finalterm OVPAA-F-INS-055A RAW '!AV79="","",'Finalterm OVPAA-F-INS-055A RAW '!AV79/'Finalterm OVPAA-F-INS-055A RAW '!AV$17*100)</f>
        <v/>
      </c>
      <c r="AW79" s="126" t="str">
        <f>IF('Finalterm OVPAA-F-INS-055A RAW '!AW79="","",'Finalterm OVPAA-F-INS-055A RAW '!AW79/'Finalterm OVPAA-F-INS-055A RAW '!AW$17*100)</f>
        <v/>
      </c>
      <c r="AX79" s="126" t="str">
        <f>IF('Finalterm OVPAA-F-INS-055A RAW '!AX79="","",'Finalterm OVPAA-F-INS-055A RAW '!AX79/'Finalterm OVPAA-F-INS-055A RAW '!AX$17*100)</f>
        <v/>
      </c>
      <c r="AY79" s="126" t="str">
        <f>IF('Finalterm OVPAA-F-INS-055A RAW '!AY79="","",'Finalterm OVPAA-F-INS-055A RAW '!AY79/'Finalterm OVPAA-F-INS-055A RAW '!AY$17*100)</f>
        <v/>
      </c>
      <c r="AZ79" s="126" t="str">
        <f>IF('Finalterm OVPAA-F-INS-055A RAW '!AZ79="","",'Finalterm OVPAA-F-INS-055A RAW '!AZ79/'Finalterm OVPAA-F-INS-055A RAW '!AZ$17*100)</f>
        <v/>
      </c>
      <c r="BA79" s="126" t="str">
        <f>IF('Finalterm OVPAA-F-INS-055A RAW '!BA79="","",'Finalterm OVPAA-F-INS-055A RAW '!BA79/'Finalterm OVPAA-F-INS-055A RAW '!BA$17*100)</f>
        <v/>
      </c>
      <c r="BB79" s="126" t="str">
        <f>IF('Finalterm OVPAA-F-INS-055A RAW '!BB79="","",'Finalterm OVPAA-F-INS-055A RAW '!BB79/'Finalterm OVPAA-F-INS-055A RAW '!BB$17*100)</f>
        <v/>
      </c>
      <c r="BC79" s="126" t="str">
        <f>IF('Finalterm OVPAA-F-INS-055A RAW '!BC79="","",'Finalterm OVPAA-F-INS-055A RAW '!BC79/'Finalterm OVPAA-F-INS-055A RAW '!BC$17*100)</f>
        <v/>
      </c>
      <c r="BD79" s="126" t="str">
        <f>IF('Finalterm OVPAA-F-INS-055A RAW '!BD79="","",'Finalterm OVPAA-F-INS-055A RAW '!BD79/'Finalterm OVPAA-F-INS-055A RAW '!BD$17*100)</f>
        <v/>
      </c>
      <c r="BE79" s="126" t="str">
        <f>IF('Finalterm OVPAA-F-INS-055A RAW '!BE79="","",'Finalterm OVPAA-F-INS-055A RAW '!BE79/'Finalterm OVPAA-F-INS-055A RAW '!BE$17*100)</f>
        <v/>
      </c>
      <c r="BF79" s="126" t="str">
        <f>IF('Finalterm OVPAA-F-INS-055A RAW '!BF79="","",'Finalterm OVPAA-F-INS-055A RAW '!BF79/'Finalterm OVPAA-F-INS-055A RAW '!BF$17*100)</f>
        <v/>
      </c>
      <c r="BG79" s="126" t="str">
        <f>IF('Finalterm OVPAA-F-INS-055A RAW '!BG79="","",'Finalterm OVPAA-F-INS-055A RAW '!BG79/'Finalterm OVPAA-F-INS-055A RAW '!BG$17*100)</f>
        <v/>
      </c>
      <c r="BH79" s="126" t="str">
        <f>IF('Finalterm OVPAA-F-INS-055A RAW '!BH79="","",'Finalterm OVPAA-F-INS-055A RAW '!BH79/'Finalterm OVPAA-F-INS-055A RAW '!BH$17*100)</f>
        <v/>
      </c>
      <c r="BI79" s="126" t="str">
        <f>IF('Finalterm OVPAA-F-INS-055A RAW '!BI79="","",'Finalterm OVPAA-F-INS-055A RAW '!BI79/'Finalterm OVPAA-F-INS-055A RAW '!BI$17*100)</f>
        <v/>
      </c>
      <c r="BJ79" s="126" t="str">
        <f>IF('Finalterm OVPAA-F-INS-055A RAW '!BJ79="","",'Finalterm OVPAA-F-INS-055A RAW '!BJ79/'Finalterm OVPAA-F-INS-055A RAW '!BJ$17*100)</f>
        <v/>
      </c>
      <c r="BK79" s="126" t="str">
        <f>IF('Finalterm OVPAA-F-INS-055A RAW '!BK79="","",'Finalterm OVPAA-F-INS-055A RAW '!BK79/'Finalterm OVPAA-F-INS-055A RAW '!BK$17*100)</f>
        <v/>
      </c>
      <c r="BL79" s="126" t="str">
        <f>IF('Finalterm OVPAA-F-INS-055A RAW '!BL79="","",'Finalterm OVPAA-F-INS-055A RAW '!BL79/'Finalterm OVPAA-F-INS-055A RAW '!BL$17*100)</f>
        <v/>
      </c>
      <c r="BM79" s="126" t="str">
        <f>IF('Finalterm OVPAA-F-INS-055A RAW '!BM79="","",'Finalterm OVPAA-F-INS-055A RAW '!BM79/'Finalterm OVPAA-F-INS-055A RAW '!BM$17*100)</f>
        <v/>
      </c>
      <c r="BN79" s="126" t="str">
        <f>IF('Finalterm OVPAA-F-INS-055A RAW '!BN79="","",'Finalterm OVPAA-F-INS-055A RAW '!BN79/'Finalterm OVPAA-F-INS-055A RAW '!BN$17*100)</f>
        <v/>
      </c>
      <c r="BO79" s="126" t="str">
        <f>IF('Finalterm OVPAA-F-INS-055A RAW '!BO79="","",'Finalterm OVPAA-F-INS-055A RAW '!BO79/'Finalterm OVPAA-F-INS-055A RAW '!BO$17*100)</f>
        <v/>
      </c>
      <c r="BP79" s="126" t="str">
        <f>IF('Finalterm OVPAA-F-INS-055A RAW '!BP79="","",'Finalterm OVPAA-F-INS-055A RAW '!BP79/'Finalterm OVPAA-F-INS-055A RAW '!BP$17*100)</f>
        <v/>
      </c>
      <c r="BQ79" s="126" t="str">
        <f>IF('Finalterm OVPAA-F-INS-055A RAW '!BQ79="","",'Finalterm OVPAA-F-INS-055A RAW '!BQ79/'Finalterm OVPAA-F-INS-055A RAW '!BQ$17*100)</f>
        <v/>
      </c>
      <c r="BR79" s="126" t="str">
        <f>IF('Finalterm OVPAA-F-INS-055A RAW '!BR79="","",'Finalterm OVPAA-F-INS-055A RAW '!BR79/'Finalterm OVPAA-F-INS-055A RAW '!BR$17*100)</f>
        <v/>
      </c>
      <c r="BS79" s="126" t="str">
        <f>IF('Finalterm OVPAA-F-INS-055A RAW '!BS79="","",'Finalterm OVPAA-F-INS-055A RAW '!BS79/'Finalterm OVPAA-F-INS-055A RAW '!BS$17*100)</f>
        <v/>
      </c>
      <c r="BT79" s="126" t="str">
        <f>IF('Finalterm OVPAA-F-INS-055A RAW '!BT79="","",'Finalterm OVPAA-F-INS-055A RAW '!BT79/'Finalterm OVPAA-F-INS-055A RAW '!BT$17*100)</f>
        <v/>
      </c>
      <c r="BU79" s="127" t="str">
        <f t="array" ref="BU79">IF('Finalterm OVPAA-F-INS-055A RAW '!$G79="","",IF((SUMPRODUCT(--ISBLANK('Finalterm OVPAA-F-INS-055A RAW '!H79:BT79))=COLUMNS('Finalterm OVPAA-F-INS-055A RAW '!H79:BT79))=TRUE,"",(((COUNTA('Finalterm OVPAA-F-INS-055A RAW '!$H$17:$BT$17)+COUNTBLANK('Finalterm OVPAA-F-INS-055A RAW '!H79:BT79))-COLUMNS('Finalterm OVPAA-F-INS-055A RAW '!H79:BT79))*5+SUM(H79:BT79))/COUNTA('Finalterm OVPAA-F-INS-055A RAW '!$H$17:$BT$17)))</f>
        <v/>
      </c>
      <c r="BV79" s="165" t="str">
        <f>IF(BU79="","",VLOOKUP(BU79,IF('Midterm OVPAA-F-INS-055A RAW SC'!$V$12=0.5,TRANSMUTATION!$C$4:$D$17,TRANSMUTATION!$G$4:$H$17),2,TRUE))</f>
        <v/>
      </c>
      <c r="BW79" s="129" t="str">
        <f>IF('Finalterm OVPAA-F-INS-055A RAW '!BU79="","",'Finalterm OVPAA-F-INS-055A RAW '!BU79/'Finalterm OVPAA-F-INS-055A RAW '!BU$17*100)</f>
        <v/>
      </c>
      <c r="BX79" s="130" t="str">
        <f>IF('Finalterm OVPAA-F-INS-055A RAW '!BV79="","",'Finalterm OVPAA-F-INS-055A RAW '!BV79/'Finalterm OVPAA-F-INS-055A RAW '!BV$17*100)</f>
        <v/>
      </c>
      <c r="BY79" s="130" t="str">
        <f>IF('Finalterm OVPAA-F-INS-055A RAW '!BW79="","",'Finalterm OVPAA-F-INS-055A RAW '!BW79/'Finalterm OVPAA-F-INS-055A RAW '!BW$17*100)</f>
        <v/>
      </c>
      <c r="BZ79" s="130" t="str">
        <f>IF('Finalterm OVPAA-F-INS-055A RAW '!BX79="","",'Finalterm OVPAA-F-INS-055A RAW '!BX79/'Finalterm OVPAA-F-INS-055A RAW '!BX$17*100)</f>
        <v/>
      </c>
      <c r="CA79" s="130" t="str">
        <f>IF('Finalterm OVPAA-F-INS-055A RAW '!BY79="","",'Finalterm OVPAA-F-INS-055A RAW '!BY79/'Finalterm OVPAA-F-INS-055A RAW '!BY$17*100)</f>
        <v/>
      </c>
      <c r="CB79" s="130" t="str">
        <f>IF('Finalterm OVPAA-F-INS-055A RAW '!BZ79="","",'Finalterm OVPAA-F-INS-055A RAW '!BZ79/'Finalterm OVPAA-F-INS-055A RAW '!BZ$17*100)</f>
        <v/>
      </c>
      <c r="CC79" s="130" t="str">
        <f>IF('Finalterm OVPAA-F-INS-055A RAW '!CA79="","",'Finalterm OVPAA-F-INS-055A RAW '!CA79/'Finalterm OVPAA-F-INS-055A RAW '!CA$17*100)</f>
        <v/>
      </c>
      <c r="CD79" s="130" t="str">
        <f>IF('Finalterm OVPAA-F-INS-055A RAW '!CB79="","",'Finalterm OVPAA-F-INS-055A RAW '!CB79/'Finalterm OVPAA-F-INS-055A RAW '!CB$17*100)</f>
        <v/>
      </c>
      <c r="CE79" s="130" t="str">
        <f>IF('Finalterm OVPAA-F-INS-055A RAW '!CC79="","",'Finalterm OVPAA-F-INS-055A RAW '!CC79/'Finalterm OVPAA-F-INS-055A RAW '!CC$17*100)</f>
        <v/>
      </c>
      <c r="CF79" s="130" t="str">
        <f>IF('Finalterm OVPAA-F-INS-055A RAW '!CD79="","",'Finalterm OVPAA-F-INS-055A RAW '!CD79/'Finalterm OVPAA-F-INS-055A RAW '!CD$17*100)</f>
        <v/>
      </c>
      <c r="CG79" s="130" t="str">
        <f>IF('Finalterm OVPAA-F-INS-055A RAW '!CE79="","",'Finalterm OVPAA-F-INS-055A RAW '!CE79/'Finalterm OVPAA-F-INS-055A RAW '!CE$17*100)</f>
        <v/>
      </c>
      <c r="CH79" s="130" t="str">
        <f>IF('Finalterm OVPAA-F-INS-055A RAW '!CF79="","",'Finalterm OVPAA-F-INS-055A RAW '!CF79/'Finalterm OVPAA-F-INS-055A RAW '!CF$17*100)</f>
        <v/>
      </c>
      <c r="CI79" s="130" t="str">
        <f>IF('Finalterm OVPAA-F-INS-055A RAW '!CG79="","",'Finalterm OVPAA-F-INS-055A RAW '!CG79/'Finalterm OVPAA-F-INS-055A RAW '!CG$17*100)</f>
        <v/>
      </c>
      <c r="CJ79" s="130" t="str">
        <f>IF('Finalterm OVPAA-F-INS-055A RAW '!CH79="","",'Finalterm OVPAA-F-INS-055A RAW '!CH79/'Finalterm OVPAA-F-INS-055A RAW '!CH$17*100)</f>
        <v/>
      </c>
      <c r="CK79" s="130" t="str">
        <f>IF('Finalterm OVPAA-F-INS-055A RAW '!CI79="","",'Finalterm OVPAA-F-INS-055A RAW '!CI79/'Finalterm OVPAA-F-INS-055A RAW '!CI$17*100)</f>
        <v/>
      </c>
      <c r="CL79" s="130" t="str">
        <f>IF('Finalterm OVPAA-F-INS-055A RAW '!CJ79="","",'Finalterm OVPAA-F-INS-055A RAW '!CJ79/'Finalterm OVPAA-F-INS-055A RAW '!CJ$17*100)</f>
        <v/>
      </c>
      <c r="CM79" s="130" t="str">
        <f>IF('Finalterm OVPAA-F-INS-055A RAW '!CK79="","",'Finalterm OVPAA-F-INS-055A RAW '!CK79/'Finalterm OVPAA-F-INS-055A RAW '!CK$17*100)</f>
        <v/>
      </c>
      <c r="CN79" s="130" t="str">
        <f>IF('Finalterm OVPAA-F-INS-055A RAW '!CL79="","",'Finalterm OVPAA-F-INS-055A RAW '!CL79/'Finalterm OVPAA-F-INS-055A RAW '!CL$17*100)</f>
        <v/>
      </c>
      <c r="CO79" s="130" t="str">
        <f>IF('Finalterm OVPAA-F-INS-055A RAW '!CM79="","",'Finalterm OVPAA-F-INS-055A RAW '!CM79/'Finalterm OVPAA-F-INS-055A RAW '!CM$17*100)</f>
        <v/>
      </c>
      <c r="CP79" s="130" t="str">
        <f>IF('Finalterm OVPAA-F-INS-055A RAW '!CN79="","",'Finalterm OVPAA-F-INS-055A RAW '!CN79/'Finalterm OVPAA-F-INS-055A RAW '!CN$17*100)</f>
        <v/>
      </c>
      <c r="CQ79" s="131" t="str">
        <f t="array" ref="CQ79">IF('Midterm OVPAA-F-INS-055A RAW SC'!G79="","",IF((SUMPRODUCT(--ISBLANK('Finalterm OVPAA-F-INS-055A RAW '!BU79:CN79))=COLUMNS('Finalterm OVPAA-F-INS-055A RAW '!BU79:CN79))=TRUE,"",(((COUNTA('Finalterm OVPAA-F-INS-055A RAW '!$BU$17:$CN$17)+COUNTBLANK('Finalterm OVPAA-F-INS-055A RAW '!BU79:CN79))-COLUMNS('Finalterm OVPAA-F-INS-055A RAW '!BU79:CN79))*5+SUM(BW79:CP79))/COUNTA('Finalterm OVPAA-F-INS-055A RAW '!$BU$17:$CN$17)))</f>
        <v/>
      </c>
      <c r="CR79" s="132" t="str">
        <f>IF(CQ79="","",VLOOKUP(CQ79,IF('Midterm OVPAA-F-INS-055A RAW SC'!$V$12=0.5,TRANSMUTATION!$C$4:$D$17,TRANSMUTATION!$G$4:$H$17),2,TRUE))</f>
        <v/>
      </c>
      <c r="CS79" s="133" t="str">
        <f>IF('Finalterm OVPAA-F-INS-055A RAW '!CO79="","",'Finalterm OVPAA-F-INS-055A RAW '!CO79/'Finalterm OVPAA-F-INS-055A RAW '!CO$17*100)</f>
        <v/>
      </c>
      <c r="CT79" s="133" t="str">
        <f>IF('Finalterm OVPAA-F-INS-055A RAW '!CP79="","",'Finalterm OVPAA-F-INS-055A RAW '!CP79/'Finalterm OVPAA-F-INS-055A RAW '!CP$17*100)</f>
        <v/>
      </c>
      <c r="CU79" s="133" t="str">
        <f>IF('Finalterm OVPAA-F-INS-055A RAW '!CQ79="","",'Finalterm OVPAA-F-INS-055A RAW '!CQ79/'Finalterm OVPAA-F-INS-055A RAW '!CQ$17*100)</f>
        <v/>
      </c>
      <c r="CV79" s="133" t="str">
        <f>IF('Finalterm OVPAA-F-INS-055A RAW '!CR79="","",'Finalterm OVPAA-F-INS-055A RAW '!CR79/'Finalterm OVPAA-F-INS-055A RAW '!CR$17*100)</f>
        <v/>
      </c>
      <c r="CW79" s="133" t="str">
        <f>IF('Finalterm OVPAA-F-INS-055A RAW '!CS79="","",'Finalterm OVPAA-F-INS-055A RAW '!CS79/'Finalterm OVPAA-F-INS-055A RAW '!CS$17*100)</f>
        <v/>
      </c>
      <c r="CX79" s="133" t="str">
        <f>IF('Finalterm OVPAA-F-INS-055A RAW '!CT79="","",'Finalterm OVPAA-F-INS-055A RAW '!CT79/'Finalterm OVPAA-F-INS-055A RAW '!CT$17*100)</f>
        <v/>
      </c>
      <c r="CY79" s="133" t="str">
        <f>IF('Finalterm OVPAA-F-INS-055A RAW '!CU79="","",'Finalterm OVPAA-F-INS-055A RAW '!CU79/'Finalterm OVPAA-F-INS-055A RAW '!CU$17*100)</f>
        <v/>
      </c>
      <c r="CZ79" s="133" t="str">
        <f>IF('Finalterm OVPAA-F-INS-055A RAW '!CV79="","",'Finalterm OVPAA-F-INS-055A RAW '!CV79/'Finalterm OVPAA-F-INS-055A RAW '!CV$17*100)</f>
        <v/>
      </c>
      <c r="DA79" s="133" t="str">
        <f>IF('Finalterm OVPAA-F-INS-055A RAW '!CW79="","",'Finalterm OVPAA-F-INS-055A RAW '!CW79/'Finalterm OVPAA-F-INS-055A RAW '!CW$17*100)</f>
        <v/>
      </c>
      <c r="DB79" s="133" t="str">
        <f>IF('Finalterm OVPAA-F-INS-055A RAW '!CX79="","",'Finalterm OVPAA-F-INS-055A RAW '!CX79/'Finalterm OVPAA-F-INS-055A RAW '!CX$17*100)</f>
        <v/>
      </c>
      <c r="DC79" s="134" t="str">
        <f t="array" ref="DC79">IF('Midterm OVPAA-F-INS-055A RAW SC'!$G79="","",IF((SUMPRODUCT(--ISBLANK('Finalterm OVPAA-F-INS-055A RAW '!CO79:CX79))=COLUMNS('Finalterm OVPAA-F-INS-055A RAW '!CO79:CX79))=TRUE,"",(((COUNTA('Finalterm OVPAA-F-INS-055A RAW '!$CO$17:$CX$17)+COUNTBLANK('Finalterm OVPAA-F-INS-055A RAW '!CO79:CX79))-COLUMNS('Finalterm OVPAA-F-INS-055A RAW '!CO79:CX79))*5+SUM(CS79:DB79))/COUNTA('Finalterm OVPAA-F-INS-055A RAW '!$CO$17:$CX$17)))</f>
        <v/>
      </c>
      <c r="DD79" s="135" t="str">
        <f>IF(DC79="","",VLOOKUP(DC79,IF('Midterm OVPAA-F-INS-055A RAW SC'!$V$12=0.5,TRANSMUTATION!$C$4:$D$17,TRANSMUTATION!$G$4:$H$17),2,TRUE))</f>
        <v/>
      </c>
      <c r="DE79" s="136" t="str">
        <f t="shared" si="1"/>
        <v/>
      </c>
      <c r="DF79" s="166" t="str">
        <f t="shared" si="2"/>
        <v/>
      </c>
      <c r="DG79" s="167" t="str">
        <f t="shared" si="3"/>
        <v/>
      </c>
      <c r="DH79" s="168" t="str">
        <f t="shared" si="4"/>
        <v/>
      </c>
      <c r="DI79" s="169" t="str">
        <f t="shared" si="5"/>
        <v/>
      </c>
    </row>
    <row r="80" spans="5:113" ht="15.75" hidden="1" customHeight="1">
      <c r="E80" s="59">
        <v>63</v>
      </c>
      <c r="F80" s="124" t="str">
        <f>IF(NOT(ISBLANK('Midterm OVPAA-F-INS-055A RAW SC'!F80)),'Midterm OVPAA-F-INS-055A RAW SC'!F80,"")</f>
        <v/>
      </c>
      <c r="G80" s="125" t="str">
        <f>IF(NOT(ISBLANK('Midterm OVPAA-F-INS-055A RAW SC'!G80)),'Midterm OVPAA-F-INS-055A RAW SC'!G80,"")</f>
        <v/>
      </c>
      <c r="H80" s="126" t="str">
        <f>IF('Finalterm OVPAA-F-INS-055A RAW '!H80="","",'Finalterm OVPAA-F-INS-055A RAW '!H80/'Finalterm OVPAA-F-INS-055A RAW '!H$17*100)</f>
        <v/>
      </c>
      <c r="I80" s="126" t="str">
        <f>IF('Finalterm OVPAA-F-INS-055A RAW '!I80="","",'Finalterm OVPAA-F-INS-055A RAW '!I80/'Finalterm OVPAA-F-INS-055A RAW '!I$17*100)</f>
        <v/>
      </c>
      <c r="J80" s="126" t="str">
        <f>IF('Finalterm OVPAA-F-INS-055A RAW '!J80="","",'Finalterm OVPAA-F-INS-055A RAW '!J80/'Finalterm OVPAA-F-INS-055A RAW '!J$17*100)</f>
        <v/>
      </c>
      <c r="K80" s="126" t="str">
        <f>IF('Finalterm OVPAA-F-INS-055A RAW '!K80="","",'Finalterm OVPAA-F-INS-055A RAW '!K80/'Finalterm OVPAA-F-INS-055A RAW '!K$17*100)</f>
        <v/>
      </c>
      <c r="L80" s="126" t="str">
        <f>IF('Finalterm OVPAA-F-INS-055A RAW '!L80="","",'Finalterm OVPAA-F-INS-055A RAW '!L80/'Finalterm OVPAA-F-INS-055A RAW '!L$17*100)</f>
        <v/>
      </c>
      <c r="M80" s="126" t="str">
        <f>IF('Finalterm OVPAA-F-INS-055A RAW '!M80="","",'Finalterm OVPAA-F-INS-055A RAW '!M80/'Finalterm OVPAA-F-INS-055A RAW '!M$17*100)</f>
        <v/>
      </c>
      <c r="N80" s="126" t="str">
        <f>IF('Finalterm OVPAA-F-INS-055A RAW '!N80="","",'Finalterm OVPAA-F-INS-055A RAW '!N80/'Finalterm OVPAA-F-INS-055A RAW '!N$17*100)</f>
        <v/>
      </c>
      <c r="O80" s="126" t="str">
        <f>IF('Finalterm OVPAA-F-INS-055A RAW '!O80="","",'Finalterm OVPAA-F-INS-055A RAW '!O80/'Finalterm OVPAA-F-INS-055A RAW '!O$17*100)</f>
        <v/>
      </c>
      <c r="P80" s="126" t="str">
        <f>IF('Finalterm OVPAA-F-INS-055A RAW '!P80="","",'Finalterm OVPAA-F-INS-055A RAW '!P80/'Finalterm OVPAA-F-INS-055A RAW '!P$17*100)</f>
        <v/>
      </c>
      <c r="Q80" s="126" t="str">
        <f>IF('Finalterm OVPAA-F-INS-055A RAW '!Q80="","",'Finalterm OVPAA-F-INS-055A RAW '!Q80/'Finalterm OVPAA-F-INS-055A RAW '!Q$17*100)</f>
        <v/>
      </c>
      <c r="R80" s="126" t="str">
        <f>IF('Finalterm OVPAA-F-INS-055A RAW '!R80="","",'Finalterm OVPAA-F-INS-055A RAW '!R80/'Finalterm OVPAA-F-INS-055A RAW '!R$17*100)</f>
        <v/>
      </c>
      <c r="S80" s="126" t="str">
        <f>IF('Finalterm OVPAA-F-INS-055A RAW '!S80="","",'Finalterm OVPAA-F-INS-055A RAW '!S80/'Finalterm OVPAA-F-INS-055A RAW '!S$17*100)</f>
        <v/>
      </c>
      <c r="T80" s="126" t="str">
        <f>IF('Finalterm OVPAA-F-INS-055A RAW '!T80="","",'Finalterm OVPAA-F-INS-055A RAW '!T80/'Finalterm OVPAA-F-INS-055A RAW '!T$17*100)</f>
        <v/>
      </c>
      <c r="U80" s="126" t="str">
        <f>IF('Finalterm OVPAA-F-INS-055A RAW '!U80="","",'Finalterm OVPAA-F-INS-055A RAW '!U80/'Finalterm OVPAA-F-INS-055A RAW '!U$17*100)</f>
        <v/>
      </c>
      <c r="V80" s="126" t="str">
        <f>IF('Finalterm OVPAA-F-INS-055A RAW '!V80="","",'Finalterm OVPAA-F-INS-055A RAW '!V80/'Finalterm OVPAA-F-INS-055A RAW '!V$17*100)</f>
        <v/>
      </c>
      <c r="W80" s="126" t="str">
        <f>IF('Finalterm OVPAA-F-INS-055A RAW '!W80="","",'Finalterm OVPAA-F-INS-055A RAW '!W80/'Finalterm OVPAA-F-INS-055A RAW '!W$17*100)</f>
        <v/>
      </c>
      <c r="X80" s="126" t="str">
        <f>IF('Finalterm OVPAA-F-INS-055A RAW '!X80="","",'Finalterm OVPAA-F-INS-055A RAW '!X80/'Finalterm OVPAA-F-INS-055A RAW '!X$17*100)</f>
        <v/>
      </c>
      <c r="Y80" s="126" t="str">
        <f>IF('Finalterm OVPAA-F-INS-055A RAW '!Y80="","",'Finalterm OVPAA-F-INS-055A RAW '!Y80/'Finalterm OVPAA-F-INS-055A RAW '!Y$17*100)</f>
        <v/>
      </c>
      <c r="Z80" s="126" t="str">
        <f>IF('Finalterm OVPAA-F-INS-055A RAW '!Z80="","",'Finalterm OVPAA-F-INS-055A RAW '!Z80/'Finalterm OVPAA-F-INS-055A RAW '!Z$17*100)</f>
        <v/>
      </c>
      <c r="AA80" s="126" t="str">
        <f>IF('Finalterm OVPAA-F-INS-055A RAW '!AA80="","",'Finalterm OVPAA-F-INS-055A RAW '!AA80/'Finalterm OVPAA-F-INS-055A RAW '!AA$17*100)</f>
        <v/>
      </c>
      <c r="AB80" s="126" t="str">
        <f>IF('Finalterm OVPAA-F-INS-055A RAW '!AB80="","",'Finalterm OVPAA-F-INS-055A RAW '!AB80/'Finalterm OVPAA-F-INS-055A RAW '!AB$17*100)</f>
        <v/>
      </c>
      <c r="AC80" s="126" t="str">
        <f>IF('Finalterm OVPAA-F-INS-055A RAW '!AC80="","",'Finalterm OVPAA-F-INS-055A RAW '!AC80/'Finalterm OVPAA-F-INS-055A RAW '!AC$17*100)</f>
        <v/>
      </c>
      <c r="AD80" s="126" t="str">
        <f>IF('Finalterm OVPAA-F-INS-055A RAW '!AD80="","",'Finalterm OVPAA-F-INS-055A RAW '!AD80/'Finalterm OVPAA-F-INS-055A RAW '!AD$17*100)</f>
        <v/>
      </c>
      <c r="AE80" s="126" t="str">
        <f>IF('Finalterm OVPAA-F-INS-055A RAW '!AE80="","",'Finalterm OVPAA-F-INS-055A RAW '!AE80/'Finalterm OVPAA-F-INS-055A RAW '!AE$17*100)</f>
        <v/>
      </c>
      <c r="AF80" s="126" t="str">
        <f>IF('Finalterm OVPAA-F-INS-055A RAW '!AF80="","",'Finalterm OVPAA-F-INS-055A RAW '!AF80/'Finalterm OVPAA-F-INS-055A RAW '!AF$17*100)</f>
        <v/>
      </c>
      <c r="AG80" s="126" t="str">
        <f>IF('Finalterm OVPAA-F-INS-055A RAW '!AG80="","",'Finalterm OVPAA-F-INS-055A RAW '!AG80/'Finalterm OVPAA-F-INS-055A RAW '!AG$17*100)</f>
        <v/>
      </c>
      <c r="AH80" s="126" t="str">
        <f>IF('Finalterm OVPAA-F-INS-055A RAW '!AH80="","",'Finalterm OVPAA-F-INS-055A RAW '!AH80/'Finalterm OVPAA-F-INS-055A RAW '!AH$17*100)</f>
        <v/>
      </c>
      <c r="AI80" s="126" t="str">
        <f>IF('Finalterm OVPAA-F-INS-055A RAW '!AI80="","",'Finalterm OVPAA-F-INS-055A RAW '!AI80/'Finalterm OVPAA-F-INS-055A RAW '!AI$17*100)</f>
        <v/>
      </c>
      <c r="AJ80" s="126" t="str">
        <f>IF('Finalterm OVPAA-F-INS-055A RAW '!AJ80="","",'Finalterm OVPAA-F-INS-055A RAW '!AJ80/'Finalterm OVPAA-F-INS-055A RAW '!AJ$17*100)</f>
        <v/>
      </c>
      <c r="AK80" s="126" t="str">
        <f>IF('Finalterm OVPAA-F-INS-055A RAW '!AK80="","",'Finalterm OVPAA-F-INS-055A RAW '!AK80/'Finalterm OVPAA-F-INS-055A RAW '!AK$17*100)</f>
        <v/>
      </c>
      <c r="AL80" s="126" t="str">
        <f>IF('Finalterm OVPAA-F-INS-055A RAW '!AL80="","",'Finalterm OVPAA-F-INS-055A RAW '!AL80/'Finalterm OVPAA-F-INS-055A RAW '!AL$17*100)</f>
        <v/>
      </c>
      <c r="AM80" s="126" t="str">
        <f>IF('Finalterm OVPAA-F-INS-055A RAW '!AM80="","",'Finalterm OVPAA-F-INS-055A RAW '!AM80/'Finalterm OVPAA-F-INS-055A RAW '!AM$17*100)</f>
        <v/>
      </c>
      <c r="AN80" s="126" t="str">
        <f>IF('Finalterm OVPAA-F-INS-055A RAW '!AN80="","",'Finalterm OVPAA-F-INS-055A RAW '!AN80/'Finalterm OVPAA-F-INS-055A RAW '!AN$17*100)</f>
        <v/>
      </c>
      <c r="AO80" s="126" t="str">
        <f>IF('Finalterm OVPAA-F-INS-055A RAW '!AO80="","",'Finalterm OVPAA-F-INS-055A RAW '!AO80/'Finalterm OVPAA-F-INS-055A RAW '!AO$17*100)</f>
        <v/>
      </c>
      <c r="AP80" s="126" t="str">
        <f>IF('Finalterm OVPAA-F-INS-055A RAW '!AP80="","",'Finalterm OVPAA-F-INS-055A RAW '!AP80/'Finalterm OVPAA-F-INS-055A RAW '!AP$17*100)</f>
        <v/>
      </c>
      <c r="AQ80" s="126" t="str">
        <f>IF('Finalterm OVPAA-F-INS-055A RAW '!AQ80="","",'Finalterm OVPAA-F-INS-055A RAW '!AQ80/'Finalterm OVPAA-F-INS-055A RAW '!AQ$17*100)</f>
        <v/>
      </c>
      <c r="AR80" s="126" t="str">
        <f>IF('Finalterm OVPAA-F-INS-055A RAW '!AR80="","",'Finalterm OVPAA-F-INS-055A RAW '!AR80/'Finalterm OVPAA-F-INS-055A RAW '!AR$17*100)</f>
        <v/>
      </c>
      <c r="AS80" s="126" t="str">
        <f>IF('Finalterm OVPAA-F-INS-055A RAW '!AS80="","",'Finalterm OVPAA-F-INS-055A RAW '!AS80/'Finalterm OVPAA-F-INS-055A RAW '!AS$17*100)</f>
        <v/>
      </c>
      <c r="AT80" s="126" t="str">
        <f>IF('Finalterm OVPAA-F-INS-055A RAW '!AT80="","",'Finalterm OVPAA-F-INS-055A RAW '!AT80/'Finalterm OVPAA-F-INS-055A RAW '!AT$17*100)</f>
        <v/>
      </c>
      <c r="AU80" s="126" t="str">
        <f>IF('Finalterm OVPAA-F-INS-055A RAW '!AU80="","",'Finalterm OVPAA-F-INS-055A RAW '!AU80/'Finalterm OVPAA-F-INS-055A RAW '!AU$17*100)</f>
        <v/>
      </c>
      <c r="AV80" s="126" t="str">
        <f>IF('Finalterm OVPAA-F-INS-055A RAW '!AV80="","",'Finalterm OVPAA-F-INS-055A RAW '!AV80/'Finalterm OVPAA-F-INS-055A RAW '!AV$17*100)</f>
        <v/>
      </c>
      <c r="AW80" s="126" t="str">
        <f>IF('Finalterm OVPAA-F-INS-055A RAW '!AW80="","",'Finalterm OVPAA-F-INS-055A RAW '!AW80/'Finalterm OVPAA-F-INS-055A RAW '!AW$17*100)</f>
        <v/>
      </c>
      <c r="AX80" s="126" t="str">
        <f>IF('Finalterm OVPAA-F-INS-055A RAW '!AX80="","",'Finalterm OVPAA-F-INS-055A RAW '!AX80/'Finalterm OVPAA-F-INS-055A RAW '!AX$17*100)</f>
        <v/>
      </c>
      <c r="AY80" s="126" t="str">
        <f>IF('Finalterm OVPAA-F-INS-055A RAW '!AY80="","",'Finalterm OVPAA-F-INS-055A RAW '!AY80/'Finalterm OVPAA-F-INS-055A RAW '!AY$17*100)</f>
        <v/>
      </c>
      <c r="AZ80" s="126" t="str">
        <f>IF('Finalterm OVPAA-F-INS-055A RAW '!AZ80="","",'Finalterm OVPAA-F-INS-055A RAW '!AZ80/'Finalterm OVPAA-F-INS-055A RAW '!AZ$17*100)</f>
        <v/>
      </c>
      <c r="BA80" s="126" t="str">
        <f>IF('Finalterm OVPAA-F-INS-055A RAW '!BA80="","",'Finalterm OVPAA-F-INS-055A RAW '!BA80/'Finalterm OVPAA-F-INS-055A RAW '!BA$17*100)</f>
        <v/>
      </c>
      <c r="BB80" s="126" t="str">
        <f>IF('Finalterm OVPAA-F-INS-055A RAW '!BB80="","",'Finalterm OVPAA-F-INS-055A RAW '!BB80/'Finalterm OVPAA-F-INS-055A RAW '!BB$17*100)</f>
        <v/>
      </c>
      <c r="BC80" s="126" t="str">
        <f>IF('Finalterm OVPAA-F-INS-055A RAW '!BC80="","",'Finalterm OVPAA-F-INS-055A RAW '!BC80/'Finalterm OVPAA-F-INS-055A RAW '!BC$17*100)</f>
        <v/>
      </c>
      <c r="BD80" s="126" t="str">
        <f>IF('Finalterm OVPAA-F-INS-055A RAW '!BD80="","",'Finalterm OVPAA-F-INS-055A RAW '!BD80/'Finalterm OVPAA-F-INS-055A RAW '!BD$17*100)</f>
        <v/>
      </c>
      <c r="BE80" s="126" t="str">
        <f>IF('Finalterm OVPAA-F-INS-055A RAW '!BE80="","",'Finalterm OVPAA-F-INS-055A RAW '!BE80/'Finalterm OVPAA-F-INS-055A RAW '!BE$17*100)</f>
        <v/>
      </c>
      <c r="BF80" s="126" t="str">
        <f>IF('Finalterm OVPAA-F-INS-055A RAW '!BF80="","",'Finalterm OVPAA-F-INS-055A RAW '!BF80/'Finalterm OVPAA-F-INS-055A RAW '!BF$17*100)</f>
        <v/>
      </c>
      <c r="BG80" s="126" t="str">
        <f>IF('Finalterm OVPAA-F-INS-055A RAW '!BG80="","",'Finalterm OVPAA-F-INS-055A RAW '!BG80/'Finalterm OVPAA-F-INS-055A RAW '!BG$17*100)</f>
        <v/>
      </c>
      <c r="BH80" s="126" t="str">
        <f>IF('Finalterm OVPAA-F-INS-055A RAW '!BH80="","",'Finalterm OVPAA-F-INS-055A RAW '!BH80/'Finalterm OVPAA-F-INS-055A RAW '!BH$17*100)</f>
        <v/>
      </c>
      <c r="BI80" s="126" t="str">
        <f>IF('Finalterm OVPAA-F-INS-055A RAW '!BI80="","",'Finalterm OVPAA-F-INS-055A RAW '!BI80/'Finalterm OVPAA-F-INS-055A RAW '!BI$17*100)</f>
        <v/>
      </c>
      <c r="BJ80" s="126" t="str">
        <f>IF('Finalterm OVPAA-F-INS-055A RAW '!BJ80="","",'Finalterm OVPAA-F-INS-055A RAW '!BJ80/'Finalterm OVPAA-F-INS-055A RAW '!BJ$17*100)</f>
        <v/>
      </c>
      <c r="BK80" s="126" t="str">
        <f>IF('Finalterm OVPAA-F-INS-055A RAW '!BK80="","",'Finalterm OVPAA-F-INS-055A RAW '!BK80/'Finalterm OVPAA-F-INS-055A RAW '!BK$17*100)</f>
        <v/>
      </c>
      <c r="BL80" s="126" t="str">
        <f>IF('Finalterm OVPAA-F-INS-055A RAW '!BL80="","",'Finalterm OVPAA-F-INS-055A RAW '!BL80/'Finalterm OVPAA-F-INS-055A RAW '!BL$17*100)</f>
        <v/>
      </c>
      <c r="BM80" s="126" t="str">
        <f>IF('Finalterm OVPAA-F-INS-055A RAW '!BM80="","",'Finalterm OVPAA-F-INS-055A RAW '!BM80/'Finalterm OVPAA-F-INS-055A RAW '!BM$17*100)</f>
        <v/>
      </c>
      <c r="BN80" s="126" t="str">
        <f>IF('Finalterm OVPAA-F-INS-055A RAW '!BN80="","",'Finalterm OVPAA-F-INS-055A RAW '!BN80/'Finalterm OVPAA-F-INS-055A RAW '!BN$17*100)</f>
        <v/>
      </c>
      <c r="BO80" s="126" t="str">
        <f>IF('Finalterm OVPAA-F-INS-055A RAW '!BO80="","",'Finalterm OVPAA-F-INS-055A RAW '!BO80/'Finalterm OVPAA-F-INS-055A RAW '!BO$17*100)</f>
        <v/>
      </c>
      <c r="BP80" s="126" t="str">
        <f>IF('Finalterm OVPAA-F-INS-055A RAW '!BP80="","",'Finalterm OVPAA-F-INS-055A RAW '!BP80/'Finalterm OVPAA-F-INS-055A RAW '!BP$17*100)</f>
        <v/>
      </c>
      <c r="BQ80" s="126" t="str">
        <f>IF('Finalterm OVPAA-F-INS-055A RAW '!BQ80="","",'Finalterm OVPAA-F-INS-055A RAW '!BQ80/'Finalterm OVPAA-F-INS-055A RAW '!BQ$17*100)</f>
        <v/>
      </c>
      <c r="BR80" s="126" t="str">
        <f>IF('Finalterm OVPAA-F-INS-055A RAW '!BR80="","",'Finalterm OVPAA-F-INS-055A RAW '!BR80/'Finalterm OVPAA-F-INS-055A RAW '!BR$17*100)</f>
        <v/>
      </c>
      <c r="BS80" s="126" t="str">
        <f>IF('Finalterm OVPAA-F-INS-055A RAW '!BS80="","",'Finalterm OVPAA-F-INS-055A RAW '!BS80/'Finalterm OVPAA-F-INS-055A RAW '!BS$17*100)</f>
        <v/>
      </c>
      <c r="BT80" s="126" t="str">
        <f>IF('Finalterm OVPAA-F-INS-055A RAW '!BT80="","",'Finalterm OVPAA-F-INS-055A RAW '!BT80/'Finalterm OVPAA-F-INS-055A RAW '!BT$17*100)</f>
        <v/>
      </c>
      <c r="BU80" s="127" t="str">
        <f t="array" ref="BU80">IF('Finalterm OVPAA-F-INS-055A RAW '!$G80="","",IF((SUMPRODUCT(--ISBLANK('Finalterm OVPAA-F-INS-055A RAW '!H80:BT80))=COLUMNS('Finalterm OVPAA-F-INS-055A RAW '!H80:BT80))=TRUE,"",(((COUNTA('Finalterm OVPAA-F-INS-055A RAW '!$H$17:$BT$17)+COUNTBLANK('Finalterm OVPAA-F-INS-055A RAW '!H80:BT80))-COLUMNS('Finalterm OVPAA-F-INS-055A RAW '!H80:BT80))*5+SUM(H80:BT80))/COUNTA('Finalterm OVPAA-F-INS-055A RAW '!$H$17:$BT$17)))</f>
        <v/>
      </c>
      <c r="BV80" s="165" t="str">
        <f>IF(BU80="","",VLOOKUP(BU80,IF('Midterm OVPAA-F-INS-055A RAW SC'!$V$12=0.5,TRANSMUTATION!$C$4:$D$17,TRANSMUTATION!$G$4:$H$17),2,TRUE))</f>
        <v/>
      </c>
      <c r="BW80" s="129" t="str">
        <f>IF('Finalterm OVPAA-F-INS-055A RAW '!BU80="","",'Finalterm OVPAA-F-INS-055A RAW '!BU80/'Finalterm OVPAA-F-INS-055A RAW '!BU$17*100)</f>
        <v/>
      </c>
      <c r="BX80" s="130" t="str">
        <f>IF('Finalterm OVPAA-F-INS-055A RAW '!BV80="","",'Finalterm OVPAA-F-INS-055A RAW '!BV80/'Finalterm OVPAA-F-INS-055A RAW '!BV$17*100)</f>
        <v/>
      </c>
      <c r="BY80" s="130" t="str">
        <f>IF('Finalterm OVPAA-F-INS-055A RAW '!BW80="","",'Finalterm OVPAA-F-INS-055A RAW '!BW80/'Finalterm OVPAA-F-INS-055A RAW '!BW$17*100)</f>
        <v/>
      </c>
      <c r="BZ80" s="130" t="str">
        <f>IF('Finalterm OVPAA-F-INS-055A RAW '!BX80="","",'Finalterm OVPAA-F-INS-055A RAW '!BX80/'Finalterm OVPAA-F-INS-055A RAW '!BX$17*100)</f>
        <v/>
      </c>
      <c r="CA80" s="130" t="str">
        <f>IF('Finalterm OVPAA-F-INS-055A RAW '!BY80="","",'Finalterm OVPAA-F-INS-055A RAW '!BY80/'Finalterm OVPAA-F-INS-055A RAW '!BY$17*100)</f>
        <v/>
      </c>
      <c r="CB80" s="130" t="str">
        <f>IF('Finalterm OVPAA-F-INS-055A RAW '!BZ80="","",'Finalterm OVPAA-F-INS-055A RAW '!BZ80/'Finalterm OVPAA-F-INS-055A RAW '!BZ$17*100)</f>
        <v/>
      </c>
      <c r="CC80" s="130" t="str">
        <f>IF('Finalterm OVPAA-F-INS-055A RAW '!CA80="","",'Finalterm OVPAA-F-INS-055A RAW '!CA80/'Finalterm OVPAA-F-INS-055A RAW '!CA$17*100)</f>
        <v/>
      </c>
      <c r="CD80" s="130" t="str">
        <f>IF('Finalterm OVPAA-F-INS-055A RAW '!CB80="","",'Finalterm OVPAA-F-INS-055A RAW '!CB80/'Finalterm OVPAA-F-INS-055A RAW '!CB$17*100)</f>
        <v/>
      </c>
      <c r="CE80" s="130" t="str">
        <f>IF('Finalterm OVPAA-F-INS-055A RAW '!CC80="","",'Finalterm OVPAA-F-INS-055A RAW '!CC80/'Finalterm OVPAA-F-INS-055A RAW '!CC$17*100)</f>
        <v/>
      </c>
      <c r="CF80" s="130" t="str">
        <f>IF('Finalterm OVPAA-F-INS-055A RAW '!CD80="","",'Finalterm OVPAA-F-INS-055A RAW '!CD80/'Finalterm OVPAA-F-INS-055A RAW '!CD$17*100)</f>
        <v/>
      </c>
      <c r="CG80" s="130" t="str">
        <f>IF('Finalterm OVPAA-F-INS-055A RAW '!CE80="","",'Finalterm OVPAA-F-INS-055A RAW '!CE80/'Finalterm OVPAA-F-INS-055A RAW '!CE$17*100)</f>
        <v/>
      </c>
      <c r="CH80" s="130" t="str">
        <f>IF('Finalterm OVPAA-F-INS-055A RAW '!CF80="","",'Finalterm OVPAA-F-INS-055A RAW '!CF80/'Finalterm OVPAA-F-INS-055A RAW '!CF$17*100)</f>
        <v/>
      </c>
      <c r="CI80" s="130" t="str">
        <f>IF('Finalterm OVPAA-F-INS-055A RAW '!CG80="","",'Finalterm OVPAA-F-INS-055A RAW '!CG80/'Finalterm OVPAA-F-INS-055A RAW '!CG$17*100)</f>
        <v/>
      </c>
      <c r="CJ80" s="130" t="str">
        <f>IF('Finalterm OVPAA-F-INS-055A RAW '!CH80="","",'Finalterm OVPAA-F-INS-055A RAW '!CH80/'Finalterm OVPAA-F-INS-055A RAW '!CH$17*100)</f>
        <v/>
      </c>
      <c r="CK80" s="130" t="str">
        <f>IF('Finalterm OVPAA-F-INS-055A RAW '!CI80="","",'Finalterm OVPAA-F-INS-055A RAW '!CI80/'Finalterm OVPAA-F-INS-055A RAW '!CI$17*100)</f>
        <v/>
      </c>
      <c r="CL80" s="130" t="str">
        <f>IF('Finalterm OVPAA-F-INS-055A RAW '!CJ80="","",'Finalterm OVPAA-F-INS-055A RAW '!CJ80/'Finalterm OVPAA-F-INS-055A RAW '!CJ$17*100)</f>
        <v/>
      </c>
      <c r="CM80" s="130" t="str">
        <f>IF('Finalterm OVPAA-F-INS-055A RAW '!CK80="","",'Finalterm OVPAA-F-INS-055A RAW '!CK80/'Finalterm OVPAA-F-INS-055A RAW '!CK$17*100)</f>
        <v/>
      </c>
      <c r="CN80" s="130" t="str">
        <f>IF('Finalterm OVPAA-F-INS-055A RAW '!CL80="","",'Finalterm OVPAA-F-INS-055A RAW '!CL80/'Finalterm OVPAA-F-INS-055A RAW '!CL$17*100)</f>
        <v/>
      </c>
      <c r="CO80" s="130" t="str">
        <f>IF('Finalterm OVPAA-F-INS-055A RAW '!CM80="","",'Finalterm OVPAA-F-INS-055A RAW '!CM80/'Finalterm OVPAA-F-INS-055A RAW '!CM$17*100)</f>
        <v/>
      </c>
      <c r="CP80" s="130" t="str">
        <f>IF('Finalterm OVPAA-F-INS-055A RAW '!CN80="","",'Finalterm OVPAA-F-INS-055A RAW '!CN80/'Finalterm OVPAA-F-INS-055A RAW '!CN$17*100)</f>
        <v/>
      </c>
      <c r="CQ80" s="131" t="str">
        <f t="array" ref="CQ80">IF('Midterm OVPAA-F-INS-055A RAW SC'!G80="","",IF((SUMPRODUCT(--ISBLANK('Finalterm OVPAA-F-INS-055A RAW '!BU80:CN80))=COLUMNS('Finalterm OVPAA-F-INS-055A RAW '!BU80:CN80))=TRUE,"",(((COUNTA('Finalterm OVPAA-F-INS-055A RAW '!$BU$17:$CN$17)+COUNTBLANK('Finalterm OVPAA-F-INS-055A RAW '!BU80:CN80))-COLUMNS('Finalterm OVPAA-F-INS-055A RAW '!BU80:CN80))*5+SUM(BW80:CP80))/COUNTA('Finalterm OVPAA-F-INS-055A RAW '!$BU$17:$CN$17)))</f>
        <v/>
      </c>
      <c r="CR80" s="132" t="str">
        <f>IF(CQ80="","",VLOOKUP(CQ80,IF('Midterm OVPAA-F-INS-055A RAW SC'!$V$12=0.5,TRANSMUTATION!$C$4:$D$17,TRANSMUTATION!$G$4:$H$17),2,TRUE))</f>
        <v/>
      </c>
      <c r="CS80" s="133" t="str">
        <f>IF('Finalterm OVPAA-F-INS-055A RAW '!CO80="","",'Finalterm OVPAA-F-INS-055A RAW '!CO80/'Finalterm OVPAA-F-INS-055A RAW '!CO$17*100)</f>
        <v/>
      </c>
      <c r="CT80" s="133" t="str">
        <f>IF('Finalterm OVPAA-F-INS-055A RAW '!CP80="","",'Finalterm OVPAA-F-INS-055A RAW '!CP80/'Finalterm OVPAA-F-INS-055A RAW '!CP$17*100)</f>
        <v/>
      </c>
      <c r="CU80" s="133" t="str">
        <f>IF('Finalterm OVPAA-F-INS-055A RAW '!CQ80="","",'Finalterm OVPAA-F-INS-055A RAW '!CQ80/'Finalterm OVPAA-F-INS-055A RAW '!CQ$17*100)</f>
        <v/>
      </c>
      <c r="CV80" s="133" t="str">
        <f>IF('Finalterm OVPAA-F-INS-055A RAW '!CR80="","",'Finalterm OVPAA-F-INS-055A RAW '!CR80/'Finalterm OVPAA-F-INS-055A RAW '!CR$17*100)</f>
        <v/>
      </c>
      <c r="CW80" s="133" t="str">
        <f>IF('Finalterm OVPAA-F-INS-055A RAW '!CS80="","",'Finalterm OVPAA-F-INS-055A RAW '!CS80/'Finalterm OVPAA-F-INS-055A RAW '!CS$17*100)</f>
        <v/>
      </c>
      <c r="CX80" s="133" t="str">
        <f>IF('Finalterm OVPAA-F-INS-055A RAW '!CT80="","",'Finalterm OVPAA-F-INS-055A RAW '!CT80/'Finalterm OVPAA-F-INS-055A RAW '!CT$17*100)</f>
        <v/>
      </c>
      <c r="CY80" s="133" t="str">
        <f>IF('Finalterm OVPAA-F-INS-055A RAW '!CU80="","",'Finalterm OVPAA-F-INS-055A RAW '!CU80/'Finalterm OVPAA-F-INS-055A RAW '!CU$17*100)</f>
        <v/>
      </c>
      <c r="CZ80" s="133" t="str">
        <f>IF('Finalterm OVPAA-F-INS-055A RAW '!CV80="","",'Finalterm OVPAA-F-INS-055A RAW '!CV80/'Finalterm OVPAA-F-INS-055A RAW '!CV$17*100)</f>
        <v/>
      </c>
      <c r="DA80" s="133" t="str">
        <f>IF('Finalterm OVPAA-F-INS-055A RAW '!CW80="","",'Finalterm OVPAA-F-INS-055A RAW '!CW80/'Finalterm OVPAA-F-INS-055A RAW '!CW$17*100)</f>
        <v/>
      </c>
      <c r="DB80" s="133" t="str">
        <f>IF('Finalterm OVPAA-F-INS-055A RAW '!CX80="","",'Finalterm OVPAA-F-INS-055A RAW '!CX80/'Finalterm OVPAA-F-INS-055A RAW '!CX$17*100)</f>
        <v/>
      </c>
      <c r="DC80" s="134" t="str">
        <f t="array" ref="DC80">IF('Midterm OVPAA-F-INS-055A RAW SC'!$G80="","",IF((SUMPRODUCT(--ISBLANK('Finalterm OVPAA-F-INS-055A RAW '!CO80:CX80))=COLUMNS('Finalterm OVPAA-F-INS-055A RAW '!CO80:CX80))=TRUE,"",(((COUNTA('Finalterm OVPAA-F-INS-055A RAW '!$CO$17:$CX$17)+COUNTBLANK('Finalterm OVPAA-F-INS-055A RAW '!CO80:CX80))-COLUMNS('Finalterm OVPAA-F-INS-055A RAW '!CO80:CX80))*5+SUM(CS80:DB80))/COUNTA('Finalterm OVPAA-F-INS-055A RAW '!$CO$17:$CX$17)))</f>
        <v/>
      </c>
      <c r="DD80" s="135" t="str">
        <f>IF(DC80="","",VLOOKUP(DC80,IF('Midterm OVPAA-F-INS-055A RAW SC'!$V$12=0.5,TRANSMUTATION!$C$4:$D$17,TRANSMUTATION!$G$4:$H$17),2,TRUE))</f>
        <v/>
      </c>
      <c r="DE80" s="136" t="str">
        <f t="shared" si="1"/>
        <v/>
      </c>
      <c r="DF80" s="166" t="str">
        <f t="shared" si="2"/>
        <v/>
      </c>
      <c r="DG80" s="167" t="str">
        <f t="shared" si="3"/>
        <v/>
      </c>
      <c r="DH80" s="168" t="str">
        <f t="shared" si="4"/>
        <v/>
      </c>
      <c r="DI80" s="169" t="str">
        <f t="shared" si="5"/>
        <v/>
      </c>
    </row>
    <row r="81" spans="1:113" ht="15.75" hidden="1" customHeight="1">
      <c r="E81" s="59">
        <v>64</v>
      </c>
      <c r="F81" s="124" t="str">
        <f>IF(NOT(ISBLANK('Midterm OVPAA-F-INS-055A RAW SC'!F81)),'Midterm OVPAA-F-INS-055A RAW SC'!F81,"")</f>
        <v/>
      </c>
      <c r="G81" s="125" t="str">
        <f>IF(NOT(ISBLANK('Midterm OVPAA-F-INS-055A RAW SC'!G81)),'Midterm OVPAA-F-INS-055A RAW SC'!G81,"")</f>
        <v/>
      </c>
      <c r="H81" s="126" t="str">
        <f>IF('Finalterm OVPAA-F-INS-055A RAW '!H81="","",'Finalterm OVPAA-F-INS-055A RAW '!H81/'Finalterm OVPAA-F-INS-055A RAW '!H$17*100)</f>
        <v/>
      </c>
      <c r="I81" s="126" t="str">
        <f>IF('Finalterm OVPAA-F-INS-055A RAW '!I81="","",'Finalterm OVPAA-F-INS-055A RAW '!I81/'Finalterm OVPAA-F-INS-055A RAW '!I$17*100)</f>
        <v/>
      </c>
      <c r="J81" s="126" t="str">
        <f>IF('Finalterm OVPAA-F-INS-055A RAW '!J81="","",'Finalterm OVPAA-F-INS-055A RAW '!J81/'Finalterm OVPAA-F-INS-055A RAW '!J$17*100)</f>
        <v/>
      </c>
      <c r="K81" s="126" t="str">
        <f>IF('Finalterm OVPAA-F-INS-055A RAW '!K81="","",'Finalterm OVPAA-F-INS-055A RAW '!K81/'Finalterm OVPAA-F-INS-055A RAW '!K$17*100)</f>
        <v/>
      </c>
      <c r="L81" s="126" t="str">
        <f>IF('Finalterm OVPAA-F-INS-055A RAW '!L81="","",'Finalterm OVPAA-F-INS-055A RAW '!L81/'Finalterm OVPAA-F-INS-055A RAW '!L$17*100)</f>
        <v/>
      </c>
      <c r="M81" s="126" t="str">
        <f>IF('Finalterm OVPAA-F-INS-055A RAW '!M81="","",'Finalterm OVPAA-F-INS-055A RAW '!M81/'Finalterm OVPAA-F-INS-055A RAW '!M$17*100)</f>
        <v/>
      </c>
      <c r="N81" s="126" t="str">
        <f>IF('Finalterm OVPAA-F-INS-055A RAW '!N81="","",'Finalterm OVPAA-F-INS-055A RAW '!N81/'Finalterm OVPAA-F-INS-055A RAW '!N$17*100)</f>
        <v/>
      </c>
      <c r="O81" s="126" t="str">
        <f>IF('Finalterm OVPAA-F-INS-055A RAW '!O81="","",'Finalterm OVPAA-F-INS-055A RAW '!O81/'Finalterm OVPAA-F-INS-055A RAW '!O$17*100)</f>
        <v/>
      </c>
      <c r="P81" s="126" t="str">
        <f>IF('Finalterm OVPAA-F-INS-055A RAW '!P81="","",'Finalterm OVPAA-F-INS-055A RAW '!P81/'Finalterm OVPAA-F-INS-055A RAW '!P$17*100)</f>
        <v/>
      </c>
      <c r="Q81" s="126" t="str">
        <f>IF('Finalterm OVPAA-F-INS-055A RAW '!Q81="","",'Finalterm OVPAA-F-INS-055A RAW '!Q81/'Finalterm OVPAA-F-INS-055A RAW '!Q$17*100)</f>
        <v/>
      </c>
      <c r="R81" s="126" t="str">
        <f>IF('Finalterm OVPAA-F-INS-055A RAW '!R81="","",'Finalterm OVPAA-F-INS-055A RAW '!R81/'Finalterm OVPAA-F-INS-055A RAW '!R$17*100)</f>
        <v/>
      </c>
      <c r="S81" s="126" t="str">
        <f>IF('Finalterm OVPAA-F-INS-055A RAW '!S81="","",'Finalterm OVPAA-F-INS-055A RAW '!S81/'Finalterm OVPAA-F-INS-055A RAW '!S$17*100)</f>
        <v/>
      </c>
      <c r="T81" s="126" t="str">
        <f>IF('Finalterm OVPAA-F-INS-055A RAW '!T81="","",'Finalterm OVPAA-F-INS-055A RAW '!T81/'Finalterm OVPAA-F-INS-055A RAW '!T$17*100)</f>
        <v/>
      </c>
      <c r="U81" s="126" t="str">
        <f>IF('Finalterm OVPAA-F-INS-055A RAW '!U81="","",'Finalterm OVPAA-F-INS-055A RAW '!U81/'Finalterm OVPAA-F-INS-055A RAW '!U$17*100)</f>
        <v/>
      </c>
      <c r="V81" s="126" t="str">
        <f>IF('Finalterm OVPAA-F-INS-055A RAW '!V81="","",'Finalterm OVPAA-F-INS-055A RAW '!V81/'Finalterm OVPAA-F-INS-055A RAW '!V$17*100)</f>
        <v/>
      </c>
      <c r="W81" s="126" t="str">
        <f>IF('Finalterm OVPAA-F-INS-055A RAW '!W81="","",'Finalterm OVPAA-F-INS-055A RAW '!W81/'Finalterm OVPAA-F-INS-055A RAW '!W$17*100)</f>
        <v/>
      </c>
      <c r="X81" s="126" t="str">
        <f>IF('Finalterm OVPAA-F-INS-055A RAW '!X81="","",'Finalterm OVPAA-F-INS-055A RAW '!X81/'Finalterm OVPAA-F-INS-055A RAW '!X$17*100)</f>
        <v/>
      </c>
      <c r="Y81" s="126" t="str">
        <f>IF('Finalterm OVPAA-F-INS-055A RAW '!Y81="","",'Finalterm OVPAA-F-INS-055A RAW '!Y81/'Finalterm OVPAA-F-INS-055A RAW '!Y$17*100)</f>
        <v/>
      </c>
      <c r="Z81" s="126" t="str">
        <f>IF('Finalterm OVPAA-F-INS-055A RAW '!Z81="","",'Finalterm OVPAA-F-INS-055A RAW '!Z81/'Finalterm OVPAA-F-INS-055A RAW '!Z$17*100)</f>
        <v/>
      </c>
      <c r="AA81" s="126" t="str">
        <f>IF('Finalterm OVPAA-F-INS-055A RAW '!AA81="","",'Finalterm OVPAA-F-INS-055A RAW '!AA81/'Finalterm OVPAA-F-INS-055A RAW '!AA$17*100)</f>
        <v/>
      </c>
      <c r="AB81" s="126" t="str">
        <f>IF('Finalterm OVPAA-F-INS-055A RAW '!AB81="","",'Finalterm OVPAA-F-INS-055A RAW '!AB81/'Finalterm OVPAA-F-INS-055A RAW '!AB$17*100)</f>
        <v/>
      </c>
      <c r="AC81" s="126" t="str">
        <f>IF('Finalterm OVPAA-F-INS-055A RAW '!AC81="","",'Finalterm OVPAA-F-INS-055A RAW '!AC81/'Finalterm OVPAA-F-INS-055A RAW '!AC$17*100)</f>
        <v/>
      </c>
      <c r="AD81" s="126" t="str">
        <f>IF('Finalterm OVPAA-F-INS-055A RAW '!AD81="","",'Finalterm OVPAA-F-INS-055A RAW '!AD81/'Finalterm OVPAA-F-INS-055A RAW '!AD$17*100)</f>
        <v/>
      </c>
      <c r="AE81" s="126" t="str">
        <f>IF('Finalterm OVPAA-F-INS-055A RAW '!AE81="","",'Finalterm OVPAA-F-INS-055A RAW '!AE81/'Finalterm OVPAA-F-INS-055A RAW '!AE$17*100)</f>
        <v/>
      </c>
      <c r="AF81" s="126" t="str">
        <f>IF('Finalterm OVPAA-F-INS-055A RAW '!AF81="","",'Finalterm OVPAA-F-INS-055A RAW '!AF81/'Finalterm OVPAA-F-INS-055A RAW '!AF$17*100)</f>
        <v/>
      </c>
      <c r="AG81" s="126" t="str">
        <f>IF('Finalterm OVPAA-F-INS-055A RAW '!AG81="","",'Finalterm OVPAA-F-INS-055A RAW '!AG81/'Finalterm OVPAA-F-INS-055A RAW '!AG$17*100)</f>
        <v/>
      </c>
      <c r="AH81" s="126" t="str">
        <f>IF('Finalterm OVPAA-F-INS-055A RAW '!AH81="","",'Finalterm OVPAA-F-INS-055A RAW '!AH81/'Finalterm OVPAA-F-INS-055A RAW '!AH$17*100)</f>
        <v/>
      </c>
      <c r="AI81" s="126" t="str">
        <f>IF('Finalterm OVPAA-F-INS-055A RAW '!AI81="","",'Finalterm OVPAA-F-INS-055A RAW '!AI81/'Finalterm OVPAA-F-INS-055A RAW '!AI$17*100)</f>
        <v/>
      </c>
      <c r="AJ81" s="126" t="str">
        <f>IF('Finalterm OVPAA-F-INS-055A RAW '!AJ81="","",'Finalterm OVPAA-F-INS-055A RAW '!AJ81/'Finalterm OVPAA-F-INS-055A RAW '!AJ$17*100)</f>
        <v/>
      </c>
      <c r="AK81" s="126" t="str">
        <f>IF('Finalterm OVPAA-F-INS-055A RAW '!AK81="","",'Finalterm OVPAA-F-INS-055A RAW '!AK81/'Finalterm OVPAA-F-INS-055A RAW '!AK$17*100)</f>
        <v/>
      </c>
      <c r="AL81" s="126" t="str">
        <f>IF('Finalterm OVPAA-F-INS-055A RAW '!AL81="","",'Finalterm OVPAA-F-INS-055A RAW '!AL81/'Finalterm OVPAA-F-INS-055A RAW '!AL$17*100)</f>
        <v/>
      </c>
      <c r="AM81" s="126" t="str">
        <f>IF('Finalterm OVPAA-F-INS-055A RAW '!AM81="","",'Finalterm OVPAA-F-INS-055A RAW '!AM81/'Finalterm OVPAA-F-INS-055A RAW '!AM$17*100)</f>
        <v/>
      </c>
      <c r="AN81" s="126" t="str">
        <f>IF('Finalterm OVPAA-F-INS-055A RAW '!AN81="","",'Finalterm OVPAA-F-INS-055A RAW '!AN81/'Finalterm OVPAA-F-INS-055A RAW '!AN$17*100)</f>
        <v/>
      </c>
      <c r="AO81" s="126" t="str">
        <f>IF('Finalterm OVPAA-F-INS-055A RAW '!AO81="","",'Finalterm OVPAA-F-INS-055A RAW '!AO81/'Finalterm OVPAA-F-INS-055A RAW '!AO$17*100)</f>
        <v/>
      </c>
      <c r="AP81" s="126" t="str">
        <f>IF('Finalterm OVPAA-F-INS-055A RAW '!AP81="","",'Finalterm OVPAA-F-INS-055A RAW '!AP81/'Finalterm OVPAA-F-INS-055A RAW '!AP$17*100)</f>
        <v/>
      </c>
      <c r="AQ81" s="126" t="str">
        <f>IF('Finalterm OVPAA-F-INS-055A RAW '!AQ81="","",'Finalterm OVPAA-F-INS-055A RAW '!AQ81/'Finalterm OVPAA-F-INS-055A RAW '!AQ$17*100)</f>
        <v/>
      </c>
      <c r="AR81" s="126" t="str">
        <f>IF('Finalterm OVPAA-F-INS-055A RAW '!AR81="","",'Finalterm OVPAA-F-INS-055A RAW '!AR81/'Finalterm OVPAA-F-INS-055A RAW '!AR$17*100)</f>
        <v/>
      </c>
      <c r="AS81" s="126" t="str">
        <f>IF('Finalterm OVPAA-F-INS-055A RAW '!AS81="","",'Finalterm OVPAA-F-INS-055A RAW '!AS81/'Finalterm OVPAA-F-INS-055A RAW '!AS$17*100)</f>
        <v/>
      </c>
      <c r="AT81" s="126" t="str">
        <f>IF('Finalterm OVPAA-F-INS-055A RAW '!AT81="","",'Finalterm OVPAA-F-INS-055A RAW '!AT81/'Finalterm OVPAA-F-INS-055A RAW '!AT$17*100)</f>
        <v/>
      </c>
      <c r="AU81" s="126" t="str">
        <f>IF('Finalterm OVPAA-F-INS-055A RAW '!AU81="","",'Finalterm OVPAA-F-INS-055A RAW '!AU81/'Finalterm OVPAA-F-INS-055A RAW '!AU$17*100)</f>
        <v/>
      </c>
      <c r="AV81" s="126" t="str">
        <f>IF('Finalterm OVPAA-F-INS-055A RAW '!AV81="","",'Finalterm OVPAA-F-INS-055A RAW '!AV81/'Finalterm OVPAA-F-INS-055A RAW '!AV$17*100)</f>
        <v/>
      </c>
      <c r="AW81" s="126" t="str">
        <f>IF('Finalterm OVPAA-F-INS-055A RAW '!AW81="","",'Finalterm OVPAA-F-INS-055A RAW '!AW81/'Finalterm OVPAA-F-INS-055A RAW '!AW$17*100)</f>
        <v/>
      </c>
      <c r="AX81" s="126" t="str">
        <f>IF('Finalterm OVPAA-F-INS-055A RAW '!AX81="","",'Finalterm OVPAA-F-INS-055A RAW '!AX81/'Finalterm OVPAA-F-INS-055A RAW '!AX$17*100)</f>
        <v/>
      </c>
      <c r="AY81" s="126" t="str">
        <f>IF('Finalterm OVPAA-F-INS-055A RAW '!AY81="","",'Finalterm OVPAA-F-INS-055A RAW '!AY81/'Finalterm OVPAA-F-INS-055A RAW '!AY$17*100)</f>
        <v/>
      </c>
      <c r="AZ81" s="126" t="str">
        <f>IF('Finalterm OVPAA-F-INS-055A RAW '!AZ81="","",'Finalterm OVPAA-F-INS-055A RAW '!AZ81/'Finalterm OVPAA-F-INS-055A RAW '!AZ$17*100)</f>
        <v/>
      </c>
      <c r="BA81" s="126" t="str">
        <f>IF('Finalterm OVPAA-F-INS-055A RAW '!BA81="","",'Finalterm OVPAA-F-INS-055A RAW '!BA81/'Finalterm OVPAA-F-INS-055A RAW '!BA$17*100)</f>
        <v/>
      </c>
      <c r="BB81" s="126" t="str">
        <f>IF('Finalterm OVPAA-F-INS-055A RAW '!BB81="","",'Finalterm OVPAA-F-INS-055A RAW '!BB81/'Finalterm OVPAA-F-INS-055A RAW '!BB$17*100)</f>
        <v/>
      </c>
      <c r="BC81" s="126" t="str">
        <f>IF('Finalterm OVPAA-F-INS-055A RAW '!BC81="","",'Finalterm OVPAA-F-INS-055A RAW '!BC81/'Finalterm OVPAA-F-INS-055A RAW '!BC$17*100)</f>
        <v/>
      </c>
      <c r="BD81" s="126" t="str">
        <f>IF('Finalterm OVPAA-F-INS-055A RAW '!BD81="","",'Finalterm OVPAA-F-INS-055A RAW '!BD81/'Finalterm OVPAA-F-INS-055A RAW '!BD$17*100)</f>
        <v/>
      </c>
      <c r="BE81" s="126" t="str">
        <f>IF('Finalterm OVPAA-F-INS-055A RAW '!BE81="","",'Finalterm OVPAA-F-INS-055A RAW '!BE81/'Finalterm OVPAA-F-INS-055A RAW '!BE$17*100)</f>
        <v/>
      </c>
      <c r="BF81" s="126" t="str">
        <f>IF('Finalterm OVPAA-F-INS-055A RAW '!BF81="","",'Finalterm OVPAA-F-INS-055A RAW '!BF81/'Finalterm OVPAA-F-INS-055A RAW '!BF$17*100)</f>
        <v/>
      </c>
      <c r="BG81" s="126" t="str">
        <f>IF('Finalterm OVPAA-F-INS-055A RAW '!BG81="","",'Finalterm OVPAA-F-INS-055A RAW '!BG81/'Finalterm OVPAA-F-INS-055A RAW '!BG$17*100)</f>
        <v/>
      </c>
      <c r="BH81" s="126" t="str">
        <f>IF('Finalterm OVPAA-F-INS-055A RAW '!BH81="","",'Finalterm OVPAA-F-INS-055A RAW '!BH81/'Finalterm OVPAA-F-INS-055A RAW '!BH$17*100)</f>
        <v/>
      </c>
      <c r="BI81" s="126" t="str">
        <f>IF('Finalterm OVPAA-F-INS-055A RAW '!BI81="","",'Finalterm OVPAA-F-INS-055A RAW '!BI81/'Finalterm OVPAA-F-INS-055A RAW '!BI$17*100)</f>
        <v/>
      </c>
      <c r="BJ81" s="126" t="str">
        <f>IF('Finalterm OVPAA-F-INS-055A RAW '!BJ81="","",'Finalterm OVPAA-F-INS-055A RAW '!BJ81/'Finalterm OVPAA-F-INS-055A RAW '!BJ$17*100)</f>
        <v/>
      </c>
      <c r="BK81" s="126" t="str">
        <f>IF('Finalterm OVPAA-F-INS-055A RAW '!BK81="","",'Finalterm OVPAA-F-INS-055A RAW '!BK81/'Finalterm OVPAA-F-INS-055A RAW '!BK$17*100)</f>
        <v/>
      </c>
      <c r="BL81" s="126" t="str">
        <f>IF('Finalterm OVPAA-F-INS-055A RAW '!BL81="","",'Finalterm OVPAA-F-INS-055A RAW '!BL81/'Finalterm OVPAA-F-INS-055A RAW '!BL$17*100)</f>
        <v/>
      </c>
      <c r="BM81" s="126" t="str">
        <f>IF('Finalterm OVPAA-F-INS-055A RAW '!BM81="","",'Finalterm OVPAA-F-INS-055A RAW '!BM81/'Finalterm OVPAA-F-INS-055A RAW '!BM$17*100)</f>
        <v/>
      </c>
      <c r="BN81" s="126" t="str">
        <f>IF('Finalterm OVPAA-F-INS-055A RAW '!BN81="","",'Finalterm OVPAA-F-INS-055A RAW '!BN81/'Finalterm OVPAA-F-INS-055A RAW '!BN$17*100)</f>
        <v/>
      </c>
      <c r="BO81" s="126" t="str">
        <f>IF('Finalterm OVPAA-F-INS-055A RAW '!BO81="","",'Finalterm OVPAA-F-INS-055A RAW '!BO81/'Finalterm OVPAA-F-INS-055A RAW '!BO$17*100)</f>
        <v/>
      </c>
      <c r="BP81" s="126" t="str">
        <f>IF('Finalterm OVPAA-F-INS-055A RAW '!BP81="","",'Finalterm OVPAA-F-INS-055A RAW '!BP81/'Finalterm OVPAA-F-INS-055A RAW '!BP$17*100)</f>
        <v/>
      </c>
      <c r="BQ81" s="126" t="str">
        <f>IF('Finalterm OVPAA-F-INS-055A RAW '!BQ81="","",'Finalterm OVPAA-F-INS-055A RAW '!BQ81/'Finalterm OVPAA-F-INS-055A RAW '!BQ$17*100)</f>
        <v/>
      </c>
      <c r="BR81" s="126" t="str">
        <f>IF('Finalterm OVPAA-F-INS-055A RAW '!BR81="","",'Finalterm OVPAA-F-INS-055A RAW '!BR81/'Finalterm OVPAA-F-INS-055A RAW '!BR$17*100)</f>
        <v/>
      </c>
      <c r="BS81" s="126" t="str">
        <f>IF('Finalterm OVPAA-F-INS-055A RAW '!BS81="","",'Finalterm OVPAA-F-INS-055A RAW '!BS81/'Finalterm OVPAA-F-INS-055A RAW '!BS$17*100)</f>
        <v/>
      </c>
      <c r="BT81" s="126" t="str">
        <f>IF('Finalterm OVPAA-F-INS-055A RAW '!BT81="","",'Finalterm OVPAA-F-INS-055A RAW '!BT81/'Finalterm OVPAA-F-INS-055A RAW '!BT$17*100)</f>
        <v/>
      </c>
      <c r="BU81" s="127" t="str">
        <f t="array" ref="BU81">IF('Finalterm OVPAA-F-INS-055A RAW '!$G81="","",IF((SUMPRODUCT(--ISBLANK('Finalterm OVPAA-F-INS-055A RAW '!H81:BT81))=COLUMNS('Finalterm OVPAA-F-INS-055A RAW '!H81:BT81))=TRUE,"",(((COUNTA('Finalterm OVPAA-F-INS-055A RAW '!$H$17:$BT$17)+COUNTBLANK('Finalterm OVPAA-F-INS-055A RAW '!H81:BT81))-COLUMNS('Finalterm OVPAA-F-INS-055A RAW '!H81:BT81))*5+SUM(H81:BT81))/COUNTA('Finalterm OVPAA-F-INS-055A RAW '!$H$17:$BT$17)))</f>
        <v/>
      </c>
      <c r="BV81" s="165" t="str">
        <f>IF(BU81="","",VLOOKUP(BU81,IF('Midterm OVPAA-F-INS-055A RAW SC'!$V$12=0.5,TRANSMUTATION!$C$4:$D$17,TRANSMUTATION!$G$4:$H$17),2,TRUE))</f>
        <v/>
      </c>
      <c r="BW81" s="129" t="str">
        <f>IF('Finalterm OVPAA-F-INS-055A RAW '!BU81="","",'Finalterm OVPAA-F-INS-055A RAW '!BU81/'Finalterm OVPAA-F-INS-055A RAW '!BU$17*100)</f>
        <v/>
      </c>
      <c r="BX81" s="130" t="str">
        <f>IF('Finalterm OVPAA-F-INS-055A RAW '!BV81="","",'Finalterm OVPAA-F-INS-055A RAW '!BV81/'Finalterm OVPAA-F-INS-055A RAW '!BV$17*100)</f>
        <v/>
      </c>
      <c r="BY81" s="130" t="str">
        <f>IF('Finalterm OVPAA-F-INS-055A RAW '!BW81="","",'Finalterm OVPAA-F-INS-055A RAW '!BW81/'Finalterm OVPAA-F-INS-055A RAW '!BW$17*100)</f>
        <v/>
      </c>
      <c r="BZ81" s="130" t="str">
        <f>IF('Finalterm OVPAA-F-INS-055A RAW '!BX81="","",'Finalterm OVPAA-F-INS-055A RAW '!BX81/'Finalterm OVPAA-F-INS-055A RAW '!BX$17*100)</f>
        <v/>
      </c>
      <c r="CA81" s="130" t="str">
        <f>IF('Finalterm OVPAA-F-INS-055A RAW '!BY81="","",'Finalterm OVPAA-F-INS-055A RAW '!BY81/'Finalterm OVPAA-F-INS-055A RAW '!BY$17*100)</f>
        <v/>
      </c>
      <c r="CB81" s="130" t="str">
        <f>IF('Finalterm OVPAA-F-INS-055A RAW '!BZ81="","",'Finalterm OVPAA-F-INS-055A RAW '!BZ81/'Finalterm OVPAA-F-INS-055A RAW '!BZ$17*100)</f>
        <v/>
      </c>
      <c r="CC81" s="130" t="str">
        <f>IF('Finalterm OVPAA-F-INS-055A RAW '!CA81="","",'Finalterm OVPAA-F-INS-055A RAW '!CA81/'Finalterm OVPAA-F-INS-055A RAW '!CA$17*100)</f>
        <v/>
      </c>
      <c r="CD81" s="130" t="str">
        <f>IF('Finalterm OVPAA-F-INS-055A RAW '!CB81="","",'Finalterm OVPAA-F-INS-055A RAW '!CB81/'Finalterm OVPAA-F-INS-055A RAW '!CB$17*100)</f>
        <v/>
      </c>
      <c r="CE81" s="130" t="str">
        <f>IF('Finalterm OVPAA-F-INS-055A RAW '!CC81="","",'Finalterm OVPAA-F-INS-055A RAW '!CC81/'Finalterm OVPAA-F-INS-055A RAW '!CC$17*100)</f>
        <v/>
      </c>
      <c r="CF81" s="130" t="str">
        <f>IF('Finalterm OVPAA-F-INS-055A RAW '!CD81="","",'Finalterm OVPAA-F-INS-055A RAW '!CD81/'Finalterm OVPAA-F-INS-055A RAW '!CD$17*100)</f>
        <v/>
      </c>
      <c r="CG81" s="130" t="str">
        <f>IF('Finalterm OVPAA-F-INS-055A RAW '!CE81="","",'Finalterm OVPAA-F-INS-055A RAW '!CE81/'Finalterm OVPAA-F-INS-055A RAW '!CE$17*100)</f>
        <v/>
      </c>
      <c r="CH81" s="130" t="str">
        <f>IF('Finalterm OVPAA-F-INS-055A RAW '!CF81="","",'Finalterm OVPAA-F-INS-055A RAW '!CF81/'Finalterm OVPAA-F-INS-055A RAW '!CF$17*100)</f>
        <v/>
      </c>
      <c r="CI81" s="130" t="str">
        <f>IF('Finalterm OVPAA-F-INS-055A RAW '!CG81="","",'Finalterm OVPAA-F-INS-055A RAW '!CG81/'Finalterm OVPAA-F-INS-055A RAW '!CG$17*100)</f>
        <v/>
      </c>
      <c r="CJ81" s="130" t="str">
        <f>IF('Finalterm OVPAA-F-INS-055A RAW '!CH81="","",'Finalterm OVPAA-F-INS-055A RAW '!CH81/'Finalterm OVPAA-F-INS-055A RAW '!CH$17*100)</f>
        <v/>
      </c>
      <c r="CK81" s="130" t="str">
        <f>IF('Finalterm OVPAA-F-INS-055A RAW '!CI81="","",'Finalterm OVPAA-F-INS-055A RAW '!CI81/'Finalterm OVPAA-F-INS-055A RAW '!CI$17*100)</f>
        <v/>
      </c>
      <c r="CL81" s="130" t="str">
        <f>IF('Finalterm OVPAA-F-INS-055A RAW '!CJ81="","",'Finalterm OVPAA-F-INS-055A RAW '!CJ81/'Finalterm OVPAA-F-INS-055A RAW '!CJ$17*100)</f>
        <v/>
      </c>
      <c r="CM81" s="130" t="str">
        <f>IF('Finalterm OVPAA-F-INS-055A RAW '!CK81="","",'Finalterm OVPAA-F-INS-055A RAW '!CK81/'Finalterm OVPAA-F-INS-055A RAW '!CK$17*100)</f>
        <v/>
      </c>
      <c r="CN81" s="130" t="str">
        <f>IF('Finalterm OVPAA-F-INS-055A RAW '!CL81="","",'Finalterm OVPAA-F-INS-055A RAW '!CL81/'Finalterm OVPAA-F-INS-055A RAW '!CL$17*100)</f>
        <v/>
      </c>
      <c r="CO81" s="130" t="str">
        <f>IF('Finalterm OVPAA-F-INS-055A RAW '!CM81="","",'Finalterm OVPAA-F-INS-055A RAW '!CM81/'Finalterm OVPAA-F-INS-055A RAW '!CM$17*100)</f>
        <v/>
      </c>
      <c r="CP81" s="130" t="str">
        <f>IF('Finalterm OVPAA-F-INS-055A RAW '!CN81="","",'Finalterm OVPAA-F-INS-055A RAW '!CN81/'Finalterm OVPAA-F-INS-055A RAW '!CN$17*100)</f>
        <v/>
      </c>
      <c r="CQ81" s="131" t="str">
        <f t="array" ref="CQ81">IF('Midterm OVPAA-F-INS-055A RAW SC'!G81="","",IF((SUMPRODUCT(--ISBLANK('Finalterm OVPAA-F-INS-055A RAW '!BU81:CN81))=COLUMNS('Finalterm OVPAA-F-INS-055A RAW '!BU81:CN81))=TRUE,"",(((COUNTA('Finalterm OVPAA-F-INS-055A RAW '!$BU$17:$CN$17)+COUNTBLANK('Finalterm OVPAA-F-INS-055A RAW '!BU81:CN81))-COLUMNS('Finalterm OVPAA-F-INS-055A RAW '!BU81:CN81))*5+SUM(BW81:CP81))/COUNTA('Finalterm OVPAA-F-INS-055A RAW '!$BU$17:$CN$17)))</f>
        <v/>
      </c>
      <c r="CR81" s="132" t="str">
        <f>IF(CQ81="","",VLOOKUP(CQ81,IF('Midterm OVPAA-F-INS-055A RAW SC'!$V$12=0.5,TRANSMUTATION!$C$4:$D$17,TRANSMUTATION!$G$4:$H$17),2,TRUE))</f>
        <v/>
      </c>
      <c r="CS81" s="133" t="str">
        <f>IF('Finalterm OVPAA-F-INS-055A RAW '!CO81="","",'Finalterm OVPAA-F-INS-055A RAW '!CO81/'Finalterm OVPAA-F-INS-055A RAW '!CO$17*100)</f>
        <v/>
      </c>
      <c r="CT81" s="133" t="str">
        <f>IF('Finalterm OVPAA-F-INS-055A RAW '!CP81="","",'Finalterm OVPAA-F-INS-055A RAW '!CP81/'Finalterm OVPAA-F-INS-055A RAW '!CP$17*100)</f>
        <v/>
      </c>
      <c r="CU81" s="133" t="str">
        <f>IF('Finalterm OVPAA-F-INS-055A RAW '!CQ81="","",'Finalterm OVPAA-F-INS-055A RAW '!CQ81/'Finalterm OVPAA-F-INS-055A RAW '!CQ$17*100)</f>
        <v/>
      </c>
      <c r="CV81" s="133" t="str">
        <f>IF('Finalterm OVPAA-F-INS-055A RAW '!CR81="","",'Finalterm OVPAA-F-INS-055A RAW '!CR81/'Finalterm OVPAA-F-INS-055A RAW '!CR$17*100)</f>
        <v/>
      </c>
      <c r="CW81" s="133" t="str">
        <f>IF('Finalterm OVPAA-F-INS-055A RAW '!CS81="","",'Finalterm OVPAA-F-INS-055A RAW '!CS81/'Finalterm OVPAA-F-INS-055A RAW '!CS$17*100)</f>
        <v/>
      </c>
      <c r="CX81" s="133" t="str">
        <f>IF('Finalterm OVPAA-F-INS-055A RAW '!CT81="","",'Finalterm OVPAA-F-INS-055A RAW '!CT81/'Finalterm OVPAA-F-INS-055A RAW '!CT$17*100)</f>
        <v/>
      </c>
      <c r="CY81" s="133" t="str">
        <f>IF('Finalterm OVPAA-F-INS-055A RAW '!CU81="","",'Finalterm OVPAA-F-INS-055A RAW '!CU81/'Finalterm OVPAA-F-INS-055A RAW '!CU$17*100)</f>
        <v/>
      </c>
      <c r="CZ81" s="133" t="str">
        <f>IF('Finalterm OVPAA-F-INS-055A RAW '!CV81="","",'Finalterm OVPAA-F-INS-055A RAW '!CV81/'Finalterm OVPAA-F-INS-055A RAW '!CV$17*100)</f>
        <v/>
      </c>
      <c r="DA81" s="133" t="str">
        <f>IF('Finalterm OVPAA-F-INS-055A RAW '!CW81="","",'Finalterm OVPAA-F-INS-055A RAW '!CW81/'Finalterm OVPAA-F-INS-055A RAW '!CW$17*100)</f>
        <v/>
      </c>
      <c r="DB81" s="133" t="str">
        <f>IF('Finalterm OVPAA-F-INS-055A RAW '!CX81="","",'Finalterm OVPAA-F-INS-055A RAW '!CX81/'Finalterm OVPAA-F-INS-055A RAW '!CX$17*100)</f>
        <v/>
      </c>
      <c r="DC81" s="134" t="str">
        <f t="array" ref="DC81">IF('Midterm OVPAA-F-INS-055A RAW SC'!$G81="","",IF((SUMPRODUCT(--ISBLANK('Finalterm OVPAA-F-INS-055A RAW '!CO81:CX81))=COLUMNS('Finalterm OVPAA-F-INS-055A RAW '!CO81:CX81))=TRUE,"",(((COUNTA('Finalterm OVPAA-F-INS-055A RAW '!$CO$17:$CX$17)+COUNTBLANK('Finalterm OVPAA-F-INS-055A RAW '!CO81:CX81))-COLUMNS('Finalterm OVPAA-F-INS-055A RAW '!CO81:CX81))*5+SUM(CS81:DB81))/COUNTA('Finalterm OVPAA-F-INS-055A RAW '!$CO$17:$CX$17)))</f>
        <v/>
      </c>
      <c r="DD81" s="135" t="str">
        <f>IF(DC81="","",VLOOKUP(DC81,IF('Midterm OVPAA-F-INS-055A RAW SC'!$V$12=0.5,TRANSMUTATION!$C$4:$D$17,TRANSMUTATION!$G$4:$H$17),2,TRUE))</f>
        <v/>
      </c>
      <c r="DE81" s="136" t="str">
        <f t="shared" si="1"/>
        <v/>
      </c>
      <c r="DF81" s="166" t="str">
        <f t="shared" si="2"/>
        <v/>
      </c>
      <c r="DG81" s="167" t="str">
        <f t="shared" si="3"/>
        <v/>
      </c>
      <c r="DH81" s="168" t="str">
        <f t="shared" si="4"/>
        <v/>
      </c>
      <c r="DI81" s="169" t="str">
        <f t="shared" si="5"/>
        <v/>
      </c>
    </row>
    <row r="82" spans="1:113" ht="15.75" hidden="1" customHeight="1">
      <c r="E82" s="59">
        <v>65</v>
      </c>
      <c r="F82" s="124" t="str">
        <f>IF(NOT(ISBLANK('Midterm OVPAA-F-INS-055A RAW SC'!F82)),'Midterm OVPAA-F-INS-055A RAW SC'!F82,"")</f>
        <v/>
      </c>
      <c r="G82" s="125" t="str">
        <f>IF(NOT(ISBLANK('Midterm OVPAA-F-INS-055A RAW SC'!G82)),'Midterm OVPAA-F-INS-055A RAW SC'!G82,"")</f>
        <v/>
      </c>
      <c r="H82" s="126" t="str">
        <f>IF('Finalterm OVPAA-F-INS-055A RAW '!H82="","",'Finalterm OVPAA-F-INS-055A RAW '!H82/'Finalterm OVPAA-F-INS-055A RAW '!H$17*100)</f>
        <v/>
      </c>
      <c r="I82" s="126" t="str">
        <f>IF('Finalterm OVPAA-F-INS-055A RAW '!I82="","",'Finalterm OVPAA-F-INS-055A RAW '!I82/'Finalterm OVPAA-F-INS-055A RAW '!I$17*100)</f>
        <v/>
      </c>
      <c r="J82" s="126" t="str">
        <f>IF('Finalterm OVPAA-F-INS-055A RAW '!J82="","",'Finalterm OVPAA-F-INS-055A RAW '!J82/'Finalterm OVPAA-F-INS-055A RAW '!J$17*100)</f>
        <v/>
      </c>
      <c r="K82" s="126" t="str">
        <f>IF('Finalterm OVPAA-F-INS-055A RAW '!K82="","",'Finalterm OVPAA-F-INS-055A RAW '!K82/'Finalterm OVPAA-F-INS-055A RAW '!K$17*100)</f>
        <v/>
      </c>
      <c r="L82" s="126" t="str">
        <f>IF('Finalterm OVPAA-F-INS-055A RAW '!L82="","",'Finalterm OVPAA-F-INS-055A RAW '!L82/'Finalterm OVPAA-F-INS-055A RAW '!L$17*100)</f>
        <v/>
      </c>
      <c r="M82" s="126" t="str">
        <f>IF('Finalterm OVPAA-F-INS-055A RAW '!M82="","",'Finalterm OVPAA-F-INS-055A RAW '!M82/'Finalterm OVPAA-F-INS-055A RAW '!M$17*100)</f>
        <v/>
      </c>
      <c r="N82" s="126" t="str">
        <f>IF('Finalterm OVPAA-F-INS-055A RAW '!N82="","",'Finalterm OVPAA-F-INS-055A RAW '!N82/'Finalterm OVPAA-F-INS-055A RAW '!N$17*100)</f>
        <v/>
      </c>
      <c r="O82" s="126" t="str">
        <f>IF('Finalterm OVPAA-F-INS-055A RAW '!O82="","",'Finalterm OVPAA-F-INS-055A RAW '!O82/'Finalterm OVPAA-F-INS-055A RAW '!O$17*100)</f>
        <v/>
      </c>
      <c r="P82" s="126" t="str">
        <f>IF('Finalterm OVPAA-F-INS-055A RAW '!P82="","",'Finalterm OVPAA-F-INS-055A RAW '!P82/'Finalterm OVPAA-F-INS-055A RAW '!P$17*100)</f>
        <v/>
      </c>
      <c r="Q82" s="126" t="str">
        <f>IF('Finalterm OVPAA-F-INS-055A RAW '!Q82="","",'Finalterm OVPAA-F-INS-055A RAW '!Q82/'Finalterm OVPAA-F-INS-055A RAW '!Q$17*100)</f>
        <v/>
      </c>
      <c r="R82" s="126" t="str">
        <f>IF('Finalterm OVPAA-F-INS-055A RAW '!R82="","",'Finalterm OVPAA-F-INS-055A RAW '!R82/'Finalterm OVPAA-F-INS-055A RAW '!R$17*100)</f>
        <v/>
      </c>
      <c r="S82" s="126" t="str">
        <f>IF('Finalterm OVPAA-F-INS-055A RAW '!S82="","",'Finalterm OVPAA-F-INS-055A RAW '!S82/'Finalterm OVPAA-F-INS-055A RAW '!S$17*100)</f>
        <v/>
      </c>
      <c r="T82" s="126" t="str">
        <f>IF('Finalterm OVPAA-F-INS-055A RAW '!T82="","",'Finalterm OVPAA-F-INS-055A RAW '!T82/'Finalterm OVPAA-F-INS-055A RAW '!T$17*100)</f>
        <v/>
      </c>
      <c r="U82" s="126" t="str">
        <f>IF('Finalterm OVPAA-F-INS-055A RAW '!U82="","",'Finalterm OVPAA-F-INS-055A RAW '!U82/'Finalterm OVPAA-F-INS-055A RAW '!U$17*100)</f>
        <v/>
      </c>
      <c r="V82" s="126" t="str">
        <f>IF('Finalterm OVPAA-F-INS-055A RAW '!V82="","",'Finalterm OVPAA-F-INS-055A RAW '!V82/'Finalterm OVPAA-F-INS-055A RAW '!V$17*100)</f>
        <v/>
      </c>
      <c r="W82" s="126" t="str">
        <f>IF('Finalterm OVPAA-F-INS-055A RAW '!W82="","",'Finalterm OVPAA-F-INS-055A RAW '!W82/'Finalterm OVPAA-F-INS-055A RAW '!W$17*100)</f>
        <v/>
      </c>
      <c r="X82" s="126" t="str">
        <f>IF('Finalterm OVPAA-F-INS-055A RAW '!X82="","",'Finalterm OVPAA-F-INS-055A RAW '!X82/'Finalterm OVPAA-F-INS-055A RAW '!X$17*100)</f>
        <v/>
      </c>
      <c r="Y82" s="126" t="str">
        <f>IF('Finalterm OVPAA-F-INS-055A RAW '!Y82="","",'Finalterm OVPAA-F-INS-055A RAW '!Y82/'Finalterm OVPAA-F-INS-055A RAW '!Y$17*100)</f>
        <v/>
      </c>
      <c r="Z82" s="126" t="str">
        <f>IF('Finalterm OVPAA-F-INS-055A RAW '!Z82="","",'Finalterm OVPAA-F-INS-055A RAW '!Z82/'Finalterm OVPAA-F-INS-055A RAW '!Z$17*100)</f>
        <v/>
      </c>
      <c r="AA82" s="126" t="str">
        <f>IF('Finalterm OVPAA-F-INS-055A RAW '!AA82="","",'Finalterm OVPAA-F-INS-055A RAW '!AA82/'Finalterm OVPAA-F-INS-055A RAW '!AA$17*100)</f>
        <v/>
      </c>
      <c r="AB82" s="126" t="str">
        <f>IF('Finalterm OVPAA-F-INS-055A RAW '!AB82="","",'Finalterm OVPAA-F-INS-055A RAW '!AB82/'Finalterm OVPAA-F-INS-055A RAW '!AB$17*100)</f>
        <v/>
      </c>
      <c r="AC82" s="126" t="str">
        <f>IF('Finalterm OVPAA-F-INS-055A RAW '!AC82="","",'Finalterm OVPAA-F-INS-055A RAW '!AC82/'Finalterm OVPAA-F-INS-055A RAW '!AC$17*100)</f>
        <v/>
      </c>
      <c r="AD82" s="126" t="str">
        <f>IF('Finalterm OVPAA-F-INS-055A RAW '!AD82="","",'Finalterm OVPAA-F-INS-055A RAW '!AD82/'Finalterm OVPAA-F-INS-055A RAW '!AD$17*100)</f>
        <v/>
      </c>
      <c r="AE82" s="126" t="str">
        <f>IF('Finalterm OVPAA-F-INS-055A RAW '!AE82="","",'Finalterm OVPAA-F-INS-055A RAW '!AE82/'Finalterm OVPAA-F-INS-055A RAW '!AE$17*100)</f>
        <v/>
      </c>
      <c r="AF82" s="126" t="str">
        <f>IF('Finalterm OVPAA-F-INS-055A RAW '!AF82="","",'Finalterm OVPAA-F-INS-055A RAW '!AF82/'Finalterm OVPAA-F-INS-055A RAW '!AF$17*100)</f>
        <v/>
      </c>
      <c r="AG82" s="126" t="str">
        <f>IF('Finalterm OVPAA-F-INS-055A RAW '!AG82="","",'Finalterm OVPAA-F-INS-055A RAW '!AG82/'Finalterm OVPAA-F-INS-055A RAW '!AG$17*100)</f>
        <v/>
      </c>
      <c r="AH82" s="126" t="str">
        <f>IF('Finalterm OVPAA-F-INS-055A RAW '!AH82="","",'Finalterm OVPAA-F-INS-055A RAW '!AH82/'Finalterm OVPAA-F-INS-055A RAW '!AH$17*100)</f>
        <v/>
      </c>
      <c r="AI82" s="126" t="str">
        <f>IF('Finalterm OVPAA-F-INS-055A RAW '!AI82="","",'Finalterm OVPAA-F-INS-055A RAW '!AI82/'Finalterm OVPAA-F-INS-055A RAW '!AI$17*100)</f>
        <v/>
      </c>
      <c r="AJ82" s="126" t="str">
        <f>IF('Finalterm OVPAA-F-INS-055A RAW '!AJ82="","",'Finalterm OVPAA-F-INS-055A RAW '!AJ82/'Finalterm OVPAA-F-INS-055A RAW '!AJ$17*100)</f>
        <v/>
      </c>
      <c r="AK82" s="126" t="str">
        <f>IF('Finalterm OVPAA-F-INS-055A RAW '!AK82="","",'Finalterm OVPAA-F-INS-055A RAW '!AK82/'Finalterm OVPAA-F-INS-055A RAW '!AK$17*100)</f>
        <v/>
      </c>
      <c r="AL82" s="126" t="str">
        <f>IF('Finalterm OVPAA-F-INS-055A RAW '!AL82="","",'Finalterm OVPAA-F-INS-055A RAW '!AL82/'Finalterm OVPAA-F-INS-055A RAW '!AL$17*100)</f>
        <v/>
      </c>
      <c r="AM82" s="126" t="str">
        <f>IF('Finalterm OVPAA-F-INS-055A RAW '!AM82="","",'Finalterm OVPAA-F-INS-055A RAW '!AM82/'Finalterm OVPAA-F-INS-055A RAW '!AM$17*100)</f>
        <v/>
      </c>
      <c r="AN82" s="126" t="str">
        <f>IF('Finalterm OVPAA-F-INS-055A RAW '!AN82="","",'Finalterm OVPAA-F-INS-055A RAW '!AN82/'Finalterm OVPAA-F-INS-055A RAW '!AN$17*100)</f>
        <v/>
      </c>
      <c r="AO82" s="126" t="str">
        <f>IF('Finalterm OVPAA-F-INS-055A RAW '!AO82="","",'Finalterm OVPAA-F-INS-055A RAW '!AO82/'Finalterm OVPAA-F-INS-055A RAW '!AO$17*100)</f>
        <v/>
      </c>
      <c r="AP82" s="126" t="str">
        <f>IF('Finalterm OVPAA-F-INS-055A RAW '!AP82="","",'Finalterm OVPAA-F-INS-055A RAW '!AP82/'Finalterm OVPAA-F-INS-055A RAW '!AP$17*100)</f>
        <v/>
      </c>
      <c r="AQ82" s="126" t="str">
        <f>IF('Finalterm OVPAA-F-INS-055A RAW '!AQ82="","",'Finalterm OVPAA-F-INS-055A RAW '!AQ82/'Finalterm OVPAA-F-INS-055A RAW '!AQ$17*100)</f>
        <v/>
      </c>
      <c r="AR82" s="126" t="str">
        <f>IF('Finalterm OVPAA-F-INS-055A RAW '!AR82="","",'Finalterm OVPAA-F-INS-055A RAW '!AR82/'Finalterm OVPAA-F-INS-055A RAW '!AR$17*100)</f>
        <v/>
      </c>
      <c r="AS82" s="126" t="str">
        <f>IF('Finalterm OVPAA-F-INS-055A RAW '!AS82="","",'Finalterm OVPAA-F-INS-055A RAW '!AS82/'Finalterm OVPAA-F-INS-055A RAW '!AS$17*100)</f>
        <v/>
      </c>
      <c r="AT82" s="126" t="str">
        <f>IF('Finalterm OVPAA-F-INS-055A RAW '!AT82="","",'Finalterm OVPAA-F-INS-055A RAW '!AT82/'Finalterm OVPAA-F-INS-055A RAW '!AT$17*100)</f>
        <v/>
      </c>
      <c r="AU82" s="126" t="str">
        <f>IF('Finalterm OVPAA-F-INS-055A RAW '!AU82="","",'Finalterm OVPAA-F-INS-055A RAW '!AU82/'Finalterm OVPAA-F-INS-055A RAW '!AU$17*100)</f>
        <v/>
      </c>
      <c r="AV82" s="126" t="str">
        <f>IF('Finalterm OVPAA-F-INS-055A RAW '!AV82="","",'Finalterm OVPAA-F-INS-055A RAW '!AV82/'Finalterm OVPAA-F-INS-055A RAW '!AV$17*100)</f>
        <v/>
      </c>
      <c r="AW82" s="126" t="str">
        <f>IF('Finalterm OVPAA-F-INS-055A RAW '!AW82="","",'Finalterm OVPAA-F-INS-055A RAW '!AW82/'Finalterm OVPAA-F-INS-055A RAW '!AW$17*100)</f>
        <v/>
      </c>
      <c r="AX82" s="126" t="str">
        <f>IF('Finalterm OVPAA-F-INS-055A RAW '!AX82="","",'Finalterm OVPAA-F-INS-055A RAW '!AX82/'Finalterm OVPAA-F-INS-055A RAW '!AX$17*100)</f>
        <v/>
      </c>
      <c r="AY82" s="126" t="str">
        <f>IF('Finalterm OVPAA-F-INS-055A RAW '!AY82="","",'Finalterm OVPAA-F-INS-055A RAW '!AY82/'Finalterm OVPAA-F-INS-055A RAW '!AY$17*100)</f>
        <v/>
      </c>
      <c r="AZ82" s="126" t="str">
        <f>IF('Finalterm OVPAA-F-INS-055A RAW '!AZ82="","",'Finalterm OVPAA-F-INS-055A RAW '!AZ82/'Finalterm OVPAA-F-INS-055A RAW '!AZ$17*100)</f>
        <v/>
      </c>
      <c r="BA82" s="126" t="str">
        <f>IF('Finalterm OVPAA-F-INS-055A RAW '!BA82="","",'Finalterm OVPAA-F-INS-055A RAW '!BA82/'Finalterm OVPAA-F-INS-055A RAW '!BA$17*100)</f>
        <v/>
      </c>
      <c r="BB82" s="126" t="str">
        <f>IF('Finalterm OVPAA-F-INS-055A RAW '!BB82="","",'Finalterm OVPAA-F-INS-055A RAW '!BB82/'Finalterm OVPAA-F-INS-055A RAW '!BB$17*100)</f>
        <v/>
      </c>
      <c r="BC82" s="126" t="str">
        <f>IF('Finalterm OVPAA-F-INS-055A RAW '!BC82="","",'Finalterm OVPAA-F-INS-055A RAW '!BC82/'Finalterm OVPAA-F-INS-055A RAW '!BC$17*100)</f>
        <v/>
      </c>
      <c r="BD82" s="126" t="str">
        <f>IF('Finalterm OVPAA-F-INS-055A RAW '!BD82="","",'Finalterm OVPAA-F-INS-055A RAW '!BD82/'Finalterm OVPAA-F-INS-055A RAW '!BD$17*100)</f>
        <v/>
      </c>
      <c r="BE82" s="126" t="str">
        <f>IF('Finalterm OVPAA-F-INS-055A RAW '!BE82="","",'Finalterm OVPAA-F-INS-055A RAW '!BE82/'Finalterm OVPAA-F-INS-055A RAW '!BE$17*100)</f>
        <v/>
      </c>
      <c r="BF82" s="126" t="str">
        <f>IF('Finalterm OVPAA-F-INS-055A RAW '!BF82="","",'Finalterm OVPAA-F-INS-055A RAW '!BF82/'Finalterm OVPAA-F-INS-055A RAW '!BF$17*100)</f>
        <v/>
      </c>
      <c r="BG82" s="126" t="str">
        <f>IF('Finalterm OVPAA-F-INS-055A RAW '!BG82="","",'Finalterm OVPAA-F-INS-055A RAW '!BG82/'Finalterm OVPAA-F-INS-055A RAW '!BG$17*100)</f>
        <v/>
      </c>
      <c r="BH82" s="126" t="str">
        <f>IF('Finalterm OVPAA-F-INS-055A RAW '!BH82="","",'Finalterm OVPAA-F-INS-055A RAW '!BH82/'Finalterm OVPAA-F-INS-055A RAW '!BH$17*100)</f>
        <v/>
      </c>
      <c r="BI82" s="126" t="str">
        <f>IF('Finalterm OVPAA-F-INS-055A RAW '!BI82="","",'Finalterm OVPAA-F-INS-055A RAW '!BI82/'Finalterm OVPAA-F-INS-055A RAW '!BI$17*100)</f>
        <v/>
      </c>
      <c r="BJ82" s="126" t="str">
        <f>IF('Finalterm OVPAA-F-INS-055A RAW '!BJ82="","",'Finalterm OVPAA-F-INS-055A RAW '!BJ82/'Finalterm OVPAA-F-INS-055A RAW '!BJ$17*100)</f>
        <v/>
      </c>
      <c r="BK82" s="126" t="str">
        <f>IF('Finalterm OVPAA-F-INS-055A RAW '!BK82="","",'Finalterm OVPAA-F-INS-055A RAW '!BK82/'Finalterm OVPAA-F-INS-055A RAW '!BK$17*100)</f>
        <v/>
      </c>
      <c r="BL82" s="126" t="str">
        <f>IF('Finalterm OVPAA-F-INS-055A RAW '!BL82="","",'Finalterm OVPAA-F-INS-055A RAW '!BL82/'Finalterm OVPAA-F-INS-055A RAW '!BL$17*100)</f>
        <v/>
      </c>
      <c r="BM82" s="126" t="str">
        <f>IF('Finalterm OVPAA-F-INS-055A RAW '!BM82="","",'Finalterm OVPAA-F-INS-055A RAW '!BM82/'Finalterm OVPAA-F-INS-055A RAW '!BM$17*100)</f>
        <v/>
      </c>
      <c r="BN82" s="126" t="str">
        <f>IF('Finalterm OVPAA-F-INS-055A RAW '!BN82="","",'Finalterm OVPAA-F-INS-055A RAW '!BN82/'Finalterm OVPAA-F-INS-055A RAW '!BN$17*100)</f>
        <v/>
      </c>
      <c r="BO82" s="126" t="str">
        <f>IF('Finalterm OVPAA-F-INS-055A RAW '!BO82="","",'Finalterm OVPAA-F-INS-055A RAW '!BO82/'Finalterm OVPAA-F-INS-055A RAW '!BO$17*100)</f>
        <v/>
      </c>
      <c r="BP82" s="126" t="str">
        <f>IF('Finalterm OVPAA-F-INS-055A RAW '!BP82="","",'Finalterm OVPAA-F-INS-055A RAW '!BP82/'Finalterm OVPAA-F-INS-055A RAW '!BP$17*100)</f>
        <v/>
      </c>
      <c r="BQ82" s="126" t="str">
        <f>IF('Finalterm OVPAA-F-INS-055A RAW '!BQ82="","",'Finalterm OVPAA-F-INS-055A RAW '!BQ82/'Finalterm OVPAA-F-INS-055A RAW '!BQ$17*100)</f>
        <v/>
      </c>
      <c r="BR82" s="126" t="str">
        <f>IF('Finalterm OVPAA-F-INS-055A RAW '!BR82="","",'Finalterm OVPAA-F-INS-055A RAW '!BR82/'Finalterm OVPAA-F-INS-055A RAW '!BR$17*100)</f>
        <v/>
      </c>
      <c r="BS82" s="126" t="str">
        <f>IF('Finalterm OVPAA-F-INS-055A RAW '!BS82="","",'Finalterm OVPAA-F-INS-055A RAW '!BS82/'Finalterm OVPAA-F-INS-055A RAW '!BS$17*100)</f>
        <v/>
      </c>
      <c r="BT82" s="126" t="str">
        <f>IF('Finalterm OVPAA-F-INS-055A RAW '!BT82="","",'Finalterm OVPAA-F-INS-055A RAW '!BT82/'Finalterm OVPAA-F-INS-055A RAW '!BT$17*100)</f>
        <v/>
      </c>
      <c r="BU82" s="127" t="str">
        <f t="array" ref="BU82">IF('Finalterm OVPAA-F-INS-055A RAW '!$G82="","",IF((SUMPRODUCT(--ISBLANK('Finalterm OVPAA-F-INS-055A RAW '!H82:BT82))=COLUMNS('Finalterm OVPAA-F-INS-055A RAW '!H82:BT82))=TRUE,"",(((COUNTA('Finalterm OVPAA-F-INS-055A RAW '!$H$17:$BT$17)+COUNTBLANK('Finalterm OVPAA-F-INS-055A RAW '!H82:BT82))-COLUMNS('Finalterm OVPAA-F-INS-055A RAW '!H82:BT82))*5+SUM(H82:BT82))/COUNTA('Finalterm OVPAA-F-INS-055A RAW '!$H$17:$BT$17)))</f>
        <v/>
      </c>
      <c r="BV82" s="165" t="str">
        <f>IF(BU82="","",VLOOKUP(BU82,IF('Midterm OVPAA-F-INS-055A RAW SC'!$V$12=0.5,TRANSMUTATION!$C$4:$D$17,TRANSMUTATION!$G$4:$H$17),2,TRUE))</f>
        <v/>
      </c>
      <c r="BW82" s="129" t="str">
        <f>IF('Finalterm OVPAA-F-INS-055A RAW '!BU82="","",'Finalterm OVPAA-F-INS-055A RAW '!BU82/'Finalterm OVPAA-F-INS-055A RAW '!BU$17*100)</f>
        <v/>
      </c>
      <c r="BX82" s="130" t="str">
        <f>IF('Finalterm OVPAA-F-INS-055A RAW '!BV82="","",'Finalterm OVPAA-F-INS-055A RAW '!BV82/'Finalterm OVPAA-F-INS-055A RAW '!BV$17*100)</f>
        <v/>
      </c>
      <c r="BY82" s="130" t="str">
        <f>IF('Finalterm OVPAA-F-INS-055A RAW '!BW82="","",'Finalterm OVPAA-F-INS-055A RAW '!BW82/'Finalterm OVPAA-F-INS-055A RAW '!BW$17*100)</f>
        <v/>
      </c>
      <c r="BZ82" s="130" t="str">
        <f>IF('Finalterm OVPAA-F-INS-055A RAW '!BX82="","",'Finalterm OVPAA-F-INS-055A RAW '!BX82/'Finalterm OVPAA-F-INS-055A RAW '!BX$17*100)</f>
        <v/>
      </c>
      <c r="CA82" s="130" t="str">
        <f>IF('Finalterm OVPAA-F-INS-055A RAW '!BY82="","",'Finalterm OVPAA-F-INS-055A RAW '!BY82/'Finalterm OVPAA-F-INS-055A RAW '!BY$17*100)</f>
        <v/>
      </c>
      <c r="CB82" s="130" t="str">
        <f>IF('Finalterm OVPAA-F-INS-055A RAW '!BZ82="","",'Finalterm OVPAA-F-INS-055A RAW '!BZ82/'Finalterm OVPAA-F-INS-055A RAW '!BZ$17*100)</f>
        <v/>
      </c>
      <c r="CC82" s="130" t="str">
        <f>IF('Finalterm OVPAA-F-INS-055A RAW '!CA82="","",'Finalterm OVPAA-F-INS-055A RAW '!CA82/'Finalterm OVPAA-F-INS-055A RAW '!CA$17*100)</f>
        <v/>
      </c>
      <c r="CD82" s="130" t="str">
        <f>IF('Finalterm OVPAA-F-INS-055A RAW '!CB82="","",'Finalterm OVPAA-F-INS-055A RAW '!CB82/'Finalterm OVPAA-F-INS-055A RAW '!CB$17*100)</f>
        <v/>
      </c>
      <c r="CE82" s="130" t="str">
        <f>IF('Finalterm OVPAA-F-INS-055A RAW '!CC82="","",'Finalterm OVPAA-F-INS-055A RAW '!CC82/'Finalterm OVPAA-F-INS-055A RAW '!CC$17*100)</f>
        <v/>
      </c>
      <c r="CF82" s="130" t="str">
        <f>IF('Finalterm OVPAA-F-INS-055A RAW '!CD82="","",'Finalterm OVPAA-F-INS-055A RAW '!CD82/'Finalterm OVPAA-F-INS-055A RAW '!CD$17*100)</f>
        <v/>
      </c>
      <c r="CG82" s="130" t="str">
        <f>IF('Finalterm OVPAA-F-INS-055A RAW '!CE82="","",'Finalterm OVPAA-F-INS-055A RAW '!CE82/'Finalterm OVPAA-F-INS-055A RAW '!CE$17*100)</f>
        <v/>
      </c>
      <c r="CH82" s="130" t="str">
        <f>IF('Finalterm OVPAA-F-INS-055A RAW '!CF82="","",'Finalterm OVPAA-F-INS-055A RAW '!CF82/'Finalterm OVPAA-F-INS-055A RAW '!CF$17*100)</f>
        <v/>
      </c>
      <c r="CI82" s="130" t="str">
        <f>IF('Finalterm OVPAA-F-INS-055A RAW '!CG82="","",'Finalterm OVPAA-F-INS-055A RAW '!CG82/'Finalterm OVPAA-F-INS-055A RAW '!CG$17*100)</f>
        <v/>
      </c>
      <c r="CJ82" s="130" t="str">
        <f>IF('Finalterm OVPAA-F-INS-055A RAW '!CH82="","",'Finalterm OVPAA-F-INS-055A RAW '!CH82/'Finalterm OVPAA-F-INS-055A RAW '!CH$17*100)</f>
        <v/>
      </c>
      <c r="CK82" s="130" t="str">
        <f>IF('Finalterm OVPAA-F-INS-055A RAW '!CI82="","",'Finalterm OVPAA-F-INS-055A RAW '!CI82/'Finalterm OVPAA-F-INS-055A RAW '!CI$17*100)</f>
        <v/>
      </c>
      <c r="CL82" s="130" t="str">
        <f>IF('Finalterm OVPAA-F-INS-055A RAW '!CJ82="","",'Finalterm OVPAA-F-INS-055A RAW '!CJ82/'Finalterm OVPAA-F-INS-055A RAW '!CJ$17*100)</f>
        <v/>
      </c>
      <c r="CM82" s="130" t="str">
        <f>IF('Finalterm OVPAA-F-INS-055A RAW '!CK82="","",'Finalterm OVPAA-F-INS-055A RAW '!CK82/'Finalterm OVPAA-F-INS-055A RAW '!CK$17*100)</f>
        <v/>
      </c>
      <c r="CN82" s="130" t="str">
        <f>IF('Finalterm OVPAA-F-INS-055A RAW '!CL82="","",'Finalterm OVPAA-F-INS-055A RAW '!CL82/'Finalterm OVPAA-F-INS-055A RAW '!CL$17*100)</f>
        <v/>
      </c>
      <c r="CO82" s="130" t="str">
        <f>IF('Finalterm OVPAA-F-INS-055A RAW '!CM82="","",'Finalterm OVPAA-F-INS-055A RAW '!CM82/'Finalterm OVPAA-F-INS-055A RAW '!CM$17*100)</f>
        <v/>
      </c>
      <c r="CP82" s="130" t="str">
        <f>IF('Finalterm OVPAA-F-INS-055A RAW '!CN82="","",'Finalterm OVPAA-F-INS-055A RAW '!CN82/'Finalterm OVPAA-F-INS-055A RAW '!CN$17*100)</f>
        <v/>
      </c>
      <c r="CQ82" s="131" t="str">
        <f t="array" ref="CQ82">IF('Midterm OVPAA-F-INS-055A RAW SC'!G82="","",IF((SUMPRODUCT(--ISBLANK('Finalterm OVPAA-F-INS-055A RAW '!BU82:CN82))=COLUMNS('Finalterm OVPAA-F-INS-055A RAW '!BU82:CN82))=TRUE,"",(((COUNTA('Finalterm OVPAA-F-INS-055A RAW '!$BU$17:$CN$17)+COUNTBLANK('Finalterm OVPAA-F-INS-055A RAW '!BU82:CN82))-COLUMNS('Finalterm OVPAA-F-INS-055A RAW '!BU82:CN82))*5+SUM(BW82:CP82))/COUNTA('Finalterm OVPAA-F-INS-055A RAW '!$BU$17:$CN$17)))</f>
        <v/>
      </c>
      <c r="CR82" s="132" t="str">
        <f>IF(CQ82="","",VLOOKUP(CQ82,IF('Midterm OVPAA-F-INS-055A RAW SC'!$V$12=0.5,TRANSMUTATION!$C$4:$D$17,TRANSMUTATION!$G$4:$H$17),2,TRUE))</f>
        <v/>
      </c>
      <c r="CS82" s="133" t="str">
        <f>IF('Finalterm OVPAA-F-INS-055A RAW '!CO82="","",'Finalterm OVPAA-F-INS-055A RAW '!CO82/'Finalterm OVPAA-F-INS-055A RAW '!CO$17*100)</f>
        <v/>
      </c>
      <c r="CT82" s="133" t="str">
        <f>IF('Finalterm OVPAA-F-INS-055A RAW '!CP82="","",'Finalterm OVPAA-F-INS-055A RAW '!CP82/'Finalterm OVPAA-F-INS-055A RAW '!CP$17*100)</f>
        <v/>
      </c>
      <c r="CU82" s="133" t="str">
        <f>IF('Finalterm OVPAA-F-INS-055A RAW '!CQ82="","",'Finalterm OVPAA-F-INS-055A RAW '!CQ82/'Finalterm OVPAA-F-INS-055A RAW '!CQ$17*100)</f>
        <v/>
      </c>
      <c r="CV82" s="133" t="str">
        <f>IF('Finalterm OVPAA-F-INS-055A RAW '!CR82="","",'Finalterm OVPAA-F-INS-055A RAW '!CR82/'Finalterm OVPAA-F-INS-055A RAW '!CR$17*100)</f>
        <v/>
      </c>
      <c r="CW82" s="133" t="str">
        <f>IF('Finalterm OVPAA-F-INS-055A RAW '!CS82="","",'Finalterm OVPAA-F-INS-055A RAW '!CS82/'Finalterm OVPAA-F-INS-055A RAW '!CS$17*100)</f>
        <v/>
      </c>
      <c r="CX82" s="133" t="str">
        <f>IF('Finalterm OVPAA-F-INS-055A RAW '!CT82="","",'Finalterm OVPAA-F-INS-055A RAW '!CT82/'Finalterm OVPAA-F-INS-055A RAW '!CT$17*100)</f>
        <v/>
      </c>
      <c r="CY82" s="133" t="str">
        <f>IF('Finalterm OVPAA-F-INS-055A RAW '!CU82="","",'Finalterm OVPAA-F-INS-055A RAW '!CU82/'Finalterm OVPAA-F-INS-055A RAW '!CU$17*100)</f>
        <v/>
      </c>
      <c r="CZ82" s="133" t="str">
        <f>IF('Finalterm OVPAA-F-INS-055A RAW '!CV82="","",'Finalterm OVPAA-F-INS-055A RAW '!CV82/'Finalterm OVPAA-F-INS-055A RAW '!CV$17*100)</f>
        <v/>
      </c>
      <c r="DA82" s="133" t="str">
        <f>IF('Finalterm OVPAA-F-INS-055A RAW '!CW82="","",'Finalterm OVPAA-F-INS-055A RAW '!CW82/'Finalterm OVPAA-F-INS-055A RAW '!CW$17*100)</f>
        <v/>
      </c>
      <c r="DB82" s="133" t="str">
        <f>IF('Finalterm OVPAA-F-INS-055A RAW '!CX82="","",'Finalterm OVPAA-F-INS-055A RAW '!CX82/'Finalterm OVPAA-F-INS-055A RAW '!CX$17*100)</f>
        <v/>
      </c>
      <c r="DC82" s="134" t="str">
        <f t="array" ref="DC82">IF('Midterm OVPAA-F-INS-055A RAW SC'!$G82="","",IF((SUMPRODUCT(--ISBLANK('Finalterm OVPAA-F-INS-055A RAW '!CO82:CX82))=COLUMNS('Finalterm OVPAA-F-INS-055A RAW '!CO82:CX82))=TRUE,"",(((COUNTA('Finalterm OVPAA-F-INS-055A RAW '!$CO$17:$CX$17)+COUNTBLANK('Finalterm OVPAA-F-INS-055A RAW '!CO82:CX82))-COLUMNS('Finalterm OVPAA-F-INS-055A RAW '!CO82:CX82))*5+SUM(CS82:DB82))/COUNTA('Finalterm OVPAA-F-INS-055A RAW '!$CO$17:$CX$17)))</f>
        <v/>
      </c>
      <c r="DD82" s="135" t="str">
        <f>IF(DC82="","",VLOOKUP(DC82,IF('Midterm OVPAA-F-INS-055A RAW SC'!$V$12=0.5,TRANSMUTATION!$C$4:$D$17,TRANSMUTATION!$G$4:$H$17),2,TRUE))</f>
        <v/>
      </c>
      <c r="DE82" s="136" t="str">
        <f t="shared" si="1"/>
        <v/>
      </c>
      <c r="DF82" s="166" t="str">
        <f t="shared" si="2"/>
        <v/>
      </c>
      <c r="DG82" s="167" t="str">
        <f t="shared" si="3"/>
        <v/>
      </c>
      <c r="DH82" s="168" t="str">
        <f t="shared" si="4"/>
        <v/>
      </c>
      <c r="DI82" s="169" t="str">
        <f t="shared" si="5"/>
        <v/>
      </c>
    </row>
    <row r="83" spans="1:113" ht="15.75" hidden="1" customHeight="1">
      <c r="E83" s="59">
        <v>66</v>
      </c>
      <c r="F83" s="124" t="str">
        <f>IF(NOT(ISBLANK('Midterm OVPAA-F-INS-055A RAW SC'!F83)),'Midterm OVPAA-F-INS-055A RAW SC'!F83,"")</f>
        <v/>
      </c>
      <c r="G83" s="125" t="str">
        <f>IF(NOT(ISBLANK('Midterm OVPAA-F-INS-055A RAW SC'!G83)),'Midterm OVPAA-F-INS-055A RAW SC'!G83,"")</f>
        <v/>
      </c>
      <c r="H83" s="126" t="str">
        <f>IF('Finalterm OVPAA-F-INS-055A RAW '!H83="","",'Finalterm OVPAA-F-INS-055A RAW '!H83/'Finalterm OVPAA-F-INS-055A RAW '!H$17*100)</f>
        <v/>
      </c>
      <c r="I83" s="126" t="str">
        <f>IF('Finalterm OVPAA-F-INS-055A RAW '!I83="","",'Finalterm OVPAA-F-INS-055A RAW '!I83/'Finalterm OVPAA-F-INS-055A RAW '!I$17*100)</f>
        <v/>
      </c>
      <c r="J83" s="126" t="str">
        <f>IF('Finalterm OVPAA-F-INS-055A RAW '!J83="","",'Finalterm OVPAA-F-INS-055A RAW '!J83/'Finalterm OVPAA-F-INS-055A RAW '!J$17*100)</f>
        <v/>
      </c>
      <c r="K83" s="126" t="str">
        <f>IF('Finalterm OVPAA-F-INS-055A RAW '!K83="","",'Finalterm OVPAA-F-INS-055A RAW '!K83/'Finalterm OVPAA-F-INS-055A RAW '!K$17*100)</f>
        <v/>
      </c>
      <c r="L83" s="126" t="str">
        <f>IF('Finalterm OVPAA-F-INS-055A RAW '!L83="","",'Finalterm OVPAA-F-INS-055A RAW '!L83/'Finalterm OVPAA-F-INS-055A RAW '!L$17*100)</f>
        <v/>
      </c>
      <c r="M83" s="126" t="str">
        <f>IF('Finalterm OVPAA-F-INS-055A RAW '!M83="","",'Finalterm OVPAA-F-INS-055A RAW '!M83/'Finalterm OVPAA-F-INS-055A RAW '!M$17*100)</f>
        <v/>
      </c>
      <c r="N83" s="126" t="str">
        <f>IF('Finalterm OVPAA-F-INS-055A RAW '!N83="","",'Finalterm OVPAA-F-INS-055A RAW '!N83/'Finalterm OVPAA-F-INS-055A RAW '!N$17*100)</f>
        <v/>
      </c>
      <c r="O83" s="126" t="str">
        <f>IF('Finalterm OVPAA-F-INS-055A RAW '!O83="","",'Finalterm OVPAA-F-INS-055A RAW '!O83/'Finalterm OVPAA-F-INS-055A RAW '!O$17*100)</f>
        <v/>
      </c>
      <c r="P83" s="126" t="str">
        <f>IF('Finalterm OVPAA-F-INS-055A RAW '!P83="","",'Finalterm OVPAA-F-INS-055A RAW '!P83/'Finalterm OVPAA-F-INS-055A RAW '!P$17*100)</f>
        <v/>
      </c>
      <c r="Q83" s="126" t="str">
        <f>IF('Finalterm OVPAA-F-INS-055A RAW '!Q83="","",'Finalterm OVPAA-F-INS-055A RAW '!Q83/'Finalterm OVPAA-F-INS-055A RAW '!Q$17*100)</f>
        <v/>
      </c>
      <c r="R83" s="126" t="str">
        <f>IF('Finalterm OVPAA-F-INS-055A RAW '!R83="","",'Finalterm OVPAA-F-INS-055A RAW '!R83/'Finalterm OVPAA-F-INS-055A RAW '!R$17*100)</f>
        <v/>
      </c>
      <c r="S83" s="126" t="str">
        <f>IF('Finalterm OVPAA-F-INS-055A RAW '!S83="","",'Finalterm OVPAA-F-INS-055A RAW '!S83/'Finalterm OVPAA-F-INS-055A RAW '!S$17*100)</f>
        <v/>
      </c>
      <c r="T83" s="126" t="str">
        <f>IF('Finalterm OVPAA-F-INS-055A RAW '!T83="","",'Finalterm OVPAA-F-INS-055A RAW '!T83/'Finalterm OVPAA-F-INS-055A RAW '!T$17*100)</f>
        <v/>
      </c>
      <c r="U83" s="126" t="str">
        <f>IF('Finalterm OVPAA-F-INS-055A RAW '!U83="","",'Finalterm OVPAA-F-INS-055A RAW '!U83/'Finalterm OVPAA-F-INS-055A RAW '!U$17*100)</f>
        <v/>
      </c>
      <c r="V83" s="126" t="str">
        <f>IF('Finalterm OVPAA-F-INS-055A RAW '!V83="","",'Finalterm OVPAA-F-INS-055A RAW '!V83/'Finalterm OVPAA-F-INS-055A RAW '!V$17*100)</f>
        <v/>
      </c>
      <c r="W83" s="126" t="str">
        <f>IF('Finalterm OVPAA-F-INS-055A RAW '!W83="","",'Finalterm OVPAA-F-INS-055A RAW '!W83/'Finalterm OVPAA-F-INS-055A RAW '!W$17*100)</f>
        <v/>
      </c>
      <c r="X83" s="126" t="str">
        <f>IF('Finalterm OVPAA-F-INS-055A RAW '!X83="","",'Finalterm OVPAA-F-INS-055A RAW '!X83/'Finalterm OVPAA-F-INS-055A RAW '!X$17*100)</f>
        <v/>
      </c>
      <c r="Y83" s="126" t="str">
        <f>IF('Finalterm OVPAA-F-INS-055A RAW '!Y83="","",'Finalterm OVPAA-F-INS-055A RAW '!Y83/'Finalterm OVPAA-F-INS-055A RAW '!Y$17*100)</f>
        <v/>
      </c>
      <c r="Z83" s="126" t="str">
        <f>IF('Finalterm OVPAA-F-INS-055A RAW '!Z83="","",'Finalterm OVPAA-F-INS-055A RAW '!Z83/'Finalterm OVPAA-F-INS-055A RAW '!Z$17*100)</f>
        <v/>
      </c>
      <c r="AA83" s="126" t="str">
        <f>IF('Finalterm OVPAA-F-INS-055A RAW '!AA83="","",'Finalterm OVPAA-F-INS-055A RAW '!AA83/'Finalterm OVPAA-F-INS-055A RAW '!AA$17*100)</f>
        <v/>
      </c>
      <c r="AB83" s="126" t="str">
        <f>IF('Finalterm OVPAA-F-INS-055A RAW '!AB83="","",'Finalterm OVPAA-F-INS-055A RAW '!AB83/'Finalterm OVPAA-F-INS-055A RAW '!AB$17*100)</f>
        <v/>
      </c>
      <c r="AC83" s="126" t="str">
        <f>IF('Finalterm OVPAA-F-INS-055A RAW '!AC83="","",'Finalterm OVPAA-F-INS-055A RAW '!AC83/'Finalterm OVPAA-F-INS-055A RAW '!AC$17*100)</f>
        <v/>
      </c>
      <c r="AD83" s="126" t="str">
        <f>IF('Finalterm OVPAA-F-INS-055A RAW '!AD83="","",'Finalterm OVPAA-F-INS-055A RAW '!AD83/'Finalterm OVPAA-F-INS-055A RAW '!AD$17*100)</f>
        <v/>
      </c>
      <c r="AE83" s="126" t="str">
        <f>IF('Finalterm OVPAA-F-INS-055A RAW '!AE83="","",'Finalterm OVPAA-F-INS-055A RAW '!AE83/'Finalterm OVPAA-F-INS-055A RAW '!AE$17*100)</f>
        <v/>
      </c>
      <c r="AF83" s="126" t="str">
        <f>IF('Finalterm OVPAA-F-INS-055A RAW '!AF83="","",'Finalterm OVPAA-F-INS-055A RAW '!AF83/'Finalterm OVPAA-F-INS-055A RAW '!AF$17*100)</f>
        <v/>
      </c>
      <c r="AG83" s="126" t="str">
        <f>IF('Finalterm OVPAA-F-INS-055A RAW '!AG83="","",'Finalterm OVPAA-F-INS-055A RAW '!AG83/'Finalterm OVPAA-F-INS-055A RAW '!AG$17*100)</f>
        <v/>
      </c>
      <c r="AH83" s="126" t="str">
        <f>IF('Finalterm OVPAA-F-INS-055A RAW '!AH83="","",'Finalterm OVPAA-F-INS-055A RAW '!AH83/'Finalterm OVPAA-F-INS-055A RAW '!AH$17*100)</f>
        <v/>
      </c>
      <c r="AI83" s="126" t="str">
        <f>IF('Finalterm OVPAA-F-INS-055A RAW '!AI83="","",'Finalterm OVPAA-F-INS-055A RAW '!AI83/'Finalterm OVPAA-F-INS-055A RAW '!AI$17*100)</f>
        <v/>
      </c>
      <c r="AJ83" s="126" t="str">
        <f>IF('Finalterm OVPAA-F-INS-055A RAW '!AJ83="","",'Finalterm OVPAA-F-INS-055A RAW '!AJ83/'Finalterm OVPAA-F-INS-055A RAW '!AJ$17*100)</f>
        <v/>
      </c>
      <c r="AK83" s="126" t="str">
        <f>IF('Finalterm OVPAA-F-INS-055A RAW '!AK83="","",'Finalterm OVPAA-F-INS-055A RAW '!AK83/'Finalterm OVPAA-F-INS-055A RAW '!AK$17*100)</f>
        <v/>
      </c>
      <c r="AL83" s="126" t="str">
        <f>IF('Finalterm OVPAA-F-INS-055A RAW '!AL83="","",'Finalterm OVPAA-F-INS-055A RAW '!AL83/'Finalterm OVPAA-F-INS-055A RAW '!AL$17*100)</f>
        <v/>
      </c>
      <c r="AM83" s="126" t="str">
        <f>IF('Finalterm OVPAA-F-INS-055A RAW '!AM83="","",'Finalterm OVPAA-F-INS-055A RAW '!AM83/'Finalterm OVPAA-F-INS-055A RAW '!AM$17*100)</f>
        <v/>
      </c>
      <c r="AN83" s="126" t="str">
        <f>IF('Finalterm OVPAA-F-INS-055A RAW '!AN83="","",'Finalterm OVPAA-F-INS-055A RAW '!AN83/'Finalterm OVPAA-F-INS-055A RAW '!AN$17*100)</f>
        <v/>
      </c>
      <c r="AO83" s="126" t="str">
        <f>IF('Finalterm OVPAA-F-INS-055A RAW '!AO83="","",'Finalterm OVPAA-F-INS-055A RAW '!AO83/'Finalterm OVPAA-F-INS-055A RAW '!AO$17*100)</f>
        <v/>
      </c>
      <c r="AP83" s="126" t="str">
        <f>IF('Finalterm OVPAA-F-INS-055A RAW '!AP83="","",'Finalterm OVPAA-F-INS-055A RAW '!AP83/'Finalterm OVPAA-F-INS-055A RAW '!AP$17*100)</f>
        <v/>
      </c>
      <c r="AQ83" s="126" t="str">
        <f>IF('Finalterm OVPAA-F-INS-055A RAW '!AQ83="","",'Finalterm OVPAA-F-INS-055A RAW '!AQ83/'Finalterm OVPAA-F-INS-055A RAW '!AQ$17*100)</f>
        <v/>
      </c>
      <c r="AR83" s="126" t="str">
        <f>IF('Finalterm OVPAA-F-INS-055A RAW '!AR83="","",'Finalterm OVPAA-F-INS-055A RAW '!AR83/'Finalterm OVPAA-F-INS-055A RAW '!AR$17*100)</f>
        <v/>
      </c>
      <c r="AS83" s="126" t="str">
        <f>IF('Finalterm OVPAA-F-INS-055A RAW '!AS83="","",'Finalterm OVPAA-F-INS-055A RAW '!AS83/'Finalterm OVPAA-F-INS-055A RAW '!AS$17*100)</f>
        <v/>
      </c>
      <c r="AT83" s="126" t="str">
        <f>IF('Finalterm OVPAA-F-INS-055A RAW '!AT83="","",'Finalterm OVPAA-F-INS-055A RAW '!AT83/'Finalterm OVPAA-F-INS-055A RAW '!AT$17*100)</f>
        <v/>
      </c>
      <c r="AU83" s="126" t="str">
        <f>IF('Finalterm OVPAA-F-INS-055A RAW '!AU83="","",'Finalterm OVPAA-F-INS-055A RAW '!AU83/'Finalterm OVPAA-F-INS-055A RAW '!AU$17*100)</f>
        <v/>
      </c>
      <c r="AV83" s="126" t="str">
        <f>IF('Finalterm OVPAA-F-INS-055A RAW '!AV83="","",'Finalterm OVPAA-F-INS-055A RAW '!AV83/'Finalterm OVPAA-F-INS-055A RAW '!AV$17*100)</f>
        <v/>
      </c>
      <c r="AW83" s="126" t="str">
        <f>IF('Finalterm OVPAA-F-INS-055A RAW '!AW83="","",'Finalterm OVPAA-F-INS-055A RAW '!AW83/'Finalterm OVPAA-F-INS-055A RAW '!AW$17*100)</f>
        <v/>
      </c>
      <c r="AX83" s="126" t="str">
        <f>IF('Finalterm OVPAA-F-INS-055A RAW '!AX83="","",'Finalterm OVPAA-F-INS-055A RAW '!AX83/'Finalterm OVPAA-F-INS-055A RAW '!AX$17*100)</f>
        <v/>
      </c>
      <c r="AY83" s="126" t="str">
        <f>IF('Finalterm OVPAA-F-INS-055A RAW '!AY83="","",'Finalterm OVPAA-F-INS-055A RAW '!AY83/'Finalterm OVPAA-F-INS-055A RAW '!AY$17*100)</f>
        <v/>
      </c>
      <c r="AZ83" s="126" t="str">
        <f>IF('Finalterm OVPAA-F-INS-055A RAW '!AZ83="","",'Finalterm OVPAA-F-INS-055A RAW '!AZ83/'Finalterm OVPAA-F-INS-055A RAW '!AZ$17*100)</f>
        <v/>
      </c>
      <c r="BA83" s="126" t="str">
        <f>IF('Finalterm OVPAA-F-INS-055A RAW '!BA83="","",'Finalterm OVPAA-F-INS-055A RAW '!BA83/'Finalterm OVPAA-F-INS-055A RAW '!BA$17*100)</f>
        <v/>
      </c>
      <c r="BB83" s="126" t="str">
        <f>IF('Finalterm OVPAA-F-INS-055A RAW '!BB83="","",'Finalterm OVPAA-F-INS-055A RAW '!BB83/'Finalterm OVPAA-F-INS-055A RAW '!BB$17*100)</f>
        <v/>
      </c>
      <c r="BC83" s="126" t="str">
        <f>IF('Finalterm OVPAA-F-INS-055A RAW '!BC83="","",'Finalterm OVPAA-F-INS-055A RAW '!BC83/'Finalterm OVPAA-F-INS-055A RAW '!BC$17*100)</f>
        <v/>
      </c>
      <c r="BD83" s="126" t="str">
        <f>IF('Finalterm OVPAA-F-INS-055A RAW '!BD83="","",'Finalterm OVPAA-F-INS-055A RAW '!BD83/'Finalterm OVPAA-F-INS-055A RAW '!BD$17*100)</f>
        <v/>
      </c>
      <c r="BE83" s="126" t="str">
        <f>IF('Finalterm OVPAA-F-INS-055A RAW '!BE83="","",'Finalterm OVPAA-F-INS-055A RAW '!BE83/'Finalterm OVPAA-F-INS-055A RAW '!BE$17*100)</f>
        <v/>
      </c>
      <c r="BF83" s="126" t="str">
        <f>IF('Finalterm OVPAA-F-INS-055A RAW '!BF83="","",'Finalterm OVPAA-F-INS-055A RAW '!BF83/'Finalterm OVPAA-F-INS-055A RAW '!BF$17*100)</f>
        <v/>
      </c>
      <c r="BG83" s="126" t="str">
        <f>IF('Finalterm OVPAA-F-INS-055A RAW '!BG83="","",'Finalterm OVPAA-F-INS-055A RAW '!BG83/'Finalterm OVPAA-F-INS-055A RAW '!BG$17*100)</f>
        <v/>
      </c>
      <c r="BH83" s="126" t="str">
        <f>IF('Finalterm OVPAA-F-INS-055A RAW '!BH83="","",'Finalterm OVPAA-F-INS-055A RAW '!BH83/'Finalterm OVPAA-F-INS-055A RAW '!BH$17*100)</f>
        <v/>
      </c>
      <c r="BI83" s="126" t="str">
        <f>IF('Finalterm OVPAA-F-INS-055A RAW '!BI83="","",'Finalterm OVPAA-F-INS-055A RAW '!BI83/'Finalterm OVPAA-F-INS-055A RAW '!BI$17*100)</f>
        <v/>
      </c>
      <c r="BJ83" s="126" t="str">
        <f>IF('Finalterm OVPAA-F-INS-055A RAW '!BJ83="","",'Finalterm OVPAA-F-INS-055A RAW '!BJ83/'Finalterm OVPAA-F-INS-055A RAW '!BJ$17*100)</f>
        <v/>
      </c>
      <c r="BK83" s="126" t="str">
        <f>IF('Finalterm OVPAA-F-INS-055A RAW '!BK83="","",'Finalterm OVPAA-F-INS-055A RAW '!BK83/'Finalterm OVPAA-F-INS-055A RAW '!BK$17*100)</f>
        <v/>
      </c>
      <c r="BL83" s="126" t="str">
        <f>IF('Finalterm OVPAA-F-INS-055A RAW '!BL83="","",'Finalterm OVPAA-F-INS-055A RAW '!BL83/'Finalterm OVPAA-F-INS-055A RAW '!BL$17*100)</f>
        <v/>
      </c>
      <c r="BM83" s="126" t="str">
        <f>IF('Finalterm OVPAA-F-INS-055A RAW '!BM83="","",'Finalterm OVPAA-F-INS-055A RAW '!BM83/'Finalterm OVPAA-F-INS-055A RAW '!BM$17*100)</f>
        <v/>
      </c>
      <c r="BN83" s="126" t="str">
        <f>IF('Finalterm OVPAA-F-INS-055A RAW '!BN83="","",'Finalterm OVPAA-F-INS-055A RAW '!BN83/'Finalterm OVPAA-F-INS-055A RAW '!BN$17*100)</f>
        <v/>
      </c>
      <c r="BO83" s="126" t="str">
        <f>IF('Finalterm OVPAA-F-INS-055A RAW '!BO83="","",'Finalterm OVPAA-F-INS-055A RAW '!BO83/'Finalterm OVPAA-F-INS-055A RAW '!BO$17*100)</f>
        <v/>
      </c>
      <c r="BP83" s="126" t="str">
        <f>IF('Finalterm OVPAA-F-INS-055A RAW '!BP83="","",'Finalterm OVPAA-F-INS-055A RAW '!BP83/'Finalterm OVPAA-F-INS-055A RAW '!BP$17*100)</f>
        <v/>
      </c>
      <c r="BQ83" s="126" t="str">
        <f>IF('Finalterm OVPAA-F-INS-055A RAW '!BQ83="","",'Finalterm OVPAA-F-INS-055A RAW '!BQ83/'Finalterm OVPAA-F-INS-055A RAW '!BQ$17*100)</f>
        <v/>
      </c>
      <c r="BR83" s="126" t="str">
        <f>IF('Finalterm OVPAA-F-INS-055A RAW '!BR83="","",'Finalterm OVPAA-F-INS-055A RAW '!BR83/'Finalterm OVPAA-F-INS-055A RAW '!BR$17*100)</f>
        <v/>
      </c>
      <c r="BS83" s="126" t="str">
        <f>IF('Finalterm OVPAA-F-INS-055A RAW '!BS83="","",'Finalterm OVPAA-F-INS-055A RAW '!BS83/'Finalterm OVPAA-F-INS-055A RAW '!BS$17*100)</f>
        <v/>
      </c>
      <c r="BT83" s="126" t="str">
        <f>IF('Finalterm OVPAA-F-INS-055A RAW '!BT83="","",'Finalterm OVPAA-F-INS-055A RAW '!BT83/'Finalterm OVPAA-F-INS-055A RAW '!BT$17*100)</f>
        <v/>
      </c>
      <c r="BU83" s="127" t="str">
        <f t="array" ref="BU83">IF('Finalterm OVPAA-F-INS-055A RAW '!$G83="","",IF((SUMPRODUCT(--ISBLANK('Finalterm OVPAA-F-INS-055A RAW '!H83:BT83))=COLUMNS('Finalterm OVPAA-F-INS-055A RAW '!H83:BT83))=TRUE,"",(((COUNTA('Finalterm OVPAA-F-INS-055A RAW '!$H$17:$BT$17)+COUNTBLANK('Finalterm OVPAA-F-INS-055A RAW '!H83:BT83))-COLUMNS('Finalterm OVPAA-F-INS-055A RAW '!H83:BT83))*5+SUM(H83:BT83))/COUNTA('Finalterm OVPAA-F-INS-055A RAW '!$H$17:$BT$17)))</f>
        <v/>
      </c>
      <c r="BV83" s="165" t="str">
        <f>IF(BU83="","",VLOOKUP(BU83,IF('Midterm OVPAA-F-INS-055A RAW SC'!$V$12=0.5,TRANSMUTATION!$C$4:$D$17,TRANSMUTATION!$G$4:$H$17),2,TRUE))</f>
        <v/>
      </c>
      <c r="BW83" s="129" t="str">
        <f>IF('Finalterm OVPAA-F-INS-055A RAW '!BU83="","",'Finalterm OVPAA-F-INS-055A RAW '!BU83/'Finalterm OVPAA-F-INS-055A RAW '!BU$17*100)</f>
        <v/>
      </c>
      <c r="BX83" s="130" t="str">
        <f>IF('Finalterm OVPAA-F-INS-055A RAW '!BV83="","",'Finalterm OVPAA-F-INS-055A RAW '!BV83/'Finalterm OVPAA-F-INS-055A RAW '!BV$17*100)</f>
        <v/>
      </c>
      <c r="BY83" s="130" t="str">
        <f>IF('Finalterm OVPAA-F-INS-055A RAW '!BW83="","",'Finalterm OVPAA-F-INS-055A RAW '!BW83/'Finalterm OVPAA-F-INS-055A RAW '!BW$17*100)</f>
        <v/>
      </c>
      <c r="BZ83" s="130" t="str">
        <f>IF('Finalterm OVPAA-F-INS-055A RAW '!BX83="","",'Finalterm OVPAA-F-INS-055A RAW '!BX83/'Finalterm OVPAA-F-INS-055A RAW '!BX$17*100)</f>
        <v/>
      </c>
      <c r="CA83" s="130" t="str">
        <f>IF('Finalterm OVPAA-F-INS-055A RAW '!BY83="","",'Finalterm OVPAA-F-INS-055A RAW '!BY83/'Finalterm OVPAA-F-INS-055A RAW '!BY$17*100)</f>
        <v/>
      </c>
      <c r="CB83" s="130" t="str">
        <f>IF('Finalterm OVPAA-F-INS-055A RAW '!BZ83="","",'Finalterm OVPAA-F-INS-055A RAW '!BZ83/'Finalterm OVPAA-F-INS-055A RAW '!BZ$17*100)</f>
        <v/>
      </c>
      <c r="CC83" s="130" t="str">
        <f>IF('Finalterm OVPAA-F-INS-055A RAW '!CA83="","",'Finalterm OVPAA-F-INS-055A RAW '!CA83/'Finalterm OVPAA-F-INS-055A RAW '!CA$17*100)</f>
        <v/>
      </c>
      <c r="CD83" s="130" t="str">
        <f>IF('Finalterm OVPAA-F-INS-055A RAW '!CB83="","",'Finalterm OVPAA-F-INS-055A RAW '!CB83/'Finalterm OVPAA-F-INS-055A RAW '!CB$17*100)</f>
        <v/>
      </c>
      <c r="CE83" s="130" t="str">
        <f>IF('Finalterm OVPAA-F-INS-055A RAW '!CC83="","",'Finalterm OVPAA-F-INS-055A RAW '!CC83/'Finalterm OVPAA-F-INS-055A RAW '!CC$17*100)</f>
        <v/>
      </c>
      <c r="CF83" s="130" t="str">
        <f>IF('Finalterm OVPAA-F-INS-055A RAW '!CD83="","",'Finalterm OVPAA-F-INS-055A RAW '!CD83/'Finalterm OVPAA-F-INS-055A RAW '!CD$17*100)</f>
        <v/>
      </c>
      <c r="CG83" s="130" t="str">
        <f>IF('Finalterm OVPAA-F-INS-055A RAW '!CE83="","",'Finalterm OVPAA-F-INS-055A RAW '!CE83/'Finalterm OVPAA-F-INS-055A RAW '!CE$17*100)</f>
        <v/>
      </c>
      <c r="CH83" s="130" t="str">
        <f>IF('Finalterm OVPAA-F-INS-055A RAW '!CF83="","",'Finalterm OVPAA-F-INS-055A RAW '!CF83/'Finalterm OVPAA-F-INS-055A RAW '!CF$17*100)</f>
        <v/>
      </c>
      <c r="CI83" s="130" t="str">
        <f>IF('Finalterm OVPAA-F-INS-055A RAW '!CG83="","",'Finalterm OVPAA-F-INS-055A RAW '!CG83/'Finalterm OVPAA-F-INS-055A RAW '!CG$17*100)</f>
        <v/>
      </c>
      <c r="CJ83" s="130" t="str">
        <f>IF('Finalterm OVPAA-F-INS-055A RAW '!CH83="","",'Finalterm OVPAA-F-INS-055A RAW '!CH83/'Finalterm OVPAA-F-INS-055A RAW '!CH$17*100)</f>
        <v/>
      </c>
      <c r="CK83" s="130" t="str">
        <f>IF('Finalterm OVPAA-F-INS-055A RAW '!CI83="","",'Finalterm OVPAA-F-INS-055A RAW '!CI83/'Finalterm OVPAA-F-INS-055A RAW '!CI$17*100)</f>
        <v/>
      </c>
      <c r="CL83" s="130" t="str">
        <f>IF('Finalterm OVPAA-F-INS-055A RAW '!CJ83="","",'Finalterm OVPAA-F-INS-055A RAW '!CJ83/'Finalterm OVPAA-F-INS-055A RAW '!CJ$17*100)</f>
        <v/>
      </c>
      <c r="CM83" s="130" t="str">
        <f>IF('Finalterm OVPAA-F-INS-055A RAW '!CK83="","",'Finalterm OVPAA-F-INS-055A RAW '!CK83/'Finalterm OVPAA-F-INS-055A RAW '!CK$17*100)</f>
        <v/>
      </c>
      <c r="CN83" s="130" t="str">
        <f>IF('Finalterm OVPAA-F-INS-055A RAW '!CL83="","",'Finalterm OVPAA-F-INS-055A RAW '!CL83/'Finalterm OVPAA-F-INS-055A RAW '!CL$17*100)</f>
        <v/>
      </c>
      <c r="CO83" s="130" t="str">
        <f>IF('Finalterm OVPAA-F-INS-055A RAW '!CM83="","",'Finalterm OVPAA-F-INS-055A RAW '!CM83/'Finalterm OVPAA-F-INS-055A RAW '!CM$17*100)</f>
        <v/>
      </c>
      <c r="CP83" s="130" t="str">
        <f>IF('Finalterm OVPAA-F-INS-055A RAW '!CN83="","",'Finalterm OVPAA-F-INS-055A RAW '!CN83/'Finalterm OVPAA-F-INS-055A RAW '!CN$17*100)</f>
        <v/>
      </c>
      <c r="CQ83" s="131" t="str">
        <f t="array" ref="CQ83">IF('Midterm OVPAA-F-INS-055A RAW SC'!G83="","",IF((SUMPRODUCT(--ISBLANK('Finalterm OVPAA-F-INS-055A RAW '!BU83:CN83))=COLUMNS('Finalterm OVPAA-F-INS-055A RAW '!BU83:CN83))=TRUE,"",(((COUNTA('Finalterm OVPAA-F-INS-055A RAW '!$BU$17:$CN$17)+COUNTBLANK('Finalterm OVPAA-F-INS-055A RAW '!BU83:CN83))-COLUMNS('Finalterm OVPAA-F-INS-055A RAW '!BU83:CN83))*5+SUM(BW83:CP83))/COUNTA('Finalterm OVPAA-F-INS-055A RAW '!$BU$17:$CN$17)))</f>
        <v/>
      </c>
      <c r="CR83" s="132" t="str">
        <f>IF(CQ83="","",VLOOKUP(CQ83,IF('Midterm OVPAA-F-INS-055A RAW SC'!$V$12=0.5,TRANSMUTATION!$C$4:$D$17,TRANSMUTATION!$G$4:$H$17),2,TRUE))</f>
        <v/>
      </c>
      <c r="CS83" s="133" t="str">
        <f>IF('Finalterm OVPAA-F-INS-055A RAW '!CO83="","",'Finalterm OVPAA-F-INS-055A RAW '!CO83/'Finalterm OVPAA-F-INS-055A RAW '!CO$17*100)</f>
        <v/>
      </c>
      <c r="CT83" s="133" t="str">
        <f>IF('Finalterm OVPAA-F-INS-055A RAW '!CP83="","",'Finalterm OVPAA-F-INS-055A RAW '!CP83/'Finalterm OVPAA-F-INS-055A RAW '!CP$17*100)</f>
        <v/>
      </c>
      <c r="CU83" s="133" t="str">
        <f>IF('Finalterm OVPAA-F-INS-055A RAW '!CQ83="","",'Finalterm OVPAA-F-INS-055A RAW '!CQ83/'Finalterm OVPAA-F-INS-055A RAW '!CQ$17*100)</f>
        <v/>
      </c>
      <c r="CV83" s="133" t="str">
        <f>IF('Finalterm OVPAA-F-INS-055A RAW '!CR83="","",'Finalterm OVPAA-F-INS-055A RAW '!CR83/'Finalterm OVPAA-F-INS-055A RAW '!CR$17*100)</f>
        <v/>
      </c>
      <c r="CW83" s="133" t="str">
        <f>IF('Finalterm OVPAA-F-INS-055A RAW '!CS83="","",'Finalterm OVPAA-F-INS-055A RAW '!CS83/'Finalterm OVPAA-F-INS-055A RAW '!CS$17*100)</f>
        <v/>
      </c>
      <c r="CX83" s="133" t="str">
        <f>IF('Finalterm OVPAA-F-INS-055A RAW '!CT83="","",'Finalterm OVPAA-F-INS-055A RAW '!CT83/'Finalterm OVPAA-F-INS-055A RAW '!CT$17*100)</f>
        <v/>
      </c>
      <c r="CY83" s="133" t="str">
        <f>IF('Finalterm OVPAA-F-INS-055A RAW '!CU83="","",'Finalterm OVPAA-F-INS-055A RAW '!CU83/'Finalterm OVPAA-F-INS-055A RAW '!CU$17*100)</f>
        <v/>
      </c>
      <c r="CZ83" s="133" t="str">
        <f>IF('Finalterm OVPAA-F-INS-055A RAW '!CV83="","",'Finalterm OVPAA-F-INS-055A RAW '!CV83/'Finalterm OVPAA-F-INS-055A RAW '!CV$17*100)</f>
        <v/>
      </c>
      <c r="DA83" s="133" t="str">
        <f>IF('Finalterm OVPAA-F-INS-055A RAW '!CW83="","",'Finalterm OVPAA-F-INS-055A RAW '!CW83/'Finalterm OVPAA-F-INS-055A RAW '!CW$17*100)</f>
        <v/>
      </c>
      <c r="DB83" s="133" t="str">
        <f>IF('Finalterm OVPAA-F-INS-055A RAW '!CX83="","",'Finalterm OVPAA-F-INS-055A RAW '!CX83/'Finalterm OVPAA-F-INS-055A RAW '!CX$17*100)</f>
        <v/>
      </c>
      <c r="DC83" s="134" t="str">
        <f t="array" ref="DC83">IF('Midterm OVPAA-F-INS-055A RAW SC'!$G83="","",IF((SUMPRODUCT(--ISBLANK('Finalterm OVPAA-F-INS-055A RAW '!CO83:CX83))=COLUMNS('Finalterm OVPAA-F-INS-055A RAW '!CO83:CX83))=TRUE,"",(((COUNTA('Finalterm OVPAA-F-INS-055A RAW '!$CO$17:$CX$17)+COUNTBLANK('Finalterm OVPAA-F-INS-055A RAW '!CO83:CX83))-COLUMNS('Finalterm OVPAA-F-INS-055A RAW '!CO83:CX83))*5+SUM(CS83:DB83))/COUNTA('Finalterm OVPAA-F-INS-055A RAW '!$CO$17:$CX$17)))</f>
        <v/>
      </c>
      <c r="DD83" s="135" t="str">
        <f>IF(DC83="","",VLOOKUP(DC83,IF('Midterm OVPAA-F-INS-055A RAW SC'!$V$12=0.5,TRANSMUTATION!$C$4:$D$17,TRANSMUTATION!$G$4:$H$17),2,TRUE))</f>
        <v/>
      </c>
      <c r="DE83" s="136" t="str">
        <f t="shared" si="1"/>
        <v/>
      </c>
      <c r="DF83" s="166" t="str">
        <f t="shared" si="2"/>
        <v/>
      </c>
      <c r="DG83" s="167" t="str">
        <f t="shared" si="3"/>
        <v/>
      </c>
      <c r="DH83" s="168" t="str">
        <f t="shared" si="4"/>
        <v/>
      </c>
      <c r="DI83" s="169" t="str">
        <f t="shared" si="5"/>
        <v/>
      </c>
    </row>
    <row r="84" spans="1:113" ht="15.75" hidden="1" customHeight="1">
      <c r="E84" s="59">
        <v>67</v>
      </c>
      <c r="F84" s="124" t="str">
        <f>IF(NOT(ISBLANK('Midterm OVPAA-F-INS-055A RAW SC'!F84)),'Midterm OVPAA-F-INS-055A RAW SC'!F84,"")</f>
        <v/>
      </c>
      <c r="G84" s="125" t="str">
        <f>IF(NOT(ISBLANK('Midterm OVPAA-F-INS-055A RAW SC'!G84)),'Midterm OVPAA-F-INS-055A RAW SC'!G84,"")</f>
        <v/>
      </c>
      <c r="H84" s="126" t="str">
        <f>IF('Finalterm OVPAA-F-INS-055A RAW '!H84="","",'Finalterm OVPAA-F-INS-055A RAW '!H84/'Finalterm OVPAA-F-INS-055A RAW '!H$17*100)</f>
        <v/>
      </c>
      <c r="I84" s="126" t="str">
        <f>IF('Finalterm OVPAA-F-INS-055A RAW '!I84="","",'Finalterm OVPAA-F-INS-055A RAW '!I84/'Finalterm OVPAA-F-INS-055A RAW '!I$17*100)</f>
        <v/>
      </c>
      <c r="J84" s="126" t="str">
        <f>IF('Finalterm OVPAA-F-INS-055A RAW '!J84="","",'Finalterm OVPAA-F-INS-055A RAW '!J84/'Finalterm OVPAA-F-INS-055A RAW '!J$17*100)</f>
        <v/>
      </c>
      <c r="K84" s="126" t="str">
        <f>IF('Finalterm OVPAA-F-INS-055A RAW '!K84="","",'Finalterm OVPAA-F-INS-055A RAW '!K84/'Finalterm OVPAA-F-INS-055A RAW '!K$17*100)</f>
        <v/>
      </c>
      <c r="L84" s="126" t="str">
        <f>IF('Finalterm OVPAA-F-INS-055A RAW '!L84="","",'Finalterm OVPAA-F-INS-055A RAW '!L84/'Finalterm OVPAA-F-INS-055A RAW '!L$17*100)</f>
        <v/>
      </c>
      <c r="M84" s="126" t="str">
        <f>IF('Finalterm OVPAA-F-INS-055A RAW '!M84="","",'Finalterm OVPAA-F-INS-055A RAW '!M84/'Finalterm OVPAA-F-INS-055A RAW '!M$17*100)</f>
        <v/>
      </c>
      <c r="N84" s="126" t="str">
        <f>IF('Finalterm OVPAA-F-INS-055A RAW '!N84="","",'Finalterm OVPAA-F-INS-055A RAW '!N84/'Finalterm OVPAA-F-INS-055A RAW '!N$17*100)</f>
        <v/>
      </c>
      <c r="O84" s="126" t="str">
        <f>IF('Finalterm OVPAA-F-INS-055A RAW '!O84="","",'Finalterm OVPAA-F-INS-055A RAW '!O84/'Finalterm OVPAA-F-INS-055A RAW '!O$17*100)</f>
        <v/>
      </c>
      <c r="P84" s="126" t="str">
        <f>IF('Finalterm OVPAA-F-INS-055A RAW '!P84="","",'Finalterm OVPAA-F-INS-055A RAW '!P84/'Finalterm OVPAA-F-INS-055A RAW '!P$17*100)</f>
        <v/>
      </c>
      <c r="Q84" s="126" t="str">
        <f>IF('Finalterm OVPAA-F-INS-055A RAW '!Q84="","",'Finalterm OVPAA-F-INS-055A RAW '!Q84/'Finalterm OVPAA-F-INS-055A RAW '!Q$17*100)</f>
        <v/>
      </c>
      <c r="R84" s="126" t="str">
        <f>IF('Finalterm OVPAA-F-INS-055A RAW '!R84="","",'Finalterm OVPAA-F-INS-055A RAW '!R84/'Finalterm OVPAA-F-INS-055A RAW '!R$17*100)</f>
        <v/>
      </c>
      <c r="S84" s="126" t="str">
        <f>IF('Finalterm OVPAA-F-INS-055A RAW '!S84="","",'Finalterm OVPAA-F-INS-055A RAW '!S84/'Finalterm OVPAA-F-INS-055A RAW '!S$17*100)</f>
        <v/>
      </c>
      <c r="T84" s="126" t="str">
        <f>IF('Finalterm OVPAA-F-INS-055A RAW '!T84="","",'Finalterm OVPAA-F-INS-055A RAW '!T84/'Finalterm OVPAA-F-INS-055A RAW '!T$17*100)</f>
        <v/>
      </c>
      <c r="U84" s="126" t="str">
        <f>IF('Finalterm OVPAA-F-INS-055A RAW '!U84="","",'Finalterm OVPAA-F-INS-055A RAW '!U84/'Finalterm OVPAA-F-INS-055A RAW '!U$17*100)</f>
        <v/>
      </c>
      <c r="V84" s="126" t="str">
        <f>IF('Finalterm OVPAA-F-INS-055A RAW '!V84="","",'Finalterm OVPAA-F-INS-055A RAW '!V84/'Finalterm OVPAA-F-INS-055A RAW '!V$17*100)</f>
        <v/>
      </c>
      <c r="W84" s="126" t="str">
        <f>IF('Finalterm OVPAA-F-INS-055A RAW '!W84="","",'Finalterm OVPAA-F-INS-055A RAW '!W84/'Finalterm OVPAA-F-INS-055A RAW '!W$17*100)</f>
        <v/>
      </c>
      <c r="X84" s="126" t="str">
        <f>IF('Finalterm OVPAA-F-INS-055A RAW '!X84="","",'Finalterm OVPAA-F-INS-055A RAW '!X84/'Finalterm OVPAA-F-INS-055A RAW '!X$17*100)</f>
        <v/>
      </c>
      <c r="Y84" s="126" t="str">
        <f>IF('Finalterm OVPAA-F-INS-055A RAW '!Y84="","",'Finalterm OVPAA-F-INS-055A RAW '!Y84/'Finalterm OVPAA-F-INS-055A RAW '!Y$17*100)</f>
        <v/>
      </c>
      <c r="Z84" s="126" t="str">
        <f>IF('Finalterm OVPAA-F-INS-055A RAW '!Z84="","",'Finalterm OVPAA-F-INS-055A RAW '!Z84/'Finalterm OVPAA-F-INS-055A RAW '!Z$17*100)</f>
        <v/>
      </c>
      <c r="AA84" s="126" t="str">
        <f>IF('Finalterm OVPAA-F-INS-055A RAW '!AA84="","",'Finalterm OVPAA-F-INS-055A RAW '!AA84/'Finalterm OVPAA-F-INS-055A RAW '!AA$17*100)</f>
        <v/>
      </c>
      <c r="AB84" s="126" t="str">
        <f>IF('Finalterm OVPAA-F-INS-055A RAW '!AB84="","",'Finalterm OVPAA-F-INS-055A RAW '!AB84/'Finalterm OVPAA-F-INS-055A RAW '!AB$17*100)</f>
        <v/>
      </c>
      <c r="AC84" s="126" t="str">
        <f>IF('Finalterm OVPAA-F-INS-055A RAW '!AC84="","",'Finalterm OVPAA-F-INS-055A RAW '!AC84/'Finalterm OVPAA-F-INS-055A RAW '!AC$17*100)</f>
        <v/>
      </c>
      <c r="AD84" s="126" t="str">
        <f>IF('Finalterm OVPAA-F-INS-055A RAW '!AD84="","",'Finalterm OVPAA-F-INS-055A RAW '!AD84/'Finalterm OVPAA-F-INS-055A RAW '!AD$17*100)</f>
        <v/>
      </c>
      <c r="AE84" s="126" t="str">
        <f>IF('Finalterm OVPAA-F-INS-055A RAW '!AE84="","",'Finalterm OVPAA-F-INS-055A RAW '!AE84/'Finalterm OVPAA-F-INS-055A RAW '!AE$17*100)</f>
        <v/>
      </c>
      <c r="AF84" s="126" t="str">
        <f>IF('Finalterm OVPAA-F-INS-055A RAW '!AF84="","",'Finalterm OVPAA-F-INS-055A RAW '!AF84/'Finalterm OVPAA-F-INS-055A RAW '!AF$17*100)</f>
        <v/>
      </c>
      <c r="AG84" s="126" t="str">
        <f>IF('Finalterm OVPAA-F-INS-055A RAW '!AG84="","",'Finalterm OVPAA-F-INS-055A RAW '!AG84/'Finalterm OVPAA-F-INS-055A RAW '!AG$17*100)</f>
        <v/>
      </c>
      <c r="AH84" s="126" t="str">
        <f>IF('Finalterm OVPAA-F-INS-055A RAW '!AH84="","",'Finalterm OVPAA-F-INS-055A RAW '!AH84/'Finalterm OVPAA-F-INS-055A RAW '!AH$17*100)</f>
        <v/>
      </c>
      <c r="AI84" s="126" t="str">
        <f>IF('Finalterm OVPAA-F-INS-055A RAW '!AI84="","",'Finalterm OVPAA-F-INS-055A RAW '!AI84/'Finalterm OVPAA-F-INS-055A RAW '!AI$17*100)</f>
        <v/>
      </c>
      <c r="AJ84" s="126" t="str">
        <f>IF('Finalterm OVPAA-F-INS-055A RAW '!AJ84="","",'Finalterm OVPAA-F-INS-055A RAW '!AJ84/'Finalterm OVPAA-F-INS-055A RAW '!AJ$17*100)</f>
        <v/>
      </c>
      <c r="AK84" s="126" t="str">
        <f>IF('Finalterm OVPAA-F-INS-055A RAW '!AK84="","",'Finalterm OVPAA-F-INS-055A RAW '!AK84/'Finalterm OVPAA-F-INS-055A RAW '!AK$17*100)</f>
        <v/>
      </c>
      <c r="AL84" s="126" t="str">
        <f>IF('Finalterm OVPAA-F-INS-055A RAW '!AL84="","",'Finalterm OVPAA-F-INS-055A RAW '!AL84/'Finalterm OVPAA-F-INS-055A RAW '!AL$17*100)</f>
        <v/>
      </c>
      <c r="AM84" s="126" t="str">
        <f>IF('Finalterm OVPAA-F-INS-055A RAW '!AM84="","",'Finalterm OVPAA-F-INS-055A RAW '!AM84/'Finalterm OVPAA-F-INS-055A RAW '!AM$17*100)</f>
        <v/>
      </c>
      <c r="AN84" s="126" t="str">
        <f>IF('Finalterm OVPAA-F-INS-055A RAW '!AN84="","",'Finalterm OVPAA-F-INS-055A RAW '!AN84/'Finalterm OVPAA-F-INS-055A RAW '!AN$17*100)</f>
        <v/>
      </c>
      <c r="AO84" s="126" t="str">
        <f>IF('Finalterm OVPAA-F-INS-055A RAW '!AO84="","",'Finalterm OVPAA-F-INS-055A RAW '!AO84/'Finalterm OVPAA-F-INS-055A RAW '!AO$17*100)</f>
        <v/>
      </c>
      <c r="AP84" s="126" t="str">
        <f>IF('Finalterm OVPAA-F-INS-055A RAW '!AP84="","",'Finalterm OVPAA-F-INS-055A RAW '!AP84/'Finalterm OVPAA-F-INS-055A RAW '!AP$17*100)</f>
        <v/>
      </c>
      <c r="AQ84" s="126" t="str">
        <f>IF('Finalterm OVPAA-F-INS-055A RAW '!AQ84="","",'Finalterm OVPAA-F-INS-055A RAW '!AQ84/'Finalterm OVPAA-F-INS-055A RAW '!AQ$17*100)</f>
        <v/>
      </c>
      <c r="AR84" s="126" t="str">
        <f>IF('Finalterm OVPAA-F-INS-055A RAW '!AR84="","",'Finalterm OVPAA-F-INS-055A RAW '!AR84/'Finalterm OVPAA-F-INS-055A RAW '!AR$17*100)</f>
        <v/>
      </c>
      <c r="AS84" s="126" t="str">
        <f>IF('Finalterm OVPAA-F-INS-055A RAW '!AS84="","",'Finalterm OVPAA-F-INS-055A RAW '!AS84/'Finalterm OVPAA-F-INS-055A RAW '!AS$17*100)</f>
        <v/>
      </c>
      <c r="AT84" s="126" t="str">
        <f>IF('Finalterm OVPAA-F-INS-055A RAW '!AT84="","",'Finalterm OVPAA-F-INS-055A RAW '!AT84/'Finalterm OVPAA-F-INS-055A RAW '!AT$17*100)</f>
        <v/>
      </c>
      <c r="AU84" s="126" t="str">
        <f>IF('Finalterm OVPAA-F-INS-055A RAW '!AU84="","",'Finalterm OVPAA-F-INS-055A RAW '!AU84/'Finalterm OVPAA-F-INS-055A RAW '!AU$17*100)</f>
        <v/>
      </c>
      <c r="AV84" s="126" t="str">
        <f>IF('Finalterm OVPAA-F-INS-055A RAW '!AV84="","",'Finalterm OVPAA-F-INS-055A RAW '!AV84/'Finalterm OVPAA-F-INS-055A RAW '!AV$17*100)</f>
        <v/>
      </c>
      <c r="AW84" s="126" t="str">
        <f>IF('Finalterm OVPAA-F-INS-055A RAW '!AW84="","",'Finalterm OVPAA-F-INS-055A RAW '!AW84/'Finalterm OVPAA-F-INS-055A RAW '!AW$17*100)</f>
        <v/>
      </c>
      <c r="AX84" s="126" t="str">
        <f>IF('Finalterm OVPAA-F-INS-055A RAW '!AX84="","",'Finalterm OVPAA-F-INS-055A RAW '!AX84/'Finalterm OVPAA-F-INS-055A RAW '!AX$17*100)</f>
        <v/>
      </c>
      <c r="AY84" s="126" t="str">
        <f>IF('Finalterm OVPAA-F-INS-055A RAW '!AY84="","",'Finalterm OVPAA-F-INS-055A RAW '!AY84/'Finalterm OVPAA-F-INS-055A RAW '!AY$17*100)</f>
        <v/>
      </c>
      <c r="AZ84" s="126" t="str">
        <f>IF('Finalterm OVPAA-F-INS-055A RAW '!AZ84="","",'Finalterm OVPAA-F-INS-055A RAW '!AZ84/'Finalterm OVPAA-F-INS-055A RAW '!AZ$17*100)</f>
        <v/>
      </c>
      <c r="BA84" s="126" t="str">
        <f>IF('Finalterm OVPAA-F-INS-055A RAW '!BA84="","",'Finalterm OVPAA-F-INS-055A RAW '!BA84/'Finalterm OVPAA-F-INS-055A RAW '!BA$17*100)</f>
        <v/>
      </c>
      <c r="BB84" s="126" t="str">
        <f>IF('Finalterm OVPAA-F-INS-055A RAW '!BB84="","",'Finalterm OVPAA-F-INS-055A RAW '!BB84/'Finalterm OVPAA-F-INS-055A RAW '!BB$17*100)</f>
        <v/>
      </c>
      <c r="BC84" s="126" t="str">
        <f>IF('Finalterm OVPAA-F-INS-055A RAW '!BC84="","",'Finalterm OVPAA-F-INS-055A RAW '!BC84/'Finalterm OVPAA-F-INS-055A RAW '!BC$17*100)</f>
        <v/>
      </c>
      <c r="BD84" s="126" t="str">
        <f>IF('Finalterm OVPAA-F-INS-055A RAW '!BD84="","",'Finalterm OVPAA-F-INS-055A RAW '!BD84/'Finalterm OVPAA-F-INS-055A RAW '!BD$17*100)</f>
        <v/>
      </c>
      <c r="BE84" s="126" t="str">
        <f>IF('Finalterm OVPAA-F-INS-055A RAW '!BE84="","",'Finalterm OVPAA-F-INS-055A RAW '!BE84/'Finalterm OVPAA-F-INS-055A RAW '!BE$17*100)</f>
        <v/>
      </c>
      <c r="BF84" s="126" t="str">
        <f>IF('Finalterm OVPAA-F-INS-055A RAW '!BF84="","",'Finalterm OVPAA-F-INS-055A RAW '!BF84/'Finalterm OVPAA-F-INS-055A RAW '!BF$17*100)</f>
        <v/>
      </c>
      <c r="BG84" s="126" t="str">
        <f>IF('Finalterm OVPAA-F-INS-055A RAW '!BG84="","",'Finalterm OVPAA-F-INS-055A RAW '!BG84/'Finalterm OVPAA-F-INS-055A RAW '!BG$17*100)</f>
        <v/>
      </c>
      <c r="BH84" s="126" t="str">
        <f>IF('Finalterm OVPAA-F-INS-055A RAW '!BH84="","",'Finalterm OVPAA-F-INS-055A RAW '!BH84/'Finalterm OVPAA-F-INS-055A RAW '!BH$17*100)</f>
        <v/>
      </c>
      <c r="BI84" s="126" t="str">
        <f>IF('Finalterm OVPAA-F-INS-055A RAW '!BI84="","",'Finalterm OVPAA-F-INS-055A RAW '!BI84/'Finalterm OVPAA-F-INS-055A RAW '!BI$17*100)</f>
        <v/>
      </c>
      <c r="BJ84" s="126" t="str">
        <f>IF('Finalterm OVPAA-F-INS-055A RAW '!BJ84="","",'Finalterm OVPAA-F-INS-055A RAW '!BJ84/'Finalterm OVPAA-F-INS-055A RAW '!BJ$17*100)</f>
        <v/>
      </c>
      <c r="BK84" s="126" t="str">
        <f>IF('Finalterm OVPAA-F-INS-055A RAW '!BK84="","",'Finalterm OVPAA-F-INS-055A RAW '!BK84/'Finalterm OVPAA-F-INS-055A RAW '!BK$17*100)</f>
        <v/>
      </c>
      <c r="BL84" s="126" t="str">
        <f>IF('Finalterm OVPAA-F-INS-055A RAW '!BL84="","",'Finalterm OVPAA-F-INS-055A RAW '!BL84/'Finalterm OVPAA-F-INS-055A RAW '!BL$17*100)</f>
        <v/>
      </c>
      <c r="BM84" s="126" t="str">
        <f>IF('Finalterm OVPAA-F-INS-055A RAW '!BM84="","",'Finalterm OVPAA-F-INS-055A RAW '!BM84/'Finalterm OVPAA-F-INS-055A RAW '!BM$17*100)</f>
        <v/>
      </c>
      <c r="BN84" s="126" t="str">
        <f>IF('Finalterm OVPAA-F-INS-055A RAW '!BN84="","",'Finalterm OVPAA-F-INS-055A RAW '!BN84/'Finalterm OVPAA-F-INS-055A RAW '!BN$17*100)</f>
        <v/>
      </c>
      <c r="BO84" s="126" t="str">
        <f>IF('Finalterm OVPAA-F-INS-055A RAW '!BO84="","",'Finalterm OVPAA-F-INS-055A RAW '!BO84/'Finalterm OVPAA-F-INS-055A RAW '!BO$17*100)</f>
        <v/>
      </c>
      <c r="BP84" s="126" t="str">
        <f>IF('Finalterm OVPAA-F-INS-055A RAW '!BP84="","",'Finalterm OVPAA-F-INS-055A RAW '!BP84/'Finalterm OVPAA-F-INS-055A RAW '!BP$17*100)</f>
        <v/>
      </c>
      <c r="BQ84" s="126" t="str">
        <f>IF('Finalterm OVPAA-F-INS-055A RAW '!BQ84="","",'Finalterm OVPAA-F-INS-055A RAW '!BQ84/'Finalterm OVPAA-F-INS-055A RAW '!BQ$17*100)</f>
        <v/>
      </c>
      <c r="BR84" s="126" t="str">
        <f>IF('Finalterm OVPAA-F-INS-055A RAW '!BR84="","",'Finalterm OVPAA-F-INS-055A RAW '!BR84/'Finalterm OVPAA-F-INS-055A RAW '!BR$17*100)</f>
        <v/>
      </c>
      <c r="BS84" s="126" t="str">
        <f>IF('Finalterm OVPAA-F-INS-055A RAW '!BS84="","",'Finalterm OVPAA-F-INS-055A RAW '!BS84/'Finalterm OVPAA-F-INS-055A RAW '!BS$17*100)</f>
        <v/>
      </c>
      <c r="BT84" s="126" t="str">
        <f>IF('Finalterm OVPAA-F-INS-055A RAW '!BT84="","",'Finalterm OVPAA-F-INS-055A RAW '!BT84/'Finalterm OVPAA-F-INS-055A RAW '!BT$17*100)</f>
        <v/>
      </c>
      <c r="BU84" s="127" t="str">
        <f t="array" ref="BU84">IF('Finalterm OVPAA-F-INS-055A RAW '!$G84="","",IF((SUMPRODUCT(--ISBLANK('Finalterm OVPAA-F-INS-055A RAW '!H84:BT84))=COLUMNS('Finalterm OVPAA-F-INS-055A RAW '!H84:BT84))=TRUE,"",(((COUNTA('Finalterm OVPAA-F-INS-055A RAW '!$H$17:$BT$17)+COUNTBLANK('Finalterm OVPAA-F-INS-055A RAW '!H84:BT84))-COLUMNS('Finalterm OVPAA-F-INS-055A RAW '!H84:BT84))*5+SUM(H84:BT84))/COUNTA('Finalterm OVPAA-F-INS-055A RAW '!$H$17:$BT$17)))</f>
        <v/>
      </c>
      <c r="BV84" s="165" t="str">
        <f>IF(BU84="","",VLOOKUP(BU84,IF('Midterm OVPAA-F-INS-055A RAW SC'!$V$12=0.5,TRANSMUTATION!$C$4:$D$17,TRANSMUTATION!$G$4:$H$17),2,TRUE))</f>
        <v/>
      </c>
      <c r="BW84" s="129" t="str">
        <f>IF('Finalterm OVPAA-F-INS-055A RAW '!BU84="","",'Finalterm OVPAA-F-INS-055A RAW '!BU84/'Finalterm OVPAA-F-INS-055A RAW '!BU$17*100)</f>
        <v/>
      </c>
      <c r="BX84" s="130" t="str">
        <f>IF('Finalterm OVPAA-F-INS-055A RAW '!BV84="","",'Finalterm OVPAA-F-INS-055A RAW '!BV84/'Finalterm OVPAA-F-INS-055A RAW '!BV$17*100)</f>
        <v/>
      </c>
      <c r="BY84" s="130" t="str">
        <f>IF('Finalterm OVPAA-F-INS-055A RAW '!BW84="","",'Finalterm OVPAA-F-INS-055A RAW '!BW84/'Finalterm OVPAA-F-INS-055A RAW '!BW$17*100)</f>
        <v/>
      </c>
      <c r="BZ84" s="130" t="str">
        <f>IF('Finalterm OVPAA-F-INS-055A RAW '!BX84="","",'Finalterm OVPAA-F-INS-055A RAW '!BX84/'Finalterm OVPAA-F-INS-055A RAW '!BX$17*100)</f>
        <v/>
      </c>
      <c r="CA84" s="130" t="str">
        <f>IF('Finalterm OVPAA-F-INS-055A RAW '!BY84="","",'Finalterm OVPAA-F-INS-055A RAW '!BY84/'Finalterm OVPAA-F-INS-055A RAW '!BY$17*100)</f>
        <v/>
      </c>
      <c r="CB84" s="130" t="str">
        <f>IF('Finalterm OVPAA-F-INS-055A RAW '!BZ84="","",'Finalterm OVPAA-F-INS-055A RAW '!BZ84/'Finalterm OVPAA-F-INS-055A RAW '!BZ$17*100)</f>
        <v/>
      </c>
      <c r="CC84" s="130" t="str">
        <f>IF('Finalterm OVPAA-F-INS-055A RAW '!CA84="","",'Finalterm OVPAA-F-INS-055A RAW '!CA84/'Finalterm OVPAA-F-INS-055A RAW '!CA$17*100)</f>
        <v/>
      </c>
      <c r="CD84" s="130" t="str">
        <f>IF('Finalterm OVPAA-F-INS-055A RAW '!CB84="","",'Finalterm OVPAA-F-INS-055A RAW '!CB84/'Finalterm OVPAA-F-INS-055A RAW '!CB$17*100)</f>
        <v/>
      </c>
      <c r="CE84" s="130" t="str">
        <f>IF('Finalterm OVPAA-F-INS-055A RAW '!CC84="","",'Finalterm OVPAA-F-INS-055A RAW '!CC84/'Finalterm OVPAA-F-INS-055A RAW '!CC$17*100)</f>
        <v/>
      </c>
      <c r="CF84" s="130" t="str">
        <f>IF('Finalterm OVPAA-F-INS-055A RAW '!CD84="","",'Finalterm OVPAA-F-INS-055A RAW '!CD84/'Finalterm OVPAA-F-INS-055A RAW '!CD$17*100)</f>
        <v/>
      </c>
      <c r="CG84" s="130" t="str">
        <f>IF('Finalterm OVPAA-F-INS-055A RAW '!CE84="","",'Finalterm OVPAA-F-INS-055A RAW '!CE84/'Finalterm OVPAA-F-INS-055A RAW '!CE$17*100)</f>
        <v/>
      </c>
      <c r="CH84" s="130" t="str">
        <f>IF('Finalterm OVPAA-F-INS-055A RAW '!CF84="","",'Finalterm OVPAA-F-INS-055A RAW '!CF84/'Finalterm OVPAA-F-INS-055A RAW '!CF$17*100)</f>
        <v/>
      </c>
      <c r="CI84" s="130" t="str">
        <f>IF('Finalterm OVPAA-F-INS-055A RAW '!CG84="","",'Finalterm OVPAA-F-INS-055A RAW '!CG84/'Finalterm OVPAA-F-INS-055A RAW '!CG$17*100)</f>
        <v/>
      </c>
      <c r="CJ84" s="130" t="str">
        <f>IF('Finalterm OVPAA-F-INS-055A RAW '!CH84="","",'Finalterm OVPAA-F-INS-055A RAW '!CH84/'Finalterm OVPAA-F-INS-055A RAW '!CH$17*100)</f>
        <v/>
      </c>
      <c r="CK84" s="130" t="str">
        <f>IF('Finalterm OVPAA-F-INS-055A RAW '!CI84="","",'Finalterm OVPAA-F-INS-055A RAW '!CI84/'Finalterm OVPAA-F-INS-055A RAW '!CI$17*100)</f>
        <v/>
      </c>
      <c r="CL84" s="130" t="str">
        <f>IF('Finalterm OVPAA-F-INS-055A RAW '!CJ84="","",'Finalterm OVPAA-F-INS-055A RAW '!CJ84/'Finalterm OVPAA-F-INS-055A RAW '!CJ$17*100)</f>
        <v/>
      </c>
      <c r="CM84" s="130" t="str">
        <f>IF('Finalterm OVPAA-F-INS-055A RAW '!CK84="","",'Finalterm OVPAA-F-INS-055A RAW '!CK84/'Finalterm OVPAA-F-INS-055A RAW '!CK$17*100)</f>
        <v/>
      </c>
      <c r="CN84" s="130" t="str">
        <f>IF('Finalterm OVPAA-F-INS-055A RAW '!CL84="","",'Finalterm OVPAA-F-INS-055A RAW '!CL84/'Finalterm OVPAA-F-INS-055A RAW '!CL$17*100)</f>
        <v/>
      </c>
      <c r="CO84" s="130" t="str">
        <f>IF('Finalterm OVPAA-F-INS-055A RAW '!CM84="","",'Finalterm OVPAA-F-INS-055A RAW '!CM84/'Finalterm OVPAA-F-INS-055A RAW '!CM$17*100)</f>
        <v/>
      </c>
      <c r="CP84" s="130" t="str">
        <f>IF('Finalterm OVPAA-F-INS-055A RAW '!CN84="","",'Finalterm OVPAA-F-INS-055A RAW '!CN84/'Finalterm OVPAA-F-INS-055A RAW '!CN$17*100)</f>
        <v/>
      </c>
      <c r="CQ84" s="131" t="str">
        <f t="array" ref="CQ84">IF('Midterm OVPAA-F-INS-055A RAW SC'!G84="","",IF((SUMPRODUCT(--ISBLANK('Finalterm OVPAA-F-INS-055A RAW '!BU84:CN84))=COLUMNS('Finalterm OVPAA-F-INS-055A RAW '!BU84:CN84))=TRUE,"",(((COUNTA('Finalterm OVPAA-F-INS-055A RAW '!$BU$17:$CN$17)+COUNTBLANK('Finalterm OVPAA-F-INS-055A RAW '!BU84:CN84))-COLUMNS('Finalterm OVPAA-F-INS-055A RAW '!BU84:CN84))*5+SUM(BW84:CP84))/COUNTA('Finalterm OVPAA-F-INS-055A RAW '!$BU$17:$CN$17)))</f>
        <v/>
      </c>
      <c r="CR84" s="132" t="str">
        <f>IF(CQ84="","",VLOOKUP(CQ84,IF('Midterm OVPAA-F-INS-055A RAW SC'!$V$12=0.5,TRANSMUTATION!$C$4:$D$17,TRANSMUTATION!$G$4:$H$17),2,TRUE))</f>
        <v/>
      </c>
      <c r="CS84" s="133" t="str">
        <f>IF('Finalterm OVPAA-F-INS-055A RAW '!CO84="","",'Finalterm OVPAA-F-INS-055A RAW '!CO84/'Finalterm OVPAA-F-INS-055A RAW '!CO$17*100)</f>
        <v/>
      </c>
      <c r="CT84" s="133" t="str">
        <f>IF('Finalterm OVPAA-F-INS-055A RAW '!CP84="","",'Finalterm OVPAA-F-INS-055A RAW '!CP84/'Finalterm OVPAA-F-INS-055A RAW '!CP$17*100)</f>
        <v/>
      </c>
      <c r="CU84" s="133" t="str">
        <f>IF('Finalterm OVPAA-F-INS-055A RAW '!CQ84="","",'Finalterm OVPAA-F-INS-055A RAW '!CQ84/'Finalterm OVPAA-F-INS-055A RAW '!CQ$17*100)</f>
        <v/>
      </c>
      <c r="CV84" s="133" t="str">
        <f>IF('Finalterm OVPAA-F-INS-055A RAW '!CR84="","",'Finalterm OVPAA-F-INS-055A RAW '!CR84/'Finalterm OVPAA-F-INS-055A RAW '!CR$17*100)</f>
        <v/>
      </c>
      <c r="CW84" s="133" t="str">
        <f>IF('Finalterm OVPAA-F-INS-055A RAW '!CS84="","",'Finalterm OVPAA-F-INS-055A RAW '!CS84/'Finalterm OVPAA-F-INS-055A RAW '!CS$17*100)</f>
        <v/>
      </c>
      <c r="CX84" s="133" t="str">
        <f>IF('Finalterm OVPAA-F-INS-055A RAW '!CT84="","",'Finalterm OVPAA-F-INS-055A RAW '!CT84/'Finalterm OVPAA-F-INS-055A RAW '!CT$17*100)</f>
        <v/>
      </c>
      <c r="CY84" s="133" t="str">
        <f>IF('Finalterm OVPAA-F-INS-055A RAW '!CU84="","",'Finalterm OVPAA-F-INS-055A RAW '!CU84/'Finalterm OVPAA-F-INS-055A RAW '!CU$17*100)</f>
        <v/>
      </c>
      <c r="CZ84" s="133" t="str">
        <f>IF('Finalterm OVPAA-F-INS-055A RAW '!CV84="","",'Finalterm OVPAA-F-INS-055A RAW '!CV84/'Finalterm OVPAA-F-INS-055A RAW '!CV$17*100)</f>
        <v/>
      </c>
      <c r="DA84" s="133" t="str">
        <f>IF('Finalterm OVPAA-F-INS-055A RAW '!CW84="","",'Finalterm OVPAA-F-INS-055A RAW '!CW84/'Finalterm OVPAA-F-INS-055A RAW '!CW$17*100)</f>
        <v/>
      </c>
      <c r="DB84" s="133" t="str">
        <f>IF('Finalterm OVPAA-F-INS-055A RAW '!CX84="","",'Finalterm OVPAA-F-INS-055A RAW '!CX84/'Finalterm OVPAA-F-INS-055A RAW '!CX$17*100)</f>
        <v/>
      </c>
      <c r="DC84" s="134" t="str">
        <f t="array" ref="DC84">IF('Midterm OVPAA-F-INS-055A RAW SC'!$G84="","",IF((SUMPRODUCT(--ISBLANK('Finalterm OVPAA-F-INS-055A RAW '!CO84:CX84))=COLUMNS('Finalterm OVPAA-F-INS-055A RAW '!CO84:CX84))=TRUE,"",(((COUNTA('Finalterm OVPAA-F-INS-055A RAW '!$CO$17:$CX$17)+COUNTBLANK('Finalterm OVPAA-F-INS-055A RAW '!CO84:CX84))-COLUMNS('Finalterm OVPAA-F-INS-055A RAW '!CO84:CX84))*5+SUM(CS84:DB84))/COUNTA('Finalterm OVPAA-F-INS-055A RAW '!$CO$17:$CX$17)))</f>
        <v/>
      </c>
      <c r="DD84" s="135" t="str">
        <f>IF(DC84="","",VLOOKUP(DC84,IF('Midterm OVPAA-F-INS-055A RAW SC'!$V$12=0.5,TRANSMUTATION!$C$4:$D$17,TRANSMUTATION!$G$4:$H$17),2,TRUE))</f>
        <v/>
      </c>
      <c r="DE84" s="136" t="str">
        <f t="shared" si="1"/>
        <v/>
      </c>
      <c r="DF84" s="166" t="str">
        <f t="shared" si="2"/>
        <v/>
      </c>
      <c r="DG84" s="167" t="str">
        <f t="shared" si="3"/>
        <v/>
      </c>
      <c r="DH84" s="168" t="str">
        <f t="shared" si="4"/>
        <v/>
      </c>
      <c r="DI84" s="169" t="str">
        <f t="shared" si="5"/>
        <v/>
      </c>
    </row>
    <row r="85" spans="1:113" ht="15.75" hidden="1" customHeight="1">
      <c r="E85" s="59">
        <v>68</v>
      </c>
      <c r="F85" s="124" t="str">
        <f>IF(NOT(ISBLANK('Midterm OVPAA-F-INS-055A RAW SC'!F85)),'Midterm OVPAA-F-INS-055A RAW SC'!F85,"")</f>
        <v/>
      </c>
      <c r="G85" s="125" t="str">
        <f>IF(NOT(ISBLANK('Midterm OVPAA-F-INS-055A RAW SC'!G85)),'Midterm OVPAA-F-INS-055A RAW SC'!G85,"")</f>
        <v/>
      </c>
      <c r="H85" s="126" t="str">
        <f>IF('Finalterm OVPAA-F-INS-055A RAW '!H85="","",'Finalterm OVPAA-F-INS-055A RAW '!H85/'Finalterm OVPAA-F-INS-055A RAW '!H$17*100)</f>
        <v/>
      </c>
      <c r="I85" s="126" t="str">
        <f>IF('Finalterm OVPAA-F-INS-055A RAW '!I85="","",'Finalterm OVPAA-F-INS-055A RAW '!I85/'Finalterm OVPAA-F-INS-055A RAW '!I$17*100)</f>
        <v/>
      </c>
      <c r="J85" s="126" t="str">
        <f>IF('Finalterm OVPAA-F-INS-055A RAW '!J85="","",'Finalterm OVPAA-F-INS-055A RAW '!J85/'Finalterm OVPAA-F-INS-055A RAW '!J$17*100)</f>
        <v/>
      </c>
      <c r="K85" s="126" t="str">
        <f>IF('Finalterm OVPAA-F-INS-055A RAW '!K85="","",'Finalterm OVPAA-F-INS-055A RAW '!K85/'Finalterm OVPAA-F-INS-055A RAW '!K$17*100)</f>
        <v/>
      </c>
      <c r="L85" s="126" t="str">
        <f>IF('Finalterm OVPAA-F-INS-055A RAW '!L85="","",'Finalterm OVPAA-F-INS-055A RAW '!L85/'Finalterm OVPAA-F-INS-055A RAW '!L$17*100)</f>
        <v/>
      </c>
      <c r="M85" s="126" t="str">
        <f>IF('Finalterm OVPAA-F-INS-055A RAW '!M85="","",'Finalterm OVPAA-F-INS-055A RAW '!M85/'Finalterm OVPAA-F-INS-055A RAW '!M$17*100)</f>
        <v/>
      </c>
      <c r="N85" s="126" t="str">
        <f>IF('Finalterm OVPAA-F-INS-055A RAW '!N85="","",'Finalterm OVPAA-F-INS-055A RAW '!N85/'Finalterm OVPAA-F-INS-055A RAW '!N$17*100)</f>
        <v/>
      </c>
      <c r="O85" s="126" t="str">
        <f>IF('Finalterm OVPAA-F-INS-055A RAW '!O85="","",'Finalterm OVPAA-F-INS-055A RAW '!O85/'Finalterm OVPAA-F-INS-055A RAW '!O$17*100)</f>
        <v/>
      </c>
      <c r="P85" s="126" t="str">
        <f>IF('Finalterm OVPAA-F-INS-055A RAW '!P85="","",'Finalterm OVPAA-F-INS-055A RAW '!P85/'Finalterm OVPAA-F-INS-055A RAW '!P$17*100)</f>
        <v/>
      </c>
      <c r="Q85" s="126" t="str">
        <f>IF('Finalterm OVPAA-F-INS-055A RAW '!Q85="","",'Finalterm OVPAA-F-INS-055A RAW '!Q85/'Finalterm OVPAA-F-INS-055A RAW '!Q$17*100)</f>
        <v/>
      </c>
      <c r="R85" s="126" t="str">
        <f>IF('Finalterm OVPAA-F-INS-055A RAW '!R85="","",'Finalterm OVPAA-F-INS-055A RAW '!R85/'Finalterm OVPAA-F-INS-055A RAW '!R$17*100)</f>
        <v/>
      </c>
      <c r="S85" s="126" t="str">
        <f>IF('Finalterm OVPAA-F-INS-055A RAW '!S85="","",'Finalterm OVPAA-F-INS-055A RAW '!S85/'Finalterm OVPAA-F-INS-055A RAW '!S$17*100)</f>
        <v/>
      </c>
      <c r="T85" s="126" t="str">
        <f>IF('Finalterm OVPAA-F-INS-055A RAW '!T85="","",'Finalterm OVPAA-F-INS-055A RAW '!T85/'Finalterm OVPAA-F-INS-055A RAW '!T$17*100)</f>
        <v/>
      </c>
      <c r="U85" s="126" t="str">
        <f>IF('Finalterm OVPAA-F-INS-055A RAW '!U85="","",'Finalterm OVPAA-F-INS-055A RAW '!U85/'Finalterm OVPAA-F-INS-055A RAW '!U$17*100)</f>
        <v/>
      </c>
      <c r="V85" s="126" t="str">
        <f>IF('Finalterm OVPAA-F-INS-055A RAW '!V85="","",'Finalterm OVPAA-F-INS-055A RAW '!V85/'Finalterm OVPAA-F-INS-055A RAW '!V$17*100)</f>
        <v/>
      </c>
      <c r="W85" s="126" t="str">
        <f>IF('Finalterm OVPAA-F-INS-055A RAW '!W85="","",'Finalterm OVPAA-F-INS-055A RAW '!W85/'Finalterm OVPAA-F-INS-055A RAW '!W$17*100)</f>
        <v/>
      </c>
      <c r="X85" s="126" t="str">
        <f>IF('Finalterm OVPAA-F-INS-055A RAW '!X85="","",'Finalterm OVPAA-F-INS-055A RAW '!X85/'Finalterm OVPAA-F-INS-055A RAW '!X$17*100)</f>
        <v/>
      </c>
      <c r="Y85" s="126" t="str">
        <f>IF('Finalterm OVPAA-F-INS-055A RAW '!Y85="","",'Finalterm OVPAA-F-INS-055A RAW '!Y85/'Finalterm OVPAA-F-INS-055A RAW '!Y$17*100)</f>
        <v/>
      </c>
      <c r="Z85" s="126" t="str">
        <f>IF('Finalterm OVPAA-F-INS-055A RAW '!Z85="","",'Finalterm OVPAA-F-INS-055A RAW '!Z85/'Finalterm OVPAA-F-INS-055A RAW '!Z$17*100)</f>
        <v/>
      </c>
      <c r="AA85" s="126" t="str">
        <f>IF('Finalterm OVPAA-F-INS-055A RAW '!AA85="","",'Finalterm OVPAA-F-INS-055A RAW '!AA85/'Finalterm OVPAA-F-INS-055A RAW '!AA$17*100)</f>
        <v/>
      </c>
      <c r="AB85" s="126" t="str">
        <f>IF('Finalterm OVPAA-F-INS-055A RAW '!AB85="","",'Finalterm OVPAA-F-INS-055A RAW '!AB85/'Finalterm OVPAA-F-INS-055A RAW '!AB$17*100)</f>
        <v/>
      </c>
      <c r="AC85" s="126" t="str">
        <f>IF('Finalterm OVPAA-F-INS-055A RAW '!AC85="","",'Finalterm OVPAA-F-INS-055A RAW '!AC85/'Finalterm OVPAA-F-INS-055A RAW '!AC$17*100)</f>
        <v/>
      </c>
      <c r="AD85" s="126" t="str">
        <f>IF('Finalterm OVPAA-F-INS-055A RAW '!AD85="","",'Finalterm OVPAA-F-INS-055A RAW '!AD85/'Finalterm OVPAA-F-INS-055A RAW '!AD$17*100)</f>
        <v/>
      </c>
      <c r="AE85" s="126" t="str">
        <f>IF('Finalterm OVPAA-F-INS-055A RAW '!AE85="","",'Finalterm OVPAA-F-INS-055A RAW '!AE85/'Finalterm OVPAA-F-INS-055A RAW '!AE$17*100)</f>
        <v/>
      </c>
      <c r="AF85" s="126" t="str">
        <f>IF('Finalterm OVPAA-F-INS-055A RAW '!AF85="","",'Finalterm OVPAA-F-INS-055A RAW '!AF85/'Finalterm OVPAA-F-INS-055A RAW '!AF$17*100)</f>
        <v/>
      </c>
      <c r="AG85" s="126" t="str">
        <f>IF('Finalterm OVPAA-F-INS-055A RAW '!AG85="","",'Finalterm OVPAA-F-INS-055A RAW '!AG85/'Finalterm OVPAA-F-INS-055A RAW '!AG$17*100)</f>
        <v/>
      </c>
      <c r="AH85" s="126" t="str">
        <f>IF('Finalterm OVPAA-F-INS-055A RAW '!AH85="","",'Finalterm OVPAA-F-INS-055A RAW '!AH85/'Finalterm OVPAA-F-INS-055A RAW '!AH$17*100)</f>
        <v/>
      </c>
      <c r="AI85" s="126" t="str">
        <f>IF('Finalterm OVPAA-F-INS-055A RAW '!AI85="","",'Finalterm OVPAA-F-INS-055A RAW '!AI85/'Finalterm OVPAA-F-INS-055A RAW '!AI$17*100)</f>
        <v/>
      </c>
      <c r="AJ85" s="126" t="str">
        <f>IF('Finalterm OVPAA-F-INS-055A RAW '!AJ85="","",'Finalterm OVPAA-F-INS-055A RAW '!AJ85/'Finalterm OVPAA-F-INS-055A RAW '!AJ$17*100)</f>
        <v/>
      </c>
      <c r="AK85" s="126" t="str">
        <f>IF('Finalterm OVPAA-F-INS-055A RAW '!AK85="","",'Finalterm OVPAA-F-INS-055A RAW '!AK85/'Finalterm OVPAA-F-INS-055A RAW '!AK$17*100)</f>
        <v/>
      </c>
      <c r="AL85" s="126" t="str">
        <f>IF('Finalterm OVPAA-F-INS-055A RAW '!AL85="","",'Finalterm OVPAA-F-INS-055A RAW '!AL85/'Finalterm OVPAA-F-INS-055A RAW '!AL$17*100)</f>
        <v/>
      </c>
      <c r="AM85" s="126" t="str">
        <f>IF('Finalterm OVPAA-F-INS-055A RAW '!AM85="","",'Finalterm OVPAA-F-INS-055A RAW '!AM85/'Finalterm OVPAA-F-INS-055A RAW '!AM$17*100)</f>
        <v/>
      </c>
      <c r="AN85" s="126" t="str">
        <f>IF('Finalterm OVPAA-F-INS-055A RAW '!AN85="","",'Finalterm OVPAA-F-INS-055A RAW '!AN85/'Finalterm OVPAA-F-INS-055A RAW '!AN$17*100)</f>
        <v/>
      </c>
      <c r="AO85" s="126" t="str">
        <f>IF('Finalterm OVPAA-F-INS-055A RAW '!AO85="","",'Finalterm OVPAA-F-INS-055A RAW '!AO85/'Finalterm OVPAA-F-INS-055A RAW '!AO$17*100)</f>
        <v/>
      </c>
      <c r="AP85" s="126" t="str">
        <f>IF('Finalterm OVPAA-F-INS-055A RAW '!AP85="","",'Finalterm OVPAA-F-INS-055A RAW '!AP85/'Finalterm OVPAA-F-INS-055A RAW '!AP$17*100)</f>
        <v/>
      </c>
      <c r="AQ85" s="126" t="str">
        <f>IF('Finalterm OVPAA-F-INS-055A RAW '!AQ85="","",'Finalterm OVPAA-F-INS-055A RAW '!AQ85/'Finalterm OVPAA-F-INS-055A RAW '!AQ$17*100)</f>
        <v/>
      </c>
      <c r="AR85" s="126" t="str">
        <f>IF('Finalterm OVPAA-F-INS-055A RAW '!AR85="","",'Finalterm OVPAA-F-INS-055A RAW '!AR85/'Finalterm OVPAA-F-INS-055A RAW '!AR$17*100)</f>
        <v/>
      </c>
      <c r="AS85" s="126" t="str">
        <f>IF('Finalterm OVPAA-F-INS-055A RAW '!AS85="","",'Finalterm OVPAA-F-INS-055A RAW '!AS85/'Finalterm OVPAA-F-INS-055A RAW '!AS$17*100)</f>
        <v/>
      </c>
      <c r="AT85" s="126" t="str">
        <f>IF('Finalterm OVPAA-F-INS-055A RAW '!AT85="","",'Finalterm OVPAA-F-INS-055A RAW '!AT85/'Finalterm OVPAA-F-INS-055A RAW '!AT$17*100)</f>
        <v/>
      </c>
      <c r="AU85" s="126" t="str">
        <f>IF('Finalterm OVPAA-F-INS-055A RAW '!AU85="","",'Finalterm OVPAA-F-INS-055A RAW '!AU85/'Finalterm OVPAA-F-INS-055A RAW '!AU$17*100)</f>
        <v/>
      </c>
      <c r="AV85" s="126" t="str">
        <f>IF('Finalterm OVPAA-F-INS-055A RAW '!AV85="","",'Finalterm OVPAA-F-INS-055A RAW '!AV85/'Finalterm OVPAA-F-INS-055A RAW '!AV$17*100)</f>
        <v/>
      </c>
      <c r="AW85" s="126" t="str">
        <f>IF('Finalterm OVPAA-F-INS-055A RAW '!AW85="","",'Finalterm OVPAA-F-INS-055A RAW '!AW85/'Finalterm OVPAA-F-INS-055A RAW '!AW$17*100)</f>
        <v/>
      </c>
      <c r="AX85" s="126" t="str">
        <f>IF('Finalterm OVPAA-F-INS-055A RAW '!AX85="","",'Finalterm OVPAA-F-INS-055A RAW '!AX85/'Finalterm OVPAA-F-INS-055A RAW '!AX$17*100)</f>
        <v/>
      </c>
      <c r="AY85" s="126" t="str">
        <f>IF('Finalterm OVPAA-F-INS-055A RAW '!AY85="","",'Finalterm OVPAA-F-INS-055A RAW '!AY85/'Finalterm OVPAA-F-INS-055A RAW '!AY$17*100)</f>
        <v/>
      </c>
      <c r="AZ85" s="126" t="str">
        <f>IF('Finalterm OVPAA-F-INS-055A RAW '!AZ85="","",'Finalterm OVPAA-F-INS-055A RAW '!AZ85/'Finalterm OVPAA-F-INS-055A RAW '!AZ$17*100)</f>
        <v/>
      </c>
      <c r="BA85" s="126" t="str">
        <f>IF('Finalterm OVPAA-F-INS-055A RAW '!BA85="","",'Finalterm OVPAA-F-INS-055A RAW '!BA85/'Finalterm OVPAA-F-INS-055A RAW '!BA$17*100)</f>
        <v/>
      </c>
      <c r="BB85" s="126" t="str">
        <f>IF('Finalterm OVPAA-F-INS-055A RAW '!BB85="","",'Finalterm OVPAA-F-INS-055A RAW '!BB85/'Finalterm OVPAA-F-INS-055A RAW '!BB$17*100)</f>
        <v/>
      </c>
      <c r="BC85" s="126" t="str">
        <f>IF('Finalterm OVPAA-F-INS-055A RAW '!BC85="","",'Finalterm OVPAA-F-INS-055A RAW '!BC85/'Finalterm OVPAA-F-INS-055A RAW '!BC$17*100)</f>
        <v/>
      </c>
      <c r="BD85" s="126" t="str">
        <f>IF('Finalterm OVPAA-F-INS-055A RAW '!BD85="","",'Finalterm OVPAA-F-INS-055A RAW '!BD85/'Finalterm OVPAA-F-INS-055A RAW '!BD$17*100)</f>
        <v/>
      </c>
      <c r="BE85" s="126" t="str">
        <f>IF('Finalterm OVPAA-F-INS-055A RAW '!BE85="","",'Finalterm OVPAA-F-INS-055A RAW '!BE85/'Finalterm OVPAA-F-INS-055A RAW '!BE$17*100)</f>
        <v/>
      </c>
      <c r="BF85" s="126" t="str">
        <f>IF('Finalterm OVPAA-F-INS-055A RAW '!BF85="","",'Finalterm OVPAA-F-INS-055A RAW '!BF85/'Finalterm OVPAA-F-INS-055A RAW '!BF$17*100)</f>
        <v/>
      </c>
      <c r="BG85" s="126" t="str">
        <f>IF('Finalterm OVPAA-F-INS-055A RAW '!BG85="","",'Finalterm OVPAA-F-INS-055A RAW '!BG85/'Finalterm OVPAA-F-INS-055A RAW '!BG$17*100)</f>
        <v/>
      </c>
      <c r="BH85" s="126" t="str">
        <f>IF('Finalterm OVPAA-F-INS-055A RAW '!BH85="","",'Finalterm OVPAA-F-INS-055A RAW '!BH85/'Finalterm OVPAA-F-INS-055A RAW '!BH$17*100)</f>
        <v/>
      </c>
      <c r="BI85" s="126" t="str">
        <f>IF('Finalterm OVPAA-F-INS-055A RAW '!BI85="","",'Finalterm OVPAA-F-INS-055A RAW '!BI85/'Finalterm OVPAA-F-INS-055A RAW '!BI$17*100)</f>
        <v/>
      </c>
      <c r="BJ85" s="126" t="str">
        <f>IF('Finalterm OVPAA-F-INS-055A RAW '!BJ85="","",'Finalterm OVPAA-F-INS-055A RAW '!BJ85/'Finalterm OVPAA-F-INS-055A RAW '!BJ$17*100)</f>
        <v/>
      </c>
      <c r="BK85" s="126" t="str">
        <f>IF('Finalterm OVPAA-F-INS-055A RAW '!BK85="","",'Finalterm OVPAA-F-INS-055A RAW '!BK85/'Finalterm OVPAA-F-INS-055A RAW '!BK$17*100)</f>
        <v/>
      </c>
      <c r="BL85" s="126" t="str">
        <f>IF('Finalterm OVPAA-F-INS-055A RAW '!BL85="","",'Finalterm OVPAA-F-INS-055A RAW '!BL85/'Finalterm OVPAA-F-INS-055A RAW '!BL$17*100)</f>
        <v/>
      </c>
      <c r="BM85" s="126" t="str">
        <f>IF('Finalterm OVPAA-F-INS-055A RAW '!BM85="","",'Finalterm OVPAA-F-INS-055A RAW '!BM85/'Finalterm OVPAA-F-INS-055A RAW '!BM$17*100)</f>
        <v/>
      </c>
      <c r="BN85" s="126" t="str">
        <f>IF('Finalterm OVPAA-F-INS-055A RAW '!BN85="","",'Finalterm OVPAA-F-INS-055A RAW '!BN85/'Finalterm OVPAA-F-INS-055A RAW '!BN$17*100)</f>
        <v/>
      </c>
      <c r="BO85" s="126" t="str">
        <f>IF('Finalterm OVPAA-F-INS-055A RAW '!BO85="","",'Finalterm OVPAA-F-INS-055A RAW '!BO85/'Finalterm OVPAA-F-INS-055A RAW '!BO$17*100)</f>
        <v/>
      </c>
      <c r="BP85" s="126" t="str">
        <f>IF('Finalterm OVPAA-F-INS-055A RAW '!BP85="","",'Finalterm OVPAA-F-INS-055A RAW '!BP85/'Finalterm OVPAA-F-INS-055A RAW '!BP$17*100)</f>
        <v/>
      </c>
      <c r="BQ85" s="126" t="str">
        <f>IF('Finalterm OVPAA-F-INS-055A RAW '!BQ85="","",'Finalterm OVPAA-F-INS-055A RAW '!BQ85/'Finalterm OVPAA-F-INS-055A RAW '!BQ$17*100)</f>
        <v/>
      </c>
      <c r="BR85" s="126" t="str">
        <f>IF('Finalterm OVPAA-F-INS-055A RAW '!BR85="","",'Finalterm OVPAA-F-INS-055A RAW '!BR85/'Finalterm OVPAA-F-INS-055A RAW '!BR$17*100)</f>
        <v/>
      </c>
      <c r="BS85" s="126" t="str">
        <f>IF('Finalterm OVPAA-F-INS-055A RAW '!BS85="","",'Finalterm OVPAA-F-INS-055A RAW '!BS85/'Finalterm OVPAA-F-INS-055A RAW '!BS$17*100)</f>
        <v/>
      </c>
      <c r="BT85" s="126" t="str">
        <f>IF('Finalterm OVPAA-F-INS-055A RAW '!BT85="","",'Finalterm OVPAA-F-INS-055A RAW '!BT85/'Finalterm OVPAA-F-INS-055A RAW '!BT$17*100)</f>
        <v/>
      </c>
      <c r="BU85" s="127" t="str">
        <f t="array" ref="BU85">IF('Finalterm OVPAA-F-INS-055A RAW '!$G85="","",IF((SUMPRODUCT(--ISBLANK('Finalterm OVPAA-F-INS-055A RAW '!H85:BT85))=COLUMNS('Finalterm OVPAA-F-INS-055A RAW '!H85:BT85))=TRUE,"",(((COUNTA('Finalterm OVPAA-F-INS-055A RAW '!$H$17:$BT$17)+COUNTBLANK('Finalterm OVPAA-F-INS-055A RAW '!H85:BT85))-COLUMNS('Finalterm OVPAA-F-INS-055A RAW '!H85:BT85))*5+SUM(H85:BT85))/COUNTA('Finalterm OVPAA-F-INS-055A RAW '!$H$17:$BT$17)))</f>
        <v/>
      </c>
      <c r="BV85" s="165" t="str">
        <f>IF(BU85="","",VLOOKUP(BU85,IF('Midterm OVPAA-F-INS-055A RAW SC'!$V$12=0.5,TRANSMUTATION!$C$4:$D$17,TRANSMUTATION!$G$4:$H$17),2,TRUE))</f>
        <v/>
      </c>
      <c r="BW85" s="129" t="str">
        <f>IF('Finalterm OVPAA-F-INS-055A RAW '!BU85="","",'Finalterm OVPAA-F-INS-055A RAW '!BU85/'Finalterm OVPAA-F-INS-055A RAW '!BU$17*100)</f>
        <v/>
      </c>
      <c r="BX85" s="130" t="str">
        <f>IF('Finalterm OVPAA-F-INS-055A RAW '!BV85="","",'Finalterm OVPAA-F-INS-055A RAW '!BV85/'Finalterm OVPAA-F-INS-055A RAW '!BV$17*100)</f>
        <v/>
      </c>
      <c r="BY85" s="130" t="str">
        <f>IF('Finalterm OVPAA-F-INS-055A RAW '!BW85="","",'Finalterm OVPAA-F-INS-055A RAW '!BW85/'Finalterm OVPAA-F-INS-055A RAW '!BW$17*100)</f>
        <v/>
      </c>
      <c r="BZ85" s="130" t="str">
        <f>IF('Finalterm OVPAA-F-INS-055A RAW '!BX85="","",'Finalterm OVPAA-F-INS-055A RAW '!BX85/'Finalterm OVPAA-F-INS-055A RAW '!BX$17*100)</f>
        <v/>
      </c>
      <c r="CA85" s="130" t="str">
        <f>IF('Finalterm OVPAA-F-INS-055A RAW '!BY85="","",'Finalterm OVPAA-F-INS-055A RAW '!BY85/'Finalterm OVPAA-F-INS-055A RAW '!BY$17*100)</f>
        <v/>
      </c>
      <c r="CB85" s="130" t="str">
        <f>IF('Finalterm OVPAA-F-INS-055A RAW '!BZ85="","",'Finalterm OVPAA-F-INS-055A RAW '!BZ85/'Finalterm OVPAA-F-INS-055A RAW '!BZ$17*100)</f>
        <v/>
      </c>
      <c r="CC85" s="130" t="str">
        <f>IF('Finalterm OVPAA-F-INS-055A RAW '!CA85="","",'Finalterm OVPAA-F-INS-055A RAW '!CA85/'Finalterm OVPAA-F-INS-055A RAW '!CA$17*100)</f>
        <v/>
      </c>
      <c r="CD85" s="130" t="str">
        <f>IF('Finalterm OVPAA-F-INS-055A RAW '!CB85="","",'Finalterm OVPAA-F-INS-055A RAW '!CB85/'Finalterm OVPAA-F-INS-055A RAW '!CB$17*100)</f>
        <v/>
      </c>
      <c r="CE85" s="130" t="str">
        <f>IF('Finalterm OVPAA-F-INS-055A RAW '!CC85="","",'Finalterm OVPAA-F-INS-055A RAW '!CC85/'Finalterm OVPAA-F-INS-055A RAW '!CC$17*100)</f>
        <v/>
      </c>
      <c r="CF85" s="130" t="str">
        <f>IF('Finalterm OVPAA-F-INS-055A RAW '!CD85="","",'Finalterm OVPAA-F-INS-055A RAW '!CD85/'Finalterm OVPAA-F-INS-055A RAW '!CD$17*100)</f>
        <v/>
      </c>
      <c r="CG85" s="130" t="str">
        <f>IF('Finalterm OVPAA-F-INS-055A RAW '!CE85="","",'Finalterm OVPAA-F-INS-055A RAW '!CE85/'Finalterm OVPAA-F-INS-055A RAW '!CE$17*100)</f>
        <v/>
      </c>
      <c r="CH85" s="130" t="str">
        <f>IF('Finalterm OVPAA-F-INS-055A RAW '!CF85="","",'Finalterm OVPAA-F-INS-055A RAW '!CF85/'Finalterm OVPAA-F-INS-055A RAW '!CF$17*100)</f>
        <v/>
      </c>
      <c r="CI85" s="130" t="str">
        <f>IF('Finalterm OVPAA-F-INS-055A RAW '!CG85="","",'Finalterm OVPAA-F-INS-055A RAW '!CG85/'Finalterm OVPAA-F-INS-055A RAW '!CG$17*100)</f>
        <v/>
      </c>
      <c r="CJ85" s="130" t="str">
        <f>IF('Finalterm OVPAA-F-INS-055A RAW '!CH85="","",'Finalterm OVPAA-F-INS-055A RAW '!CH85/'Finalterm OVPAA-F-INS-055A RAW '!CH$17*100)</f>
        <v/>
      </c>
      <c r="CK85" s="130" t="str">
        <f>IF('Finalterm OVPAA-F-INS-055A RAW '!CI85="","",'Finalterm OVPAA-F-INS-055A RAW '!CI85/'Finalterm OVPAA-F-INS-055A RAW '!CI$17*100)</f>
        <v/>
      </c>
      <c r="CL85" s="130" t="str">
        <f>IF('Finalterm OVPAA-F-INS-055A RAW '!CJ85="","",'Finalterm OVPAA-F-INS-055A RAW '!CJ85/'Finalterm OVPAA-F-INS-055A RAW '!CJ$17*100)</f>
        <v/>
      </c>
      <c r="CM85" s="130" t="str">
        <f>IF('Finalterm OVPAA-F-INS-055A RAW '!CK85="","",'Finalterm OVPAA-F-INS-055A RAW '!CK85/'Finalterm OVPAA-F-INS-055A RAW '!CK$17*100)</f>
        <v/>
      </c>
      <c r="CN85" s="130" t="str">
        <f>IF('Finalterm OVPAA-F-INS-055A RAW '!CL85="","",'Finalterm OVPAA-F-INS-055A RAW '!CL85/'Finalterm OVPAA-F-INS-055A RAW '!CL$17*100)</f>
        <v/>
      </c>
      <c r="CO85" s="130" t="str">
        <f>IF('Finalterm OVPAA-F-INS-055A RAW '!CM85="","",'Finalterm OVPAA-F-INS-055A RAW '!CM85/'Finalterm OVPAA-F-INS-055A RAW '!CM$17*100)</f>
        <v/>
      </c>
      <c r="CP85" s="130" t="str">
        <f>IF('Finalterm OVPAA-F-INS-055A RAW '!CN85="","",'Finalterm OVPAA-F-INS-055A RAW '!CN85/'Finalterm OVPAA-F-INS-055A RAW '!CN$17*100)</f>
        <v/>
      </c>
      <c r="CQ85" s="131" t="str">
        <f t="array" ref="CQ85">IF('Midterm OVPAA-F-INS-055A RAW SC'!G85="","",IF((SUMPRODUCT(--ISBLANK('Finalterm OVPAA-F-INS-055A RAW '!BU85:CN85))=COLUMNS('Finalterm OVPAA-F-INS-055A RAW '!BU85:CN85))=TRUE,"",(((COUNTA('Finalterm OVPAA-F-INS-055A RAW '!$BU$17:$CN$17)+COUNTBLANK('Finalterm OVPAA-F-INS-055A RAW '!BU85:CN85))-COLUMNS('Finalterm OVPAA-F-INS-055A RAW '!BU85:CN85))*5+SUM(BW85:CP85))/COUNTA('Finalterm OVPAA-F-INS-055A RAW '!$BU$17:$CN$17)))</f>
        <v/>
      </c>
      <c r="CR85" s="132" t="str">
        <f>IF(CQ85="","",VLOOKUP(CQ85,IF('Midterm OVPAA-F-INS-055A RAW SC'!$V$12=0.5,TRANSMUTATION!$C$4:$D$17,TRANSMUTATION!$G$4:$H$17),2,TRUE))</f>
        <v/>
      </c>
      <c r="CS85" s="133" t="str">
        <f>IF('Finalterm OVPAA-F-INS-055A RAW '!CO85="","",'Finalterm OVPAA-F-INS-055A RAW '!CO85/'Finalterm OVPAA-F-INS-055A RAW '!CO$17*100)</f>
        <v/>
      </c>
      <c r="CT85" s="133" t="str">
        <f>IF('Finalterm OVPAA-F-INS-055A RAW '!CP85="","",'Finalterm OVPAA-F-INS-055A RAW '!CP85/'Finalterm OVPAA-F-INS-055A RAW '!CP$17*100)</f>
        <v/>
      </c>
      <c r="CU85" s="133" t="str">
        <f>IF('Finalterm OVPAA-F-INS-055A RAW '!CQ85="","",'Finalterm OVPAA-F-INS-055A RAW '!CQ85/'Finalterm OVPAA-F-INS-055A RAW '!CQ$17*100)</f>
        <v/>
      </c>
      <c r="CV85" s="133" t="str">
        <f>IF('Finalterm OVPAA-F-INS-055A RAW '!CR85="","",'Finalterm OVPAA-F-INS-055A RAW '!CR85/'Finalterm OVPAA-F-INS-055A RAW '!CR$17*100)</f>
        <v/>
      </c>
      <c r="CW85" s="133" t="str">
        <f>IF('Finalterm OVPAA-F-INS-055A RAW '!CS85="","",'Finalterm OVPAA-F-INS-055A RAW '!CS85/'Finalterm OVPAA-F-INS-055A RAW '!CS$17*100)</f>
        <v/>
      </c>
      <c r="CX85" s="133" t="str">
        <f>IF('Finalterm OVPAA-F-INS-055A RAW '!CT85="","",'Finalterm OVPAA-F-INS-055A RAW '!CT85/'Finalterm OVPAA-F-INS-055A RAW '!CT$17*100)</f>
        <v/>
      </c>
      <c r="CY85" s="133" t="str">
        <f>IF('Finalterm OVPAA-F-INS-055A RAW '!CU85="","",'Finalterm OVPAA-F-INS-055A RAW '!CU85/'Finalterm OVPAA-F-INS-055A RAW '!CU$17*100)</f>
        <v/>
      </c>
      <c r="CZ85" s="133" t="str">
        <f>IF('Finalterm OVPAA-F-INS-055A RAW '!CV85="","",'Finalterm OVPAA-F-INS-055A RAW '!CV85/'Finalterm OVPAA-F-INS-055A RAW '!CV$17*100)</f>
        <v/>
      </c>
      <c r="DA85" s="133" t="str">
        <f>IF('Finalterm OVPAA-F-INS-055A RAW '!CW85="","",'Finalterm OVPAA-F-INS-055A RAW '!CW85/'Finalterm OVPAA-F-INS-055A RAW '!CW$17*100)</f>
        <v/>
      </c>
      <c r="DB85" s="133" t="str">
        <f>IF('Finalterm OVPAA-F-INS-055A RAW '!CX85="","",'Finalterm OVPAA-F-INS-055A RAW '!CX85/'Finalterm OVPAA-F-INS-055A RAW '!CX$17*100)</f>
        <v/>
      </c>
      <c r="DC85" s="134" t="str">
        <f t="array" ref="DC85">IF('Midterm OVPAA-F-INS-055A RAW SC'!$G85="","",IF((SUMPRODUCT(--ISBLANK('Finalterm OVPAA-F-INS-055A RAW '!CO85:CX85))=COLUMNS('Finalterm OVPAA-F-INS-055A RAW '!CO85:CX85))=TRUE,"",(((COUNTA('Finalterm OVPAA-F-INS-055A RAW '!$CO$17:$CX$17)+COUNTBLANK('Finalterm OVPAA-F-INS-055A RAW '!CO85:CX85))-COLUMNS('Finalterm OVPAA-F-INS-055A RAW '!CO85:CX85))*5+SUM(CS85:DB85))/COUNTA('Finalterm OVPAA-F-INS-055A RAW '!$CO$17:$CX$17)))</f>
        <v/>
      </c>
      <c r="DD85" s="135" t="str">
        <f>IF(DC85="","",VLOOKUP(DC85,IF('Midterm OVPAA-F-INS-055A RAW SC'!$V$12=0.5,TRANSMUTATION!$C$4:$D$17,TRANSMUTATION!$G$4:$H$17),2,TRUE))</f>
        <v/>
      </c>
      <c r="DE85" s="136" t="str">
        <f t="shared" si="1"/>
        <v/>
      </c>
      <c r="DF85" s="166" t="str">
        <f t="shared" si="2"/>
        <v/>
      </c>
      <c r="DG85" s="167" t="str">
        <f t="shared" si="3"/>
        <v/>
      </c>
      <c r="DH85" s="168" t="str">
        <f t="shared" si="4"/>
        <v/>
      </c>
      <c r="DI85" s="169" t="str">
        <f t="shared" si="5"/>
        <v/>
      </c>
    </row>
    <row r="86" spans="1:113" ht="15.75" hidden="1" customHeight="1">
      <c r="E86" s="59">
        <v>69</v>
      </c>
      <c r="F86" s="124" t="str">
        <f>IF(NOT(ISBLANK('Midterm OVPAA-F-INS-055A RAW SC'!F86)),'Midterm OVPAA-F-INS-055A RAW SC'!F86,"")</f>
        <v/>
      </c>
      <c r="G86" s="125" t="str">
        <f>IF(NOT(ISBLANK('Midterm OVPAA-F-INS-055A RAW SC'!G86)),'Midterm OVPAA-F-INS-055A RAW SC'!G86,"")</f>
        <v/>
      </c>
      <c r="H86" s="126" t="str">
        <f>IF('Finalterm OVPAA-F-INS-055A RAW '!H86="","",'Finalterm OVPAA-F-INS-055A RAW '!H86/'Finalterm OVPAA-F-INS-055A RAW '!H$17*100)</f>
        <v/>
      </c>
      <c r="I86" s="126" t="str">
        <f>IF('Finalterm OVPAA-F-INS-055A RAW '!I86="","",'Finalterm OVPAA-F-INS-055A RAW '!I86/'Finalterm OVPAA-F-INS-055A RAW '!I$17*100)</f>
        <v/>
      </c>
      <c r="J86" s="126" t="str">
        <f>IF('Finalterm OVPAA-F-INS-055A RAW '!J86="","",'Finalterm OVPAA-F-INS-055A RAW '!J86/'Finalterm OVPAA-F-INS-055A RAW '!J$17*100)</f>
        <v/>
      </c>
      <c r="K86" s="126" t="str">
        <f>IF('Finalterm OVPAA-F-INS-055A RAW '!K86="","",'Finalterm OVPAA-F-INS-055A RAW '!K86/'Finalterm OVPAA-F-INS-055A RAW '!K$17*100)</f>
        <v/>
      </c>
      <c r="L86" s="126" t="str">
        <f>IF('Finalterm OVPAA-F-INS-055A RAW '!L86="","",'Finalterm OVPAA-F-INS-055A RAW '!L86/'Finalterm OVPAA-F-INS-055A RAW '!L$17*100)</f>
        <v/>
      </c>
      <c r="M86" s="126" t="str">
        <f>IF('Finalterm OVPAA-F-INS-055A RAW '!M86="","",'Finalterm OVPAA-F-INS-055A RAW '!M86/'Finalterm OVPAA-F-INS-055A RAW '!M$17*100)</f>
        <v/>
      </c>
      <c r="N86" s="126" t="str">
        <f>IF('Finalterm OVPAA-F-INS-055A RAW '!N86="","",'Finalterm OVPAA-F-INS-055A RAW '!N86/'Finalterm OVPAA-F-INS-055A RAW '!N$17*100)</f>
        <v/>
      </c>
      <c r="O86" s="126" t="str">
        <f>IF('Finalterm OVPAA-F-INS-055A RAW '!O86="","",'Finalterm OVPAA-F-INS-055A RAW '!O86/'Finalterm OVPAA-F-INS-055A RAW '!O$17*100)</f>
        <v/>
      </c>
      <c r="P86" s="126" t="str">
        <f>IF('Finalterm OVPAA-F-INS-055A RAW '!P86="","",'Finalterm OVPAA-F-INS-055A RAW '!P86/'Finalterm OVPAA-F-INS-055A RAW '!P$17*100)</f>
        <v/>
      </c>
      <c r="Q86" s="126" t="str">
        <f>IF('Finalterm OVPAA-F-INS-055A RAW '!Q86="","",'Finalterm OVPAA-F-INS-055A RAW '!Q86/'Finalterm OVPAA-F-INS-055A RAW '!Q$17*100)</f>
        <v/>
      </c>
      <c r="R86" s="126" t="str">
        <f>IF('Finalterm OVPAA-F-INS-055A RAW '!R86="","",'Finalterm OVPAA-F-INS-055A RAW '!R86/'Finalterm OVPAA-F-INS-055A RAW '!R$17*100)</f>
        <v/>
      </c>
      <c r="S86" s="126" t="str">
        <f>IF('Finalterm OVPAA-F-INS-055A RAW '!S86="","",'Finalterm OVPAA-F-INS-055A RAW '!S86/'Finalterm OVPAA-F-INS-055A RAW '!S$17*100)</f>
        <v/>
      </c>
      <c r="T86" s="126" t="str">
        <f>IF('Finalterm OVPAA-F-INS-055A RAW '!T86="","",'Finalterm OVPAA-F-INS-055A RAW '!T86/'Finalterm OVPAA-F-INS-055A RAW '!T$17*100)</f>
        <v/>
      </c>
      <c r="U86" s="126" t="str">
        <f>IF('Finalterm OVPAA-F-INS-055A RAW '!U86="","",'Finalterm OVPAA-F-INS-055A RAW '!U86/'Finalterm OVPAA-F-INS-055A RAW '!U$17*100)</f>
        <v/>
      </c>
      <c r="V86" s="126" t="str">
        <f>IF('Finalterm OVPAA-F-INS-055A RAW '!V86="","",'Finalterm OVPAA-F-INS-055A RAW '!V86/'Finalterm OVPAA-F-INS-055A RAW '!V$17*100)</f>
        <v/>
      </c>
      <c r="W86" s="126" t="str">
        <f>IF('Finalterm OVPAA-F-INS-055A RAW '!W86="","",'Finalterm OVPAA-F-INS-055A RAW '!W86/'Finalterm OVPAA-F-INS-055A RAW '!W$17*100)</f>
        <v/>
      </c>
      <c r="X86" s="126" t="str">
        <f>IF('Finalterm OVPAA-F-INS-055A RAW '!X86="","",'Finalterm OVPAA-F-INS-055A RAW '!X86/'Finalterm OVPAA-F-INS-055A RAW '!X$17*100)</f>
        <v/>
      </c>
      <c r="Y86" s="126" t="str">
        <f>IF('Finalterm OVPAA-F-INS-055A RAW '!Y86="","",'Finalterm OVPAA-F-INS-055A RAW '!Y86/'Finalterm OVPAA-F-INS-055A RAW '!Y$17*100)</f>
        <v/>
      </c>
      <c r="Z86" s="126" t="str">
        <f>IF('Finalterm OVPAA-F-INS-055A RAW '!Z86="","",'Finalterm OVPAA-F-INS-055A RAW '!Z86/'Finalterm OVPAA-F-INS-055A RAW '!Z$17*100)</f>
        <v/>
      </c>
      <c r="AA86" s="126" t="str">
        <f>IF('Finalterm OVPAA-F-INS-055A RAW '!AA86="","",'Finalterm OVPAA-F-INS-055A RAW '!AA86/'Finalterm OVPAA-F-INS-055A RAW '!AA$17*100)</f>
        <v/>
      </c>
      <c r="AB86" s="126" t="str">
        <f>IF('Finalterm OVPAA-F-INS-055A RAW '!AB86="","",'Finalterm OVPAA-F-INS-055A RAW '!AB86/'Finalterm OVPAA-F-INS-055A RAW '!AB$17*100)</f>
        <v/>
      </c>
      <c r="AC86" s="126" t="str">
        <f>IF('Finalterm OVPAA-F-INS-055A RAW '!AC86="","",'Finalterm OVPAA-F-INS-055A RAW '!AC86/'Finalterm OVPAA-F-INS-055A RAW '!AC$17*100)</f>
        <v/>
      </c>
      <c r="AD86" s="126" t="str">
        <f>IF('Finalterm OVPAA-F-INS-055A RAW '!AD86="","",'Finalterm OVPAA-F-INS-055A RAW '!AD86/'Finalterm OVPAA-F-INS-055A RAW '!AD$17*100)</f>
        <v/>
      </c>
      <c r="AE86" s="126" t="str">
        <f>IF('Finalterm OVPAA-F-INS-055A RAW '!AE86="","",'Finalterm OVPAA-F-INS-055A RAW '!AE86/'Finalterm OVPAA-F-INS-055A RAW '!AE$17*100)</f>
        <v/>
      </c>
      <c r="AF86" s="126" t="str">
        <f>IF('Finalterm OVPAA-F-INS-055A RAW '!AF86="","",'Finalterm OVPAA-F-INS-055A RAW '!AF86/'Finalterm OVPAA-F-INS-055A RAW '!AF$17*100)</f>
        <v/>
      </c>
      <c r="AG86" s="126" t="str">
        <f>IF('Finalterm OVPAA-F-INS-055A RAW '!AG86="","",'Finalterm OVPAA-F-INS-055A RAW '!AG86/'Finalterm OVPAA-F-INS-055A RAW '!AG$17*100)</f>
        <v/>
      </c>
      <c r="AH86" s="126" t="str">
        <f>IF('Finalterm OVPAA-F-INS-055A RAW '!AH86="","",'Finalterm OVPAA-F-INS-055A RAW '!AH86/'Finalterm OVPAA-F-INS-055A RAW '!AH$17*100)</f>
        <v/>
      </c>
      <c r="AI86" s="126" t="str">
        <f>IF('Finalterm OVPAA-F-INS-055A RAW '!AI86="","",'Finalterm OVPAA-F-INS-055A RAW '!AI86/'Finalterm OVPAA-F-INS-055A RAW '!AI$17*100)</f>
        <v/>
      </c>
      <c r="AJ86" s="126" t="str">
        <f>IF('Finalterm OVPAA-F-INS-055A RAW '!AJ86="","",'Finalterm OVPAA-F-INS-055A RAW '!AJ86/'Finalterm OVPAA-F-INS-055A RAW '!AJ$17*100)</f>
        <v/>
      </c>
      <c r="AK86" s="126" t="str">
        <f>IF('Finalterm OVPAA-F-INS-055A RAW '!AK86="","",'Finalterm OVPAA-F-INS-055A RAW '!AK86/'Finalterm OVPAA-F-INS-055A RAW '!AK$17*100)</f>
        <v/>
      </c>
      <c r="AL86" s="126" t="str">
        <f>IF('Finalterm OVPAA-F-INS-055A RAW '!AL86="","",'Finalterm OVPAA-F-INS-055A RAW '!AL86/'Finalterm OVPAA-F-INS-055A RAW '!AL$17*100)</f>
        <v/>
      </c>
      <c r="AM86" s="126" t="str">
        <f>IF('Finalterm OVPAA-F-INS-055A RAW '!AM86="","",'Finalterm OVPAA-F-INS-055A RAW '!AM86/'Finalterm OVPAA-F-INS-055A RAW '!AM$17*100)</f>
        <v/>
      </c>
      <c r="AN86" s="126" t="str">
        <f>IF('Finalterm OVPAA-F-INS-055A RAW '!AN86="","",'Finalterm OVPAA-F-INS-055A RAW '!AN86/'Finalterm OVPAA-F-INS-055A RAW '!AN$17*100)</f>
        <v/>
      </c>
      <c r="AO86" s="126" t="str">
        <f>IF('Finalterm OVPAA-F-INS-055A RAW '!AO86="","",'Finalterm OVPAA-F-INS-055A RAW '!AO86/'Finalterm OVPAA-F-INS-055A RAW '!AO$17*100)</f>
        <v/>
      </c>
      <c r="AP86" s="126" t="str">
        <f>IF('Finalterm OVPAA-F-INS-055A RAW '!AP86="","",'Finalterm OVPAA-F-INS-055A RAW '!AP86/'Finalterm OVPAA-F-INS-055A RAW '!AP$17*100)</f>
        <v/>
      </c>
      <c r="AQ86" s="126" t="str">
        <f>IF('Finalterm OVPAA-F-INS-055A RAW '!AQ86="","",'Finalterm OVPAA-F-INS-055A RAW '!AQ86/'Finalterm OVPAA-F-INS-055A RAW '!AQ$17*100)</f>
        <v/>
      </c>
      <c r="AR86" s="126" t="str">
        <f>IF('Finalterm OVPAA-F-INS-055A RAW '!AR86="","",'Finalterm OVPAA-F-INS-055A RAW '!AR86/'Finalterm OVPAA-F-INS-055A RAW '!AR$17*100)</f>
        <v/>
      </c>
      <c r="AS86" s="126" t="str">
        <f>IF('Finalterm OVPAA-F-INS-055A RAW '!AS86="","",'Finalterm OVPAA-F-INS-055A RAW '!AS86/'Finalterm OVPAA-F-INS-055A RAW '!AS$17*100)</f>
        <v/>
      </c>
      <c r="AT86" s="126" t="str">
        <f>IF('Finalterm OVPAA-F-INS-055A RAW '!AT86="","",'Finalterm OVPAA-F-INS-055A RAW '!AT86/'Finalterm OVPAA-F-INS-055A RAW '!AT$17*100)</f>
        <v/>
      </c>
      <c r="AU86" s="126" t="str">
        <f>IF('Finalterm OVPAA-F-INS-055A RAW '!AU86="","",'Finalterm OVPAA-F-INS-055A RAW '!AU86/'Finalterm OVPAA-F-INS-055A RAW '!AU$17*100)</f>
        <v/>
      </c>
      <c r="AV86" s="126" t="str">
        <f>IF('Finalterm OVPAA-F-INS-055A RAW '!AV86="","",'Finalterm OVPAA-F-INS-055A RAW '!AV86/'Finalterm OVPAA-F-INS-055A RAW '!AV$17*100)</f>
        <v/>
      </c>
      <c r="AW86" s="126" t="str">
        <f>IF('Finalterm OVPAA-F-INS-055A RAW '!AW86="","",'Finalterm OVPAA-F-INS-055A RAW '!AW86/'Finalterm OVPAA-F-INS-055A RAW '!AW$17*100)</f>
        <v/>
      </c>
      <c r="AX86" s="126" t="str">
        <f>IF('Finalterm OVPAA-F-INS-055A RAW '!AX86="","",'Finalterm OVPAA-F-INS-055A RAW '!AX86/'Finalterm OVPAA-F-INS-055A RAW '!AX$17*100)</f>
        <v/>
      </c>
      <c r="AY86" s="126" t="str">
        <f>IF('Finalterm OVPAA-F-INS-055A RAW '!AY86="","",'Finalterm OVPAA-F-INS-055A RAW '!AY86/'Finalterm OVPAA-F-INS-055A RAW '!AY$17*100)</f>
        <v/>
      </c>
      <c r="AZ86" s="126" t="str">
        <f>IF('Finalterm OVPAA-F-INS-055A RAW '!AZ86="","",'Finalterm OVPAA-F-INS-055A RAW '!AZ86/'Finalterm OVPAA-F-INS-055A RAW '!AZ$17*100)</f>
        <v/>
      </c>
      <c r="BA86" s="126" t="str">
        <f>IF('Finalterm OVPAA-F-INS-055A RAW '!BA86="","",'Finalterm OVPAA-F-INS-055A RAW '!BA86/'Finalterm OVPAA-F-INS-055A RAW '!BA$17*100)</f>
        <v/>
      </c>
      <c r="BB86" s="126" t="str">
        <f>IF('Finalterm OVPAA-F-INS-055A RAW '!BB86="","",'Finalterm OVPAA-F-INS-055A RAW '!BB86/'Finalterm OVPAA-F-INS-055A RAW '!BB$17*100)</f>
        <v/>
      </c>
      <c r="BC86" s="126" t="str">
        <f>IF('Finalterm OVPAA-F-INS-055A RAW '!BC86="","",'Finalterm OVPAA-F-INS-055A RAW '!BC86/'Finalterm OVPAA-F-INS-055A RAW '!BC$17*100)</f>
        <v/>
      </c>
      <c r="BD86" s="126" t="str">
        <f>IF('Finalterm OVPAA-F-INS-055A RAW '!BD86="","",'Finalterm OVPAA-F-INS-055A RAW '!BD86/'Finalterm OVPAA-F-INS-055A RAW '!BD$17*100)</f>
        <v/>
      </c>
      <c r="BE86" s="126" t="str">
        <f>IF('Finalterm OVPAA-F-INS-055A RAW '!BE86="","",'Finalterm OVPAA-F-INS-055A RAW '!BE86/'Finalterm OVPAA-F-INS-055A RAW '!BE$17*100)</f>
        <v/>
      </c>
      <c r="BF86" s="126" t="str">
        <f>IF('Finalterm OVPAA-F-INS-055A RAW '!BF86="","",'Finalterm OVPAA-F-INS-055A RAW '!BF86/'Finalterm OVPAA-F-INS-055A RAW '!BF$17*100)</f>
        <v/>
      </c>
      <c r="BG86" s="126" t="str">
        <f>IF('Finalterm OVPAA-F-INS-055A RAW '!BG86="","",'Finalterm OVPAA-F-INS-055A RAW '!BG86/'Finalterm OVPAA-F-INS-055A RAW '!BG$17*100)</f>
        <v/>
      </c>
      <c r="BH86" s="126" t="str">
        <f>IF('Finalterm OVPAA-F-INS-055A RAW '!BH86="","",'Finalterm OVPAA-F-INS-055A RAW '!BH86/'Finalterm OVPAA-F-INS-055A RAW '!BH$17*100)</f>
        <v/>
      </c>
      <c r="BI86" s="126" t="str">
        <f>IF('Finalterm OVPAA-F-INS-055A RAW '!BI86="","",'Finalterm OVPAA-F-INS-055A RAW '!BI86/'Finalterm OVPAA-F-INS-055A RAW '!BI$17*100)</f>
        <v/>
      </c>
      <c r="BJ86" s="126" t="str">
        <f>IF('Finalterm OVPAA-F-INS-055A RAW '!BJ86="","",'Finalterm OVPAA-F-INS-055A RAW '!BJ86/'Finalterm OVPAA-F-INS-055A RAW '!BJ$17*100)</f>
        <v/>
      </c>
      <c r="BK86" s="126" t="str">
        <f>IF('Finalterm OVPAA-F-INS-055A RAW '!BK86="","",'Finalterm OVPAA-F-INS-055A RAW '!BK86/'Finalterm OVPAA-F-INS-055A RAW '!BK$17*100)</f>
        <v/>
      </c>
      <c r="BL86" s="126" t="str">
        <f>IF('Finalterm OVPAA-F-INS-055A RAW '!BL86="","",'Finalterm OVPAA-F-INS-055A RAW '!BL86/'Finalterm OVPAA-F-INS-055A RAW '!BL$17*100)</f>
        <v/>
      </c>
      <c r="BM86" s="126" t="str">
        <f>IF('Finalterm OVPAA-F-INS-055A RAW '!BM86="","",'Finalterm OVPAA-F-INS-055A RAW '!BM86/'Finalterm OVPAA-F-INS-055A RAW '!BM$17*100)</f>
        <v/>
      </c>
      <c r="BN86" s="126" t="str">
        <f>IF('Finalterm OVPAA-F-INS-055A RAW '!BN86="","",'Finalterm OVPAA-F-INS-055A RAW '!BN86/'Finalterm OVPAA-F-INS-055A RAW '!BN$17*100)</f>
        <v/>
      </c>
      <c r="BO86" s="126" t="str">
        <f>IF('Finalterm OVPAA-F-INS-055A RAW '!BO86="","",'Finalterm OVPAA-F-INS-055A RAW '!BO86/'Finalterm OVPAA-F-INS-055A RAW '!BO$17*100)</f>
        <v/>
      </c>
      <c r="BP86" s="126" t="str">
        <f>IF('Finalterm OVPAA-F-INS-055A RAW '!BP86="","",'Finalterm OVPAA-F-INS-055A RAW '!BP86/'Finalterm OVPAA-F-INS-055A RAW '!BP$17*100)</f>
        <v/>
      </c>
      <c r="BQ86" s="126" t="str">
        <f>IF('Finalterm OVPAA-F-INS-055A RAW '!BQ86="","",'Finalterm OVPAA-F-INS-055A RAW '!BQ86/'Finalterm OVPAA-F-INS-055A RAW '!BQ$17*100)</f>
        <v/>
      </c>
      <c r="BR86" s="126" t="str">
        <f>IF('Finalterm OVPAA-F-INS-055A RAW '!BR86="","",'Finalterm OVPAA-F-INS-055A RAW '!BR86/'Finalterm OVPAA-F-INS-055A RAW '!BR$17*100)</f>
        <v/>
      </c>
      <c r="BS86" s="126" t="str">
        <f>IF('Finalterm OVPAA-F-INS-055A RAW '!BS86="","",'Finalterm OVPAA-F-INS-055A RAW '!BS86/'Finalterm OVPAA-F-INS-055A RAW '!BS$17*100)</f>
        <v/>
      </c>
      <c r="BT86" s="126" t="str">
        <f>IF('Finalterm OVPAA-F-INS-055A RAW '!BT86="","",'Finalterm OVPAA-F-INS-055A RAW '!BT86/'Finalterm OVPAA-F-INS-055A RAW '!BT$17*100)</f>
        <v/>
      </c>
      <c r="BU86" s="127" t="str">
        <f t="array" ref="BU86">IF('Finalterm OVPAA-F-INS-055A RAW '!$G86="","",IF((SUMPRODUCT(--ISBLANK('Finalterm OVPAA-F-INS-055A RAW '!H86:BT86))=COLUMNS('Finalterm OVPAA-F-INS-055A RAW '!H86:BT86))=TRUE,"",(((COUNTA('Finalterm OVPAA-F-INS-055A RAW '!$H$17:$BT$17)+COUNTBLANK('Finalterm OVPAA-F-INS-055A RAW '!H86:BT86))-COLUMNS('Finalterm OVPAA-F-INS-055A RAW '!H86:BT86))*5+SUM(H86:BT86))/COUNTA('Finalterm OVPAA-F-INS-055A RAW '!$H$17:$BT$17)))</f>
        <v/>
      </c>
      <c r="BV86" s="165" t="str">
        <f>IF(BU86="","",VLOOKUP(BU86,IF('Midterm OVPAA-F-INS-055A RAW SC'!$V$12=0.5,TRANSMUTATION!$C$4:$D$17,TRANSMUTATION!$G$4:$H$17),2,TRUE))</f>
        <v/>
      </c>
      <c r="BW86" s="129" t="str">
        <f>IF('Finalterm OVPAA-F-INS-055A RAW '!BU86="","",'Finalterm OVPAA-F-INS-055A RAW '!BU86/'Finalterm OVPAA-F-INS-055A RAW '!BU$17*100)</f>
        <v/>
      </c>
      <c r="BX86" s="130" t="str">
        <f>IF('Finalterm OVPAA-F-INS-055A RAW '!BV86="","",'Finalterm OVPAA-F-INS-055A RAW '!BV86/'Finalterm OVPAA-F-INS-055A RAW '!BV$17*100)</f>
        <v/>
      </c>
      <c r="BY86" s="130" t="str">
        <f>IF('Finalterm OVPAA-F-INS-055A RAW '!BW86="","",'Finalterm OVPAA-F-INS-055A RAW '!BW86/'Finalterm OVPAA-F-INS-055A RAW '!BW$17*100)</f>
        <v/>
      </c>
      <c r="BZ86" s="130" t="str">
        <f>IF('Finalterm OVPAA-F-INS-055A RAW '!BX86="","",'Finalterm OVPAA-F-INS-055A RAW '!BX86/'Finalterm OVPAA-F-INS-055A RAW '!BX$17*100)</f>
        <v/>
      </c>
      <c r="CA86" s="130" t="str">
        <f>IF('Finalterm OVPAA-F-INS-055A RAW '!BY86="","",'Finalterm OVPAA-F-INS-055A RAW '!BY86/'Finalterm OVPAA-F-INS-055A RAW '!BY$17*100)</f>
        <v/>
      </c>
      <c r="CB86" s="130" t="str">
        <f>IF('Finalterm OVPAA-F-INS-055A RAW '!BZ86="","",'Finalterm OVPAA-F-INS-055A RAW '!BZ86/'Finalterm OVPAA-F-INS-055A RAW '!BZ$17*100)</f>
        <v/>
      </c>
      <c r="CC86" s="130" t="str">
        <f>IF('Finalterm OVPAA-F-INS-055A RAW '!CA86="","",'Finalterm OVPAA-F-INS-055A RAW '!CA86/'Finalterm OVPAA-F-INS-055A RAW '!CA$17*100)</f>
        <v/>
      </c>
      <c r="CD86" s="130" t="str">
        <f>IF('Finalterm OVPAA-F-INS-055A RAW '!CB86="","",'Finalterm OVPAA-F-INS-055A RAW '!CB86/'Finalterm OVPAA-F-INS-055A RAW '!CB$17*100)</f>
        <v/>
      </c>
      <c r="CE86" s="130" t="str">
        <f>IF('Finalterm OVPAA-F-INS-055A RAW '!CC86="","",'Finalterm OVPAA-F-INS-055A RAW '!CC86/'Finalterm OVPAA-F-INS-055A RAW '!CC$17*100)</f>
        <v/>
      </c>
      <c r="CF86" s="130" t="str">
        <f>IF('Finalterm OVPAA-F-INS-055A RAW '!CD86="","",'Finalterm OVPAA-F-INS-055A RAW '!CD86/'Finalterm OVPAA-F-INS-055A RAW '!CD$17*100)</f>
        <v/>
      </c>
      <c r="CG86" s="130" t="str">
        <f>IF('Finalterm OVPAA-F-INS-055A RAW '!CE86="","",'Finalterm OVPAA-F-INS-055A RAW '!CE86/'Finalterm OVPAA-F-INS-055A RAW '!CE$17*100)</f>
        <v/>
      </c>
      <c r="CH86" s="130" t="str">
        <f>IF('Finalterm OVPAA-F-INS-055A RAW '!CF86="","",'Finalterm OVPAA-F-INS-055A RAW '!CF86/'Finalterm OVPAA-F-INS-055A RAW '!CF$17*100)</f>
        <v/>
      </c>
      <c r="CI86" s="130" t="str">
        <f>IF('Finalterm OVPAA-F-INS-055A RAW '!CG86="","",'Finalterm OVPAA-F-INS-055A RAW '!CG86/'Finalterm OVPAA-F-INS-055A RAW '!CG$17*100)</f>
        <v/>
      </c>
      <c r="CJ86" s="130" t="str">
        <f>IF('Finalterm OVPAA-F-INS-055A RAW '!CH86="","",'Finalterm OVPAA-F-INS-055A RAW '!CH86/'Finalterm OVPAA-F-INS-055A RAW '!CH$17*100)</f>
        <v/>
      </c>
      <c r="CK86" s="130" t="str">
        <f>IF('Finalterm OVPAA-F-INS-055A RAW '!CI86="","",'Finalterm OVPAA-F-INS-055A RAW '!CI86/'Finalterm OVPAA-F-INS-055A RAW '!CI$17*100)</f>
        <v/>
      </c>
      <c r="CL86" s="130" t="str">
        <f>IF('Finalterm OVPAA-F-INS-055A RAW '!CJ86="","",'Finalterm OVPAA-F-INS-055A RAW '!CJ86/'Finalterm OVPAA-F-INS-055A RAW '!CJ$17*100)</f>
        <v/>
      </c>
      <c r="CM86" s="130" t="str">
        <f>IF('Finalterm OVPAA-F-INS-055A RAW '!CK86="","",'Finalterm OVPAA-F-INS-055A RAW '!CK86/'Finalterm OVPAA-F-INS-055A RAW '!CK$17*100)</f>
        <v/>
      </c>
      <c r="CN86" s="130" t="str">
        <f>IF('Finalterm OVPAA-F-INS-055A RAW '!CL86="","",'Finalterm OVPAA-F-INS-055A RAW '!CL86/'Finalterm OVPAA-F-INS-055A RAW '!CL$17*100)</f>
        <v/>
      </c>
      <c r="CO86" s="130" t="str">
        <f>IF('Finalterm OVPAA-F-INS-055A RAW '!CM86="","",'Finalterm OVPAA-F-INS-055A RAW '!CM86/'Finalterm OVPAA-F-INS-055A RAW '!CM$17*100)</f>
        <v/>
      </c>
      <c r="CP86" s="130" t="str">
        <f>IF('Finalterm OVPAA-F-INS-055A RAW '!CN86="","",'Finalterm OVPAA-F-INS-055A RAW '!CN86/'Finalterm OVPAA-F-INS-055A RAW '!CN$17*100)</f>
        <v/>
      </c>
      <c r="CQ86" s="131" t="str">
        <f t="array" ref="CQ86">IF('Midterm OVPAA-F-INS-055A RAW SC'!G86="","",IF((SUMPRODUCT(--ISBLANK('Finalterm OVPAA-F-INS-055A RAW '!BU86:CN86))=COLUMNS('Finalterm OVPAA-F-INS-055A RAW '!BU86:CN86))=TRUE,"",(((COUNTA('Finalterm OVPAA-F-INS-055A RAW '!$BU$17:$CN$17)+COUNTBLANK('Finalterm OVPAA-F-INS-055A RAW '!BU86:CN86))-COLUMNS('Finalterm OVPAA-F-INS-055A RAW '!BU86:CN86))*5+SUM(BW86:CP86))/COUNTA('Finalterm OVPAA-F-INS-055A RAW '!$BU$17:$CN$17)))</f>
        <v/>
      </c>
      <c r="CR86" s="132" t="str">
        <f>IF(CQ86="","",VLOOKUP(CQ86,IF('Midterm OVPAA-F-INS-055A RAW SC'!$V$12=0.5,TRANSMUTATION!$C$4:$D$17,TRANSMUTATION!$G$4:$H$17),2,TRUE))</f>
        <v/>
      </c>
      <c r="CS86" s="133" t="str">
        <f>IF('Finalterm OVPAA-F-INS-055A RAW '!CO86="","",'Finalterm OVPAA-F-INS-055A RAW '!CO86/'Finalterm OVPAA-F-INS-055A RAW '!CO$17*100)</f>
        <v/>
      </c>
      <c r="CT86" s="133" t="str">
        <f>IF('Finalterm OVPAA-F-INS-055A RAW '!CP86="","",'Finalterm OVPAA-F-INS-055A RAW '!CP86/'Finalterm OVPAA-F-INS-055A RAW '!CP$17*100)</f>
        <v/>
      </c>
      <c r="CU86" s="133" t="str">
        <f>IF('Finalterm OVPAA-F-INS-055A RAW '!CQ86="","",'Finalterm OVPAA-F-INS-055A RAW '!CQ86/'Finalterm OVPAA-F-INS-055A RAW '!CQ$17*100)</f>
        <v/>
      </c>
      <c r="CV86" s="133" t="str">
        <f>IF('Finalterm OVPAA-F-INS-055A RAW '!CR86="","",'Finalterm OVPAA-F-INS-055A RAW '!CR86/'Finalterm OVPAA-F-INS-055A RAW '!CR$17*100)</f>
        <v/>
      </c>
      <c r="CW86" s="133" t="str">
        <f>IF('Finalterm OVPAA-F-INS-055A RAW '!CS86="","",'Finalterm OVPAA-F-INS-055A RAW '!CS86/'Finalterm OVPAA-F-INS-055A RAW '!CS$17*100)</f>
        <v/>
      </c>
      <c r="CX86" s="133" t="str">
        <f>IF('Finalterm OVPAA-F-INS-055A RAW '!CT86="","",'Finalterm OVPAA-F-INS-055A RAW '!CT86/'Finalterm OVPAA-F-INS-055A RAW '!CT$17*100)</f>
        <v/>
      </c>
      <c r="CY86" s="133" t="str">
        <f>IF('Finalterm OVPAA-F-INS-055A RAW '!CU86="","",'Finalterm OVPAA-F-INS-055A RAW '!CU86/'Finalterm OVPAA-F-INS-055A RAW '!CU$17*100)</f>
        <v/>
      </c>
      <c r="CZ86" s="133" t="str">
        <f>IF('Finalterm OVPAA-F-INS-055A RAW '!CV86="","",'Finalterm OVPAA-F-INS-055A RAW '!CV86/'Finalterm OVPAA-F-INS-055A RAW '!CV$17*100)</f>
        <v/>
      </c>
      <c r="DA86" s="133" t="str">
        <f>IF('Finalterm OVPAA-F-INS-055A RAW '!CW86="","",'Finalterm OVPAA-F-INS-055A RAW '!CW86/'Finalterm OVPAA-F-INS-055A RAW '!CW$17*100)</f>
        <v/>
      </c>
      <c r="DB86" s="133" t="str">
        <f>IF('Finalterm OVPAA-F-INS-055A RAW '!CX86="","",'Finalterm OVPAA-F-INS-055A RAW '!CX86/'Finalterm OVPAA-F-INS-055A RAW '!CX$17*100)</f>
        <v/>
      </c>
      <c r="DC86" s="134" t="str">
        <f t="array" ref="DC86">IF('Midterm OVPAA-F-INS-055A RAW SC'!$G86="","",IF((SUMPRODUCT(--ISBLANK('Finalterm OVPAA-F-INS-055A RAW '!CO86:CX86))=COLUMNS('Finalterm OVPAA-F-INS-055A RAW '!CO86:CX86))=TRUE,"",(((COUNTA('Finalterm OVPAA-F-INS-055A RAW '!$CO$17:$CX$17)+COUNTBLANK('Finalterm OVPAA-F-INS-055A RAW '!CO86:CX86))-COLUMNS('Finalterm OVPAA-F-INS-055A RAW '!CO86:CX86))*5+SUM(CS86:DB86))/COUNTA('Finalterm OVPAA-F-INS-055A RAW '!$CO$17:$CX$17)))</f>
        <v/>
      </c>
      <c r="DD86" s="135" t="str">
        <f>IF(DC86="","",VLOOKUP(DC86,IF('Midterm OVPAA-F-INS-055A RAW SC'!$V$12=0.5,TRANSMUTATION!$C$4:$D$17,TRANSMUTATION!$G$4:$H$17),2,TRUE))</f>
        <v/>
      </c>
      <c r="DE86" s="136" t="str">
        <f t="shared" si="1"/>
        <v/>
      </c>
      <c r="DF86" s="166" t="str">
        <f t="shared" si="2"/>
        <v/>
      </c>
      <c r="DG86" s="167" t="str">
        <f t="shared" si="3"/>
        <v/>
      </c>
      <c r="DH86" s="168" t="str">
        <f t="shared" si="4"/>
        <v/>
      </c>
      <c r="DI86" s="169" t="str">
        <f t="shared" si="5"/>
        <v/>
      </c>
    </row>
    <row r="87" spans="1:113" ht="15.75" hidden="1" customHeight="1">
      <c r="E87" s="59">
        <v>70</v>
      </c>
      <c r="F87" s="124" t="str">
        <f>IF(NOT(ISBLANK('Midterm OVPAA-F-INS-055A RAW SC'!F87)),'Midterm OVPAA-F-INS-055A RAW SC'!F87,"")</f>
        <v/>
      </c>
      <c r="G87" s="125" t="str">
        <f>IF(NOT(ISBLANK('Midterm OVPAA-F-INS-055A RAW SC'!G87)),'Midterm OVPAA-F-INS-055A RAW SC'!G87,"")</f>
        <v/>
      </c>
      <c r="H87" s="126" t="str">
        <f>IF('Finalterm OVPAA-F-INS-055A RAW '!H87="","",'Finalterm OVPAA-F-INS-055A RAW '!H87/'Finalterm OVPAA-F-INS-055A RAW '!H$17*100)</f>
        <v/>
      </c>
      <c r="I87" s="126" t="str">
        <f>IF('Finalterm OVPAA-F-INS-055A RAW '!I87="","",'Finalterm OVPAA-F-INS-055A RAW '!I87/'Finalterm OVPAA-F-INS-055A RAW '!I$17*100)</f>
        <v/>
      </c>
      <c r="J87" s="126" t="str">
        <f>IF('Finalterm OVPAA-F-INS-055A RAW '!J87="","",'Finalterm OVPAA-F-INS-055A RAW '!J87/'Finalterm OVPAA-F-INS-055A RAW '!J$17*100)</f>
        <v/>
      </c>
      <c r="K87" s="126" t="str">
        <f>IF('Finalterm OVPAA-F-INS-055A RAW '!K87="","",'Finalterm OVPAA-F-INS-055A RAW '!K87/'Finalterm OVPAA-F-INS-055A RAW '!K$17*100)</f>
        <v/>
      </c>
      <c r="L87" s="126" t="str">
        <f>IF('Finalterm OVPAA-F-INS-055A RAW '!L87="","",'Finalterm OVPAA-F-INS-055A RAW '!L87/'Finalterm OVPAA-F-INS-055A RAW '!L$17*100)</f>
        <v/>
      </c>
      <c r="M87" s="126" t="str">
        <f>IF('Finalterm OVPAA-F-INS-055A RAW '!M87="","",'Finalterm OVPAA-F-INS-055A RAW '!M87/'Finalterm OVPAA-F-INS-055A RAW '!M$17*100)</f>
        <v/>
      </c>
      <c r="N87" s="126" t="str">
        <f>IF('Finalterm OVPAA-F-INS-055A RAW '!N87="","",'Finalterm OVPAA-F-INS-055A RAW '!N87/'Finalterm OVPAA-F-INS-055A RAW '!N$17*100)</f>
        <v/>
      </c>
      <c r="O87" s="126" t="str">
        <f>IF('Finalterm OVPAA-F-INS-055A RAW '!O87="","",'Finalterm OVPAA-F-INS-055A RAW '!O87/'Finalterm OVPAA-F-INS-055A RAW '!O$17*100)</f>
        <v/>
      </c>
      <c r="P87" s="126" t="str">
        <f>IF('Finalterm OVPAA-F-INS-055A RAW '!P87="","",'Finalterm OVPAA-F-INS-055A RAW '!P87/'Finalterm OVPAA-F-INS-055A RAW '!P$17*100)</f>
        <v/>
      </c>
      <c r="Q87" s="126" t="str">
        <f>IF('Finalterm OVPAA-F-INS-055A RAW '!Q87="","",'Finalterm OVPAA-F-INS-055A RAW '!Q87/'Finalterm OVPAA-F-INS-055A RAW '!Q$17*100)</f>
        <v/>
      </c>
      <c r="R87" s="126" t="str">
        <f>IF('Finalterm OVPAA-F-INS-055A RAW '!R87="","",'Finalterm OVPAA-F-INS-055A RAW '!R87/'Finalterm OVPAA-F-INS-055A RAW '!R$17*100)</f>
        <v/>
      </c>
      <c r="S87" s="126" t="str">
        <f>IF('Finalterm OVPAA-F-INS-055A RAW '!S87="","",'Finalterm OVPAA-F-INS-055A RAW '!S87/'Finalterm OVPAA-F-INS-055A RAW '!S$17*100)</f>
        <v/>
      </c>
      <c r="T87" s="126" t="str">
        <f>IF('Finalterm OVPAA-F-INS-055A RAW '!T87="","",'Finalterm OVPAA-F-INS-055A RAW '!T87/'Finalterm OVPAA-F-INS-055A RAW '!T$17*100)</f>
        <v/>
      </c>
      <c r="U87" s="126" t="str">
        <f>IF('Finalterm OVPAA-F-INS-055A RAW '!U87="","",'Finalterm OVPAA-F-INS-055A RAW '!U87/'Finalterm OVPAA-F-INS-055A RAW '!U$17*100)</f>
        <v/>
      </c>
      <c r="V87" s="126" t="str">
        <f>IF('Finalterm OVPAA-F-INS-055A RAW '!V87="","",'Finalterm OVPAA-F-INS-055A RAW '!V87/'Finalterm OVPAA-F-INS-055A RAW '!V$17*100)</f>
        <v/>
      </c>
      <c r="W87" s="126" t="str">
        <f>IF('Finalterm OVPAA-F-INS-055A RAW '!W87="","",'Finalterm OVPAA-F-INS-055A RAW '!W87/'Finalterm OVPAA-F-INS-055A RAW '!W$17*100)</f>
        <v/>
      </c>
      <c r="X87" s="126" t="str">
        <f>IF('Finalterm OVPAA-F-INS-055A RAW '!X87="","",'Finalterm OVPAA-F-INS-055A RAW '!X87/'Finalterm OVPAA-F-INS-055A RAW '!X$17*100)</f>
        <v/>
      </c>
      <c r="Y87" s="126" t="str">
        <f>IF('Finalterm OVPAA-F-INS-055A RAW '!Y87="","",'Finalterm OVPAA-F-INS-055A RAW '!Y87/'Finalterm OVPAA-F-INS-055A RAW '!Y$17*100)</f>
        <v/>
      </c>
      <c r="Z87" s="126" t="str">
        <f>IF('Finalterm OVPAA-F-INS-055A RAW '!Z87="","",'Finalterm OVPAA-F-INS-055A RAW '!Z87/'Finalterm OVPAA-F-INS-055A RAW '!Z$17*100)</f>
        <v/>
      </c>
      <c r="AA87" s="126" t="str">
        <f>IF('Finalterm OVPAA-F-INS-055A RAW '!AA87="","",'Finalterm OVPAA-F-INS-055A RAW '!AA87/'Finalterm OVPAA-F-INS-055A RAW '!AA$17*100)</f>
        <v/>
      </c>
      <c r="AB87" s="126" t="str">
        <f>IF('Finalterm OVPAA-F-INS-055A RAW '!AB87="","",'Finalterm OVPAA-F-INS-055A RAW '!AB87/'Finalterm OVPAA-F-INS-055A RAW '!AB$17*100)</f>
        <v/>
      </c>
      <c r="AC87" s="126" t="str">
        <f>IF('Finalterm OVPAA-F-INS-055A RAW '!AC87="","",'Finalterm OVPAA-F-INS-055A RAW '!AC87/'Finalterm OVPAA-F-INS-055A RAW '!AC$17*100)</f>
        <v/>
      </c>
      <c r="AD87" s="126" t="str">
        <f>IF('Finalterm OVPAA-F-INS-055A RAW '!AD87="","",'Finalterm OVPAA-F-INS-055A RAW '!AD87/'Finalterm OVPAA-F-INS-055A RAW '!AD$17*100)</f>
        <v/>
      </c>
      <c r="AE87" s="126" t="str">
        <f>IF('Finalterm OVPAA-F-INS-055A RAW '!AE87="","",'Finalterm OVPAA-F-INS-055A RAW '!AE87/'Finalterm OVPAA-F-INS-055A RAW '!AE$17*100)</f>
        <v/>
      </c>
      <c r="AF87" s="126" t="str">
        <f>IF('Finalterm OVPAA-F-INS-055A RAW '!AF87="","",'Finalterm OVPAA-F-INS-055A RAW '!AF87/'Finalterm OVPAA-F-INS-055A RAW '!AF$17*100)</f>
        <v/>
      </c>
      <c r="AG87" s="126" t="str">
        <f>IF('Finalterm OVPAA-F-INS-055A RAW '!AG87="","",'Finalterm OVPAA-F-INS-055A RAW '!AG87/'Finalterm OVPAA-F-INS-055A RAW '!AG$17*100)</f>
        <v/>
      </c>
      <c r="AH87" s="126" t="str">
        <f>IF('Finalterm OVPAA-F-INS-055A RAW '!AH87="","",'Finalterm OVPAA-F-INS-055A RAW '!AH87/'Finalterm OVPAA-F-INS-055A RAW '!AH$17*100)</f>
        <v/>
      </c>
      <c r="AI87" s="126" t="str">
        <f>IF('Finalterm OVPAA-F-INS-055A RAW '!AI87="","",'Finalterm OVPAA-F-INS-055A RAW '!AI87/'Finalterm OVPAA-F-INS-055A RAW '!AI$17*100)</f>
        <v/>
      </c>
      <c r="AJ87" s="126" t="str">
        <f>IF('Finalterm OVPAA-F-INS-055A RAW '!AJ87="","",'Finalterm OVPAA-F-INS-055A RAW '!AJ87/'Finalterm OVPAA-F-INS-055A RAW '!AJ$17*100)</f>
        <v/>
      </c>
      <c r="AK87" s="126" t="str">
        <f>IF('Finalterm OVPAA-F-INS-055A RAW '!AK87="","",'Finalterm OVPAA-F-INS-055A RAW '!AK87/'Finalterm OVPAA-F-INS-055A RAW '!AK$17*100)</f>
        <v/>
      </c>
      <c r="AL87" s="126" t="str">
        <f>IF('Finalterm OVPAA-F-INS-055A RAW '!AL87="","",'Finalterm OVPAA-F-INS-055A RAW '!AL87/'Finalterm OVPAA-F-INS-055A RAW '!AL$17*100)</f>
        <v/>
      </c>
      <c r="AM87" s="126" t="str">
        <f>IF('Finalterm OVPAA-F-INS-055A RAW '!AM87="","",'Finalterm OVPAA-F-INS-055A RAW '!AM87/'Finalterm OVPAA-F-INS-055A RAW '!AM$17*100)</f>
        <v/>
      </c>
      <c r="AN87" s="126" t="str">
        <f>IF('Finalterm OVPAA-F-INS-055A RAW '!AN87="","",'Finalterm OVPAA-F-INS-055A RAW '!AN87/'Finalterm OVPAA-F-INS-055A RAW '!AN$17*100)</f>
        <v/>
      </c>
      <c r="AO87" s="126" t="str">
        <f>IF('Finalterm OVPAA-F-INS-055A RAW '!AO87="","",'Finalterm OVPAA-F-INS-055A RAW '!AO87/'Finalterm OVPAA-F-INS-055A RAW '!AO$17*100)</f>
        <v/>
      </c>
      <c r="AP87" s="126" t="str">
        <f>IF('Finalterm OVPAA-F-INS-055A RAW '!AP87="","",'Finalterm OVPAA-F-INS-055A RAW '!AP87/'Finalterm OVPAA-F-INS-055A RAW '!AP$17*100)</f>
        <v/>
      </c>
      <c r="AQ87" s="126" t="str">
        <f>IF('Finalterm OVPAA-F-INS-055A RAW '!AQ87="","",'Finalterm OVPAA-F-INS-055A RAW '!AQ87/'Finalterm OVPAA-F-INS-055A RAW '!AQ$17*100)</f>
        <v/>
      </c>
      <c r="AR87" s="126" t="str">
        <f>IF('Finalterm OVPAA-F-INS-055A RAW '!AR87="","",'Finalterm OVPAA-F-INS-055A RAW '!AR87/'Finalterm OVPAA-F-INS-055A RAW '!AR$17*100)</f>
        <v/>
      </c>
      <c r="AS87" s="126" t="str">
        <f>IF('Finalterm OVPAA-F-INS-055A RAW '!AS87="","",'Finalterm OVPAA-F-INS-055A RAW '!AS87/'Finalterm OVPAA-F-INS-055A RAW '!AS$17*100)</f>
        <v/>
      </c>
      <c r="AT87" s="126" t="str">
        <f>IF('Finalterm OVPAA-F-INS-055A RAW '!AT87="","",'Finalterm OVPAA-F-INS-055A RAW '!AT87/'Finalterm OVPAA-F-INS-055A RAW '!AT$17*100)</f>
        <v/>
      </c>
      <c r="AU87" s="126" t="str">
        <f>IF('Finalterm OVPAA-F-INS-055A RAW '!AU87="","",'Finalterm OVPAA-F-INS-055A RAW '!AU87/'Finalterm OVPAA-F-INS-055A RAW '!AU$17*100)</f>
        <v/>
      </c>
      <c r="AV87" s="126" t="str">
        <f>IF('Finalterm OVPAA-F-INS-055A RAW '!AV87="","",'Finalterm OVPAA-F-INS-055A RAW '!AV87/'Finalterm OVPAA-F-INS-055A RAW '!AV$17*100)</f>
        <v/>
      </c>
      <c r="AW87" s="126" t="str">
        <f>IF('Finalterm OVPAA-F-INS-055A RAW '!AW87="","",'Finalterm OVPAA-F-INS-055A RAW '!AW87/'Finalterm OVPAA-F-INS-055A RAW '!AW$17*100)</f>
        <v/>
      </c>
      <c r="AX87" s="126" t="str">
        <f>IF('Finalterm OVPAA-F-INS-055A RAW '!AX87="","",'Finalterm OVPAA-F-INS-055A RAW '!AX87/'Finalterm OVPAA-F-INS-055A RAW '!AX$17*100)</f>
        <v/>
      </c>
      <c r="AY87" s="126" t="str">
        <f>IF('Finalterm OVPAA-F-INS-055A RAW '!AY87="","",'Finalterm OVPAA-F-INS-055A RAW '!AY87/'Finalterm OVPAA-F-INS-055A RAW '!AY$17*100)</f>
        <v/>
      </c>
      <c r="AZ87" s="126" t="str">
        <f>IF('Finalterm OVPAA-F-INS-055A RAW '!AZ87="","",'Finalterm OVPAA-F-INS-055A RAW '!AZ87/'Finalterm OVPAA-F-INS-055A RAW '!AZ$17*100)</f>
        <v/>
      </c>
      <c r="BA87" s="126" t="str">
        <f>IF('Finalterm OVPAA-F-INS-055A RAW '!BA87="","",'Finalterm OVPAA-F-INS-055A RAW '!BA87/'Finalterm OVPAA-F-INS-055A RAW '!BA$17*100)</f>
        <v/>
      </c>
      <c r="BB87" s="126" t="str">
        <f>IF('Finalterm OVPAA-F-INS-055A RAW '!BB87="","",'Finalterm OVPAA-F-INS-055A RAW '!BB87/'Finalterm OVPAA-F-INS-055A RAW '!BB$17*100)</f>
        <v/>
      </c>
      <c r="BC87" s="126" t="str">
        <f>IF('Finalterm OVPAA-F-INS-055A RAW '!BC87="","",'Finalterm OVPAA-F-INS-055A RAW '!BC87/'Finalterm OVPAA-F-INS-055A RAW '!BC$17*100)</f>
        <v/>
      </c>
      <c r="BD87" s="126" t="str">
        <f>IF('Finalterm OVPAA-F-INS-055A RAW '!BD87="","",'Finalterm OVPAA-F-INS-055A RAW '!BD87/'Finalterm OVPAA-F-INS-055A RAW '!BD$17*100)</f>
        <v/>
      </c>
      <c r="BE87" s="126" t="str">
        <f>IF('Finalterm OVPAA-F-INS-055A RAW '!BE87="","",'Finalterm OVPAA-F-INS-055A RAW '!BE87/'Finalterm OVPAA-F-INS-055A RAW '!BE$17*100)</f>
        <v/>
      </c>
      <c r="BF87" s="126" t="str">
        <f>IF('Finalterm OVPAA-F-INS-055A RAW '!BF87="","",'Finalterm OVPAA-F-INS-055A RAW '!BF87/'Finalterm OVPAA-F-INS-055A RAW '!BF$17*100)</f>
        <v/>
      </c>
      <c r="BG87" s="126" t="str">
        <f>IF('Finalterm OVPAA-F-INS-055A RAW '!BG87="","",'Finalterm OVPAA-F-INS-055A RAW '!BG87/'Finalterm OVPAA-F-INS-055A RAW '!BG$17*100)</f>
        <v/>
      </c>
      <c r="BH87" s="126" t="str">
        <f>IF('Finalterm OVPAA-F-INS-055A RAW '!BH87="","",'Finalterm OVPAA-F-INS-055A RAW '!BH87/'Finalterm OVPAA-F-INS-055A RAW '!BH$17*100)</f>
        <v/>
      </c>
      <c r="BI87" s="126" t="str">
        <f>IF('Finalterm OVPAA-F-INS-055A RAW '!BI87="","",'Finalterm OVPAA-F-INS-055A RAW '!BI87/'Finalterm OVPAA-F-INS-055A RAW '!BI$17*100)</f>
        <v/>
      </c>
      <c r="BJ87" s="126" t="str">
        <f>IF('Finalterm OVPAA-F-INS-055A RAW '!BJ87="","",'Finalterm OVPAA-F-INS-055A RAW '!BJ87/'Finalterm OVPAA-F-INS-055A RAW '!BJ$17*100)</f>
        <v/>
      </c>
      <c r="BK87" s="126" t="str">
        <f>IF('Finalterm OVPAA-F-INS-055A RAW '!BK87="","",'Finalterm OVPAA-F-INS-055A RAW '!BK87/'Finalterm OVPAA-F-INS-055A RAW '!BK$17*100)</f>
        <v/>
      </c>
      <c r="BL87" s="126" t="str">
        <f>IF('Finalterm OVPAA-F-INS-055A RAW '!BL87="","",'Finalterm OVPAA-F-INS-055A RAW '!BL87/'Finalterm OVPAA-F-INS-055A RAW '!BL$17*100)</f>
        <v/>
      </c>
      <c r="BM87" s="126" t="str">
        <f>IF('Finalterm OVPAA-F-INS-055A RAW '!BM87="","",'Finalterm OVPAA-F-INS-055A RAW '!BM87/'Finalterm OVPAA-F-INS-055A RAW '!BM$17*100)</f>
        <v/>
      </c>
      <c r="BN87" s="126" t="str">
        <f>IF('Finalterm OVPAA-F-INS-055A RAW '!BN87="","",'Finalterm OVPAA-F-INS-055A RAW '!BN87/'Finalterm OVPAA-F-INS-055A RAW '!BN$17*100)</f>
        <v/>
      </c>
      <c r="BO87" s="126" t="str">
        <f>IF('Finalterm OVPAA-F-INS-055A RAW '!BO87="","",'Finalterm OVPAA-F-INS-055A RAW '!BO87/'Finalterm OVPAA-F-INS-055A RAW '!BO$17*100)</f>
        <v/>
      </c>
      <c r="BP87" s="126" t="str">
        <f>IF('Finalterm OVPAA-F-INS-055A RAW '!BP87="","",'Finalterm OVPAA-F-INS-055A RAW '!BP87/'Finalterm OVPAA-F-INS-055A RAW '!BP$17*100)</f>
        <v/>
      </c>
      <c r="BQ87" s="126" t="str">
        <f>IF('Finalterm OVPAA-F-INS-055A RAW '!BQ87="","",'Finalterm OVPAA-F-INS-055A RAW '!BQ87/'Finalterm OVPAA-F-INS-055A RAW '!BQ$17*100)</f>
        <v/>
      </c>
      <c r="BR87" s="126" t="str">
        <f>IF('Finalterm OVPAA-F-INS-055A RAW '!BR87="","",'Finalterm OVPAA-F-INS-055A RAW '!BR87/'Finalterm OVPAA-F-INS-055A RAW '!BR$17*100)</f>
        <v/>
      </c>
      <c r="BS87" s="126" t="str">
        <f>IF('Finalterm OVPAA-F-INS-055A RAW '!BS87="","",'Finalterm OVPAA-F-INS-055A RAW '!BS87/'Finalterm OVPAA-F-INS-055A RAW '!BS$17*100)</f>
        <v/>
      </c>
      <c r="BT87" s="126" t="str">
        <f>IF('Finalterm OVPAA-F-INS-055A RAW '!BT87="","",'Finalterm OVPAA-F-INS-055A RAW '!BT87/'Finalterm OVPAA-F-INS-055A RAW '!BT$17*100)</f>
        <v/>
      </c>
      <c r="BU87" s="127" t="str">
        <f t="array" ref="BU87">IF('Finalterm OVPAA-F-INS-055A RAW '!$G87="","",IF((SUMPRODUCT(--ISBLANK('Finalterm OVPAA-F-INS-055A RAW '!H87:BT87))=COLUMNS('Finalterm OVPAA-F-INS-055A RAW '!H87:BT87))=TRUE,"",(((COUNTA('Finalterm OVPAA-F-INS-055A RAW '!$H$17:$BT$17)+COUNTBLANK('Finalterm OVPAA-F-INS-055A RAW '!H87:BT87))-COLUMNS('Finalterm OVPAA-F-INS-055A RAW '!H87:BT87))*5+SUM(H87:BT87))/COUNTA('Finalterm OVPAA-F-INS-055A RAW '!$H$17:$BT$17)))</f>
        <v/>
      </c>
      <c r="BV87" s="165" t="str">
        <f>IF(BU87="","",VLOOKUP(BU87,IF('Midterm OVPAA-F-INS-055A RAW SC'!$V$12=0.5,TRANSMUTATION!$C$4:$D$17,TRANSMUTATION!$G$4:$H$17),2,TRUE))</f>
        <v/>
      </c>
      <c r="BW87" s="129" t="str">
        <f>IF('Finalterm OVPAA-F-INS-055A RAW '!BU87="","",'Finalterm OVPAA-F-INS-055A RAW '!BU87/'Finalterm OVPAA-F-INS-055A RAW '!BU$17*100)</f>
        <v/>
      </c>
      <c r="BX87" s="130" t="str">
        <f>IF('Finalterm OVPAA-F-INS-055A RAW '!BV87="","",'Finalterm OVPAA-F-INS-055A RAW '!BV87/'Finalterm OVPAA-F-INS-055A RAW '!BV$17*100)</f>
        <v/>
      </c>
      <c r="BY87" s="130" t="str">
        <f>IF('Finalterm OVPAA-F-INS-055A RAW '!BW87="","",'Finalterm OVPAA-F-INS-055A RAW '!BW87/'Finalterm OVPAA-F-INS-055A RAW '!BW$17*100)</f>
        <v/>
      </c>
      <c r="BZ87" s="130" t="str">
        <f>IF('Finalterm OVPAA-F-INS-055A RAW '!BX87="","",'Finalterm OVPAA-F-INS-055A RAW '!BX87/'Finalterm OVPAA-F-INS-055A RAW '!BX$17*100)</f>
        <v/>
      </c>
      <c r="CA87" s="130" t="str">
        <f>IF('Finalterm OVPAA-F-INS-055A RAW '!BY87="","",'Finalterm OVPAA-F-INS-055A RAW '!BY87/'Finalterm OVPAA-F-INS-055A RAW '!BY$17*100)</f>
        <v/>
      </c>
      <c r="CB87" s="130" t="str">
        <f>IF('Finalterm OVPAA-F-INS-055A RAW '!BZ87="","",'Finalterm OVPAA-F-INS-055A RAW '!BZ87/'Finalterm OVPAA-F-INS-055A RAW '!BZ$17*100)</f>
        <v/>
      </c>
      <c r="CC87" s="130" t="str">
        <f>IF('Finalterm OVPAA-F-INS-055A RAW '!CA87="","",'Finalterm OVPAA-F-INS-055A RAW '!CA87/'Finalterm OVPAA-F-INS-055A RAW '!CA$17*100)</f>
        <v/>
      </c>
      <c r="CD87" s="130" t="str">
        <f>IF('Finalterm OVPAA-F-INS-055A RAW '!CB87="","",'Finalterm OVPAA-F-INS-055A RAW '!CB87/'Finalterm OVPAA-F-INS-055A RAW '!CB$17*100)</f>
        <v/>
      </c>
      <c r="CE87" s="130" t="str">
        <f>IF('Finalterm OVPAA-F-INS-055A RAW '!CC87="","",'Finalterm OVPAA-F-INS-055A RAW '!CC87/'Finalterm OVPAA-F-INS-055A RAW '!CC$17*100)</f>
        <v/>
      </c>
      <c r="CF87" s="130" t="str">
        <f>IF('Finalterm OVPAA-F-INS-055A RAW '!CD87="","",'Finalterm OVPAA-F-INS-055A RAW '!CD87/'Finalterm OVPAA-F-INS-055A RAW '!CD$17*100)</f>
        <v/>
      </c>
      <c r="CG87" s="130" t="str">
        <f>IF('Finalterm OVPAA-F-INS-055A RAW '!CE87="","",'Finalterm OVPAA-F-INS-055A RAW '!CE87/'Finalterm OVPAA-F-INS-055A RAW '!CE$17*100)</f>
        <v/>
      </c>
      <c r="CH87" s="130" t="str">
        <f>IF('Finalterm OVPAA-F-INS-055A RAW '!CF87="","",'Finalterm OVPAA-F-INS-055A RAW '!CF87/'Finalterm OVPAA-F-INS-055A RAW '!CF$17*100)</f>
        <v/>
      </c>
      <c r="CI87" s="130" t="str">
        <f>IF('Finalterm OVPAA-F-INS-055A RAW '!CG87="","",'Finalterm OVPAA-F-INS-055A RAW '!CG87/'Finalterm OVPAA-F-INS-055A RAW '!CG$17*100)</f>
        <v/>
      </c>
      <c r="CJ87" s="130" t="str">
        <f>IF('Finalterm OVPAA-F-INS-055A RAW '!CH87="","",'Finalterm OVPAA-F-INS-055A RAW '!CH87/'Finalterm OVPAA-F-INS-055A RAW '!CH$17*100)</f>
        <v/>
      </c>
      <c r="CK87" s="130" t="str">
        <f>IF('Finalterm OVPAA-F-INS-055A RAW '!CI87="","",'Finalterm OVPAA-F-INS-055A RAW '!CI87/'Finalterm OVPAA-F-INS-055A RAW '!CI$17*100)</f>
        <v/>
      </c>
      <c r="CL87" s="130" t="str">
        <f>IF('Finalterm OVPAA-F-INS-055A RAW '!CJ87="","",'Finalterm OVPAA-F-INS-055A RAW '!CJ87/'Finalterm OVPAA-F-INS-055A RAW '!CJ$17*100)</f>
        <v/>
      </c>
      <c r="CM87" s="130" t="str">
        <f>IF('Finalterm OVPAA-F-INS-055A RAW '!CK87="","",'Finalterm OVPAA-F-INS-055A RAW '!CK87/'Finalterm OVPAA-F-INS-055A RAW '!CK$17*100)</f>
        <v/>
      </c>
      <c r="CN87" s="130" t="str">
        <f>IF('Finalterm OVPAA-F-INS-055A RAW '!CL87="","",'Finalterm OVPAA-F-INS-055A RAW '!CL87/'Finalterm OVPAA-F-INS-055A RAW '!CL$17*100)</f>
        <v/>
      </c>
      <c r="CO87" s="130" t="str">
        <f>IF('Finalterm OVPAA-F-INS-055A RAW '!CM87="","",'Finalterm OVPAA-F-INS-055A RAW '!CM87/'Finalterm OVPAA-F-INS-055A RAW '!CM$17*100)</f>
        <v/>
      </c>
      <c r="CP87" s="130" t="str">
        <f>IF('Finalterm OVPAA-F-INS-055A RAW '!CN87="","",'Finalterm OVPAA-F-INS-055A RAW '!CN87/'Finalterm OVPAA-F-INS-055A RAW '!CN$17*100)</f>
        <v/>
      </c>
      <c r="CQ87" s="131" t="str">
        <f t="array" ref="CQ87">IF('Midterm OVPAA-F-INS-055A RAW SC'!G87="","",IF((SUMPRODUCT(--ISBLANK('Finalterm OVPAA-F-INS-055A RAW '!BU87:CN87))=COLUMNS('Finalterm OVPAA-F-INS-055A RAW '!BU87:CN87))=TRUE,"",(((COUNTA('Finalterm OVPAA-F-INS-055A RAW '!$BU$17:$CN$17)+COUNTBLANK('Finalterm OVPAA-F-INS-055A RAW '!BU87:CN87))-COLUMNS('Finalterm OVPAA-F-INS-055A RAW '!BU87:CN87))*5+SUM(BW87:CP87))/COUNTA('Finalterm OVPAA-F-INS-055A RAW '!$BU$17:$CN$17)))</f>
        <v/>
      </c>
      <c r="CR87" s="132" t="str">
        <f>IF(CQ87="","",VLOOKUP(CQ87,IF('Midterm OVPAA-F-INS-055A RAW SC'!$V$12=0.5,TRANSMUTATION!$C$4:$D$17,TRANSMUTATION!$G$4:$H$17),2,TRUE))</f>
        <v/>
      </c>
      <c r="CS87" s="133" t="str">
        <f>IF('Finalterm OVPAA-F-INS-055A RAW '!CO87="","",'Finalterm OVPAA-F-INS-055A RAW '!CO87/'Finalterm OVPAA-F-INS-055A RAW '!CO$17*100)</f>
        <v/>
      </c>
      <c r="CT87" s="133" t="str">
        <f>IF('Finalterm OVPAA-F-INS-055A RAW '!CP87="","",'Finalterm OVPAA-F-INS-055A RAW '!CP87/'Finalterm OVPAA-F-INS-055A RAW '!CP$17*100)</f>
        <v/>
      </c>
      <c r="CU87" s="133" t="str">
        <f>IF('Finalterm OVPAA-F-INS-055A RAW '!CQ87="","",'Finalterm OVPAA-F-INS-055A RAW '!CQ87/'Finalterm OVPAA-F-INS-055A RAW '!CQ$17*100)</f>
        <v/>
      </c>
      <c r="CV87" s="133" t="str">
        <f>IF('Finalterm OVPAA-F-INS-055A RAW '!CR87="","",'Finalterm OVPAA-F-INS-055A RAW '!CR87/'Finalterm OVPAA-F-INS-055A RAW '!CR$17*100)</f>
        <v/>
      </c>
      <c r="CW87" s="133" t="str">
        <f>IF('Finalterm OVPAA-F-INS-055A RAW '!CS87="","",'Finalterm OVPAA-F-INS-055A RAW '!CS87/'Finalterm OVPAA-F-INS-055A RAW '!CS$17*100)</f>
        <v/>
      </c>
      <c r="CX87" s="133" t="str">
        <f>IF('Finalterm OVPAA-F-INS-055A RAW '!CT87="","",'Finalterm OVPAA-F-INS-055A RAW '!CT87/'Finalterm OVPAA-F-INS-055A RAW '!CT$17*100)</f>
        <v/>
      </c>
      <c r="CY87" s="133" t="str">
        <f>IF('Finalterm OVPAA-F-INS-055A RAW '!CU87="","",'Finalterm OVPAA-F-INS-055A RAW '!CU87/'Finalterm OVPAA-F-INS-055A RAW '!CU$17*100)</f>
        <v/>
      </c>
      <c r="CZ87" s="133" t="str">
        <f>IF('Finalterm OVPAA-F-INS-055A RAW '!CV87="","",'Finalterm OVPAA-F-INS-055A RAW '!CV87/'Finalterm OVPAA-F-INS-055A RAW '!CV$17*100)</f>
        <v/>
      </c>
      <c r="DA87" s="133" t="str">
        <f>IF('Finalterm OVPAA-F-INS-055A RAW '!CW87="","",'Finalterm OVPAA-F-INS-055A RAW '!CW87/'Finalterm OVPAA-F-INS-055A RAW '!CW$17*100)</f>
        <v/>
      </c>
      <c r="DB87" s="133" t="str">
        <f>IF('Finalterm OVPAA-F-INS-055A RAW '!CX87="","",'Finalterm OVPAA-F-INS-055A RAW '!CX87/'Finalterm OVPAA-F-INS-055A RAW '!CX$17*100)</f>
        <v/>
      </c>
      <c r="DC87" s="134" t="str">
        <f t="array" ref="DC87">IF('Midterm OVPAA-F-INS-055A RAW SC'!$G87="","",IF((SUMPRODUCT(--ISBLANK('Finalterm OVPAA-F-INS-055A RAW '!CO87:CX87))=COLUMNS('Finalterm OVPAA-F-INS-055A RAW '!CO87:CX87))=TRUE,"",(((COUNTA('Finalterm OVPAA-F-INS-055A RAW '!$CO$17:$CX$17)+COUNTBLANK('Finalterm OVPAA-F-INS-055A RAW '!CO87:CX87))-COLUMNS('Finalterm OVPAA-F-INS-055A RAW '!CO87:CX87))*5+SUM(CS87:DB87))/COUNTA('Finalterm OVPAA-F-INS-055A RAW '!$CO$17:$CX$17)))</f>
        <v/>
      </c>
      <c r="DD87" s="135" t="str">
        <f>IF(DC87="","",VLOOKUP(DC87,IF('Midterm OVPAA-F-INS-055A RAW SC'!$V$12=0.5,TRANSMUTATION!$C$4:$D$17,TRANSMUTATION!$G$4:$H$17),2,TRUE))</f>
        <v/>
      </c>
      <c r="DE87" s="136" t="str">
        <f t="shared" si="1"/>
        <v/>
      </c>
      <c r="DF87" s="166" t="str">
        <f t="shared" si="2"/>
        <v/>
      </c>
      <c r="DG87" s="167" t="str">
        <f t="shared" si="3"/>
        <v/>
      </c>
      <c r="DH87" s="168" t="str">
        <f t="shared" si="4"/>
        <v/>
      </c>
      <c r="DI87" s="169" t="str">
        <f t="shared" si="5"/>
        <v/>
      </c>
    </row>
    <row r="88" spans="1:113" ht="15.75" hidden="1" customHeight="1">
      <c r="A88" s="5"/>
      <c r="B88" s="5"/>
      <c r="C88" s="5"/>
      <c r="D88" s="5"/>
      <c r="E88" s="59">
        <v>71</v>
      </c>
      <c r="F88" s="124" t="str">
        <f>IF(NOT(ISBLANK('Midterm OVPAA-F-INS-055A RAW SC'!F88)),'Midterm OVPAA-F-INS-055A RAW SC'!F88,"")</f>
        <v/>
      </c>
      <c r="G88" s="125" t="str">
        <f>IF(NOT(ISBLANK('Midterm OVPAA-F-INS-055A RAW SC'!G88)),'Midterm OVPAA-F-INS-055A RAW SC'!G88,"")</f>
        <v/>
      </c>
      <c r="H88" s="126" t="str">
        <f>IF('Finalterm OVPAA-F-INS-055A RAW '!H88="","",'Finalterm OVPAA-F-INS-055A RAW '!H88/'Finalterm OVPAA-F-INS-055A RAW '!H$17*100)</f>
        <v/>
      </c>
      <c r="I88" s="126" t="str">
        <f>IF('Finalterm OVPAA-F-INS-055A RAW '!I88="","",'Finalterm OVPAA-F-INS-055A RAW '!I88/'Finalterm OVPAA-F-INS-055A RAW '!I$17*100)</f>
        <v/>
      </c>
      <c r="J88" s="126" t="str">
        <f>IF('Finalterm OVPAA-F-INS-055A RAW '!J88="","",'Finalterm OVPAA-F-INS-055A RAW '!J88/'Finalterm OVPAA-F-INS-055A RAW '!J$17*100)</f>
        <v/>
      </c>
      <c r="K88" s="126" t="str">
        <f>IF('Finalterm OVPAA-F-INS-055A RAW '!K88="","",'Finalterm OVPAA-F-INS-055A RAW '!K88/'Finalterm OVPAA-F-INS-055A RAW '!K$17*100)</f>
        <v/>
      </c>
      <c r="L88" s="126" t="str">
        <f>IF('Finalterm OVPAA-F-INS-055A RAW '!L88="","",'Finalterm OVPAA-F-INS-055A RAW '!L88/'Finalterm OVPAA-F-INS-055A RAW '!L$17*100)</f>
        <v/>
      </c>
      <c r="M88" s="126" t="str">
        <f>IF('Finalterm OVPAA-F-INS-055A RAW '!M88="","",'Finalterm OVPAA-F-INS-055A RAW '!M88/'Finalterm OVPAA-F-INS-055A RAW '!M$17*100)</f>
        <v/>
      </c>
      <c r="N88" s="126" t="str">
        <f>IF('Finalterm OVPAA-F-INS-055A RAW '!N88="","",'Finalterm OVPAA-F-INS-055A RAW '!N88/'Finalterm OVPAA-F-INS-055A RAW '!N$17*100)</f>
        <v/>
      </c>
      <c r="O88" s="126" t="str">
        <f>IF('Finalterm OVPAA-F-INS-055A RAW '!O88="","",'Finalterm OVPAA-F-INS-055A RAW '!O88/'Finalterm OVPAA-F-INS-055A RAW '!O$17*100)</f>
        <v/>
      </c>
      <c r="P88" s="126" t="str">
        <f>IF('Finalterm OVPAA-F-INS-055A RAW '!P88="","",'Finalterm OVPAA-F-INS-055A RAW '!P88/'Finalterm OVPAA-F-INS-055A RAW '!P$17*100)</f>
        <v/>
      </c>
      <c r="Q88" s="126" t="str">
        <f>IF('Finalterm OVPAA-F-INS-055A RAW '!Q88="","",'Finalterm OVPAA-F-INS-055A RAW '!Q88/'Finalterm OVPAA-F-INS-055A RAW '!Q$17*100)</f>
        <v/>
      </c>
      <c r="R88" s="126" t="str">
        <f>IF('Finalterm OVPAA-F-INS-055A RAW '!R88="","",'Finalterm OVPAA-F-INS-055A RAW '!R88/'Finalterm OVPAA-F-INS-055A RAW '!R$17*100)</f>
        <v/>
      </c>
      <c r="S88" s="126" t="str">
        <f>IF('Finalterm OVPAA-F-INS-055A RAW '!S88="","",'Finalterm OVPAA-F-INS-055A RAW '!S88/'Finalterm OVPAA-F-INS-055A RAW '!S$17*100)</f>
        <v/>
      </c>
      <c r="T88" s="126" t="str">
        <f>IF('Finalterm OVPAA-F-INS-055A RAW '!T88="","",'Finalterm OVPAA-F-INS-055A RAW '!T88/'Finalterm OVPAA-F-INS-055A RAW '!T$17*100)</f>
        <v/>
      </c>
      <c r="U88" s="126" t="str">
        <f>IF('Finalterm OVPAA-F-INS-055A RAW '!U88="","",'Finalterm OVPAA-F-INS-055A RAW '!U88/'Finalterm OVPAA-F-INS-055A RAW '!U$17*100)</f>
        <v/>
      </c>
      <c r="V88" s="126" t="str">
        <f>IF('Finalterm OVPAA-F-INS-055A RAW '!V88="","",'Finalterm OVPAA-F-INS-055A RAW '!V88/'Finalterm OVPAA-F-INS-055A RAW '!V$17*100)</f>
        <v/>
      </c>
      <c r="W88" s="126" t="str">
        <f>IF('Finalterm OVPAA-F-INS-055A RAW '!W88="","",'Finalterm OVPAA-F-INS-055A RAW '!W88/'Finalterm OVPAA-F-INS-055A RAW '!W$17*100)</f>
        <v/>
      </c>
      <c r="X88" s="126" t="str">
        <f>IF('Finalterm OVPAA-F-INS-055A RAW '!X88="","",'Finalterm OVPAA-F-INS-055A RAW '!X88/'Finalterm OVPAA-F-INS-055A RAW '!X$17*100)</f>
        <v/>
      </c>
      <c r="Y88" s="126" t="str">
        <f>IF('Finalterm OVPAA-F-INS-055A RAW '!Y88="","",'Finalterm OVPAA-F-INS-055A RAW '!Y88/'Finalterm OVPAA-F-INS-055A RAW '!Y$17*100)</f>
        <v/>
      </c>
      <c r="Z88" s="126" t="str">
        <f>IF('Finalterm OVPAA-F-INS-055A RAW '!Z88="","",'Finalterm OVPAA-F-INS-055A RAW '!Z88/'Finalterm OVPAA-F-INS-055A RAW '!Z$17*100)</f>
        <v/>
      </c>
      <c r="AA88" s="126" t="str">
        <f>IF('Finalterm OVPAA-F-INS-055A RAW '!AA88="","",'Finalterm OVPAA-F-INS-055A RAW '!AA88/'Finalterm OVPAA-F-INS-055A RAW '!AA$17*100)</f>
        <v/>
      </c>
      <c r="AB88" s="126" t="str">
        <f>IF('Finalterm OVPAA-F-INS-055A RAW '!AB88="","",'Finalterm OVPAA-F-INS-055A RAW '!AB88/'Finalterm OVPAA-F-INS-055A RAW '!AB$17*100)</f>
        <v/>
      </c>
      <c r="AC88" s="126" t="str">
        <f>IF('Finalterm OVPAA-F-INS-055A RAW '!AC88="","",'Finalterm OVPAA-F-INS-055A RAW '!AC88/'Finalterm OVPAA-F-INS-055A RAW '!AC$17*100)</f>
        <v/>
      </c>
      <c r="AD88" s="126" t="str">
        <f>IF('Finalterm OVPAA-F-INS-055A RAW '!AD88="","",'Finalterm OVPAA-F-INS-055A RAW '!AD88/'Finalterm OVPAA-F-INS-055A RAW '!AD$17*100)</f>
        <v/>
      </c>
      <c r="AE88" s="126" t="str">
        <f>IF('Finalterm OVPAA-F-INS-055A RAW '!AE88="","",'Finalterm OVPAA-F-INS-055A RAW '!AE88/'Finalterm OVPAA-F-INS-055A RAW '!AE$17*100)</f>
        <v/>
      </c>
      <c r="AF88" s="126" t="str">
        <f>IF('Finalterm OVPAA-F-INS-055A RAW '!AF88="","",'Finalterm OVPAA-F-INS-055A RAW '!AF88/'Finalterm OVPAA-F-INS-055A RAW '!AF$17*100)</f>
        <v/>
      </c>
      <c r="AG88" s="126" t="str">
        <f>IF('Finalterm OVPAA-F-INS-055A RAW '!AG88="","",'Finalterm OVPAA-F-INS-055A RAW '!AG88/'Finalterm OVPAA-F-INS-055A RAW '!AG$17*100)</f>
        <v/>
      </c>
      <c r="AH88" s="126" t="str">
        <f>IF('Finalterm OVPAA-F-INS-055A RAW '!AH88="","",'Finalterm OVPAA-F-INS-055A RAW '!AH88/'Finalterm OVPAA-F-INS-055A RAW '!AH$17*100)</f>
        <v/>
      </c>
      <c r="AI88" s="126" t="str">
        <f>IF('Finalterm OVPAA-F-INS-055A RAW '!AI88="","",'Finalterm OVPAA-F-INS-055A RAW '!AI88/'Finalterm OVPAA-F-INS-055A RAW '!AI$17*100)</f>
        <v/>
      </c>
      <c r="AJ88" s="126" t="str">
        <f>IF('Finalterm OVPAA-F-INS-055A RAW '!AJ88="","",'Finalterm OVPAA-F-INS-055A RAW '!AJ88/'Finalterm OVPAA-F-INS-055A RAW '!AJ$17*100)</f>
        <v/>
      </c>
      <c r="AK88" s="126" t="str">
        <f>IF('Finalterm OVPAA-F-INS-055A RAW '!AK88="","",'Finalterm OVPAA-F-INS-055A RAW '!AK88/'Finalterm OVPAA-F-INS-055A RAW '!AK$17*100)</f>
        <v/>
      </c>
      <c r="AL88" s="126" t="str">
        <f>IF('Finalterm OVPAA-F-INS-055A RAW '!AL88="","",'Finalterm OVPAA-F-INS-055A RAW '!AL88/'Finalterm OVPAA-F-INS-055A RAW '!AL$17*100)</f>
        <v/>
      </c>
      <c r="AM88" s="126" t="str">
        <f>IF('Finalterm OVPAA-F-INS-055A RAW '!AM88="","",'Finalterm OVPAA-F-INS-055A RAW '!AM88/'Finalterm OVPAA-F-INS-055A RAW '!AM$17*100)</f>
        <v/>
      </c>
      <c r="AN88" s="126" t="str">
        <f>IF('Finalterm OVPAA-F-INS-055A RAW '!AN88="","",'Finalterm OVPAA-F-INS-055A RAW '!AN88/'Finalterm OVPAA-F-INS-055A RAW '!AN$17*100)</f>
        <v/>
      </c>
      <c r="AO88" s="126" t="str">
        <f>IF('Finalterm OVPAA-F-INS-055A RAW '!AO88="","",'Finalterm OVPAA-F-INS-055A RAW '!AO88/'Finalterm OVPAA-F-INS-055A RAW '!AO$17*100)</f>
        <v/>
      </c>
      <c r="AP88" s="126" t="str">
        <f>IF('Finalterm OVPAA-F-INS-055A RAW '!AP88="","",'Finalterm OVPAA-F-INS-055A RAW '!AP88/'Finalterm OVPAA-F-INS-055A RAW '!AP$17*100)</f>
        <v/>
      </c>
      <c r="AQ88" s="126" t="str">
        <f>IF('Finalterm OVPAA-F-INS-055A RAW '!AQ88="","",'Finalterm OVPAA-F-INS-055A RAW '!AQ88/'Finalterm OVPAA-F-INS-055A RAW '!AQ$17*100)</f>
        <v/>
      </c>
      <c r="AR88" s="126" t="str">
        <f>IF('Finalterm OVPAA-F-INS-055A RAW '!AR88="","",'Finalterm OVPAA-F-INS-055A RAW '!AR88/'Finalterm OVPAA-F-INS-055A RAW '!AR$17*100)</f>
        <v/>
      </c>
      <c r="AS88" s="126" t="str">
        <f>IF('Finalterm OVPAA-F-INS-055A RAW '!AS88="","",'Finalterm OVPAA-F-INS-055A RAW '!AS88/'Finalterm OVPAA-F-INS-055A RAW '!AS$17*100)</f>
        <v/>
      </c>
      <c r="AT88" s="126" t="str">
        <f>IF('Finalterm OVPAA-F-INS-055A RAW '!AT88="","",'Finalterm OVPAA-F-INS-055A RAW '!AT88/'Finalterm OVPAA-F-INS-055A RAW '!AT$17*100)</f>
        <v/>
      </c>
      <c r="AU88" s="126" t="str">
        <f>IF('Finalterm OVPAA-F-INS-055A RAW '!AU88="","",'Finalterm OVPAA-F-INS-055A RAW '!AU88/'Finalterm OVPAA-F-INS-055A RAW '!AU$17*100)</f>
        <v/>
      </c>
      <c r="AV88" s="126" t="str">
        <f>IF('Finalterm OVPAA-F-INS-055A RAW '!AV88="","",'Finalterm OVPAA-F-INS-055A RAW '!AV88/'Finalterm OVPAA-F-INS-055A RAW '!AV$17*100)</f>
        <v/>
      </c>
      <c r="AW88" s="126" t="str">
        <f>IF('Finalterm OVPAA-F-INS-055A RAW '!AW88="","",'Finalterm OVPAA-F-INS-055A RAW '!AW88/'Finalterm OVPAA-F-INS-055A RAW '!AW$17*100)</f>
        <v/>
      </c>
      <c r="AX88" s="126" t="str">
        <f>IF('Finalterm OVPAA-F-INS-055A RAW '!AX88="","",'Finalterm OVPAA-F-INS-055A RAW '!AX88/'Finalterm OVPAA-F-INS-055A RAW '!AX$17*100)</f>
        <v/>
      </c>
      <c r="AY88" s="126" t="str">
        <f>IF('Finalterm OVPAA-F-INS-055A RAW '!AY88="","",'Finalterm OVPAA-F-INS-055A RAW '!AY88/'Finalterm OVPAA-F-INS-055A RAW '!AY$17*100)</f>
        <v/>
      </c>
      <c r="AZ88" s="126" t="str">
        <f>IF('Finalterm OVPAA-F-INS-055A RAW '!AZ88="","",'Finalterm OVPAA-F-INS-055A RAW '!AZ88/'Finalterm OVPAA-F-INS-055A RAW '!AZ$17*100)</f>
        <v/>
      </c>
      <c r="BA88" s="126" t="str">
        <f>IF('Finalterm OVPAA-F-INS-055A RAW '!BA88="","",'Finalterm OVPAA-F-INS-055A RAW '!BA88/'Finalterm OVPAA-F-INS-055A RAW '!BA$17*100)</f>
        <v/>
      </c>
      <c r="BB88" s="126" t="str">
        <f>IF('Finalterm OVPAA-F-INS-055A RAW '!BB88="","",'Finalterm OVPAA-F-INS-055A RAW '!BB88/'Finalterm OVPAA-F-INS-055A RAW '!BB$17*100)</f>
        <v/>
      </c>
      <c r="BC88" s="126" t="str">
        <f>IF('Finalterm OVPAA-F-INS-055A RAW '!BC88="","",'Finalterm OVPAA-F-INS-055A RAW '!BC88/'Finalterm OVPAA-F-INS-055A RAW '!BC$17*100)</f>
        <v/>
      </c>
      <c r="BD88" s="126" t="str">
        <f>IF('Finalterm OVPAA-F-INS-055A RAW '!BD88="","",'Finalterm OVPAA-F-INS-055A RAW '!BD88/'Finalterm OVPAA-F-INS-055A RAW '!BD$17*100)</f>
        <v/>
      </c>
      <c r="BE88" s="126" t="str">
        <f>IF('Finalterm OVPAA-F-INS-055A RAW '!BE88="","",'Finalterm OVPAA-F-INS-055A RAW '!BE88/'Finalterm OVPAA-F-INS-055A RAW '!BE$17*100)</f>
        <v/>
      </c>
      <c r="BF88" s="126" t="str">
        <f>IF('Finalterm OVPAA-F-INS-055A RAW '!BF88="","",'Finalterm OVPAA-F-INS-055A RAW '!BF88/'Finalterm OVPAA-F-INS-055A RAW '!BF$17*100)</f>
        <v/>
      </c>
      <c r="BG88" s="126" t="str">
        <f>IF('Finalterm OVPAA-F-INS-055A RAW '!BG88="","",'Finalterm OVPAA-F-INS-055A RAW '!BG88/'Finalterm OVPAA-F-INS-055A RAW '!BG$17*100)</f>
        <v/>
      </c>
      <c r="BH88" s="126" t="str">
        <f>IF('Finalterm OVPAA-F-INS-055A RAW '!BH88="","",'Finalterm OVPAA-F-INS-055A RAW '!BH88/'Finalterm OVPAA-F-INS-055A RAW '!BH$17*100)</f>
        <v/>
      </c>
      <c r="BI88" s="126" t="str">
        <f>IF('Finalterm OVPAA-F-INS-055A RAW '!BI88="","",'Finalterm OVPAA-F-INS-055A RAW '!BI88/'Finalterm OVPAA-F-INS-055A RAW '!BI$17*100)</f>
        <v/>
      </c>
      <c r="BJ88" s="126" t="str">
        <f>IF('Finalterm OVPAA-F-INS-055A RAW '!BJ88="","",'Finalterm OVPAA-F-INS-055A RAW '!BJ88/'Finalterm OVPAA-F-INS-055A RAW '!BJ$17*100)</f>
        <v/>
      </c>
      <c r="BK88" s="126" t="str">
        <f>IF('Finalterm OVPAA-F-INS-055A RAW '!BK88="","",'Finalterm OVPAA-F-INS-055A RAW '!BK88/'Finalterm OVPAA-F-INS-055A RAW '!BK$17*100)</f>
        <v/>
      </c>
      <c r="BL88" s="126" t="str">
        <f>IF('Finalterm OVPAA-F-INS-055A RAW '!BL88="","",'Finalterm OVPAA-F-INS-055A RAW '!BL88/'Finalterm OVPAA-F-INS-055A RAW '!BL$17*100)</f>
        <v/>
      </c>
      <c r="BM88" s="126" t="str">
        <f>IF('Finalterm OVPAA-F-INS-055A RAW '!BM88="","",'Finalterm OVPAA-F-INS-055A RAW '!BM88/'Finalterm OVPAA-F-INS-055A RAW '!BM$17*100)</f>
        <v/>
      </c>
      <c r="BN88" s="126" t="str">
        <f>IF('Finalterm OVPAA-F-INS-055A RAW '!BN88="","",'Finalterm OVPAA-F-INS-055A RAW '!BN88/'Finalterm OVPAA-F-INS-055A RAW '!BN$17*100)</f>
        <v/>
      </c>
      <c r="BO88" s="126" t="str">
        <f>IF('Finalterm OVPAA-F-INS-055A RAW '!BO88="","",'Finalterm OVPAA-F-INS-055A RAW '!BO88/'Finalterm OVPAA-F-INS-055A RAW '!BO$17*100)</f>
        <v/>
      </c>
      <c r="BP88" s="126" t="str">
        <f>IF('Finalterm OVPAA-F-INS-055A RAW '!BP88="","",'Finalterm OVPAA-F-INS-055A RAW '!BP88/'Finalterm OVPAA-F-INS-055A RAW '!BP$17*100)</f>
        <v/>
      </c>
      <c r="BQ88" s="126" t="str">
        <f>IF('Finalterm OVPAA-F-INS-055A RAW '!BQ88="","",'Finalterm OVPAA-F-INS-055A RAW '!BQ88/'Finalterm OVPAA-F-INS-055A RAW '!BQ$17*100)</f>
        <v/>
      </c>
      <c r="BR88" s="126" t="str">
        <f>IF('Finalterm OVPAA-F-INS-055A RAW '!BR88="","",'Finalterm OVPAA-F-INS-055A RAW '!BR88/'Finalterm OVPAA-F-INS-055A RAW '!BR$17*100)</f>
        <v/>
      </c>
      <c r="BS88" s="126" t="str">
        <f>IF('Finalterm OVPAA-F-INS-055A RAW '!BS88="","",'Finalterm OVPAA-F-INS-055A RAW '!BS88/'Finalterm OVPAA-F-INS-055A RAW '!BS$17*100)</f>
        <v/>
      </c>
      <c r="BT88" s="126" t="str">
        <f>IF('Finalterm OVPAA-F-INS-055A RAW '!BT88="","",'Finalterm OVPAA-F-INS-055A RAW '!BT88/'Finalterm OVPAA-F-INS-055A RAW '!BT$17*100)</f>
        <v/>
      </c>
      <c r="BU88" s="127" t="str">
        <f t="array" ref="BU88">IF('Finalterm OVPAA-F-INS-055A RAW '!$G88="","",IF((SUMPRODUCT(--ISBLANK('Finalterm OVPAA-F-INS-055A RAW '!H88:BT88))=COLUMNS('Finalterm OVPAA-F-INS-055A RAW '!H88:BT88))=TRUE,"",(((COUNTA('Finalterm OVPAA-F-INS-055A RAW '!$H$17:$BT$17)+COUNTBLANK('Finalterm OVPAA-F-INS-055A RAW '!H88:BT88))-COLUMNS('Finalterm OVPAA-F-INS-055A RAW '!H88:BT88))*5+SUM(H88:BT88))/COUNTA('Finalterm OVPAA-F-INS-055A RAW '!$H$17:$BT$17)))</f>
        <v/>
      </c>
      <c r="BV88" s="165" t="str">
        <f>IF(BU88="","",VLOOKUP(BU88,IF('Midterm OVPAA-F-INS-055A RAW SC'!$V$12=0.5,TRANSMUTATION!$C$4:$D$17,TRANSMUTATION!$G$4:$H$17),2,TRUE))</f>
        <v/>
      </c>
      <c r="BW88" s="129" t="str">
        <f>IF('Finalterm OVPAA-F-INS-055A RAW '!BU88="","",'Finalterm OVPAA-F-INS-055A RAW '!BU88/'Finalterm OVPAA-F-INS-055A RAW '!BU$17*100)</f>
        <v/>
      </c>
      <c r="BX88" s="130" t="str">
        <f>IF('Finalterm OVPAA-F-INS-055A RAW '!BV88="","",'Finalterm OVPAA-F-INS-055A RAW '!BV88/'Finalterm OVPAA-F-INS-055A RAW '!BV$17*100)</f>
        <v/>
      </c>
      <c r="BY88" s="130" t="str">
        <f>IF('Finalterm OVPAA-F-INS-055A RAW '!BW88="","",'Finalterm OVPAA-F-INS-055A RAW '!BW88/'Finalterm OVPAA-F-INS-055A RAW '!BW$17*100)</f>
        <v/>
      </c>
      <c r="BZ88" s="130" t="str">
        <f>IF('Finalterm OVPAA-F-INS-055A RAW '!BX88="","",'Finalterm OVPAA-F-INS-055A RAW '!BX88/'Finalterm OVPAA-F-INS-055A RAW '!BX$17*100)</f>
        <v/>
      </c>
      <c r="CA88" s="130" t="str">
        <f>IF('Finalterm OVPAA-F-INS-055A RAW '!BY88="","",'Finalterm OVPAA-F-INS-055A RAW '!BY88/'Finalterm OVPAA-F-INS-055A RAW '!BY$17*100)</f>
        <v/>
      </c>
      <c r="CB88" s="130" t="str">
        <f>IF('Finalterm OVPAA-F-INS-055A RAW '!BZ88="","",'Finalterm OVPAA-F-INS-055A RAW '!BZ88/'Finalterm OVPAA-F-INS-055A RAW '!BZ$17*100)</f>
        <v/>
      </c>
      <c r="CC88" s="130" t="str">
        <f>IF('Finalterm OVPAA-F-INS-055A RAW '!CA88="","",'Finalterm OVPAA-F-INS-055A RAW '!CA88/'Finalterm OVPAA-F-INS-055A RAW '!CA$17*100)</f>
        <v/>
      </c>
      <c r="CD88" s="130" t="str">
        <f>IF('Finalterm OVPAA-F-INS-055A RAW '!CB88="","",'Finalterm OVPAA-F-INS-055A RAW '!CB88/'Finalterm OVPAA-F-INS-055A RAW '!CB$17*100)</f>
        <v/>
      </c>
      <c r="CE88" s="130" t="str">
        <f>IF('Finalterm OVPAA-F-INS-055A RAW '!CC88="","",'Finalterm OVPAA-F-INS-055A RAW '!CC88/'Finalterm OVPAA-F-INS-055A RAW '!CC$17*100)</f>
        <v/>
      </c>
      <c r="CF88" s="130" t="str">
        <f>IF('Finalterm OVPAA-F-INS-055A RAW '!CD88="","",'Finalterm OVPAA-F-INS-055A RAW '!CD88/'Finalterm OVPAA-F-INS-055A RAW '!CD$17*100)</f>
        <v/>
      </c>
      <c r="CG88" s="130" t="str">
        <f>IF('Finalterm OVPAA-F-INS-055A RAW '!CE88="","",'Finalterm OVPAA-F-INS-055A RAW '!CE88/'Finalterm OVPAA-F-INS-055A RAW '!CE$17*100)</f>
        <v/>
      </c>
      <c r="CH88" s="130" t="str">
        <f>IF('Finalterm OVPAA-F-INS-055A RAW '!CF88="","",'Finalterm OVPAA-F-INS-055A RAW '!CF88/'Finalterm OVPAA-F-INS-055A RAW '!CF$17*100)</f>
        <v/>
      </c>
      <c r="CI88" s="130" t="str">
        <f>IF('Finalterm OVPAA-F-INS-055A RAW '!CG88="","",'Finalterm OVPAA-F-INS-055A RAW '!CG88/'Finalterm OVPAA-F-INS-055A RAW '!CG$17*100)</f>
        <v/>
      </c>
      <c r="CJ88" s="130" t="str">
        <f>IF('Finalterm OVPAA-F-INS-055A RAW '!CH88="","",'Finalterm OVPAA-F-INS-055A RAW '!CH88/'Finalterm OVPAA-F-INS-055A RAW '!CH$17*100)</f>
        <v/>
      </c>
      <c r="CK88" s="130" t="str">
        <f>IF('Finalterm OVPAA-F-INS-055A RAW '!CI88="","",'Finalterm OVPAA-F-INS-055A RAW '!CI88/'Finalterm OVPAA-F-INS-055A RAW '!CI$17*100)</f>
        <v/>
      </c>
      <c r="CL88" s="130" t="str">
        <f>IF('Finalterm OVPAA-F-INS-055A RAW '!CJ88="","",'Finalterm OVPAA-F-INS-055A RAW '!CJ88/'Finalterm OVPAA-F-INS-055A RAW '!CJ$17*100)</f>
        <v/>
      </c>
      <c r="CM88" s="130" t="str">
        <f>IF('Finalterm OVPAA-F-INS-055A RAW '!CK88="","",'Finalterm OVPAA-F-INS-055A RAW '!CK88/'Finalterm OVPAA-F-INS-055A RAW '!CK$17*100)</f>
        <v/>
      </c>
      <c r="CN88" s="130" t="str">
        <f>IF('Finalterm OVPAA-F-INS-055A RAW '!CL88="","",'Finalterm OVPAA-F-INS-055A RAW '!CL88/'Finalterm OVPAA-F-INS-055A RAW '!CL$17*100)</f>
        <v/>
      </c>
      <c r="CO88" s="130" t="str">
        <f>IF('Finalterm OVPAA-F-INS-055A RAW '!CM88="","",'Finalterm OVPAA-F-INS-055A RAW '!CM88/'Finalterm OVPAA-F-INS-055A RAW '!CM$17*100)</f>
        <v/>
      </c>
      <c r="CP88" s="130" t="str">
        <f>IF('Finalterm OVPAA-F-INS-055A RAW '!CN88="","",'Finalterm OVPAA-F-INS-055A RAW '!CN88/'Finalterm OVPAA-F-INS-055A RAW '!CN$17*100)</f>
        <v/>
      </c>
      <c r="CQ88" s="131" t="str">
        <f t="array" ref="CQ88">IF('Midterm OVPAA-F-INS-055A RAW SC'!G88="","",IF((SUMPRODUCT(--ISBLANK('Finalterm OVPAA-F-INS-055A RAW '!BU88:CN88))=COLUMNS('Finalterm OVPAA-F-INS-055A RAW '!BU88:CN88))=TRUE,"",(((COUNTA('Finalterm OVPAA-F-INS-055A RAW '!$BU$17:$CN$17)+COUNTBLANK('Finalterm OVPAA-F-INS-055A RAW '!BU88:CN88))-COLUMNS('Finalterm OVPAA-F-INS-055A RAW '!BU88:CN88))*5+SUM(BW88:CP88))/COUNTA('Finalterm OVPAA-F-INS-055A RAW '!$BU$17:$CN$17)))</f>
        <v/>
      </c>
      <c r="CR88" s="132" t="str">
        <f>IF(CQ88="","",VLOOKUP(CQ88,IF('Midterm OVPAA-F-INS-055A RAW SC'!$V$12=0.5,TRANSMUTATION!$C$4:$D$17,TRANSMUTATION!$G$4:$H$17),2,TRUE))</f>
        <v/>
      </c>
      <c r="CS88" s="133" t="str">
        <f>IF('Finalterm OVPAA-F-INS-055A RAW '!CO88="","",'Finalterm OVPAA-F-INS-055A RAW '!CO88/'Finalterm OVPAA-F-INS-055A RAW '!CO$17*100)</f>
        <v/>
      </c>
      <c r="CT88" s="133" t="str">
        <f>IF('Finalterm OVPAA-F-INS-055A RAW '!CP88="","",'Finalterm OVPAA-F-INS-055A RAW '!CP88/'Finalterm OVPAA-F-INS-055A RAW '!CP$17*100)</f>
        <v/>
      </c>
      <c r="CU88" s="133" t="str">
        <f>IF('Finalterm OVPAA-F-INS-055A RAW '!CQ88="","",'Finalterm OVPAA-F-INS-055A RAW '!CQ88/'Finalterm OVPAA-F-INS-055A RAW '!CQ$17*100)</f>
        <v/>
      </c>
      <c r="CV88" s="133" t="str">
        <f>IF('Finalterm OVPAA-F-INS-055A RAW '!CR88="","",'Finalterm OVPAA-F-INS-055A RAW '!CR88/'Finalterm OVPAA-F-INS-055A RAW '!CR$17*100)</f>
        <v/>
      </c>
      <c r="CW88" s="133" t="str">
        <f>IF('Finalterm OVPAA-F-INS-055A RAW '!CS88="","",'Finalterm OVPAA-F-INS-055A RAW '!CS88/'Finalterm OVPAA-F-INS-055A RAW '!CS$17*100)</f>
        <v/>
      </c>
      <c r="CX88" s="133" t="str">
        <f>IF('Finalterm OVPAA-F-INS-055A RAW '!CT88="","",'Finalterm OVPAA-F-INS-055A RAW '!CT88/'Finalterm OVPAA-F-INS-055A RAW '!CT$17*100)</f>
        <v/>
      </c>
      <c r="CY88" s="133" t="str">
        <f>IF('Finalterm OVPAA-F-INS-055A RAW '!CU88="","",'Finalterm OVPAA-F-INS-055A RAW '!CU88/'Finalterm OVPAA-F-INS-055A RAW '!CU$17*100)</f>
        <v/>
      </c>
      <c r="CZ88" s="133" t="str">
        <f>IF('Finalterm OVPAA-F-INS-055A RAW '!CV88="","",'Finalterm OVPAA-F-INS-055A RAW '!CV88/'Finalterm OVPAA-F-INS-055A RAW '!CV$17*100)</f>
        <v/>
      </c>
      <c r="DA88" s="133" t="str">
        <f>IF('Finalterm OVPAA-F-INS-055A RAW '!CW88="","",'Finalterm OVPAA-F-INS-055A RAW '!CW88/'Finalterm OVPAA-F-INS-055A RAW '!CW$17*100)</f>
        <v/>
      </c>
      <c r="DB88" s="133" t="str">
        <f>IF('Finalterm OVPAA-F-INS-055A RAW '!CX88="","",'Finalterm OVPAA-F-INS-055A RAW '!CX88/'Finalterm OVPAA-F-INS-055A RAW '!CX$17*100)</f>
        <v/>
      </c>
      <c r="DC88" s="134" t="str">
        <f t="array" ref="DC88">IF('Midterm OVPAA-F-INS-055A RAW SC'!$G88="","",IF((SUMPRODUCT(--ISBLANK('Finalterm OVPAA-F-INS-055A RAW '!CO88:CX88))=COLUMNS('Finalterm OVPAA-F-INS-055A RAW '!CO88:CX88))=TRUE,"",(((COUNTA('Finalterm OVPAA-F-INS-055A RAW '!$CO$17:$CX$17)+COUNTBLANK('Finalterm OVPAA-F-INS-055A RAW '!CO88:CX88))-COLUMNS('Finalterm OVPAA-F-INS-055A RAW '!CO88:CX88))*5+SUM(CS88:DB88))/COUNTA('Finalterm OVPAA-F-INS-055A RAW '!$CO$17:$CX$17)))</f>
        <v/>
      </c>
      <c r="DD88" s="135" t="str">
        <f>IF(DC88="","",VLOOKUP(DC88,IF('Midterm OVPAA-F-INS-055A RAW SC'!$V$12=0.5,TRANSMUTATION!$C$4:$D$17,TRANSMUTATION!$G$4:$H$17),2,TRUE))</f>
        <v/>
      </c>
      <c r="DE88" s="136" t="str">
        <f t="shared" si="1"/>
        <v/>
      </c>
      <c r="DF88" s="166" t="str">
        <f t="shared" si="2"/>
        <v/>
      </c>
      <c r="DG88" s="167" t="str">
        <f t="shared" si="3"/>
        <v/>
      </c>
      <c r="DH88" s="168" t="str">
        <f t="shared" si="4"/>
        <v/>
      </c>
      <c r="DI88" s="169" t="str">
        <f t="shared" si="5"/>
        <v/>
      </c>
    </row>
    <row r="89" spans="1:113" ht="15.75" hidden="1" customHeight="1">
      <c r="A89" s="5"/>
      <c r="B89" s="5"/>
      <c r="C89" s="5"/>
      <c r="D89" s="5"/>
      <c r="E89" s="59">
        <v>72</v>
      </c>
      <c r="F89" s="124" t="str">
        <f>IF(NOT(ISBLANK('Midterm OVPAA-F-INS-055A RAW SC'!F89)),'Midterm OVPAA-F-INS-055A RAW SC'!F89,"")</f>
        <v/>
      </c>
      <c r="G89" s="125" t="str">
        <f>IF(NOT(ISBLANK('Midterm OVPAA-F-INS-055A RAW SC'!G89)),'Midterm OVPAA-F-INS-055A RAW SC'!G89,"")</f>
        <v/>
      </c>
      <c r="H89" s="126" t="str">
        <f>IF('Finalterm OVPAA-F-INS-055A RAW '!H89="","",'Finalterm OVPAA-F-INS-055A RAW '!H89/'Finalterm OVPAA-F-INS-055A RAW '!H$17*100)</f>
        <v/>
      </c>
      <c r="I89" s="126" t="str">
        <f>IF('Finalterm OVPAA-F-INS-055A RAW '!I89="","",'Finalterm OVPAA-F-INS-055A RAW '!I89/'Finalterm OVPAA-F-INS-055A RAW '!I$17*100)</f>
        <v/>
      </c>
      <c r="J89" s="126" t="str">
        <f>IF('Finalterm OVPAA-F-INS-055A RAW '!J89="","",'Finalterm OVPAA-F-INS-055A RAW '!J89/'Finalterm OVPAA-F-INS-055A RAW '!J$17*100)</f>
        <v/>
      </c>
      <c r="K89" s="126" t="str">
        <f>IF('Finalterm OVPAA-F-INS-055A RAW '!K89="","",'Finalterm OVPAA-F-INS-055A RAW '!K89/'Finalterm OVPAA-F-INS-055A RAW '!K$17*100)</f>
        <v/>
      </c>
      <c r="L89" s="126" t="str">
        <f>IF('Finalterm OVPAA-F-INS-055A RAW '!L89="","",'Finalterm OVPAA-F-INS-055A RAW '!L89/'Finalterm OVPAA-F-INS-055A RAW '!L$17*100)</f>
        <v/>
      </c>
      <c r="M89" s="126" t="str">
        <f>IF('Finalterm OVPAA-F-INS-055A RAW '!M89="","",'Finalterm OVPAA-F-INS-055A RAW '!M89/'Finalterm OVPAA-F-INS-055A RAW '!M$17*100)</f>
        <v/>
      </c>
      <c r="N89" s="126" t="str">
        <f>IF('Finalterm OVPAA-F-INS-055A RAW '!N89="","",'Finalterm OVPAA-F-INS-055A RAW '!N89/'Finalterm OVPAA-F-INS-055A RAW '!N$17*100)</f>
        <v/>
      </c>
      <c r="O89" s="126" t="str">
        <f>IF('Finalterm OVPAA-F-INS-055A RAW '!O89="","",'Finalterm OVPAA-F-INS-055A RAW '!O89/'Finalterm OVPAA-F-INS-055A RAW '!O$17*100)</f>
        <v/>
      </c>
      <c r="P89" s="126" t="str">
        <f>IF('Finalterm OVPAA-F-INS-055A RAW '!P89="","",'Finalterm OVPAA-F-INS-055A RAW '!P89/'Finalterm OVPAA-F-INS-055A RAW '!P$17*100)</f>
        <v/>
      </c>
      <c r="Q89" s="126" t="str">
        <f>IF('Finalterm OVPAA-F-INS-055A RAW '!Q89="","",'Finalterm OVPAA-F-INS-055A RAW '!Q89/'Finalterm OVPAA-F-INS-055A RAW '!Q$17*100)</f>
        <v/>
      </c>
      <c r="R89" s="126" t="str">
        <f>IF('Finalterm OVPAA-F-INS-055A RAW '!R89="","",'Finalterm OVPAA-F-INS-055A RAW '!R89/'Finalterm OVPAA-F-INS-055A RAW '!R$17*100)</f>
        <v/>
      </c>
      <c r="S89" s="126" t="str">
        <f>IF('Finalterm OVPAA-F-INS-055A RAW '!S89="","",'Finalterm OVPAA-F-INS-055A RAW '!S89/'Finalterm OVPAA-F-INS-055A RAW '!S$17*100)</f>
        <v/>
      </c>
      <c r="T89" s="126" t="str">
        <f>IF('Finalterm OVPAA-F-INS-055A RAW '!T89="","",'Finalterm OVPAA-F-INS-055A RAW '!T89/'Finalterm OVPAA-F-INS-055A RAW '!T$17*100)</f>
        <v/>
      </c>
      <c r="U89" s="126" t="str">
        <f>IF('Finalterm OVPAA-F-INS-055A RAW '!U89="","",'Finalterm OVPAA-F-INS-055A RAW '!U89/'Finalterm OVPAA-F-INS-055A RAW '!U$17*100)</f>
        <v/>
      </c>
      <c r="V89" s="126" t="str">
        <f>IF('Finalterm OVPAA-F-INS-055A RAW '!V89="","",'Finalterm OVPAA-F-INS-055A RAW '!V89/'Finalterm OVPAA-F-INS-055A RAW '!V$17*100)</f>
        <v/>
      </c>
      <c r="W89" s="126" t="str">
        <f>IF('Finalterm OVPAA-F-INS-055A RAW '!W89="","",'Finalterm OVPAA-F-INS-055A RAW '!W89/'Finalterm OVPAA-F-INS-055A RAW '!W$17*100)</f>
        <v/>
      </c>
      <c r="X89" s="126" t="str">
        <f>IF('Finalterm OVPAA-F-INS-055A RAW '!X89="","",'Finalterm OVPAA-F-INS-055A RAW '!X89/'Finalterm OVPAA-F-INS-055A RAW '!X$17*100)</f>
        <v/>
      </c>
      <c r="Y89" s="126" t="str">
        <f>IF('Finalterm OVPAA-F-INS-055A RAW '!Y89="","",'Finalterm OVPAA-F-INS-055A RAW '!Y89/'Finalterm OVPAA-F-INS-055A RAW '!Y$17*100)</f>
        <v/>
      </c>
      <c r="Z89" s="126" t="str">
        <f>IF('Finalterm OVPAA-F-INS-055A RAW '!Z89="","",'Finalterm OVPAA-F-INS-055A RAW '!Z89/'Finalterm OVPAA-F-INS-055A RAW '!Z$17*100)</f>
        <v/>
      </c>
      <c r="AA89" s="126" t="str">
        <f>IF('Finalterm OVPAA-F-INS-055A RAW '!AA89="","",'Finalterm OVPAA-F-INS-055A RAW '!AA89/'Finalterm OVPAA-F-INS-055A RAW '!AA$17*100)</f>
        <v/>
      </c>
      <c r="AB89" s="126" t="str">
        <f>IF('Finalterm OVPAA-F-INS-055A RAW '!AB89="","",'Finalterm OVPAA-F-INS-055A RAW '!AB89/'Finalterm OVPAA-F-INS-055A RAW '!AB$17*100)</f>
        <v/>
      </c>
      <c r="AC89" s="126" t="str">
        <f>IF('Finalterm OVPAA-F-INS-055A RAW '!AC89="","",'Finalterm OVPAA-F-INS-055A RAW '!AC89/'Finalterm OVPAA-F-INS-055A RAW '!AC$17*100)</f>
        <v/>
      </c>
      <c r="AD89" s="126" t="str">
        <f>IF('Finalterm OVPAA-F-INS-055A RAW '!AD89="","",'Finalterm OVPAA-F-INS-055A RAW '!AD89/'Finalterm OVPAA-F-INS-055A RAW '!AD$17*100)</f>
        <v/>
      </c>
      <c r="AE89" s="126" t="str">
        <f>IF('Finalterm OVPAA-F-INS-055A RAW '!AE89="","",'Finalterm OVPAA-F-INS-055A RAW '!AE89/'Finalterm OVPAA-F-INS-055A RAW '!AE$17*100)</f>
        <v/>
      </c>
      <c r="AF89" s="126" t="str">
        <f>IF('Finalterm OVPAA-F-INS-055A RAW '!AF89="","",'Finalterm OVPAA-F-INS-055A RAW '!AF89/'Finalterm OVPAA-F-INS-055A RAW '!AF$17*100)</f>
        <v/>
      </c>
      <c r="AG89" s="126" t="str">
        <f>IF('Finalterm OVPAA-F-INS-055A RAW '!AG89="","",'Finalterm OVPAA-F-INS-055A RAW '!AG89/'Finalterm OVPAA-F-INS-055A RAW '!AG$17*100)</f>
        <v/>
      </c>
      <c r="AH89" s="126" t="str">
        <f>IF('Finalterm OVPAA-F-INS-055A RAW '!AH89="","",'Finalterm OVPAA-F-INS-055A RAW '!AH89/'Finalterm OVPAA-F-INS-055A RAW '!AH$17*100)</f>
        <v/>
      </c>
      <c r="AI89" s="126" t="str">
        <f>IF('Finalterm OVPAA-F-INS-055A RAW '!AI89="","",'Finalterm OVPAA-F-INS-055A RAW '!AI89/'Finalterm OVPAA-F-INS-055A RAW '!AI$17*100)</f>
        <v/>
      </c>
      <c r="AJ89" s="126" t="str">
        <f>IF('Finalterm OVPAA-F-INS-055A RAW '!AJ89="","",'Finalterm OVPAA-F-INS-055A RAW '!AJ89/'Finalterm OVPAA-F-INS-055A RAW '!AJ$17*100)</f>
        <v/>
      </c>
      <c r="AK89" s="126" t="str">
        <f>IF('Finalterm OVPAA-F-INS-055A RAW '!AK89="","",'Finalterm OVPAA-F-INS-055A RAW '!AK89/'Finalterm OVPAA-F-INS-055A RAW '!AK$17*100)</f>
        <v/>
      </c>
      <c r="AL89" s="126" t="str">
        <f>IF('Finalterm OVPAA-F-INS-055A RAW '!AL89="","",'Finalterm OVPAA-F-INS-055A RAW '!AL89/'Finalterm OVPAA-F-INS-055A RAW '!AL$17*100)</f>
        <v/>
      </c>
      <c r="AM89" s="126" t="str">
        <f>IF('Finalterm OVPAA-F-INS-055A RAW '!AM89="","",'Finalterm OVPAA-F-INS-055A RAW '!AM89/'Finalterm OVPAA-F-INS-055A RAW '!AM$17*100)</f>
        <v/>
      </c>
      <c r="AN89" s="126" t="str">
        <f>IF('Finalterm OVPAA-F-INS-055A RAW '!AN89="","",'Finalterm OVPAA-F-INS-055A RAW '!AN89/'Finalterm OVPAA-F-INS-055A RAW '!AN$17*100)</f>
        <v/>
      </c>
      <c r="AO89" s="126" t="str">
        <f>IF('Finalterm OVPAA-F-INS-055A RAW '!AO89="","",'Finalterm OVPAA-F-INS-055A RAW '!AO89/'Finalterm OVPAA-F-INS-055A RAW '!AO$17*100)</f>
        <v/>
      </c>
      <c r="AP89" s="126" t="str">
        <f>IF('Finalterm OVPAA-F-INS-055A RAW '!AP89="","",'Finalterm OVPAA-F-INS-055A RAW '!AP89/'Finalterm OVPAA-F-INS-055A RAW '!AP$17*100)</f>
        <v/>
      </c>
      <c r="AQ89" s="126" t="str">
        <f>IF('Finalterm OVPAA-F-INS-055A RAW '!AQ89="","",'Finalterm OVPAA-F-INS-055A RAW '!AQ89/'Finalterm OVPAA-F-INS-055A RAW '!AQ$17*100)</f>
        <v/>
      </c>
      <c r="AR89" s="126" t="str">
        <f>IF('Finalterm OVPAA-F-INS-055A RAW '!AR89="","",'Finalterm OVPAA-F-INS-055A RAW '!AR89/'Finalterm OVPAA-F-INS-055A RAW '!AR$17*100)</f>
        <v/>
      </c>
      <c r="AS89" s="126" t="str">
        <f>IF('Finalterm OVPAA-F-INS-055A RAW '!AS89="","",'Finalterm OVPAA-F-INS-055A RAW '!AS89/'Finalterm OVPAA-F-INS-055A RAW '!AS$17*100)</f>
        <v/>
      </c>
      <c r="AT89" s="126" t="str">
        <f>IF('Finalterm OVPAA-F-INS-055A RAW '!AT89="","",'Finalterm OVPAA-F-INS-055A RAW '!AT89/'Finalterm OVPAA-F-INS-055A RAW '!AT$17*100)</f>
        <v/>
      </c>
      <c r="AU89" s="126" t="str">
        <f>IF('Finalterm OVPAA-F-INS-055A RAW '!AU89="","",'Finalterm OVPAA-F-INS-055A RAW '!AU89/'Finalterm OVPAA-F-INS-055A RAW '!AU$17*100)</f>
        <v/>
      </c>
      <c r="AV89" s="126" t="str">
        <f>IF('Finalterm OVPAA-F-INS-055A RAW '!AV89="","",'Finalterm OVPAA-F-INS-055A RAW '!AV89/'Finalterm OVPAA-F-INS-055A RAW '!AV$17*100)</f>
        <v/>
      </c>
      <c r="AW89" s="126" t="str">
        <f>IF('Finalterm OVPAA-F-INS-055A RAW '!AW89="","",'Finalterm OVPAA-F-INS-055A RAW '!AW89/'Finalterm OVPAA-F-INS-055A RAW '!AW$17*100)</f>
        <v/>
      </c>
      <c r="AX89" s="126" t="str">
        <f>IF('Finalterm OVPAA-F-INS-055A RAW '!AX89="","",'Finalterm OVPAA-F-INS-055A RAW '!AX89/'Finalterm OVPAA-F-INS-055A RAW '!AX$17*100)</f>
        <v/>
      </c>
      <c r="AY89" s="126" t="str">
        <f>IF('Finalterm OVPAA-F-INS-055A RAW '!AY89="","",'Finalterm OVPAA-F-INS-055A RAW '!AY89/'Finalterm OVPAA-F-INS-055A RAW '!AY$17*100)</f>
        <v/>
      </c>
      <c r="AZ89" s="126" t="str">
        <f>IF('Finalterm OVPAA-F-INS-055A RAW '!AZ89="","",'Finalterm OVPAA-F-INS-055A RAW '!AZ89/'Finalterm OVPAA-F-INS-055A RAW '!AZ$17*100)</f>
        <v/>
      </c>
      <c r="BA89" s="126" t="str">
        <f>IF('Finalterm OVPAA-F-INS-055A RAW '!BA89="","",'Finalterm OVPAA-F-INS-055A RAW '!BA89/'Finalterm OVPAA-F-INS-055A RAW '!BA$17*100)</f>
        <v/>
      </c>
      <c r="BB89" s="126" t="str">
        <f>IF('Finalterm OVPAA-F-INS-055A RAW '!BB89="","",'Finalterm OVPAA-F-INS-055A RAW '!BB89/'Finalterm OVPAA-F-INS-055A RAW '!BB$17*100)</f>
        <v/>
      </c>
      <c r="BC89" s="126" t="str">
        <f>IF('Finalterm OVPAA-F-INS-055A RAW '!BC89="","",'Finalterm OVPAA-F-INS-055A RAW '!BC89/'Finalterm OVPAA-F-INS-055A RAW '!BC$17*100)</f>
        <v/>
      </c>
      <c r="BD89" s="126" t="str">
        <f>IF('Finalterm OVPAA-F-INS-055A RAW '!BD89="","",'Finalterm OVPAA-F-INS-055A RAW '!BD89/'Finalterm OVPAA-F-INS-055A RAW '!BD$17*100)</f>
        <v/>
      </c>
      <c r="BE89" s="126" t="str">
        <f>IF('Finalterm OVPAA-F-INS-055A RAW '!BE89="","",'Finalterm OVPAA-F-INS-055A RAW '!BE89/'Finalterm OVPAA-F-INS-055A RAW '!BE$17*100)</f>
        <v/>
      </c>
      <c r="BF89" s="126" t="str">
        <f>IF('Finalterm OVPAA-F-INS-055A RAW '!BF89="","",'Finalterm OVPAA-F-INS-055A RAW '!BF89/'Finalterm OVPAA-F-INS-055A RAW '!BF$17*100)</f>
        <v/>
      </c>
      <c r="BG89" s="126" t="str">
        <f>IF('Finalterm OVPAA-F-INS-055A RAW '!BG89="","",'Finalterm OVPAA-F-INS-055A RAW '!BG89/'Finalterm OVPAA-F-INS-055A RAW '!BG$17*100)</f>
        <v/>
      </c>
      <c r="BH89" s="126" t="str">
        <f>IF('Finalterm OVPAA-F-INS-055A RAW '!BH89="","",'Finalterm OVPAA-F-INS-055A RAW '!BH89/'Finalterm OVPAA-F-INS-055A RAW '!BH$17*100)</f>
        <v/>
      </c>
      <c r="BI89" s="126" t="str">
        <f>IF('Finalterm OVPAA-F-INS-055A RAW '!BI89="","",'Finalterm OVPAA-F-INS-055A RAW '!BI89/'Finalterm OVPAA-F-INS-055A RAW '!BI$17*100)</f>
        <v/>
      </c>
      <c r="BJ89" s="126" t="str">
        <f>IF('Finalterm OVPAA-F-INS-055A RAW '!BJ89="","",'Finalterm OVPAA-F-INS-055A RAW '!BJ89/'Finalterm OVPAA-F-INS-055A RAW '!BJ$17*100)</f>
        <v/>
      </c>
      <c r="BK89" s="126" t="str">
        <f>IF('Finalterm OVPAA-F-INS-055A RAW '!BK89="","",'Finalterm OVPAA-F-INS-055A RAW '!BK89/'Finalterm OVPAA-F-INS-055A RAW '!BK$17*100)</f>
        <v/>
      </c>
      <c r="BL89" s="126" t="str">
        <f>IF('Finalterm OVPAA-F-INS-055A RAW '!BL89="","",'Finalterm OVPAA-F-INS-055A RAW '!BL89/'Finalterm OVPAA-F-INS-055A RAW '!BL$17*100)</f>
        <v/>
      </c>
      <c r="BM89" s="126" t="str">
        <f>IF('Finalterm OVPAA-F-INS-055A RAW '!BM89="","",'Finalterm OVPAA-F-INS-055A RAW '!BM89/'Finalterm OVPAA-F-INS-055A RAW '!BM$17*100)</f>
        <v/>
      </c>
      <c r="BN89" s="126" t="str">
        <f>IF('Finalterm OVPAA-F-INS-055A RAW '!BN89="","",'Finalterm OVPAA-F-INS-055A RAW '!BN89/'Finalterm OVPAA-F-INS-055A RAW '!BN$17*100)</f>
        <v/>
      </c>
      <c r="BO89" s="126" t="str">
        <f>IF('Finalterm OVPAA-F-INS-055A RAW '!BO89="","",'Finalterm OVPAA-F-INS-055A RAW '!BO89/'Finalterm OVPAA-F-INS-055A RAW '!BO$17*100)</f>
        <v/>
      </c>
      <c r="BP89" s="126" t="str">
        <f>IF('Finalterm OVPAA-F-INS-055A RAW '!BP89="","",'Finalterm OVPAA-F-INS-055A RAW '!BP89/'Finalterm OVPAA-F-INS-055A RAW '!BP$17*100)</f>
        <v/>
      </c>
      <c r="BQ89" s="126" t="str">
        <f>IF('Finalterm OVPAA-F-INS-055A RAW '!BQ89="","",'Finalterm OVPAA-F-INS-055A RAW '!BQ89/'Finalterm OVPAA-F-INS-055A RAW '!BQ$17*100)</f>
        <v/>
      </c>
      <c r="BR89" s="126" t="str">
        <f>IF('Finalterm OVPAA-F-INS-055A RAW '!BR89="","",'Finalterm OVPAA-F-INS-055A RAW '!BR89/'Finalterm OVPAA-F-INS-055A RAW '!BR$17*100)</f>
        <v/>
      </c>
      <c r="BS89" s="126" t="str">
        <f>IF('Finalterm OVPAA-F-INS-055A RAW '!BS89="","",'Finalterm OVPAA-F-INS-055A RAW '!BS89/'Finalterm OVPAA-F-INS-055A RAW '!BS$17*100)</f>
        <v/>
      </c>
      <c r="BT89" s="126" t="str">
        <f>IF('Finalterm OVPAA-F-INS-055A RAW '!BT89="","",'Finalterm OVPAA-F-INS-055A RAW '!BT89/'Finalterm OVPAA-F-INS-055A RAW '!BT$17*100)</f>
        <v/>
      </c>
      <c r="BU89" s="127" t="str">
        <f t="array" ref="BU89">IF('Finalterm OVPAA-F-INS-055A RAW '!$G89="","",IF((SUMPRODUCT(--ISBLANK('Finalterm OVPAA-F-INS-055A RAW '!H89:BT89))=COLUMNS('Finalterm OVPAA-F-INS-055A RAW '!H89:BT89))=TRUE,"",(((COUNTA('Finalterm OVPAA-F-INS-055A RAW '!$H$17:$BT$17)+COUNTBLANK('Finalterm OVPAA-F-INS-055A RAW '!H89:BT89))-COLUMNS('Finalterm OVPAA-F-INS-055A RAW '!H89:BT89))*5+SUM(H89:BT89))/COUNTA('Finalterm OVPAA-F-INS-055A RAW '!$H$17:$BT$17)))</f>
        <v/>
      </c>
      <c r="BV89" s="165" t="str">
        <f>IF(BU89="","",VLOOKUP(BU89,IF('Midterm OVPAA-F-INS-055A RAW SC'!$V$12=0.5,TRANSMUTATION!$C$4:$D$17,TRANSMUTATION!$G$4:$H$17),2,TRUE))</f>
        <v/>
      </c>
      <c r="BW89" s="129" t="str">
        <f>IF('Finalterm OVPAA-F-INS-055A RAW '!BU89="","",'Finalterm OVPAA-F-INS-055A RAW '!BU89/'Finalterm OVPAA-F-INS-055A RAW '!BU$17*100)</f>
        <v/>
      </c>
      <c r="BX89" s="130" t="str">
        <f>IF('Finalterm OVPAA-F-INS-055A RAW '!BV89="","",'Finalterm OVPAA-F-INS-055A RAW '!BV89/'Finalterm OVPAA-F-INS-055A RAW '!BV$17*100)</f>
        <v/>
      </c>
      <c r="BY89" s="130" t="str">
        <f>IF('Finalterm OVPAA-F-INS-055A RAW '!BW89="","",'Finalterm OVPAA-F-INS-055A RAW '!BW89/'Finalterm OVPAA-F-INS-055A RAW '!BW$17*100)</f>
        <v/>
      </c>
      <c r="BZ89" s="130" t="str">
        <f>IF('Finalterm OVPAA-F-INS-055A RAW '!BX89="","",'Finalterm OVPAA-F-INS-055A RAW '!BX89/'Finalterm OVPAA-F-INS-055A RAW '!BX$17*100)</f>
        <v/>
      </c>
      <c r="CA89" s="130" t="str">
        <f>IF('Finalterm OVPAA-F-INS-055A RAW '!BY89="","",'Finalterm OVPAA-F-INS-055A RAW '!BY89/'Finalterm OVPAA-F-INS-055A RAW '!BY$17*100)</f>
        <v/>
      </c>
      <c r="CB89" s="130" t="str">
        <f>IF('Finalterm OVPAA-F-INS-055A RAW '!BZ89="","",'Finalterm OVPAA-F-INS-055A RAW '!BZ89/'Finalterm OVPAA-F-INS-055A RAW '!BZ$17*100)</f>
        <v/>
      </c>
      <c r="CC89" s="130" t="str">
        <f>IF('Finalterm OVPAA-F-INS-055A RAW '!CA89="","",'Finalterm OVPAA-F-INS-055A RAW '!CA89/'Finalterm OVPAA-F-INS-055A RAW '!CA$17*100)</f>
        <v/>
      </c>
      <c r="CD89" s="130" t="str">
        <f>IF('Finalterm OVPAA-F-INS-055A RAW '!CB89="","",'Finalterm OVPAA-F-INS-055A RAW '!CB89/'Finalterm OVPAA-F-INS-055A RAW '!CB$17*100)</f>
        <v/>
      </c>
      <c r="CE89" s="130" t="str">
        <f>IF('Finalterm OVPAA-F-INS-055A RAW '!CC89="","",'Finalterm OVPAA-F-INS-055A RAW '!CC89/'Finalterm OVPAA-F-INS-055A RAW '!CC$17*100)</f>
        <v/>
      </c>
      <c r="CF89" s="130" t="str">
        <f>IF('Finalterm OVPAA-F-INS-055A RAW '!CD89="","",'Finalterm OVPAA-F-INS-055A RAW '!CD89/'Finalterm OVPAA-F-INS-055A RAW '!CD$17*100)</f>
        <v/>
      </c>
      <c r="CG89" s="130" t="str">
        <f>IF('Finalterm OVPAA-F-INS-055A RAW '!CE89="","",'Finalterm OVPAA-F-INS-055A RAW '!CE89/'Finalterm OVPAA-F-INS-055A RAW '!CE$17*100)</f>
        <v/>
      </c>
      <c r="CH89" s="130" t="str">
        <f>IF('Finalterm OVPAA-F-INS-055A RAW '!CF89="","",'Finalterm OVPAA-F-INS-055A RAW '!CF89/'Finalterm OVPAA-F-INS-055A RAW '!CF$17*100)</f>
        <v/>
      </c>
      <c r="CI89" s="130" t="str">
        <f>IF('Finalterm OVPAA-F-INS-055A RAW '!CG89="","",'Finalterm OVPAA-F-INS-055A RAW '!CG89/'Finalterm OVPAA-F-INS-055A RAW '!CG$17*100)</f>
        <v/>
      </c>
      <c r="CJ89" s="130" t="str">
        <f>IF('Finalterm OVPAA-F-INS-055A RAW '!CH89="","",'Finalterm OVPAA-F-INS-055A RAW '!CH89/'Finalterm OVPAA-F-INS-055A RAW '!CH$17*100)</f>
        <v/>
      </c>
      <c r="CK89" s="130" t="str">
        <f>IF('Finalterm OVPAA-F-INS-055A RAW '!CI89="","",'Finalterm OVPAA-F-INS-055A RAW '!CI89/'Finalterm OVPAA-F-INS-055A RAW '!CI$17*100)</f>
        <v/>
      </c>
      <c r="CL89" s="130" t="str">
        <f>IF('Finalterm OVPAA-F-INS-055A RAW '!CJ89="","",'Finalterm OVPAA-F-INS-055A RAW '!CJ89/'Finalterm OVPAA-F-INS-055A RAW '!CJ$17*100)</f>
        <v/>
      </c>
      <c r="CM89" s="130" t="str">
        <f>IF('Finalterm OVPAA-F-INS-055A RAW '!CK89="","",'Finalterm OVPAA-F-INS-055A RAW '!CK89/'Finalterm OVPAA-F-INS-055A RAW '!CK$17*100)</f>
        <v/>
      </c>
      <c r="CN89" s="130" t="str">
        <f>IF('Finalterm OVPAA-F-INS-055A RAW '!CL89="","",'Finalterm OVPAA-F-INS-055A RAW '!CL89/'Finalterm OVPAA-F-INS-055A RAW '!CL$17*100)</f>
        <v/>
      </c>
      <c r="CO89" s="130" t="str">
        <f>IF('Finalterm OVPAA-F-INS-055A RAW '!CM89="","",'Finalterm OVPAA-F-INS-055A RAW '!CM89/'Finalterm OVPAA-F-INS-055A RAW '!CM$17*100)</f>
        <v/>
      </c>
      <c r="CP89" s="130" t="str">
        <f>IF('Finalterm OVPAA-F-INS-055A RAW '!CN89="","",'Finalterm OVPAA-F-INS-055A RAW '!CN89/'Finalterm OVPAA-F-INS-055A RAW '!CN$17*100)</f>
        <v/>
      </c>
      <c r="CQ89" s="131" t="str">
        <f t="array" ref="CQ89">IF('Midterm OVPAA-F-INS-055A RAW SC'!G89="","",IF((SUMPRODUCT(--ISBLANK('Finalterm OVPAA-F-INS-055A RAW '!BU89:CN89))=COLUMNS('Finalterm OVPAA-F-INS-055A RAW '!BU89:CN89))=TRUE,"",(((COUNTA('Finalterm OVPAA-F-INS-055A RAW '!$BU$17:$CN$17)+COUNTBLANK('Finalterm OVPAA-F-INS-055A RAW '!BU89:CN89))-COLUMNS('Finalterm OVPAA-F-INS-055A RAW '!BU89:CN89))*5+SUM(BW89:CP89))/COUNTA('Finalterm OVPAA-F-INS-055A RAW '!$BU$17:$CN$17)))</f>
        <v/>
      </c>
      <c r="CR89" s="132" t="str">
        <f>IF(CQ89="","",VLOOKUP(CQ89,IF('Midterm OVPAA-F-INS-055A RAW SC'!$V$12=0.5,TRANSMUTATION!$C$4:$D$17,TRANSMUTATION!$G$4:$H$17),2,TRUE))</f>
        <v/>
      </c>
      <c r="CS89" s="133" t="str">
        <f>IF('Finalterm OVPAA-F-INS-055A RAW '!CO89="","",'Finalterm OVPAA-F-INS-055A RAW '!CO89/'Finalterm OVPAA-F-INS-055A RAW '!CO$17*100)</f>
        <v/>
      </c>
      <c r="CT89" s="133" t="str">
        <f>IF('Finalterm OVPAA-F-INS-055A RAW '!CP89="","",'Finalterm OVPAA-F-INS-055A RAW '!CP89/'Finalterm OVPAA-F-INS-055A RAW '!CP$17*100)</f>
        <v/>
      </c>
      <c r="CU89" s="133" t="str">
        <f>IF('Finalterm OVPAA-F-INS-055A RAW '!CQ89="","",'Finalterm OVPAA-F-INS-055A RAW '!CQ89/'Finalterm OVPAA-F-INS-055A RAW '!CQ$17*100)</f>
        <v/>
      </c>
      <c r="CV89" s="133" t="str">
        <f>IF('Finalterm OVPAA-F-INS-055A RAW '!CR89="","",'Finalterm OVPAA-F-INS-055A RAW '!CR89/'Finalterm OVPAA-F-INS-055A RAW '!CR$17*100)</f>
        <v/>
      </c>
      <c r="CW89" s="133" t="str">
        <f>IF('Finalterm OVPAA-F-INS-055A RAW '!CS89="","",'Finalterm OVPAA-F-INS-055A RAW '!CS89/'Finalterm OVPAA-F-INS-055A RAW '!CS$17*100)</f>
        <v/>
      </c>
      <c r="CX89" s="133" t="str">
        <f>IF('Finalterm OVPAA-F-INS-055A RAW '!CT89="","",'Finalterm OVPAA-F-INS-055A RAW '!CT89/'Finalterm OVPAA-F-INS-055A RAW '!CT$17*100)</f>
        <v/>
      </c>
      <c r="CY89" s="133" t="str">
        <f>IF('Finalterm OVPAA-F-INS-055A RAW '!CU89="","",'Finalterm OVPAA-F-INS-055A RAW '!CU89/'Finalterm OVPAA-F-INS-055A RAW '!CU$17*100)</f>
        <v/>
      </c>
      <c r="CZ89" s="133" t="str">
        <f>IF('Finalterm OVPAA-F-INS-055A RAW '!CV89="","",'Finalterm OVPAA-F-INS-055A RAW '!CV89/'Finalterm OVPAA-F-INS-055A RAW '!CV$17*100)</f>
        <v/>
      </c>
      <c r="DA89" s="133" t="str">
        <f>IF('Finalterm OVPAA-F-INS-055A RAW '!CW89="","",'Finalterm OVPAA-F-INS-055A RAW '!CW89/'Finalterm OVPAA-F-INS-055A RAW '!CW$17*100)</f>
        <v/>
      </c>
      <c r="DB89" s="133" t="str">
        <f>IF('Finalterm OVPAA-F-INS-055A RAW '!CX89="","",'Finalterm OVPAA-F-INS-055A RAW '!CX89/'Finalterm OVPAA-F-INS-055A RAW '!CX$17*100)</f>
        <v/>
      </c>
      <c r="DC89" s="134" t="str">
        <f t="array" ref="DC89">IF('Midterm OVPAA-F-INS-055A RAW SC'!$G89="","",IF((SUMPRODUCT(--ISBLANK('Finalterm OVPAA-F-INS-055A RAW '!CO89:CX89))=COLUMNS('Finalterm OVPAA-F-INS-055A RAW '!CO89:CX89))=TRUE,"",(((COUNTA('Finalterm OVPAA-F-INS-055A RAW '!$CO$17:$CX$17)+COUNTBLANK('Finalterm OVPAA-F-INS-055A RAW '!CO89:CX89))-COLUMNS('Finalterm OVPAA-F-INS-055A RAW '!CO89:CX89))*5+SUM(CS89:DB89))/COUNTA('Finalterm OVPAA-F-INS-055A RAW '!$CO$17:$CX$17)))</f>
        <v/>
      </c>
      <c r="DD89" s="135" t="str">
        <f>IF(DC89="","",VLOOKUP(DC89,IF('Midterm OVPAA-F-INS-055A RAW SC'!$V$12=0.5,TRANSMUTATION!$C$4:$D$17,TRANSMUTATION!$G$4:$H$17),2,TRUE))</f>
        <v/>
      </c>
      <c r="DE89" s="136" t="str">
        <f t="shared" si="1"/>
        <v/>
      </c>
      <c r="DF89" s="166" t="str">
        <f t="shared" si="2"/>
        <v/>
      </c>
      <c r="DG89" s="167" t="str">
        <f t="shared" si="3"/>
        <v/>
      </c>
      <c r="DH89" s="168" t="str">
        <f t="shared" si="4"/>
        <v/>
      </c>
      <c r="DI89" s="169" t="str">
        <f t="shared" si="5"/>
        <v/>
      </c>
    </row>
    <row r="90" spans="1:113" ht="15.75" hidden="1" customHeight="1">
      <c r="A90" s="5"/>
      <c r="B90" s="5"/>
      <c r="C90" s="5"/>
      <c r="D90" s="5"/>
      <c r="E90" s="59">
        <v>73</v>
      </c>
      <c r="F90" s="124" t="str">
        <f>IF(NOT(ISBLANK('Midterm OVPAA-F-INS-055A RAW SC'!F90)),'Midterm OVPAA-F-INS-055A RAW SC'!F90,"")</f>
        <v/>
      </c>
      <c r="G90" s="125" t="str">
        <f>IF(NOT(ISBLANK('Midterm OVPAA-F-INS-055A RAW SC'!G90)),'Midterm OVPAA-F-INS-055A RAW SC'!G90,"")</f>
        <v/>
      </c>
      <c r="H90" s="126" t="str">
        <f>IF('Finalterm OVPAA-F-INS-055A RAW '!H90="","",'Finalterm OVPAA-F-INS-055A RAW '!H90/'Finalterm OVPAA-F-INS-055A RAW '!H$17*100)</f>
        <v/>
      </c>
      <c r="I90" s="126" t="str">
        <f>IF('Finalterm OVPAA-F-INS-055A RAW '!I90="","",'Finalterm OVPAA-F-INS-055A RAW '!I90/'Finalterm OVPAA-F-INS-055A RAW '!I$17*100)</f>
        <v/>
      </c>
      <c r="J90" s="126" t="str">
        <f>IF('Finalterm OVPAA-F-INS-055A RAW '!J90="","",'Finalterm OVPAA-F-INS-055A RAW '!J90/'Finalterm OVPAA-F-INS-055A RAW '!J$17*100)</f>
        <v/>
      </c>
      <c r="K90" s="126" t="str">
        <f>IF('Finalterm OVPAA-F-INS-055A RAW '!K90="","",'Finalterm OVPAA-F-INS-055A RAW '!K90/'Finalterm OVPAA-F-INS-055A RAW '!K$17*100)</f>
        <v/>
      </c>
      <c r="L90" s="126" t="str">
        <f>IF('Finalterm OVPAA-F-INS-055A RAW '!L90="","",'Finalterm OVPAA-F-INS-055A RAW '!L90/'Finalterm OVPAA-F-INS-055A RAW '!L$17*100)</f>
        <v/>
      </c>
      <c r="M90" s="126" t="str">
        <f>IF('Finalterm OVPAA-F-INS-055A RAW '!M90="","",'Finalterm OVPAA-F-INS-055A RAW '!M90/'Finalterm OVPAA-F-INS-055A RAW '!M$17*100)</f>
        <v/>
      </c>
      <c r="N90" s="126" t="str">
        <f>IF('Finalterm OVPAA-F-INS-055A RAW '!N90="","",'Finalterm OVPAA-F-INS-055A RAW '!N90/'Finalterm OVPAA-F-INS-055A RAW '!N$17*100)</f>
        <v/>
      </c>
      <c r="O90" s="126" t="str">
        <f>IF('Finalterm OVPAA-F-INS-055A RAW '!O90="","",'Finalterm OVPAA-F-INS-055A RAW '!O90/'Finalterm OVPAA-F-INS-055A RAW '!O$17*100)</f>
        <v/>
      </c>
      <c r="P90" s="126" t="str">
        <f>IF('Finalterm OVPAA-F-INS-055A RAW '!P90="","",'Finalterm OVPAA-F-INS-055A RAW '!P90/'Finalterm OVPAA-F-INS-055A RAW '!P$17*100)</f>
        <v/>
      </c>
      <c r="Q90" s="126" t="str">
        <f>IF('Finalterm OVPAA-F-INS-055A RAW '!Q90="","",'Finalterm OVPAA-F-INS-055A RAW '!Q90/'Finalterm OVPAA-F-INS-055A RAW '!Q$17*100)</f>
        <v/>
      </c>
      <c r="R90" s="126" t="str">
        <f>IF('Finalterm OVPAA-F-INS-055A RAW '!R90="","",'Finalterm OVPAA-F-INS-055A RAW '!R90/'Finalterm OVPAA-F-INS-055A RAW '!R$17*100)</f>
        <v/>
      </c>
      <c r="S90" s="126" t="str">
        <f>IF('Finalterm OVPAA-F-INS-055A RAW '!S90="","",'Finalterm OVPAA-F-INS-055A RAW '!S90/'Finalterm OVPAA-F-INS-055A RAW '!S$17*100)</f>
        <v/>
      </c>
      <c r="T90" s="126" t="str">
        <f>IF('Finalterm OVPAA-F-INS-055A RAW '!T90="","",'Finalterm OVPAA-F-INS-055A RAW '!T90/'Finalterm OVPAA-F-INS-055A RAW '!T$17*100)</f>
        <v/>
      </c>
      <c r="U90" s="126" t="str">
        <f>IF('Finalterm OVPAA-F-INS-055A RAW '!U90="","",'Finalterm OVPAA-F-INS-055A RAW '!U90/'Finalterm OVPAA-F-INS-055A RAW '!U$17*100)</f>
        <v/>
      </c>
      <c r="V90" s="126" t="str">
        <f>IF('Finalterm OVPAA-F-INS-055A RAW '!V90="","",'Finalterm OVPAA-F-INS-055A RAW '!V90/'Finalterm OVPAA-F-INS-055A RAW '!V$17*100)</f>
        <v/>
      </c>
      <c r="W90" s="126" t="str">
        <f>IF('Finalterm OVPAA-F-INS-055A RAW '!W90="","",'Finalterm OVPAA-F-INS-055A RAW '!W90/'Finalterm OVPAA-F-INS-055A RAW '!W$17*100)</f>
        <v/>
      </c>
      <c r="X90" s="126" t="str">
        <f>IF('Finalterm OVPAA-F-INS-055A RAW '!X90="","",'Finalterm OVPAA-F-INS-055A RAW '!X90/'Finalterm OVPAA-F-INS-055A RAW '!X$17*100)</f>
        <v/>
      </c>
      <c r="Y90" s="126" t="str">
        <f>IF('Finalterm OVPAA-F-INS-055A RAW '!Y90="","",'Finalterm OVPAA-F-INS-055A RAW '!Y90/'Finalterm OVPAA-F-INS-055A RAW '!Y$17*100)</f>
        <v/>
      </c>
      <c r="Z90" s="126" t="str">
        <f>IF('Finalterm OVPAA-F-INS-055A RAW '!Z90="","",'Finalterm OVPAA-F-INS-055A RAW '!Z90/'Finalterm OVPAA-F-INS-055A RAW '!Z$17*100)</f>
        <v/>
      </c>
      <c r="AA90" s="126" t="str">
        <f>IF('Finalterm OVPAA-F-INS-055A RAW '!AA90="","",'Finalterm OVPAA-F-INS-055A RAW '!AA90/'Finalterm OVPAA-F-INS-055A RAW '!AA$17*100)</f>
        <v/>
      </c>
      <c r="AB90" s="126" t="str">
        <f>IF('Finalterm OVPAA-F-INS-055A RAW '!AB90="","",'Finalterm OVPAA-F-INS-055A RAW '!AB90/'Finalterm OVPAA-F-INS-055A RAW '!AB$17*100)</f>
        <v/>
      </c>
      <c r="AC90" s="126" t="str">
        <f>IF('Finalterm OVPAA-F-INS-055A RAW '!AC90="","",'Finalterm OVPAA-F-INS-055A RAW '!AC90/'Finalterm OVPAA-F-INS-055A RAW '!AC$17*100)</f>
        <v/>
      </c>
      <c r="AD90" s="126" t="str">
        <f>IF('Finalterm OVPAA-F-INS-055A RAW '!AD90="","",'Finalterm OVPAA-F-INS-055A RAW '!AD90/'Finalterm OVPAA-F-INS-055A RAW '!AD$17*100)</f>
        <v/>
      </c>
      <c r="AE90" s="126" t="str">
        <f>IF('Finalterm OVPAA-F-INS-055A RAW '!AE90="","",'Finalterm OVPAA-F-INS-055A RAW '!AE90/'Finalterm OVPAA-F-INS-055A RAW '!AE$17*100)</f>
        <v/>
      </c>
      <c r="AF90" s="126" t="str">
        <f>IF('Finalterm OVPAA-F-INS-055A RAW '!AF90="","",'Finalterm OVPAA-F-INS-055A RAW '!AF90/'Finalterm OVPAA-F-INS-055A RAW '!AF$17*100)</f>
        <v/>
      </c>
      <c r="AG90" s="126" t="str">
        <f>IF('Finalterm OVPAA-F-INS-055A RAW '!AG90="","",'Finalterm OVPAA-F-INS-055A RAW '!AG90/'Finalterm OVPAA-F-INS-055A RAW '!AG$17*100)</f>
        <v/>
      </c>
      <c r="AH90" s="126" t="str">
        <f>IF('Finalterm OVPAA-F-INS-055A RAW '!AH90="","",'Finalterm OVPAA-F-INS-055A RAW '!AH90/'Finalterm OVPAA-F-INS-055A RAW '!AH$17*100)</f>
        <v/>
      </c>
      <c r="AI90" s="126" t="str">
        <f>IF('Finalterm OVPAA-F-INS-055A RAW '!AI90="","",'Finalterm OVPAA-F-INS-055A RAW '!AI90/'Finalterm OVPAA-F-INS-055A RAW '!AI$17*100)</f>
        <v/>
      </c>
      <c r="AJ90" s="126" t="str">
        <f>IF('Finalterm OVPAA-F-INS-055A RAW '!AJ90="","",'Finalterm OVPAA-F-INS-055A RAW '!AJ90/'Finalterm OVPAA-F-INS-055A RAW '!AJ$17*100)</f>
        <v/>
      </c>
      <c r="AK90" s="126" t="str">
        <f>IF('Finalterm OVPAA-F-INS-055A RAW '!AK90="","",'Finalterm OVPAA-F-INS-055A RAW '!AK90/'Finalterm OVPAA-F-INS-055A RAW '!AK$17*100)</f>
        <v/>
      </c>
      <c r="AL90" s="126" t="str">
        <f>IF('Finalterm OVPAA-F-INS-055A RAW '!AL90="","",'Finalterm OVPAA-F-INS-055A RAW '!AL90/'Finalterm OVPAA-F-INS-055A RAW '!AL$17*100)</f>
        <v/>
      </c>
      <c r="AM90" s="126" t="str">
        <f>IF('Finalterm OVPAA-F-INS-055A RAW '!AM90="","",'Finalterm OVPAA-F-INS-055A RAW '!AM90/'Finalterm OVPAA-F-INS-055A RAW '!AM$17*100)</f>
        <v/>
      </c>
      <c r="AN90" s="126" t="str">
        <f>IF('Finalterm OVPAA-F-INS-055A RAW '!AN90="","",'Finalterm OVPAA-F-INS-055A RAW '!AN90/'Finalterm OVPAA-F-INS-055A RAW '!AN$17*100)</f>
        <v/>
      </c>
      <c r="AO90" s="126" t="str">
        <f>IF('Finalterm OVPAA-F-INS-055A RAW '!AO90="","",'Finalterm OVPAA-F-INS-055A RAW '!AO90/'Finalterm OVPAA-F-INS-055A RAW '!AO$17*100)</f>
        <v/>
      </c>
      <c r="AP90" s="126" t="str">
        <f>IF('Finalterm OVPAA-F-INS-055A RAW '!AP90="","",'Finalterm OVPAA-F-INS-055A RAW '!AP90/'Finalterm OVPAA-F-INS-055A RAW '!AP$17*100)</f>
        <v/>
      </c>
      <c r="AQ90" s="126" t="str">
        <f>IF('Finalterm OVPAA-F-INS-055A RAW '!AQ90="","",'Finalterm OVPAA-F-INS-055A RAW '!AQ90/'Finalterm OVPAA-F-INS-055A RAW '!AQ$17*100)</f>
        <v/>
      </c>
      <c r="AR90" s="126" t="str">
        <f>IF('Finalterm OVPAA-F-INS-055A RAW '!AR90="","",'Finalterm OVPAA-F-INS-055A RAW '!AR90/'Finalterm OVPAA-F-INS-055A RAW '!AR$17*100)</f>
        <v/>
      </c>
      <c r="AS90" s="126" t="str">
        <f>IF('Finalterm OVPAA-F-INS-055A RAW '!AS90="","",'Finalterm OVPAA-F-INS-055A RAW '!AS90/'Finalterm OVPAA-F-INS-055A RAW '!AS$17*100)</f>
        <v/>
      </c>
      <c r="AT90" s="126" t="str">
        <f>IF('Finalterm OVPAA-F-INS-055A RAW '!AT90="","",'Finalterm OVPAA-F-INS-055A RAW '!AT90/'Finalterm OVPAA-F-INS-055A RAW '!AT$17*100)</f>
        <v/>
      </c>
      <c r="AU90" s="126" t="str">
        <f>IF('Finalterm OVPAA-F-INS-055A RAW '!AU90="","",'Finalterm OVPAA-F-INS-055A RAW '!AU90/'Finalterm OVPAA-F-INS-055A RAW '!AU$17*100)</f>
        <v/>
      </c>
      <c r="AV90" s="126" t="str">
        <f>IF('Finalterm OVPAA-F-INS-055A RAW '!AV90="","",'Finalterm OVPAA-F-INS-055A RAW '!AV90/'Finalterm OVPAA-F-INS-055A RAW '!AV$17*100)</f>
        <v/>
      </c>
      <c r="AW90" s="126" t="str">
        <f>IF('Finalterm OVPAA-F-INS-055A RAW '!AW90="","",'Finalterm OVPAA-F-INS-055A RAW '!AW90/'Finalterm OVPAA-F-INS-055A RAW '!AW$17*100)</f>
        <v/>
      </c>
      <c r="AX90" s="126" t="str">
        <f>IF('Finalterm OVPAA-F-INS-055A RAW '!AX90="","",'Finalterm OVPAA-F-INS-055A RAW '!AX90/'Finalterm OVPAA-F-INS-055A RAW '!AX$17*100)</f>
        <v/>
      </c>
      <c r="AY90" s="126" t="str">
        <f>IF('Finalterm OVPAA-F-INS-055A RAW '!AY90="","",'Finalterm OVPAA-F-INS-055A RAW '!AY90/'Finalterm OVPAA-F-INS-055A RAW '!AY$17*100)</f>
        <v/>
      </c>
      <c r="AZ90" s="126" t="str">
        <f>IF('Finalterm OVPAA-F-INS-055A RAW '!AZ90="","",'Finalterm OVPAA-F-INS-055A RAW '!AZ90/'Finalterm OVPAA-F-INS-055A RAW '!AZ$17*100)</f>
        <v/>
      </c>
      <c r="BA90" s="126" t="str">
        <f>IF('Finalterm OVPAA-F-INS-055A RAW '!BA90="","",'Finalterm OVPAA-F-INS-055A RAW '!BA90/'Finalterm OVPAA-F-INS-055A RAW '!BA$17*100)</f>
        <v/>
      </c>
      <c r="BB90" s="126" t="str">
        <f>IF('Finalterm OVPAA-F-INS-055A RAW '!BB90="","",'Finalterm OVPAA-F-INS-055A RAW '!BB90/'Finalterm OVPAA-F-INS-055A RAW '!BB$17*100)</f>
        <v/>
      </c>
      <c r="BC90" s="126" t="str">
        <f>IF('Finalterm OVPAA-F-INS-055A RAW '!BC90="","",'Finalterm OVPAA-F-INS-055A RAW '!BC90/'Finalterm OVPAA-F-INS-055A RAW '!BC$17*100)</f>
        <v/>
      </c>
      <c r="BD90" s="126" t="str">
        <f>IF('Finalterm OVPAA-F-INS-055A RAW '!BD90="","",'Finalterm OVPAA-F-INS-055A RAW '!BD90/'Finalterm OVPAA-F-INS-055A RAW '!BD$17*100)</f>
        <v/>
      </c>
      <c r="BE90" s="126" t="str">
        <f>IF('Finalterm OVPAA-F-INS-055A RAW '!BE90="","",'Finalterm OVPAA-F-INS-055A RAW '!BE90/'Finalterm OVPAA-F-INS-055A RAW '!BE$17*100)</f>
        <v/>
      </c>
      <c r="BF90" s="126" t="str">
        <f>IF('Finalterm OVPAA-F-INS-055A RAW '!BF90="","",'Finalterm OVPAA-F-INS-055A RAW '!BF90/'Finalterm OVPAA-F-INS-055A RAW '!BF$17*100)</f>
        <v/>
      </c>
      <c r="BG90" s="126" t="str">
        <f>IF('Finalterm OVPAA-F-INS-055A RAW '!BG90="","",'Finalterm OVPAA-F-INS-055A RAW '!BG90/'Finalterm OVPAA-F-INS-055A RAW '!BG$17*100)</f>
        <v/>
      </c>
      <c r="BH90" s="126" t="str">
        <f>IF('Finalterm OVPAA-F-INS-055A RAW '!BH90="","",'Finalterm OVPAA-F-INS-055A RAW '!BH90/'Finalterm OVPAA-F-INS-055A RAW '!BH$17*100)</f>
        <v/>
      </c>
      <c r="BI90" s="126" t="str">
        <f>IF('Finalterm OVPAA-F-INS-055A RAW '!BI90="","",'Finalterm OVPAA-F-INS-055A RAW '!BI90/'Finalterm OVPAA-F-INS-055A RAW '!BI$17*100)</f>
        <v/>
      </c>
      <c r="BJ90" s="126" t="str">
        <f>IF('Finalterm OVPAA-F-INS-055A RAW '!BJ90="","",'Finalterm OVPAA-F-INS-055A RAW '!BJ90/'Finalterm OVPAA-F-INS-055A RAW '!BJ$17*100)</f>
        <v/>
      </c>
      <c r="BK90" s="126" t="str">
        <f>IF('Finalterm OVPAA-F-INS-055A RAW '!BK90="","",'Finalterm OVPAA-F-INS-055A RAW '!BK90/'Finalterm OVPAA-F-INS-055A RAW '!BK$17*100)</f>
        <v/>
      </c>
      <c r="BL90" s="126" t="str">
        <f>IF('Finalterm OVPAA-F-INS-055A RAW '!BL90="","",'Finalterm OVPAA-F-INS-055A RAW '!BL90/'Finalterm OVPAA-F-INS-055A RAW '!BL$17*100)</f>
        <v/>
      </c>
      <c r="BM90" s="126" t="str">
        <f>IF('Finalterm OVPAA-F-INS-055A RAW '!BM90="","",'Finalterm OVPAA-F-INS-055A RAW '!BM90/'Finalterm OVPAA-F-INS-055A RAW '!BM$17*100)</f>
        <v/>
      </c>
      <c r="BN90" s="126" t="str">
        <f>IF('Finalterm OVPAA-F-INS-055A RAW '!BN90="","",'Finalterm OVPAA-F-INS-055A RAW '!BN90/'Finalterm OVPAA-F-INS-055A RAW '!BN$17*100)</f>
        <v/>
      </c>
      <c r="BO90" s="126" t="str">
        <f>IF('Finalterm OVPAA-F-INS-055A RAW '!BO90="","",'Finalterm OVPAA-F-INS-055A RAW '!BO90/'Finalterm OVPAA-F-INS-055A RAW '!BO$17*100)</f>
        <v/>
      </c>
      <c r="BP90" s="126" t="str">
        <f>IF('Finalterm OVPAA-F-INS-055A RAW '!BP90="","",'Finalterm OVPAA-F-INS-055A RAW '!BP90/'Finalterm OVPAA-F-INS-055A RAW '!BP$17*100)</f>
        <v/>
      </c>
      <c r="BQ90" s="126" t="str">
        <f>IF('Finalterm OVPAA-F-INS-055A RAW '!BQ90="","",'Finalterm OVPAA-F-INS-055A RAW '!BQ90/'Finalterm OVPAA-F-INS-055A RAW '!BQ$17*100)</f>
        <v/>
      </c>
      <c r="BR90" s="126" t="str">
        <f>IF('Finalterm OVPAA-F-INS-055A RAW '!BR90="","",'Finalterm OVPAA-F-INS-055A RAW '!BR90/'Finalterm OVPAA-F-INS-055A RAW '!BR$17*100)</f>
        <v/>
      </c>
      <c r="BS90" s="126" t="str">
        <f>IF('Finalterm OVPAA-F-INS-055A RAW '!BS90="","",'Finalterm OVPAA-F-INS-055A RAW '!BS90/'Finalterm OVPAA-F-INS-055A RAW '!BS$17*100)</f>
        <v/>
      </c>
      <c r="BT90" s="126" t="str">
        <f>IF('Finalterm OVPAA-F-INS-055A RAW '!BT90="","",'Finalterm OVPAA-F-INS-055A RAW '!BT90/'Finalterm OVPAA-F-INS-055A RAW '!BT$17*100)</f>
        <v/>
      </c>
      <c r="BU90" s="127" t="str">
        <f t="array" ref="BU90">IF('Finalterm OVPAA-F-INS-055A RAW '!$G90="","",IF((SUMPRODUCT(--ISBLANK('Finalterm OVPAA-F-INS-055A RAW '!H90:BT90))=COLUMNS('Finalterm OVPAA-F-INS-055A RAW '!H90:BT90))=TRUE,"",(((COUNTA('Finalterm OVPAA-F-INS-055A RAW '!$H$17:$BT$17)+COUNTBLANK('Finalterm OVPAA-F-INS-055A RAW '!H90:BT90))-COLUMNS('Finalterm OVPAA-F-INS-055A RAW '!H90:BT90))*5+SUM(H90:BT90))/COUNTA('Finalterm OVPAA-F-INS-055A RAW '!$H$17:$BT$17)))</f>
        <v/>
      </c>
      <c r="BV90" s="165" t="str">
        <f>IF(BU90="","",VLOOKUP(BU90,IF('Midterm OVPAA-F-INS-055A RAW SC'!$V$12=0.5,TRANSMUTATION!$C$4:$D$17,TRANSMUTATION!$G$4:$H$17),2,TRUE))</f>
        <v/>
      </c>
      <c r="BW90" s="129" t="str">
        <f>IF('Finalterm OVPAA-F-INS-055A RAW '!BU90="","",'Finalterm OVPAA-F-INS-055A RAW '!BU90/'Finalterm OVPAA-F-INS-055A RAW '!BU$17*100)</f>
        <v/>
      </c>
      <c r="BX90" s="130" t="str">
        <f>IF('Finalterm OVPAA-F-INS-055A RAW '!BV90="","",'Finalterm OVPAA-F-INS-055A RAW '!BV90/'Finalterm OVPAA-F-INS-055A RAW '!BV$17*100)</f>
        <v/>
      </c>
      <c r="BY90" s="130" t="str">
        <f>IF('Finalterm OVPAA-F-INS-055A RAW '!BW90="","",'Finalterm OVPAA-F-INS-055A RAW '!BW90/'Finalterm OVPAA-F-INS-055A RAW '!BW$17*100)</f>
        <v/>
      </c>
      <c r="BZ90" s="130" t="str">
        <f>IF('Finalterm OVPAA-F-INS-055A RAW '!BX90="","",'Finalterm OVPAA-F-INS-055A RAW '!BX90/'Finalterm OVPAA-F-INS-055A RAW '!BX$17*100)</f>
        <v/>
      </c>
      <c r="CA90" s="130" t="str">
        <f>IF('Finalterm OVPAA-F-INS-055A RAW '!BY90="","",'Finalterm OVPAA-F-INS-055A RAW '!BY90/'Finalterm OVPAA-F-INS-055A RAW '!BY$17*100)</f>
        <v/>
      </c>
      <c r="CB90" s="130" t="str">
        <f>IF('Finalterm OVPAA-F-INS-055A RAW '!BZ90="","",'Finalterm OVPAA-F-INS-055A RAW '!BZ90/'Finalterm OVPAA-F-INS-055A RAW '!BZ$17*100)</f>
        <v/>
      </c>
      <c r="CC90" s="130" t="str">
        <f>IF('Finalterm OVPAA-F-INS-055A RAW '!CA90="","",'Finalterm OVPAA-F-INS-055A RAW '!CA90/'Finalterm OVPAA-F-INS-055A RAW '!CA$17*100)</f>
        <v/>
      </c>
      <c r="CD90" s="130" t="str">
        <f>IF('Finalterm OVPAA-F-INS-055A RAW '!CB90="","",'Finalterm OVPAA-F-INS-055A RAW '!CB90/'Finalterm OVPAA-F-INS-055A RAW '!CB$17*100)</f>
        <v/>
      </c>
      <c r="CE90" s="130" t="str">
        <f>IF('Finalterm OVPAA-F-INS-055A RAW '!CC90="","",'Finalterm OVPAA-F-INS-055A RAW '!CC90/'Finalterm OVPAA-F-INS-055A RAW '!CC$17*100)</f>
        <v/>
      </c>
      <c r="CF90" s="130" t="str">
        <f>IF('Finalterm OVPAA-F-INS-055A RAW '!CD90="","",'Finalterm OVPAA-F-INS-055A RAW '!CD90/'Finalterm OVPAA-F-INS-055A RAW '!CD$17*100)</f>
        <v/>
      </c>
      <c r="CG90" s="130" t="str">
        <f>IF('Finalterm OVPAA-F-INS-055A RAW '!CE90="","",'Finalterm OVPAA-F-INS-055A RAW '!CE90/'Finalterm OVPAA-F-INS-055A RAW '!CE$17*100)</f>
        <v/>
      </c>
      <c r="CH90" s="130" t="str">
        <f>IF('Finalterm OVPAA-F-INS-055A RAW '!CF90="","",'Finalterm OVPAA-F-INS-055A RAW '!CF90/'Finalterm OVPAA-F-INS-055A RAW '!CF$17*100)</f>
        <v/>
      </c>
      <c r="CI90" s="130" t="str">
        <f>IF('Finalterm OVPAA-F-INS-055A RAW '!CG90="","",'Finalterm OVPAA-F-INS-055A RAW '!CG90/'Finalterm OVPAA-F-INS-055A RAW '!CG$17*100)</f>
        <v/>
      </c>
      <c r="CJ90" s="130" t="str">
        <f>IF('Finalterm OVPAA-F-INS-055A RAW '!CH90="","",'Finalterm OVPAA-F-INS-055A RAW '!CH90/'Finalterm OVPAA-F-INS-055A RAW '!CH$17*100)</f>
        <v/>
      </c>
      <c r="CK90" s="130" t="str">
        <f>IF('Finalterm OVPAA-F-INS-055A RAW '!CI90="","",'Finalterm OVPAA-F-INS-055A RAW '!CI90/'Finalterm OVPAA-F-INS-055A RAW '!CI$17*100)</f>
        <v/>
      </c>
      <c r="CL90" s="130" t="str">
        <f>IF('Finalterm OVPAA-F-INS-055A RAW '!CJ90="","",'Finalterm OVPAA-F-INS-055A RAW '!CJ90/'Finalterm OVPAA-F-INS-055A RAW '!CJ$17*100)</f>
        <v/>
      </c>
      <c r="CM90" s="130" t="str">
        <f>IF('Finalterm OVPAA-F-INS-055A RAW '!CK90="","",'Finalterm OVPAA-F-INS-055A RAW '!CK90/'Finalterm OVPAA-F-INS-055A RAW '!CK$17*100)</f>
        <v/>
      </c>
      <c r="CN90" s="130" t="str">
        <f>IF('Finalterm OVPAA-F-INS-055A RAW '!CL90="","",'Finalterm OVPAA-F-INS-055A RAW '!CL90/'Finalterm OVPAA-F-INS-055A RAW '!CL$17*100)</f>
        <v/>
      </c>
      <c r="CO90" s="130" t="str">
        <f>IF('Finalterm OVPAA-F-INS-055A RAW '!CM90="","",'Finalterm OVPAA-F-INS-055A RAW '!CM90/'Finalterm OVPAA-F-INS-055A RAW '!CM$17*100)</f>
        <v/>
      </c>
      <c r="CP90" s="130" t="str">
        <f>IF('Finalterm OVPAA-F-INS-055A RAW '!CN90="","",'Finalterm OVPAA-F-INS-055A RAW '!CN90/'Finalterm OVPAA-F-INS-055A RAW '!CN$17*100)</f>
        <v/>
      </c>
      <c r="CQ90" s="131" t="str">
        <f t="array" ref="CQ90">IF('Midterm OVPAA-F-INS-055A RAW SC'!G90="","",IF((SUMPRODUCT(--ISBLANK('Finalterm OVPAA-F-INS-055A RAW '!BU90:CN90))=COLUMNS('Finalterm OVPAA-F-INS-055A RAW '!BU90:CN90))=TRUE,"",(((COUNTA('Finalterm OVPAA-F-INS-055A RAW '!$BU$17:$CN$17)+COUNTBLANK('Finalterm OVPAA-F-INS-055A RAW '!BU90:CN90))-COLUMNS('Finalterm OVPAA-F-INS-055A RAW '!BU90:CN90))*5+SUM(BW90:CP90))/COUNTA('Finalterm OVPAA-F-INS-055A RAW '!$BU$17:$CN$17)))</f>
        <v/>
      </c>
      <c r="CR90" s="132" t="str">
        <f>IF(CQ90="","",VLOOKUP(CQ90,IF('Midterm OVPAA-F-INS-055A RAW SC'!$V$12=0.5,TRANSMUTATION!$C$4:$D$17,TRANSMUTATION!$G$4:$H$17),2,TRUE))</f>
        <v/>
      </c>
      <c r="CS90" s="133" t="str">
        <f>IF('Finalterm OVPAA-F-INS-055A RAW '!CO90="","",'Finalterm OVPAA-F-INS-055A RAW '!CO90/'Finalterm OVPAA-F-INS-055A RAW '!CO$17*100)</f>
        <v/>
      </c>
      <c r="CT90" s="133" t="str">
        <f>IF('Finalterm OVPAA-F-INS-055A RAW '!CP90="","",'Finalterm OVPAA-F-INS-055A RAW '!CP90/'Finalterm OVPAA-F-INS-055A RAW '!CP$17*100)</f>
        <v/>
      </c>
      <c r="CU90" s="133" t="str">
        <f>IF('Finalterm OVPAA-F-INS-055A RAW '!CQ90="","",'Finalterm OVPAA-F-INS-055A RAW '!CQ90/'Finalterm OVPAA-F-INS-055A RAW '!CQ$17*100)</f>
        <v/>
      </c>
      <c r="CV90" s="133" t="str">
        <f>IF('Finalterm OVPAA-F-INS-055A RAW '!CR90="","",'Finalterm OVPAA-F-INS-055A RAW '!CR90/'Finalterm OVPAA-F-INS-055A RAW '!CR$17*100)</f>
        <v/>
      </c>
      <c r="CW90" s="133" t="str">
        <f>IF('Finalterm OVPAA-F-INS-055A RAW '!CS90="","",'Finalterm OVPAA-F-INS-055A RAW '!CS90/'Finalterm OVPAA-F-INS-055A RAW '!CS$17*100)</f>
        <v/>
      </c>
      <c r="CX90" s="133" t="str">
        <f>IF('Finalterm OVPAA-F-INS-055A RAW '!CT90="","",'Finalterm OVPAA-F-INS-055A RAW '!CT90/'Finalterm OVPAA-F-INS-055A RAW '!CT$17*100)</f>
        <v/>
      </c>
      <c r="CY90" s="133" t="str">
        <f>IF('Finalterm OVPAA-F-INS-055A RAW '!CU90="","",'Finalterm OVPAA-F-INS-055A RAW '!CU90/'Finalterm OVPAA-F-INS-055A RAW '!CU$17*100)</f>
        <v/>
      </c>
      <c r="CZ90" s="133" t="str">
        <f>IF('Finalterm OVPAA-F-INS-055A RAW '!CV90="","",'Finalterm OVPAA-F-INS-055A RAW '!CV90/'Finalterm OVPAA-F-INS-055A RAW '!CV$17*100)</f>
        <v/>
      </c>
      <c r="DA90" s="133" t="str">
        <f>IF('Finalterm OVPAA-F-INS-055A RAW '!CW90="","",'Finalterm OVPAA-F-INS-055A RAW '!CW90/'Finalterm OVPAA-F-INS-055A RAW '!CW$17*100)</f>
        <v/>
      </c>
      <c r="DB90" s="133" t="str">
        <f>IF('Finalterm OVPAA-F-INS-055A RAW '!CX90="","",'Finalterm OVPAA-F-INS-055A RAW '!CX90/'Finalterm OVPAA-F-INS-055A RAW '!CX$17*100)</f>
        <v/>
      </c>
      <c r="DC90" s="134" t="str">
        <f t="array" ref="DC90">IF('Midterm OVPAA-F-INS-055A RAW SC'!$G90="","",IF((SUMPRODUCT(--ISBLANK('Finalterm OVPAA-F-INS-055A RAW '!CO90:CX90))=COLUMNS('Finalterm OVPAA-F-INS-055A RAW '!CO90:CX90))=TRUE,"",(((COUNTA('Finalterm OVPAA-F-INS-055A RAW '!$CO$17:$CX$17)+COUNTBLANK('Finalterm OVPAA-F-INS-055A RAW '!CO90:CX90))-COLUMNS('Finalterm OVPAA-F-INS-055A RAW '!CO90:CX90))*5+SUM(CS90:DB90))/COUNTA('Finalterm OVPAA-F-INS-055A RAW '!$CO$17:$CX$17)))</f>
        <v/>
      </c>
      <c r="DD90" s="135" t="str">
        <f>IF(DC90="","",VLOOKUP(DC90,IF('Midterm OVPAA-F-INS-055A RAW SC'!$V$12=0.5,TRANSMUTATION!$C$4:$D$17,TRANSMUTATION!$G$4:$H$17),2,TRUE))</f>
        <v/>
      </c>
      <c r="DE90" s="136" t="str">
        <f t="shared" si="1"/>
        <v/>
      </c>
      <c r="DF90" s="166" t="str">
        <f t="shared" si="2"/>
        <v/>
      </c>
      <c r="DG90" s="167" t="str">
        <f t="shared" si="3"/>
        <v/>
      </c>
      <c r="DH90" s="168" t="str">
        <f t="shared" si="4"/>
        <v/>
      </c>
      <c r="DI90" s="169" t="str">
        <f t="shared" si="5"/>
        <v/>
      </c>
    </row>
    <row r="91" spans="1:113" ht="15.75" hidden="1" customHeight="1">
      <c r="A91" s="5"/>
      <c r="B91" s="5"/>
      <c r="C91" s="5"/>
      <c r="D91" s="5"/>
      <c r="E91" s="59">
        <v>74</v>
      </c>
      <c r="F91" s="124" t="str">
        <f>IF(NOT(ISBLANK('Midterm OVPAA-F-INS-055A RAW SC'!F91)),'Midterm OVPAA-F-INS-055A RAW SC'!F91,"")</f>
        <v/>
      </c>
      <c r="G91" s="125" t="str">
        <f>IF(NOT(ISBLANK('Midterm OVPAA-F-INS-055A RAW SC'!G91)),'Midterm OVPAA-F-INS-055A RAW SC'!G91,"")</f>
        <v/>
      </c>
      <c r="H91" s="126" t="str">
        <f>IF('Finalterm OVPAA-F-INS-055A RAW '!H91="","",'Finalterm OVPAA-F-INS-055A RAW '!H91/'Finalterm OVPAA-F-INS-055A RAW '!H$17*100)</f>
        <v/>
      </c>
      <c r="I91" s="126" t="str">
        <f>IF('Finalterm OVPAA-F-INS-055A RAW '!I91="","",'Finalterm OVPAA-F-INS-055A RAW '!I91/'Finalterm OVPAA-F-INS-055A RAW '!I$17*100)</f>
        <v/>
      </c>
      <c r="J91" s="126" t="str">
        <f>IF('Finalterm OVPAA-F-INS-055A RAW '!J91="","",'Finalterm OVPAA-F-INS-055A RAW '!J91/'Finalterm OVPAA-F-INS-055A RAW '!J$17*100)</f>
        <v/>
      </c>
      <c r="K91" s="126" t="str">
        <f>IF('Finalterm OVPAA-F-INS-055A RAW '!K91="","",'Finalterm OVPAA-F-INS-055A RAW '!K91/'Finalterm OVPAA-F-INS-055A RAW '!K$17*100)</f>
        <v/>
      </c>
      <c r="L91" s="126" t="str">
        <f>IF('Finalterm OVPAA-F-INS-055A RAW '!L91="","",'Finalterm OVPAA-F-INS-055A RAW '!L91/'Finalterm OVPAA-F-INS-055A RAW '!L$17*100)</f>
        <v/>
      </c>
      <c r="M91" s="126" t="str">
        <f>IF('Finalterm OVPAA-F-INS-055A RAW '!M91="","",'Finalterm OVPAA-F-INS-055A RAW '!M91/'Finalterm OVPAA-F-INS-055A RAW '!M$17*100)</f>
        <v/>
      </c>
      <c r="N91" s="126" t="str">
        <f>IF('Finalterm OVPAA-F-INS-055A RAW '!N91="","",'Finalterm OVPAA-F-INS-055A RAW '!N91/'Finalterm OVPAA-F-INS-055A RAW '!N$17*100)</f>
        <v/>
      </c>
      <c r="O91" s="126" t="str">
        <f>IF('Finalterm OVPAA-F-INS-055A RAW '!O91="","",'Finalterm OVPAA-F-INS-055A RAW '!O91/'Finalterm OVPAA-F-INS-055A RAW '!O$17*100)</f>
        <v/>
      </c>
      <c r="P91" s="126" t="str">
        <f>IF('Finalterm OVPAA-F-INS-055A RAW '!P91="","",'Finalterm OVPAA-F-INS-055A RAW '!P91/'Finalterm OVPAA-F-INS-055A RAW '!P$17*100)</f>
        <v/>
      </c>
      <c r="Q91" s="126" t="str">
        <f>IF('Finalterm OVPAA-F-INS-055A RAW '!Q91="","",'Finalterm OVPAA-F-INS-055A RAW '!Q91/'Finalterm OVPAA-F-INS-055A RAW '!Q$17*100)</f>
        <v/>
      </c>
      <c r="R91" s="126" t="str">
        <f>IF('Finalterm OVPAA-F-INS-055A RAW '!R91="","",'Finalterm OVPAA-F-INS-055A RAW '!R91/'Finalterm OVPAA-F-INS-055A RAW '!R$17*100)</f>
        <v/>
      </c>
      <c r="S91" s="126" t="str">
        <f>IF('Finalterm OVPAA-F-INS-055A RAW '!S91="","",'Finalterm OVPAA-F-INS-055A RAW '!S91/'Finalterm OVPAA-F-INS-055A RAW '!S$17*100)</f>
        <v/>
      </c>
      <c r="T91" s="126" t="str">
        <f>IF('Finalterm OVPAA-F-INS-055A RAW '!T91="","",'Finalterm OVPAA-F-INS-055A RAW '!T91/'Finalterm OVPAA-F-INS-055A RAW '!T$17*100)</f>
        <v/>
      </c>
      <c r="U91" s="126" t="str">
        <f>IF('Finalterm OVPAA-F-INS-055A RAW '!U91="","",'Finalterm OVPAA-F-INS-055A RAW '!U91/'Finalterm OVPAA-F-INS-055A RAW '!U$17*100)</f>
        <v/>
      </c>
      <c r="V91" s="126" t="str">
        <f>IF('Finalterm OVPAA-F-INS-055A RAW '!V91="","",'Finalterm OVPAA-F-INS-055A RAW '!V91/'Finalterm OVPAA-F-INS-055A RAW '!V$17*100)</f>
        <v/>
      </c>
      <c r="W91" s="126" t="str">
        <f>IF('Finalterm OVPAA-F-INS-055A RAW '!W91="","",'Finalterm OVPAA-F-INS-055A RAW '!W91/'Finalterm OVPAA-F-INS-055A RAW '!W$17*100)</f>
        <v/>
      </c>
      <c r="X91" s="126" t="str">
        <f>IF('Finalterm OVPAA-F-INS-055A RAW '!X91="","",'Finalterm OVPAA-F-INS-055A RAW '!X91/'Finalterm OVPAA-F-INS-055A RAW '!X$17*100)</f>
        <v/>
      </c>
      <c r="Y91" s="126" t="str">
        <f>IF('Finalterm OVPAA-F-INS-055A RAW '!Y91="","",'Finalterm OVPAA-F-INS-055A RAW '!Y91/'Finalterm OVPAA-F-INS-055A RAW '!Y$17*100)</f>
        <v/>
      </c>
      <c r="Z91" s="126" t="str">
        <f>IF('Finalterm OVPAA-F-INS-055A RAW '!Z91="","",'Finalterm OVPAA-F-INS-055A RAW '!Z91/'Finalterm OVPAA-F-INS-055A RAW '!Z$17*100)</f>
        <v/>
      </c>
      <c r="AA91" s="126" t="str">
        <f>IF('Finalterm OVPAA-F-INS-055A RAW '!AA91="","",'Finalterm OVPAA-F-INS-055A RAW '!AA91/'Finalterm OVPAA-F-INS-055A RAW '!AA$17*100)</f>
        <v/>
      </c>
      <c r="AB91" s="126" t="str">
        <f>IF('Finalterm OVPAA-F-INS-055A RAW '!AB91="","",'Finalterm OVPAA-F-INS-055A RAW '!AB91/'Finalterm OVPAA-F-INS-055A RAW '!AB$17*100)</f>
        <v/>
      </c>
      <c r="AC91" s="126" t="str">
        <f>IF('Finalterm OVPAA-F-INS-055A RAW '!AC91="","",'Finalterm OVPAA-F-INS-055A RAW '!AC91/'Finalterm OVPAA-F-INS-055A RAW '!AC$17*100)</f>
        <v/>
      </c>
      <c r="AD91" s="126" t="str">
        <f>IF('Finalterm OVPAA-F-INS-055A RAW '!AD91="","",'Finalterm OVPAA-F-INS-055A RAW '!AD91/'Finalterm OVPAA-F-INS-055A RAW '!AD$17*100)</f>
        <v/>
      </c>
      <c r="AE91" s="126" t="str">
        <f>IF('Finalterm OVPAA-F-INS-055A RAW '!AE91="","",'Finalterm OVPAA-F-INS-055A RAW '!AE91/'Finalterm OVPAA-F-INS-055A RAW '!AE$17*100)</f>
        <v/>
      </c>
      <c r="AF91" s="126" t="str">
        <f>IF('Finalterm OVPAA-F-INS-055A RAW '!AF91="","",'Finalterm OVPAA-F-INS-055A RAW '!AF91/'Finalterm OVPAA-F-INS-055A RAW '!AF$17*100)</f>
        <v/>
      </c>
      <c r="AG91" s="126" t="str">
        <f>IF('Finalterm OVPAA-F-INS-055A RAW '!AG91="","",'Finalterm OVPAA-F-INS-055A RAW '!AG91/'Finalterm OVPAA-F-INS-055A RAW '!AG$17*100)</f>
        <v/>
      </c>
      <c r="AH91" s="126" t="str">
        <f>IF('Finalterm OVPAA-F-INS-055A RAW '!AH91="","",'Finalterm OVPAA-F-INS-055A RAW '!AH91/'Finalterm OVPAA-F-INS-055A RAW '!AH$17*100)</f>
        <v/>
      </c>
      <c r="AI91" s="126" t="str">
        <f>IF('Finalterm OVPAA-F-INS-055A RAW '!AI91="","",'Finalterm OVPAA-F-INS-055A RAW '!AI91/'Finalterm OVPAA-F-INS-055A RAW '!AI$17*100)</f>
        <v/>
      </c>
      <c r="AJ91" s="126" t="str">
        <f>IF('Finalterm OVPAA-F-INS-055A RAW '!AJ91="","",'Finalterm OVPAA-F-INS-055A RAW '!AJ91/'Finalterm OVPAA-F-INS-055A RAW '!AJ$17*100)</f>
        <v/>
      </c>
      <c r="AK91" s="126" t="str">
        <f>IF('Finalterm OVPAA-F-INS-055A RAW '!AK91="","",'Finalterm OVPAA-F-INS-055A RAW '!AK91/'Finalterm OVPAA-F-INS-055A RAW '!AK$17*100)</f>
        <v/>
      </c>
      <c r="AL91" s="126" t="str">
        <f>IF('Finalterm OVPAA-F-INS-055A RAW '!AL91="","",'Finalterm OVPAA-F-INS-055A RAW '!AL91/'Finalterm OVPAA-F-INS-055A RAW '!AL$17*100)</f>
        <v/>
      </c>
      <c r="AM91" s="126" t="str">
        <f>IF('Finalterm OVPAA-F-INS-055A RAW '!AM91="","",'Finalterm OVPAA-F-INS-055A RAW '!AM91/'Finalterm OVPAA-F-INS-055A RAW '!AM$17*100)</f>
        <v/>
      </c>
      <c r="AN91" s="126" t="str">
        <f>IF('Finalterm OVPAA-F-INS-055A RAW '!AN91="","",'Finalterm OVPAA-F-INS-055A RAW '!AN91/'Finalterm OVPAA-F-INS-055A RAW '!AN$17*100)</f>
        <v/>
      </c>
      <c r="AO91" s="126" t="str">
        <f>IF('Finalterm OVPAA-F-INS-055A RAW '!AO91="","",'Finalterm OVPAA-F-INS-055A RAW '!AO91/'Finalterm OVPAA-F-INS-055A RAW '!AO$17*100)</f>
        <v/>
      </c>
      <c r="AP91" s="126" t="str">
        <f>IF('Finalterm OVPAA-F-INS-055A RAW '!AP91="","",'Finalterm OVPAA-F-INS-055A RAW '!AP91/'Finalterm OVPAA-F-INS-055A RAW '!AP$17*100)</f>
        <v/>
      </c>
      <c r="AQ91" s="126" t="str">
        <f>IF('Finalterm OVPAA-F-INS-055A RAW '!AQ91="","",'Finalterm OVPAA-F-INS-055A RAW '!AQ91/'Finalterm OVPAA-F-INS-055A RAW '!AQ$17*100)</f>
        <v/>
      </c>
      <c r="AR91" s="126" t="str">
        <f>IF('Finalterm OVPAA-F-INS-055A RAW '!AR91="","",'Finalterm OVPAA-F-INS-055A RAW '!AR91/'Finalterm OVPAA-F-INS-055A RAW '!AR$17*100)</f>
        <v/>
      </c>
      <c r="AS91" s="126" t="str">
        <f>IF('Finalterm OVPAA-F-INS-055A RAW '!AS91="","",'Finalterm OVPAA-F-INS-055A RAW '!AS91/'Finalterm OVPAA-F-INS-055A RAW '!AS$17*100)</f>
        <v/>
      </c>
      <c r="AT91" s="126" t="str">
        <f>IF('Finalterm OVPAA-F-INS-055A RAW '!AT91="","",'Finalterm OVPAA-F-INS-055A RAW '!AT91/'Finalterm OVPAA-F-INS-055A RAW '!AT$17*100)</f>
        <v/>
      </c>
      <c r="AU91" s="126" t="str">
        <f>IF('Finalterm OVPAA-F-INS-055A RAW '!AU91="","",'Finalterm OVPAA-F-INS-055A RAW '!AU91/'Finalterm OVPAA-F-INS-055A RAW '!AU$17*100)</f>
        <v/>
      </c>
      <c r="AV91" s="126" t="str">
        <f>IF('Finalterm OVPAA-F-INS-055A RAW '!AV91="","",'Finalterm OVPAA-F-INS-055A RAW '!AV91/'Finalterm OVPAA-F-INS-055A RAW '!AV$17*100)</f>
        <v/>
      </c>
      <c r="AW91" s="126" t="str">
        <f>IF('Finalterm OVPAA-F-INS-055A RAW '!AW91="","",'Finalterm OVPAA-F-INS-055A RAW '!AW91/'Finalterm OVPAA-F-INS-055A RAW '!AW$17*100)</f>
        <v/>
      </c>
      <c r="AX91" s="126" t="str">
        <f>IF('Finalterm OVPAA-F-INS-055A RAW '!AX91="","",'Finalterm OVPAA-F-INS-055A RAW '!AX91/'Finalterm OVPAA-F-INS-055A RAW '!AX$17*100)</f>
        <v/>
      </c>
      <c r="AY91" s="126" t="str">
        <f>IF('Finalterm OVPAA-F-INS-055A RAW '!AY91="","",'Finalterm OVPAA-F-INS-055A RAW '!AY91/'Finalterm OVPAA-F-INS-055A RAW '!AY$17*100)</f>
        <v/>
      </c>
      <c r="AZ91" s="126" t="str">
        <f>IF('Finalterm OVPAA-F-INS-055A RAW '!AZ91="","",'Finalterm OVPAA-F-INS-055A RAW '!AZ91/'Finalterm OVPAA-F-INS-055A RAW '!AZ$17*100)</f>
        <v/>
      </c>
      <c r="BA91" s="126" t="str">
        <f>IF('Finalterm OVPAA-F-INS-055A RAW '!BA91="","",'Finalterm OVPAA-F-INS-055A RAW '!BA91/'Finalterm OVPAA-F-INS-055A RAW '!BA$17*100)</f>
        <v/>
      </c>
      <c r="BB91" s="126" t="str">
        <f>IF('Finalterm OVPAA-F-INS-055A RAW '!BB91="","",'Finalterm OVPAA-F-INS-055A RAW '!BB91/'Finalterm OVPAA-F-INS-055A RAW '!BB$17*100)</f>
        <v/>
      </c>
      <c r="BC91" s="126" t="str">
        <f>IF('Finalterm OVPAA-F-INS-055A RAW '!BC91="","",'Finalterm OVPAA-F-INS-055A RAW '!BC91/'Finalterm OVPAA-F-INS-055A RAW '!BC$17*100)</f>
        <v/>
      </c>
      <c r="BD91" s="126" t="str">
        <f>IF('Finalterm OVPAA-F-INS-055A RAW '!BD91="","",'Finalterm OVPAA-F-INS-055A RAW '!BD91/'Finalterm OVPAA-F-INS-055A RAW '!BD$17*100)</f>
        <v/>
      </c>
      <c r="BE91" s="126" t="str">
        <f>IF('Finalterm OVPAA-F-INS-055A RAW '!BE91="","",'Finalterm OVPAA-F-INS-055A RAW '!BE91/'Finalterm OVPAA-F-INS-055A RAW '!BE$17*100)</f>
        <v/>
      </c>
      <c r="BF91" s="126" t="str">
        <f>IF('Finalterm OVPAA-F-INS-055A RAW '!BF91="","",'Finalterm OVPAA-F-INS-055A RAW '!BF91/'Finalterm OVPAA-F-INS-055A RAW '!BF$17*100)</f>
        <v/>
      </c>
      <c r="BG91" s="126" t="str">
        <f>IF('Finalterm OVPAA-F-INS-055A RAW '!BG91="","",'Finalterm OVPAA-F-INS-055A RAW '!BG91/'Finalterm OVPAA-F-INS-055A RAW '!BG$17*100)</f>
        <v/>
      </c>
      <c r="BH91" s="126" t="str">
        <f>IF('Finalterm OVPAA-F-INS-055A RAW '!BH91="","",'Finalterm OVPAA-F-INS-055A RAW '!BH91/'Finalterm OVPAA-F-INS-055A RAW '!BH$17*100)</f>
        <v/>
      </c>
      <c r="BI91" s="126" t="str">
        <f>IF('Finalterm OVPAA-F-INS-055A RAW '!BI91="","",'Finalterm OVPAA-F-INS-055A RAW '!BI91/'Finalterm OVPAA-F-INS-055A RAW '!BI$17*100)</f>
        <v/>
      </c>
      <c r="BJ91" s="126" t="str">
        <f>IF('Finalterm OVPAA-F-INS-055A RAW '!BJ91="","",'Finalterm OVPAA-F-INS-055A RAW '!BJ91/'Finalterm OVPAA-F-INS-055A RAW '!BJ$17*100)</f>
        <v/>
      </c>
      <c r="BK91" s="126" t="str">
        <f>IF('Finalterm OVPAA-F-INS-055A RAW '!BK91="","",'Finalterm OVPAA-F-INS-055A RAW '!BK91/'Finalterm OVPAA-F-INS-055A RAW '!BK$17*100)</f>
        <v/>
      </c>
      <c r="BL91" s="126" t="str">
        <f>IF('Finalterm OVPAA-F-INS-055A RAW '!BL91="","",'Finalterm OVPAA-F-INS-055A RAW '!BL91/'Finalterm OVPAA-F-INS-055A RAW '!BL$17*100)</f>
        <v/>
      </c>
      <c r="BM91" s="126" t="str">
        <f>IF('Finalterm OVPAA-F-INS-055A RAW '!BM91="","",'Finalterm OVPAA-F-INS-055A RAW '!BM91/'Finalterm OVPAA-F-INS-055A RAW '!BM$17*100)</f>
        <v/>
      </c>
      <c r="BN91" s="126" t="str">
        <f>IF('Finalterm OVPAA-F-INS-055A RAW '!BN91="","",'Finalterm OVPAA-F-INS-055A RAW '!BN91/'Finalterm OVPAA-F-INS-055A RAW '!BN$17*100)</f>
        <v/>
      </c>
      <c r="BO91" s="126" t="str">
        <f>IF('Finalterm OVPAA-F-INS-055A RAW '!BO91="","",'Finalterm OVPAA-F-INS-055A RAW '!BO91/'Finalterm OVPAA-F-INS-055A RAW '!BO$17*100)</f>
        <v/>
      </c>
      <c r="BP91" s="126" t="str">
        <f>IF('Finalterm OVPAA-F-INS-055A RAW '!BP91="","",'Finalterm OVPAA-F-INS-055A RAW '!BP91/'Finalterm OVPAA-F-INS-055A RAW '!BP$17*100)</f>
        <v/>
      </c>
      <c r="BQ91" s="126" t="str">
        <f>IF('Finalterm OVPAA-F-INS-055A RAW '!BQ91="","",'Finalterm OVPAA-F-INS-055A RAW '!BQ91/'Finalterm OVPAA-F-INS-055A RAW '!BQ$17*100)</f>
        <v/>
      </c>
      <c r="BR91" s="126" t="str">
        <f>IF('Finalterm OVPAA-F-INS-055A RAW '!BR91="","",'Finalterm OVPAA-F-INS-055A RAW '!BR91/'Finalterm OVPAA-F-INS-055A RAW '!BR$17*100)</f>
        <v/>
      </c>
      <c r="BS91" s="126" t="str">
        <f>IF('Finalterm OVPAA-F-INS-055A RAW '!BS91="","",'Finalterm OVPAA-F-INS-055A RAW '!BS91/'Finalterm OVPAA-F-INS-055A RAW '!BS$17*100)</f>
        <v/>
      </c>
      <c r="BT91" s="126" t="str">
        <f>IF('Finalterm OVPAA-F-INS-055A RAW '!BT91="","",'Finalterm OVPAA-F-INS-055A RAW '!BT91/'Finalterm OVPAA-F-INS-055A RAW '!BT$17*100)</f>
        <v/>
      </c>
      <c r="BU91" s="127" t="str">
        <f t="array" ref="BU91">IF('Finalterm OVPAA-F-INS-055A RAW '!$G91="","",IF((SUMPRODUCT(--ISBLANK('Finalterm OVPAA-F-INS-055A RAW '!H91:BT91))=COLUMNS('Finalterm OVPAA-F-INS-055A RAW '!H91:BT91))=TRUE,"",(((COUNTA('Finalterm OVPAA-F-INS-055A RAW '!$H$17:$BT$17)+COUNTBLANK('Finalterm OVPAA-F-INS-055A RAW '!H91:BT91))-COLUMNS('Finalterm OVPAA-F-INS-055A RAW '!H91:BT91))*5+SUM(H91:BT91))/COUNTA('Finalterm OVPAA-F-INS-055A RAW '!$H$17:$BT$17)))</f>
        <v/>
      </c>
      <c r="BV91" s="165" t="str">
        <f>IF(BU91="","",VLOOKUP(BU91,IF('Midterm OVPAA-F-INS-055A RAW SC'!$V$12=0.5,TRANSMUTATION!$C$4:$D$17,TRANSMUTATION!$G$4:$H$17),2,TRUE))</f>
        <v/>
      </c>
      <c r="BW91" s="129" t="str">
        <f>IF('Finalterm OVPAA-F-INS-055A RAW '!BU91="","",'Finalterm OVPAA-F-INS-055A RAW '!BU91/'Finalterm OVPAA-F-INS-055A RAW '!BU$17*100)</f>
        <v/>
      </c>
      <c r="BX91" s="130" t="str">
        <f>IF('Finalterm OVPAA-F-INS-055A RAW '!BV91="","",'Finalterm OVPAA-F-INS-055A RAW '!BV91/'Finalterm OVPAA-F-INS-055A RAW '!BV$17*100)</f>
        <v/>
      </c>
      <c r="BY91" s="130" t="str">
        <f>IF('Finalterm OVPAA-F-INS-055A RAW '!BW91="","",'Finalterm OVPAA-F-INS-055A RAW '!BW91/'Finalterm OVPAA-F-INS-055A RAW '!BW$17*100)</f>
        <v/>
      </c>
      <c r="BZ91" s="130" t="str">
        <f>IF('Finalterm OVPAA-F-INS-055A RAW '!BX91="","",'Finalterm OVPAA-F-INS-055A RAW '!BX91/'Finalterm OVPAA-F-INS-055A RAW '!BX$17*100)</f>
        <v/>
      </c>
      <c r="CA91" s="130" t="str">
        <f>IF('Finalterm OVPAA-F-INS-055A RAW '!BY91="","",'Finalterm OVPAA-F-INS-055A RAW '!BY91/'Finalterm OVPAA-F-INS-055A RAW '!BY$17*100)</f>
        <v/>
      </c>
      <c r="CB91" s="130" t="str">
        <f>IF('Finalterm OVPAA-F-INS-055A RAW '!BZ91="","",'Finalterm OVPAA-F-INS-055A RAW '!BZ91/'Finalterm OVPAA-F-INS-055A RAW '!BZ$17*100)</f>
        <v/>
      </c>
      <c r="CC91" s="130" t="str">
        <f>IF('Finalterm OVPAA-F-INS-055A RAW '!CA91="","",'Finalterm OVPAA-F-INS-055A RAW '!CA91/'Finalterm OVPAA-F-INS-055A RAW '!CA$17*100)</f>
        <v/>
      </c>
      <c r="CD91" s="130" t="str">
        <f>IF('Finalterm OVPAA-F-INS-055A RAW '!CB91="","",'Finalterm OVPAA-F-INS-055A RAW '!CB91/'Finalterm OVPAA-F-INS-055A RAW '!CB$17*100)</f>
        <v/>
      </c>
      <c r="CE91" s="130" t="str">
        <f>IF('Finalterm OVPAA-F-INS-055A RAW '!CC91="","",'Finalterm OVPAA-F-INS-055A RAW '!CC91/'Finalterm OVPAA-F-INS-055A RAW '!CC$17*100)</f>
        <v/>
      </c>
      <c r="CF91" s="130" t="str">
        <f>IF('Finalterm OVPAA-F-INS-055A RAW '!CD91="","",'Finalterm OVPAA-F-INS-055A RAW '!CD91/'Finalterm OVPAA-F-INS-055A RAW '!CD$17*100)</f>
        <v/>
      </c>
      <c r="CG91" s="130" t="str">
        <f>IF('Finalterm OVPAA-F-INS-055A RAW '!CE91="","",'Finalterm OVPAA-F-INS-055A RAW '!CE91/'Finalterm OVPAA-F-INS-055A RAW '!CE$17*100)</f>
        <v/>
      </c>
      <c r="CH91" s="130" t="str">
        <f>IF('Finalterm OVPAA-F-INS-055A RAW '!CF91="","",'Finalterm OVPAA-F-INS-055A RAW '!CF91/'Finalterm OVPAA-F-INS-055A RAW '!CF$17*100)</f>
        <v/>
      </c>
      <c r="CI91" s="130" t="str">
        <f>IF('Finalterm OVPAA-F-INS-055A RAW '!CG91="","",'Finalterm OVPAA-F-INS-055A RAW '!CG91/'Finalterm OVPAA-F-INS-055A RAW '!CG$17*100)</f>
        <v/>
      </c>
      <c r="CJ91" s="130" t="str">
        <f>IF('Finalterm OVPAA-F-INS-055A RAW '!CH91="","",'Finalterm OVPAA-F-INS-055A RAW '!CH91/'Finalterm OVPAA-F-INS-055A RAW '!CH$17*100)</f>
        <v/>
      </c>
      <c r="CK91" s="130" t="str">
        <f>IF('Finalterm OVPAA-F-INS-055A RAW '!CI91="","",'Finalterm OVPAA-F-INS-055A RAW '!CI91/'Finalterm OVPAA-F-INS-055A RAW '!CI$17*100)</f>
        <v/>
      </c>
      <c r="CL91" s="130" t="str">
        <f>IF('Finalterm OVPAA-F-INS-055A RAW '!CJ91="","",'Finalterm OVPAA-F-INS-055A RAW '!CJ91/'Finalterm OVPAA-F-INS-055A RAW '!CJ$17*100)</f>
        <v/>
      </c>
      <c r="CM91" s="130" t="str">
        <f>IF('Finalterm OVPAA-F-INS-055A RAW '!CK91="","",'Finalterm OVPAA-F-INS-055A RAW '!CK91/'Finalterm OVPAA-F-INS-055A RAW '!CK$17*100)</f>
        <v/>
      </c>
      <c r="CN91" s="130" t="str">
        <f>IF('Finalterm OVPAA-F-INS-055A RAW '!CL91="","",'Finalterm OVPAA-F-INS-055A RAW '!CL91/'Finalterm OVPAA-F-INS-055A RAW '!CL$17*100)</f>
        <v/>
      </c>
      <c r="CO91" s="130" t="str">
        <f>IF('Finalterm OVPAA-F-INS-055A RAW '!CM91="","",'Finalterm OVPAA-F-INS-055A RAW '!CM91/'Finalterm OVPAA-F-INS-055A RAW '!CM$17*100)</f>
        <v/>
      </c>
      <c r="CP91" s="130" t="str">
        <f>IF('Finalterm OVPAA-F-INS-055A RAW '!CN91="","",'Finalterm OVPAA-F-INS-055A RAW '!CN91/'Finalterm OVPAA-F-INS-055A RAW '!CN$17*100)</f>
        <v/>
      </c>
      <c r="CQ91" s="131" t="str">
        <f t="array" ref="CQ91">IF('Midterm OVPAA-F-INS-055A RAW SC'!G91="","",IF((SUMPRODUCT(--ISBLANK('Finalterm OVPAA-F-INS-055A RAW '!BU91:CN91))=COLUMNS('Finalterm OVPAA-F-INS-055A RAW '!BU91:CN91))=TRUE,"",(((COUNTA('Finalterm OVPAA-F-INS-055A RAW '!$BU$17:$CN$17)+COUNTBLANK('Finalterm OVPAA-F-INS-055A RAW '!BU91:CN91))-COLUMNS('Finalterm OVPAA-F-INS-055A RAW '!BU91:CN91))*5+SUM(BW91:CP91))/COUNTA('Finalterm OVPAA-F-INS-055A RAW '!$BU$17:$CN$17)))</f>
        <v/>
      </c>
      <c r="CR91" s="132" t="str">
        <f>IF(CQ91="","",VLOOKUP(CQ91,IF('Midterm OVPAA-F-INS-055A RAW SC'!$V$12=0.5,TRANSMUTATION!$C$4:$D$17,TRANSMUTATION!$G$4:$H$17),2,TRUE))</f>
        <v/>
      </c>
      <c r="CS91" s="133" t="str">
        <f>IF('Finalterm OVPAA-F-INS-055A RAW '!CO91="","",'Finalterm OVPAA-F-INS-055A RAW '!CO91/'Finalterm OVPAA-F-INS-055A RAW '!CO$17*100)</f>
        <v/>
      </c>
      <c r="CT91" s="133" t="str">
        <f>IF('Finalterm OVPAA-F-INS-055A RAW '!CP91="","",'Finalterm OVPAA-F-INS-055A RAW '!CP91/'Finalterm OVPAA-F-INS-055A RAW '!CP$17*100)</f>
        <v/>
      </c>
      <c r="CU91" s="133" t="str">
        <f>IF('Finalterm OVPAA-F-INS-055A RAW '!CQ91="","",'Finalterm OVPAA-F-INS-055A RAW '!CQ91/'Finalterm OVPAA-F-INS-055A RAW '!CQ$17*100)</f>
        <v/>
      </c>
      <c r="CV91" s="133" t="str">
        <f>IF('Finalterm OVPAA-F-INS-055A RAW '!CR91="","",'Finalterm OVPAA-F-INS-055A RAW '!CR91/'Finalterm OVPAA-F-INS-055A RAW '!CR$17*100)</f>
        <v/>
      </c>
      <c r="CW91" s="133" t="str">
        <f>IF('Finalterm OVPAA-F-INS-055A RAW '!CS91="","",'Finalterm OVPAA-F-INS-055A RAW '!CS91/'Finalterm OVPAA-F-INS-055A RAW '!CS$17*100)</f>
        <v/>
      </c>
      <c r="CX91" s="133" t="str">
        <f>IF('Finalterm OVPAA-F-INS-055A RAW '!CT91="","",'Finalterm OVPAA-F-INS-055A RAW '!CT91/'Finalterm OVPAA-F-INS-055A RAW '!CT$17*100)</f>
        <v/>
      </c>
      <c r="CY91" s="133" t="str">
        <f>IF('Finalterm OVPAA-F-INS-055A RAW '!CU91="","",'Finalterm OVPAA-F-INS-055A RAW '!CU91/'Finalterm OVPAA-F-INS-055A RAW '!CU$17*100)</f>
        <v/>
      </c>
      <c r="CZ91" s="133" t="str">
        <f>IF('Finalterm OVPAA-F-INS-055A RAW '!CV91="","",'Finalterm OVPAA-F-INS-055A RAW '!CV91/'Finalterm OVPAA-F-INS-055A RAW '!CV$17*100)</f>
        <v/>
      </c>
      <c r="DA91" s="133" t="str">
        <f>IF('Finalterm OVPAA-F-INS-055A RAW '!CW91="","",'Finalterm OVPAA-F-INS-055A RAW '!CW91/'Finalterm OVPAA-F-INS-055A RAW '!CW$17*100)</f>
        <v/>
      </c>
      <c r="DB91" s="133" t="str">
        <f>IF('Finalterm OVPAA-F-INS-055A RAW '!CX91="","",'Finalterm OVPAA-F-INS-055A RAW '!CX91/'Finalterm OVPAA-F-INS-055A RAW '!CX$17*100)</f>
        <v/>
      </c>
      <c r="DC91" s="134" t="str">
        <f t="array" ref="DC91">IF('Midterm OVPAA-F-INS-055A RAW SC'!$G91="","",IF((SUMPRODUCT(--ISBLANK('Finalterm OVPAA-F-INS-055A RAW '!CO91:CX91))=COLUMNS('Finalterm OVPAA-F-INS-055A RAW '!CO91:CX91))=TRUE,"",(((COUNTA('Finalterm OVPAA-F-INS-055A RAW '!$CO$17:$CX$17)+COUNTBLANK('Finalterm OVPAA-F-INS-055A RAW '!CO91:CX91))-COLUMNS('Finalterm OVPAA-F-INS-055A RAW '!CO91:CX91))*5+SUM(CS91:DB91))/COUNTA('Finalterm OVPAA-F-INS-055A RAW '!$CO$17:$CX$17)))</f>
        <v/>
      </c>
      <c r="DD91" s="135" t="str">
        <f>IF(DC91="","",VLOOKUP(DC91,IF('Midterm OVPAA-F-INS-055A RAW SC'!$V$12=0.5,TRANSMUTATION!$C$4:$D$17,TRANSMUTATION!$G$4:$H$17),2,TRUE))</f>
        <v/>
      </c>
      <c r="DE91" s="136" t="str">
        <f t="shared" si="1"/>
        <v/>
      </c>
      <c r="DF91" s="166" t="str">
        <f t="shared" si="2"/>
        <v/>
      </c>
      <c r="DG91" s="167" t="str">
        <f t="shared" si="3"/>
        <v/>
      </c>
      <c r="DH91" s="168" t="str">
        <f t="shared" si="4"/>
        <v/>
      </c>
      <c r="DI91" s="169" t="str">
        <f t="shared" si="5"/>
        <v/>
      </c>
    </row>
    <row r="92" spans="1:113" ht="15.75" hidden="1" customHeight="1">
      <c r="A92" s="5"/>
      <c r="B92" s="5"/>
      <c r="C92" s="5"/>
      <c r="D92" s="5"/>
      <c r="E92" s="59">
        <v>75</v>
      </c>
      <c r="F92" s="124" t="str">
        <f>IF(NOT(ISBLANK('Midterm OVPAA-F-INS-055A RAW SC'!F92)),'Midterm OVPAA-F-INS-055A RAW SC'!F92,"")</f>
        <v/>
      </c>
      <c r="G92" s="125" t="str">
        <f>IF(NOT(ISBLANK('Midterm OVPAA-F-INS-055A RAW SC'!G92)),'Midterm OVPAA-F-INS-055A RAW SC'!G92,"")</f>
        <v/>
      </c>
      <c r="H92" s="126" t="str">
        <f>IF('Finalterm OVPAA-F-INS-055A RAW '!H92="","",'Finalterm OVPAA-F-INS-055A RAW '!H92/'Finalterm OVPAA-F-INS-055A RAW '!H$17*100)</f>
        <v/>
      </c>
      <c r="I92" s="126" t="str">
        <f>IF('Finalterm OVPAA-F-INS-055A RAW '!I92="","",'Finalterm OVPAA-F-INS-055A RAW '!I92/'Finalterm OVPAA-F-INS-055A RAW '!I$17*100)</f>
        <v/>
      </c>
      <c r="J92" s="126" t="str">
        <f>IF('Finalterm OVPAA-F-INS-055A RAW '!J92="","",'Finalterm OVPAA-F-INS-055A RAW '!J92/'Finalterm OVPAA-F-INS-055A RAW '!J$17*100)</f>
        <v/>
      </c>
      <c r="K92" s="126" t="str">
        <f>IF('Finalterm OVPAA-F-INS-055A RAW '!K92="","",'Finalterm OVPAA-F-INS-055A RAW '!K92/'Finalterm OVPAA-F-INS-055A RAW '!K$17*100)</f>
        <v/>
      </c>
      <c r="L92" s="126" t="str">
        <f>IF('Finalterm OVPAA-F-INS-055A RAW '!L92="","",'Finalterm OVPAA-F-INS-055A RAW '!L92/'Finalterm OVPAA-F-INS-055A RAW '!L$17*100)</f>
        <v/>
      </c>
      <c r="M92" s="126" t="str">
        <f>IF('Finalterm OVPAA-F-INS-055A RAW '!M92="","",'Finalterm OVPAA-F-INS-055A RAW '!M92/'Finalterm OVPAA-F-INS-055A RAW '!M$17*100)</f>
        <v/>
      </c>
      <c r="N92" s="126" t="str">
        <f>IF('Finalterm OVPAA-F-INS-055A RAW '!N92="","",'Finalterm OVPAA-F-INS-055A RAW '!N92/'Finalterm OVPAA-F-INS-055A RAW '!N$17*100)</f>
        <v/>
      </c>
      <c r="O92" s="126" t="str">
        <f>IF('Finalterm OVPAA-F-INS-055A RAW '!O92="","",'Finalterm OVPAA-F-INS-055A RAW '!O92/'Finalterm OVPAA-F-INS-055A RAW '!O$17*100)</f>
        <v/>
      </c>
      <c r="P92" s="126" t="str">
        <f>IF('Finalterm OVPAA-F-INS-055A RAW '!P92="","",'Finalterm OVPAA-F-INS-055A RAW '!P92/'Finalterm OVPAA-F-INS-055A RAW '!P$17*100)</f>
        <v/>
      </c>
      <c r="Q92" s="126" t="str">
        <f>IF('Finalterm OVPAA-F-INS-055A RAW '!Q92="","",'Finalterm OVPAA-F-INS-055A RAW '!Q92/'Finalterm OVPAA-F-INS-055A RAW '!Q$17*100)</f>
        <v/>
      </c>
      <c r="R92" s="126" t="str">
        <f>IF('Finalterm OVPAA-F-INS-055A RAW '!R92="","",'Finalterm OVPAA-F-INS-055A RAW '!R92/'Finalterm OVPAA-F-INS-055A RAW '!R$17*100)</f>
        <v/>
      </c>
      <c r="S92" s="126" t="str">
        <f>IF('Finalterm OVPAA-F-INS-055A RAW '!S92="","",'Finalterm OVPAA-F-INS-055A RAW '!S92/'Finalterm OVPAA-F-INS-055A RAW '!S$17*100)</f>
        <v/>
      </c>
      <c r="T92" s="126" t="str">
        <f>IF('Finalterm OVPAA-F-INS-055A RAW '!T92="","",'Finalterm OVPAA-F-INS-055A RAW '!T92/'Finalterm OVPAA-F-INS-055A RAW '!T$17*100)</f>
        <v/>
      </c>
      <c r="U92" s="126" t="str">
        <f>IF('Finalterm OVPAA-F-INS-055A RAW '!U92="","",'Finalterm OVPAA-F-INS-055A RAW '!U92/'Finalterm OVPAA-F-INS-055A RAW '!U$17*100)</f>
        <v/>
      </c>
      <c r="V92" s="126" t="str">
        <f>IF('Finalterm OVPAA-F-INS-055A RAW '!V92="","",'Finalterm OVPAA-F-INS-055A RAW '!V92/'Finalterm OVPAA-F-INS-055A RAW '!V$17*100)</f>
        <v/>
      </c>
      <c r="W92" s="126" t="str">
        <f>IF('Finalterm OVPAA-F-INS-055A RAW '!W92="","",'Finalterm OVPAA-F-INS-055A RAW '!W92/'Finalterm OVPAA-F-INS-055A RAW '!W$17*100)</f>
        <v/>
      </c>
      <c r="X92" s="126" t="str">
        <f>IF('Finalterm OVPAA-F-INS-055A RAW '!X92="","",'Finalterm OVPAA-F-INS-055A RAW '!X92/'Finalterm OVPAA-F-INS-055A RAW '!X$17*100)</f>
        <v/>
      </c>
      <c r="Y92" s="126" t="str">
        <f>IF('Finalterm OVPAA-F-INS-055A RAW '!Y92="","",'Finalterm OVPAA-F-INS-055A RAW '!Y92/'Finalterm OVPAA-F-INS-055A RAW '!Y$17*100)</f>
        <v/>
      </c>
      <c r="Z92" s="126" t="str">
        <f>IF('Finalterm OVPAA-F-INS-055A RAW '!Z92="","",'Finalterm OVPAA-F-INS-055A RAW '!Z92/'Finalterm OVPAA-F-INS-055A RAW '!Z$17*100)</f>
        <v/>
      </c>
      <c r="AA92" s="126" t="str">
        <f>IF('Finalterm OVPAA-F-INS-055A RAW '!AA92="","",'Finalterm OVPAA-F-INS-055A RAW '!AA92/'Finalterm OVPAA-F-INS-055A RAW '!AA$17*100)</f>
        <v/>
      </c>
      <c r="AB92" s="126" t="str">
        <f>IF('Finalterm OVPAA-F-INS-055A RAW '!AB92="","",'Finalterm OVPAA-F-INS-055A RAW '!AB92/'Finalterm OVPAA-F-INS-055A RAW '!AB$17*100)</f>
        <v/>
      </c>
      <c r="AC92" s="126" t="str">
        <f>IF('Finalterm OVPAA-F-INS-055A RAW '!AC92="","",'Finalterm OVPAA-F-INS-055A RAW '!AC92/'Finalterm OVPAA-F-INS-055A RAW '!AC$17*100)</f>
        <v/>
      </c>
      <c r="AD92" s="126" t="str">
        <f>IF('Finalterm OVPAA-F-INS-055A RAW '!AD92="","",'Finalterm OVPAA-F-INS-055A RAW '!AD92/'Finalterm OVPAA-F-INS-055A RAW '!AD$17*100)</f>
        <v/>
      </c>
      <c r="AE92" s="126" t="str">
        <f>IF('Finalterm OVPAA-F-INS-055A RAW '!AE92="","",'Finalterm OVPAA-F-INS-055A RAW '!AE92/'Finalterm OVPAA-F-INS-055A RAW '!AE$17*100)</f>
        <v/>
      </c>
      <c r="AF92" s="126" t="str">
        <f>IF('Finalterm OVPAA-F-INS-055A RAW '!AF92="","",'Finalterm OVPAA-F-INS-055A RAW '!AF92/'Finalterm OVPAA-F-INS-055A RAW '!AF$17*100)</f>
        <v/>
      </c>
      <c r="AG92" s="126" t="str">
        <f>IF('Finalterm OVPAA-F-INS-055A RAW '!AG92="","",'Finalterm OVPAA-F-INS-055A RAW '!AG92/'Finalterm OVPAA-F-INS-055A RAW '!AG$17*100)</f>
        <v/>
      </c>
      <c r="AH92" s="126" t="str">
        <f>IF('Finalterm OVPAA-F-INS-055A RAW '!AH92="","",'Finalterm OVPAA-F-INS-055A RAW '!AH92/'Finalterm OVPAA-F-INS-055A RAW '!AH$17*100)</f>
        <v/>
      </c>
      <c r="AI92" s="126" t="str">
        <f>IF('Finalterm OVPAA-F-INS-055A RAW '!AI92="","",'Finalterm OVPAA-F-INS-055A RAW '!AI92/'Finalterm OVPAA-F-INS-055A RAW '!AI$17*100)</f>
        <v/>
      </c>
      <c r="AJ92" s="126" t="str">
        <f>IF('Finalterm OVPAA-F-INS-055A RAW '!AJ92="","",'Finalterm OVPAA-F-INS-055A RAW '!AJ92/'Finalterm OVPAA-F-INS-055A RAW '!AJ$17*100)</f>
        <v/>
      </c>
      <c r="AK92" s="126" t="str">
        <f>IF('Finalterm OVPAA-F-INS-055A RAW '!AK92="","",'Finalterm OVPAA-F-INS-055A RAW '!AK92/'Finalterm OVPAA-F-INS-055A RAW '!AK$17*100)</f>
        <v/>
      </c>
      <c r="AL92" s="126" t="str">
        <f>IF('Finalterm OVPAA-F-INS-055A RAW '!AL92="","",'Finalterm OVPAA-F-INS-055A RAW '!AL92/'Finalterm OVPAA-F-INS-055A RAW '!AL$17*100)</f>
        <v/>
      </c>
      <c r="AM92" s="126" t="str">
        <f>IF('Finalterm OVPAA-F-INS-055A RAW '!AM92="","",'Finalterm OVPAA-F-INS-055A RAW '!AM92/'Finalterm OVPAA-F-INS-055A RAW '!AM$17*100)</f>
        <v/>
      </c>
      <c r="AN92" s="126" t="str">
        <f>IF('Finalterm OVPAA-F-INS-055A RAW '!AN92="","",'Finalterm OVPAA-F-INS-055A RAW '!AN92/'Finalterm OVPAA-F-INS-055A RAW '!AN$17*100)</f>
        <v/>
      </c>
      <c r="AO92" s="126" t="str">
        <f>IF('Finalterm OVPAA-F-INS-055A RAW '!AO92="","",'Finalterm OVPAA-F-INS-055A RAW '!AO92/'Finalterm OVPAA-F-INS-055A RAW '!AO$17*100)</f>
        <v/>
      </c>
      <c r="AP92" s="126" t="str">
        <f>IF('Finalterm OVPAA-F-INS-055A RAW '!AP92="","",'Finalterm OVPAA-F-INS-055A RAW '!AP92/'Finalterm OVPAA-F-INS-055A RAW '!AP$17*100)</f>
        <v/>
      </c>
      <c r="AQ92" s="126" t="str">
        <f>IF('Finalterm OVPAA-F-INS-055A RAW '!AQ92="","",'Finalterm OVPAA-F-INS-055A RAW '!AQ92/'Finalterm OVPAA-F-INS-055A RAW '!AQ$17*100)</f>
        <v/>
      </c>
      <c r="AR92" s="126" t="str">
        <f>IF('Finalterm OVPAA-F-INS-055A RAW '!AR92="","",'Finalterm OVPAA-F-INS-055A RAW '!AR92/'Finalterm OVPAA-F-INS-055A RAW '!AR$17*100)</f>
        <v/>
      </c>
      <c r="AS92" s="126" t="str">
        <f>IF('Finalterm OVPAA-F-INS-055A RAW '!AS92="","",'Finalterm OVPAA-F-INS-055A RAW '!AS92/'Finalterm OVPAA-F-INS-055A RAW '!AS$17*100)</f>
        <v/>
      </c>
      <c r="AT92" s="126" t="str">
        <f>IF('Finalterm OVPAA-F-INS-055A RAW '!AT92="","",'Finalterm OVPAA-F-INS-055A RAW '!AT92/'Finalterm OVPAA-F-INS-055A RAW '!AT$17*100)</f>
        <v/>
      </c>
      <c r="AU92" s="126" t="str">
        <f>IF('Finalterm OVPAA-F-INS-055A RAW '!AU92="","",'Finalterm OVPAA-F-INS-055A RAW '!AU92/'Finalterm OVPAA-F-INS-055A RAW '!AU$17*100)</f>
        <v/>
      </c>
      <c r="AV92" s="126" t="str">
        <f>IF('Finalterm OVPAA-F-INS-055A RAW '!AV92="","",'Finalterm OVPAA-F-INS-055A RAW '!AV92/'Finalterm OVPAA-F-INS-055A RAW '!AV$17*100)</f>
        <v/>
      </c>
      <c r="AW92" s="126" t="str">
        <f>IF('Finalterm OVPAA-F-INS-055A RAW '!AW92="","",'Finalterm OVPAA-F-INS-055A RAW '!AW92/'Finalterm OVPAA-F-INS-055A RAW '!AW$17*100)</f>
        <v/>
      </c>
      <c r="AX92" s="126" t="str">
        <f>IF('Finalterm OVPAA-F-INS-055A RAW '!AX92="","",'Finalterm OVPAA-F-INS-055A RAW '!AX92/'Finalterm OVPAA-F-INS-055A RAW '!AX$17*100)</f>
        <v/>
      </c>
      <c r="AY92" s="126" t="str">
        <f>IF('Finalterm OVPAA-F-INS-055A RAW '!AY92="","",'Finalterm OVPAA-F-INS-055A RAW '!AY92/'Finalterm OVPAA-F-INS-055A RAW '!AY$17*100)</f>
        <v/>
      </c>
      <c r="AZ92" s="126" t="str">
        <f>IF('Finalterm OVPAA-F-INS-055A RAW '!AZ92="","",'Finalterm OVPAA-F-INS-055A RAW '!AZ92/'Finalterm OVPAA-F-INS-055A RAW '!AZ$17*100)</f>
        <v/>
      </c>
      <c r="BA92" s="126" t="str">
        <f>IF('Finalterm OVPAA-F-INS-055A RAW '!BA92="","",'Finalterm OVPAA-F-INS-055A RAW '!BA92/'Finalterm OVPAA-F-INS-055A RAW '!BA$17*100)</f>
        <v/>
      </c>
      <c r="BB92" s="126" t="str">
        <f>IF('Finalterm OVPAA-F-INS-055A RAW '!BB92="","",'Finalterm OVPAA-F-INS-055A RAW '!BB92/'Finalterm OVPAA-F-INS-055A RAW '!BB$17*100)</f>
        <v/>
      </c>
      <c r="BC92" s="126" t="str">
        <f>IF('Finalterm OVPAA-F-INS-055A RAW '!BC92="","",'Finalterm OVPAA-F-INS-055A RAW '!BC92/'Finalterm OVPAA-F-INS-055A RAW '!BC$17*100)</f>
        <v/>
      </c>
      <c r="BD92" s="126" t="str">
        <f>IF('Finalterm OVPAA-F-INS-055A RAW '!BD92="","",'Finalterm OVPAA-F-INS-055A RAW '!BD92/'Finalterm OVPAA-F-INS-055A RAW '!BD$17*100)</f>
        <v/>
      </c>
      <c r="BE92" s="126" t="str">
        <f>IF('Finalterm OVPAA-F-INS-055A RAW '!BE92="","",'Finalterm OVPAA-F-INS-055A RAW '!BE92/'Finalterm OVPAA-F-INS-055A RAW '!BE$17*100)</f>
        <v/>
      </c>
      <c r="BF92" s="126" t="str">
        <f>IF('Finalterm OVPAA-F-INS-055A RAW '!BF92="","",'Finalterm OVPAA-F-INS-055A RAW '!BF92/'Finalterm OVPAA-F-INS-055A RAW '!BF$17*100)</f>
        <v/>
      </c>
      <c r="BG92" s="126" t="str">
        <f>IF('Finalterm OVPAA-F-INS-055A RAW '!BG92="","",'Finalterm OVPAA-F-INS-055A RAW '!BG92/'Finalterm OVPAA-F-INS-055A RAW '!BG$17*100)</f>
        <v/>
      </c>
      <c r="BH92" s="126" t="str">
        <f>IF('Finalterm OVPAA-F-INS-055A RAW '!BH92="","",'Finalterm OVPAA-F-INS-055A RAW '!BH92/'Finalterm OVPAA-F-INS-055A RAW '!BH$17*100)</f>
        <v/>
      </c>
      <c r="BI92" s="126" t="str">
        <f>IF('Finalterm OVPAA-F-INS-055A RAW '!BI92="","",'Finalterm OVPAA-F-INS-055A RAW '!BI92/'Finalterm OVPAA-F-INS-055A RAW '!BI$17*100)</f>
        <v/>
      </c>
      <c r="BJ92" s="126" t="str">
        <f>IF('Finalterm OVPAA-F-INS-055A RAW '!BJ92="","",'Finalterm OVPAA-F-INS-055A RAW '!BJ92/'Finalterm OVPAA-F-INS-055A RAW '!BJ$17*100)</f>
        <v/>
      </c>
      <c r="BK92" s="126" t="str">
        <f>IF('Finalterm OVPAA-F-INS-055A RAW '!BK92="","",'Finalterm OVPAA-F-INS-055A RAW '!BK92/'Finalterm OVPAA-F-INS-055A RAW '!BK$17*100)</f>
        <v/>
      </c>
      <c r="BL92" s="126" t="str">
        <f>IF('Finalterm OVPAA-F-INS-055A RAW '!BL92="","",'Finalterm OVPAA-F-INS-055A RAW '!BL92/'Finalterm OVPAA-F-INS-055A RAW '!BL$17*100)</f>
        <v/>
      </c>
      <c r="BM92" s="126" t="str">
        <f>IF('Finalterm OVPAA-F-INS-055A RAW '!BM92="","",'Finalterm OVPAA-F-INS-055A RAW '!BM92/'Finalterm OVPAA-F-INS-055A RAW '!BM$17*100)</f>
        <v/>
      </c>
      <c r="BN92" s="126" t="str">
        <f>IF('Finalterm OVPAA-F-INS-055A RAW '!BN92="","",'Finalterm OVPAA-F-INS-055A RAW '!BN92/'Finalterm OVPAA-F-INS-055A RAW '!BN$17*100)</f>
        <v/>
      </c>
      <c r="BO92" s="126" t="str">
        <f>IF('Finalterm OVPAA-F-INS-055A RAW '!BO92="","",'Finalterm OVPAA-F-INS-055A RAW '!BO92/'Finalterm OVPAA-F-INS-055A RAW '!BO$17*100)</f>
        <v/>
      </c>
      <c r="BP92" s="126" t="str">
        <f>IF('Finalterm OVPAA-F-INS-055A RAW '!BP92="","",'Finalterm OVPAA-F-INS-055A RAW '!BP92/'Finalterm OVPAA-F-INS-055A RAW '!BP$17*100)</f>
        <v/>
      </c>
      <c r="BQ92" s="126" t="str">
        <f>IF('Finalterm OVPAA-F-INS-055A RAW '!BQ92="","",'Finalterm OVPAA-F-INS-055A RAW '!BQ92/'Finalterm OVPAA-F-INS-055A RAW '!BQ$17*100)</f>
        <v/>
      </c>
      <c r="BR92" s="126" t="str">
        <f>IF('Finalterm OVPAA-F-INS-055A RAW '!BR92="","",'Finalterm OVPAA-F-INS-055A RAW '!BR92/'Finalterm OVPAA-F-INS-055A RAW '!BR$17*100)</f>
        <v/>
      </c>
      <c r="BS92" s="126" t="str">
        <f>IF('Finalterm OVPAA-F-INS-055A RAW '!BS92="","",'Finalterm OVPAA-F-INS-055A RAW '!BS92/'Finalterm OVPAA-F-INS-055A RAW '!BS$17*100)</f>
        <v/>
      </c>
      <c r="BT92" s="126" t="str">
        <f>IF('Finalterm OVPAA-F-INS-055A RAW '!BT92="","",'Finalterm OVPAA-F-INS-055A RAW '!BT92/'Finalterm OVPAA-F-INS-055A RAW '!BT$17*100)</f>
        <v/>
      </c>
      <c r="BU92" s="127" t="str">
        <f t="array" ref="BU92">IF('Finalterm OVPAA-F-INS-055A RAW '!$G92="","",IF((SUMPRODUCT(--ISBLANK('Finalterm OVPAA-F-INS-055A RAW '!H92:BT92))=COLUMNS('Finalterm OVPAA-F-INS-055A RAW '!H92:BT92))=TRUE,"",(((COUNTA('Finalterm OVPAA-F-INS-055A RAW '!$H$17:$BT$17)+COUNTBLANK('Finalterm OVPAA-F-INS-055A RAW '!H92:BT92))-COLUMNS('Finalterm OVPAA-F-INS-055A RAW '!H92:BT92))*5+SUM(H92:BT92))/COUNTA('Finalterm OVPAA-F-INS-055A RAW '!$H$17:$BT$17)))</f>
        <v/>
      </c>
      <c r="BV92" s="165" t="str">
        <f>IF(BU92="","",VLOOKUP(BU92,IF('Midterm OVPAA-F-INS-055A RAW SC'!$V$12=0.5,TRANSMUTATION!$C$4:$D$17,TRANSMUTATION!$G$4:$H$17),2,TRUE))</f>
        <v/>
      </c>
      <c r="BW92" s="129" t="str">
        <f>IF('Finalterm OVPAA-F-INS-055A RAW '!BU92="","",'Finalterm OVPAA-F-INS-055A RAW '!BU92/'Finalterm OVPAA-F-INS-055A RAW '!BU$17*100)</f>
        <v/>
      </c>
      <c r="BX92" s="130" t="str">
        <f>IF('Finalterm OVPAA-F-INS-055A RAW '!BV92="","",'Finalterm OVPAA-F-INS-055A RAW '!BV92/'Finalterm OVPAA-F-INS-055A RAW '!BV$17*100)</f>
        <v/>
      </c>
      <c r="BY92" s="130" t="str">
        <f>IF('Finalterm OVPAA-F-INS-055A RAW '!BW92="","",'Finalterm OVPAA-F-INS-055A RAW '!BW92/'Finalterm OVPAA-F-INS-055A RAW '!BW$17*100)</f>
        <v/>
      </c>
      <c r="BZ92" s="130" t="str">
        <f>IF('Finalterm OVPAA-F-INS-055A RAW '!BX92="","",'Finalterm OVPAA-F-INS-055A RAW '!BX92/'Finalterm OVPAA-F-INS-055A RAW '!BX$17*100)</f>
        <v/>
      </c>
      <c r="CA92" s="130" t="str">
        <f>IF('Finalterm OVPAA-F-INS-055A RAW '!BY92="","",'Finalterm OVPAA-F-INS-055A RAW '!BY92/'Finalterm OVPAA-F-INS-055A RAW '!BY$17*100)</f>
        <v/>
      </c>
      <c r="CB92" s="130" t="str">
        <f>IF('Finalterm OVPAA-F-INS-055A RAW '!BZ92="","",'Finalterm OVPAA-F-INS-055A RAW '!BZ92/'Finalterm OVPAA-F-INS-055A RAW '!BZ$17*100)</f>
        <v/>
      </c>
      <c r="CC92" s="130" t="str">
        <f>IF('Finalterm OVPAA-F-INS-055A RAW '!CA92="","",'Finalterm OVPAA-F-INS-055A RAW '!CA92/'Finalterm OVPAA-F-INS-055A RAW '!CA$17*100)</f>
        <v/>
      </c>
      <c r="CD92" s="130" t="str">
        <f>IF('Finalterm OVPAA-F-INS-055A RAW '!CB92="","",'Finalterm OVPAA-F-INS-055A RAW '!CB92/'Finalterm OVPAA-F-INS-055A RAW '!CB$17*100)</f>
        <v/>
      </c>
      <c r="CE92" s="130" t="str">
        <f>IF('Finalterm OVPAA-F-INS-055A RAW '!CC92="","",'Finalterm OVPAA-F-INS-055A RAW '!CC92/'Finalterm OVPAA-F-INS-055A RAW '!CC$17*100)</f>
        <v/>
      </c>
      <c r="CF92" s="130" t="str">
        <f>IF('Finalterm OVPAA-F-INS-055A RAW '!CD92="","",'Finalterm OVPAA-F-INS-055A RAW '!CD92/'Finalterm OVPAA-F-INS-055A RAW '!CD$17*100)</f>
        <v/>
      </c>
      <c r="CG92" s="130" t="str">
        <f>IF('Finalterm OVPAA-F-INS-055A RAW '!CE92="","",'Finalterm OVPAA-F-INS-055A RAW '!CE92/'Finalterm OVPAA-F-INS-055A RAW '!CE$17*100)</f>
        <v/>
      </c>
      <c r="CH92" s="130" t="str">
        <f>IF('Finalterm OVPAA-F-INS-055A RAW '!CF92="","",'Finalterm OVPAA-F-INS-055A RAW '!CF92/'Finalterm OVPAA-F-INS-055A RAW '!CF$17*100)</f>
        <v/>
      </c>
      <c r="CI92" s="130" t="str">
        <f>IF('Finalterm OVPAA-F-INS-055A RAW '!CG92="","",'Finalterm OVPAA-F-INS-055A RAW '!CG92/'Finalterm OVPAA-F-INS-055A RAW '!CG$17*100)</f>
        <v/>
      </c>
      <c r="CJ92" s="130" t="str">
        <f>IF('Finalterm OVPAA-F-INS-055A RAW '!CH92="","",'Finalterm OVPAA-F-INS-055A RAW '!CH92/'Finalterm OVPAA-F-INS-055A RAW '!CH$17*100)</f>
        <v/>
      </c>
      <c r="CK92" s="130" t="str">
        <f>IF('Finalterm OVPAA-F-INS-055A RAW '!CI92="","",'Finalterm OVPAA-F-INS-055A RAW '!CI92/'Finalterm OVPAA-F-INS-055A RAW '!CI$17*100)</f>
        <v/>
      </c>
      <c r="CL92" s="130" t="str">
        <f>IF('Finalterm OVPAA-F-INS-055A RAW '!CJ92="","",'Finalterm OVPAA-F-INS-055A RAW '!CJ92/'Finalterm OVPAA-F-INS-055A RAW '!CJ$17*100)</f>
        <v/>
      </c>
      <c r="CM92" s="130" t="str">
        <f>IF('Finalterm OVPAA-F-INS-055A RAW '!CK92="","",'Finalterm OVPAA-F-INS-055A RAW '!CK92/'Finalterm OVPAA-F-INS-055A RAW '!CK$17*100)</f>
        <v/>
      </c>
      <c r="CN92" s="130" t="str">
        <f>IF('Finalterm OVPAA-F-INS-055A RAW '!CL92="","",'Finalterm OVPAA-F-INS-055A RAW '!CL92/'Finalterm OVPAA-F-INS-055A RAW '!CL$17*100)</f>
        <v/>
      </c>
      <c r="CO92" s="130" t="str">
        <f>IF('Finalterm OVPAA-F-INS-055A RAW '!CM92="","",'Finalterm OVPAA-F-INS-055A RAW '!CM92/'Finalterm OVPAA-F-INS-055A RAW '!CM$17*100)</f>
        <v/>
      </c>
      <c r="CP92" s="130" t="str">
        <f>IF('Finalterm OVPAA-F-INS-055A RAW '!CN92="","",'Finalterm OVPAA-F-INS-055A RAW '!CN92/'Finalterm OVPAA-F-INS-055A RAW '!CN$17*100)</f>
        <v/>
      </c>
      <c r="CQ92" s="131" t="str">
        <f t="array" ref="CQ92">IF('Midterm OVPAA-F-INS-055A RAW SC'!G92="","",IF((SUMPRODUCT(--ISBLANK('Finalterm OVPAA-F-INS-055A RAW '!BU92:CN92))=COLUMNS('Finalterm OVPAA-F-INS-055A RAW '!BU92:CN92))=TRUE,"",(((COUNTA('Finalterm OVPAA-F-INS-055A RAW '!$BU$17:$CN$17)+COUNTBLANK('Finalterm OVPAA-F-INS-055A RAW '!BU92:CN92))-COLUMNS('Finalterm OVPAA-F-INS-055A RAW '!BU92:CN92))*5+SUM(BW92:CP92))/COUNTA('Finalterm OVPAA-F-INS-055A RAW '!$BU$17:$CN$17)))</f>
        <v/>
      </c>
      <c r="CR92" s="132" t="str">
        <f>IF(CQ92="","",VLOOKUP(CQ92,IF('Midterm OVPAA-F-INS-055A RAW SC'!$V$12=0.5,TRANSMUTATION!$C$4:$D$17,TRANSMUTATION!$G$4:$H$17),2,TRUE))</f>
        <v/>
      </c>
      <c r="CS92" s="133" t="str">
        <f>IF('Finalterm OVPAA-F-INS-055A RAW '!CO92="","",'Finalterm OVPAA-F-INS-055A RAW '!CO92/'Finalterm OVPAA-F-INS-055A RAW '!CO$17*100)</f>
        <v/>
      </c>
      <c r="CT92" s="133" t="str">
        <f>IF('Finalterm OVPAA-F-INS-055A RAW '!CP92="","",'Finalterm OVPAA-F-INS-055A RAW '!CP92/'Finalterm OVPAA-F-INS-055A RAW '!CP$17*100)</f>
        <v/>
      </c>
      <c r="CU92" s="133" t="str">
        <f>IF('Finalterm OVPAA-F-INS-055A RAW '!CQ92="","",'Finalterm OVPAA-F-INS-055A RAW '!CQ92/'Finalterm OVPAA-F-INS-055A RAW '!CQ$17*100)</f>
        <v/>
      </c>
      <c r="CV92" s="133" t="str">
        <f>IF('Finalterm OVPAA-F-INS-055A RAW '!CR92="","",'Finalterm OVPAA-F-INS-055A RAW '!CR92/'Finalterm OVPAA-F-INS-055A RAW '!CR$17*100)</f>
        <v/>
      </c>
      <c r="CW92" s="133" t="str">
        <f>IF('Finalterm OVPAA-F-INS-055A RAW '!CS92="","",'Finalterm OVPAA-F-INS-055A RAW '!CS92/'Finalterm OVPAA-F-INS-055A RAW '!CS$17*100)</f>
        <v/>
      </c>
      <c r="CX92" s="133" t="str">
        <f>IF('Finalterm OVPAA-F-INS-055A RAW '!CT92="","",'Finalterm OVPAA-F-INS-055A RAW '!CT92/'Finalterm OVPAA-F-INS-055A RAW '!CT$17*100)</f>
        <v/>
      </c>
      <c r="CY92" s="133" t="str">
        <f>IF('Finalterm OVPAA-F-INS-055A RAW '!CU92="","",'Finalterm OVPAA-F-INS-055A RAW '!CU92/'Finalterm OVPAA-F-INS-055A RAW '!CU$17*100)</f>
        <v/>
      </c>
      <c r="CZ92" s="133" t="str">
        <f>IF('Finalterm OVPAA-F-INS-055A RAW '!CV92="","",'Finalterm OVPAA-F-INS-055A RAW '!CV92/'Finalterm OVPAA-F-INS-055A RAW '!CV$17*100)</f>
        <v/>
      </c>
      <c r="DA92" s="133" t="str">
        <f>IF('Finalterm OVPAA-F-INS-055A RAW '!CW92="","",'Finalterm OVPAA-F-INS-055A RAW '!CW92/'Finalterm OVPAA-F-INS-055A RAW '!CW$17*100)</f>
        <v/>
      </c>
      <c r="DB92" s="133" t="str">
        <f>IF('Finalterm OVPAA-F-INS-055A RAW '!CX92="","",'Finalterm OVPAA-F-INS-055A RAW '!CX92/'Finalterm OVPAA-F-INS-055A RAW '!CX$17*100)</f>
        <v/>
      </c>
      <c r="DC92" s="134" t="str">
        <f t="array" ref="DC92">IF('Midterm OVPAA-F-INS-055A RAW SC'!$G92="","",IF((SUMPRODUCT(--ISBLANK('Finalterm OVPAA-F-INS-055A RAW '!CO92:CX92))=COLUMNS('Finalterm OVPAA-F-INS-055A RAW '!CO92:CX92))=TRUE,"",(((COUNTA('Finalterm OVPAA-F-INS-055A RAW '!$CO$17:$CX$17)+COUNTBLANK('Finalterm OVPAA-F-INS-055A RAW '!CO92:CX92))-COLUMNS('Finalterm OVPAA-F-INS-055A RAW '!CO92:CX92))*5+SUM(CS92:DB92))/COUNTA('Finalterm OVPAA-F-INS-055A RAW '!$CO$17:$CX$17)))</f>
        <v/>
      </c>
      <c r="DD92" s="135" t="str">
        <f>IF(DC92="","",VLOOKUP(DC92,IF('Midterm OVPAA-F-INS-055A RAW SC'!$V$12=0.5,TRANSMUTATION!$C$4:$D$17,TRANSMUTATION!$G$4:$H$17),2,TRUE))</f>
        <v/>
      </c>
      <c r="DE92" s="136" t="str">
        <f t="shared" si="1"/>
        <v/>
      </c>
      <c r="DF92" s="166" t="str">
        <f t="shared" si="2"/>
        <v/>
      </c>
      <c r="DG92" s="167" t="str">
        <f t="shared" si="3"/>
        <v/>
      </c>
      <c r="DH92" s="168" t="str">
        <f t="shared" si="4"/>
        <v/>
      </c>
      <c r="DI92" s="169" t="str">
        <f t="shared" si="5"/>
        <v/>
      </c>
    </row>
    <row r="93" spans="1:113" ht="15.75" hidden="1" customHeight="1">
      <c r="A93" s="5"/>
      <c r="B93" s="5"/>
      <c r="C93" s="5"/>
      <c r="D93" s="5"/>
      <c r="E93" s="59">
        <v>76</v>
      </c>
      <c r="F93" s="124" t="str">
        <f>IF(NOT(ISBLANK('Midterm OVPAA-F-INS-055A RAW SC'!F93)),'Midterm OVPAA-F-INS-055A RAW SC'!F93,"")</f>
        <v/>
      </c>
      <c r="G93" s="125" t="str">
        <f>IF(NOT(ISBLANK('Midterm OVPAA-F-INS-055A RAW SC'!G93)),'Midterm OVPAA-F-INS-055A RAW SC'!G93,"")</f>
        <v/>
      </c>
      <c r="H93" s="126" t="str">
        <f>IF('Finalterm OVPAA-F-INS-055A RAW '!H93="","",'Finalterm OVPAA-F-INS-055A RAW '!H93/'Finalterm OVPAA-F-INS-055A RAW '!H$17*100)</f>
        <v/>
      </c>
      <c r="I93" s="126" t="str">
        <f>IF('Finalterm OVPAA-F-INS-055A RAW '!I93="","",'Finalterm OVPAA-F-INS-055A RAW '!I93/'Finalterm OVPAA-F-INS-055A RAW '!I$17*100)</f>
        <v/>
      </c>
      <c r="J93" s="126" t="str">
        <f>IF('Finalterm OVPAA-F-INS-055A RAW '!J93="","",'Finalterm OVPAA-F-INS-055A RAW '!J93/'Finalterm OVPAA-F-INS-055A RAW '!J$17*100)</f>
        <v/>
      </c>
      <c r="K93" s="126" t="str">
        <f>IF('Finalterm OVPAA-F-INS-055A RAW '!K93="","",'Finalterm OVPAA-F-INS-055A RAW '!K93/'Finalterm OVPAA-F-INS-055A RAW '!K$17*100)</f>
        <v/>
      </c>
      <c r="L93" s="126" t="str">
        <f>IF('Finalterm OVPAA-F-INS-055A RAW '!L93="","",'Finalterm OVPAA-F-INS-055A RAW '!L93/'Finalterm OVPAA-F-INS-055A RAW '!L$17*100)</f>
        <v/>
      </c>
      <c r="M93" s="126" t="str">
        <f>IF('Finalterm OVPAA-F-INS-055A RAW '!M93="","",'Finalterm OVPAA-F-INS-055A RAW '!M93/'Finalterm OVPAA-F-INS-055A RAW '!M$17*100)</f>
        <v/>
      </c>
      <c r="N93" s="126" t="str">
        <f>IF('Finalterm OVPAA-F-INS-055A RAW '!N93="","",'Finalterm OVPAA-F-INS-055A RAW '!N93/'Finalterm OVPAA-F-INS-055A RAW '!N$17*100)</f>
        <v/>
      </c>
      <c r="O93" s="126" t="str">
        <f>IF('Finalterm OVPAA-F-INS-055A RAW '!O93="","",'Finalterm OVPAA-F-INS-055A RAW '!O93/'Finalterm OVPAA-F-INS-055A RAW '!O$17*100)</f>
        <v/>
      </c>
      <c r="P93" s="126" t="str">
        <f>IF('Finalterm OVPAA-F-INS-055A RAW '!P93="","",'Finalterm OVPAA-F-INS-055A RAW '!P93/'Finalterm OVPAA-F-INS-055A RAW '!P$17*100)</f>
        <v/>
      </c>
      <c r="Q93" s="126" t="str">
        <f>IF('Finalterm OVPAA-F-INS-055A RAW '!Q93="","",'Finalterm OVPAA-F-INS-055A RAW '!Q93/'Finalterm OVPAA-F-INS-055A RAW '!Q$17*100)</f>
        <v/>
      </c>
      <c r="R93" s="126" t="str">
        <f>IF('Finalterm OVPAA-F-INS-055A RAW '!R93="","",'Finalterm OVPAA-F-INS-055A RAW '!R93/'Finalterm OVPAA-F-INS-055A RAW '!R$17*100)</f>
        <v/>
      </c>
      <c r="S93" s="126" t="str">
        <f>IF('Finalterm OVPAA-F-INS-055A RAW '!S93="","",'Finalterm OVPAA-F-INS-055A RAW '!S93/'Finalterm OVPAA-F-INS-055A RAW '!S$17*100)</f>
        <v/>
      </c>
      <c r="T93" s="126" t="str">
        <f>IF('Finalterm OVPAA-F-INS-055A RAW '!T93="","",'Finalterm OVPAA-F-INS-055A RAW '!T93/'Finalterm OVPAA-F-INS-055A RAW '!T$17*100)</f>
        <v/>
      </c>
      <c r="U93" s="126" t="str">
        <f>IF('Finalterm OVPAA-F-INS-055A RAW '!U93="","",'Finalterm OVPAA-F-INS-055A RAW '!U93/'Finalterm OVPAA-F-INS-055A RAW '!U$17*100)</f>
        <v/>
      </c>
      <c r="V93" s="126" t="str">
        <f>IF('Finalterm OVPAA-F-INS-055A RAW '!V93="","",'Finalterm OVPAA-F-INS-055A RAW '!V93/'Finalterm OVPAA-F-INS-055A RAW '!V$17*100)</f>
        <v/>
      </c>
      <c r="W93" s="126" t="str">
        <f>IF('Finalterm OVPAA-F-INS-055A RAW '!W93="","",'Finalterm OVPAA-F-INS-055A RAW '!W93/'Finalterm OVPAA-F-INS-055A RAW '!W$17*100)</f>
        <v/>
      </c>
      <c r="X93" s="126" t="str">
        <f>IF('Finalterm OVPAA-F-INS-055A RAW '!X93="","",'Finalterm OVPAA-F-INS-055A RAW '!X93/'Finalterm OVPAA-F-INS-055A RAW '!X$17*100)</f>
        <v/>
      </c>
      <c r="Y93" s="126" t="str">
        <f>IF('Finalterm OVPAA-F-INS-055A RAW '!Y93="","",'Finalterm OVPAA-F-INS-055A RAW '!Y93/'Finalterm OVPAA-F-INS-055A RAW '!Y$17*100)</f>
        <v/>
      </c>
      <c r="Z93" s="126" t="str">
        <f>IF('Finalterm OVPAA-F-INS-055A RAW '!Z93="","",'Finalterm OVPAA-F-INS-055A RAW '!Z93/'Finalterm OVPAA-F-INS-055A RAW '!Z$17*100)</f>
        <v/>
      </c>
      <c r="AA93" s="126" t="str">
        <f>IF('Finalterm OVPAA-F-INS-055A RAW '!AA93="","",'Finalterm OVPAA-F-INS-055A RAW '!AA93/'Finalterm OVPAA-F-INS-055A RAW '!AA$17*100)</f>
        <v/>
      </c>
      <c r="AB93" s="126" t="str">
        <f>IF('Finalterm OVPAA-F-INS-055A RAW '!AB93="","",'Finalterm OVPAA-F-INS-055A RAW '!AB93/'Finalterm OVPAA-F-INS-055A RAW '!AB$17*100)</f>
        <v/>
      </c>
      <c r="AC93" s="126" t="str">
        <f>IF('Finalterm OVPAA-F-INS-055A RAW '!AC93="","",'Finalterm OVPAA-F-INS-055A RAW '!AC93/'Finalterm OVPAA-F-INS-055A RAW '!AC$17*100)</f>
        <v/>
      </c>
      <c r="AD93" s="126" t="str">
        <f>IF('Finalterm OVPAA-F-INS-055A RAW '!AD93="","",'Finalterm OVPAA-F-INS-055A RAW '!AD93/'Finalterm OVPAA-F-INS-055A RAW '!AD$17*100)</f>
        <v/>
      </c>
      <c r="AE93" s="126" t="str">
        <f>IF('Finalterm OVPAA-F-INS-055A RAW '!AE93="","",'Finalterm OVPAA-F-INS-055A RAW '!AE93/'Finalterm OVPAA-F-INS-055A RAW '!AE$17*100)</f>
        <v/>
      </c>
      <c r="AF93" s="126" t="str">
        <f>IF('Finalterm OVPAA-F-INS-055A RAW '!AF93="","",'Finalterm OVPAA-F-INS-055A RAW '!AF93/'Finalterm OVPAA-F-INS-055A RAW '!AF$17*100)</f>
        <v/>
      </c>
      <c r="AG93" s="126" t="str">
        <f>IF('Finalterm OVPAA-F-INS-055A RAW '!AG93="","",'Finalterm OVPAA-F-INS-055A RAW '!AG93/'Finalterm OVPAA-F-INS-055A RAW '!AG$17*100)</f>
        <v/>
      </c>
      <c r="AH93" s="126" t="str">
        <f>IF('Finalterm OVPAA-F-INS-055A RAW '!AH93="","",'Finalterm OVPAA-F-INS-055A RAW '!AH93/'Finalterm OVPAA-F-INS-055A RAW '!AH$17*100)</f>
        <v/>
      </c>
      <c r="AI93" s="126" t="str">
        <f>IF('Finalterm OVPAA-F-INS-055A RAW '!AI93="","",'Finalterm OVPAA-F-INS-055A RAW '!AI93/'Finalterm OVPAA-F-INS-055A RAW '!AI$17*100)</f>
        <v/>
      </c>
      <c r="AJ93" s="126" t="str">
        <f>IF('Finalterm OVPAA-F-INS-055A RAW '!AJ93="","",'Finalterm OVPAA-F-INS-055A RAW '!AJ93/'Finalterm OVPAA-F-INS-055A RAW '!AJ$17*100)</f>
        <v/>
      </c>
      <c r="AK93" s="126" t="str">
        <f>IF('Finalterm OVPAA-F-INS-055A RAW '!AK93="","",'Finalterm OVPAA-F-INS-055A RAW '!AK93/'Finalterm OVPAA-F-INS-055A RAW '!AK$17*100)</f>
        <v/>
      </c>
      <c r="AL93" s="126" t="str">
        <f>IF('Finalterm OVPAA-F-INS-055A RAW '!AL93="","",'Finalterm OVPAA-F-INS-055A RAW '!AL93/'Finalterm OVPAA-F-INS-055A RAW '!AL$17*100)</f>
        <v/>
      </c>
      <c r="AM93" s="126" t="str">
        <f>IF('Finalterm OVPAA-F-INS-055A RAW '!AM93="","",'Finalterm OVPAA-F-INS-055A RAW '!AM93/'Finalterm OVPAA-F-INS-055A RAW '!AM$17*100)</f>
        <v/>
      </c>
      <c r="AN93" s="126" t="str">
        <f>IF('Finalterm OVPAA-F-INS-055A RAW '!AN93="","",'Finalterm OVPAA-F-INS-055A RAW '!AN93/'Finalterm OVPAA-F-INS-055A RAW '!AN$17*100)</f>
        <v/>
      </c>
      <c r="AO93" s="126" t="str">
        <f>IF('Finalterm OVPAA-F-INS-055A RAW '!AO93="","",'Finalterm OVPAA-F-INS-055A RAW '!AO93/'Finalterm OVPAA-F-INS-055A RAW '!AO$17*100)</f>
        <v/>
      </c>
      <c r="AP93" s="126" t="str">
        <f>IF('Finalterm OVPAA-F-INS-055A RAW '!AP93="","",'Finalterm OVPAA-F-INS-055A RAW '!AP93/'Finalterm OVPAA-F-INS-055A RAW '!AP$17*100)</f>
        <v/>
      </c>
      <c r="AQ93" s="126" t="str">
        <f>IF('Finalterm OVPAA-F-INS-055A RAW '!AQ93="","",'Finalterm OVPAA-F-INS-055A RAW '!AQ93/'Finalterm OVPAA-F-INS-055A RAW '!AQ$17*100)</f>
        <v/>
      </c>
      <c r="AR93" s="126" t="str">
        <f>IF('Finalterm OVPAA-F-INS-055A RAW '!AR93="","",'Finalterm OVPAA-F-INS-055A RAW '!AR93/'Finalterm OVPAA-F-INS-055A RAW '!AR$17*100)</f>
        <v/>
      </c>
      <c r="AS93" s="126" t="str">
        <f>IF('Finalterm OVPAA-F-INS-055A RAW '!AS93="","",'Finalterm OVPAA-F-INS-055A RAW '!AS93/'Finalterm OVPAA-F-INS-055A RAW '!AS$17*100)</f>
        <v/>
      </c>
      <c r="AT93" s="126" t="str">
        <f>IF('Finalterm OVPAA-F-INS-055A RAW '!AT93="","",'Finalterm OVPAA-F-INS-055A RAW '!AT93/'Finalterm OVPAA-F-INS-055A RAW '!AT$17*100)</f>
        <v/>
      </c>
      <c r="AU93" s="126" t="str">
        <f>IF('Finalterm OVPAA-F-INS-055A RAW '!AU93="","",'Finalterm OVPAA-F-INS-055A RAW '!AU93/'Finalterm OVPAA-F-INS-055A RAW '!AU$17*100)</f>
        <v/>
      </c>
      <c r="AV93" s="126" t="str">
        <f>IF('Finalterm OVPAA-F-INS-055A RAW '!AV93="","",'Finalterm OVPAA-F-INS-055A RAW '!AV93/'Finalterm OVPAA-F-INS-055A RAW '!AV$17*100)</f>
        <v/>
      </c>
      <c r="AW93" s="126" t="str">
        <f>IF('Finalterm OVPAA-F-INS-055A RAW '!AW93="","",'Finalterm OVPAA-F-INS-055A RAW '!AW93/'Finalterm OVPAA-F-INS-055A RAW '!AW$17*100)</f>
        <v/>
      </c>
      <c r="AX93" s="126" t="str">
        <f>IF('Finalterm OVPAA-F-INS-055A RAW '!AX93="","",'Finalterm OVPAA-F-INS-055A RAW '!AX93/'Finalterm OVPAA-F-INS-055A RAW '!AX$17*100)</f>
        <v/>
      </c>
      <c r="AY93" s="126" t="str">
        <f>IF('Finalterm OVPAA-F-INS-055A RAW '!AY93="","",'Finalterm OVPAA-F-INS-055A RAW '!AY93/'Finalterm OVPAA-F-INS-055A RAW '!AY$17*100)</f>
        <v/>
      </c>
      <c r="AZ93" s="126" t="str">
        <f>IF('Finalterm OVPAA-F-INS-055A RAW '!AZ93="","",'Finalterm OVPAA-F-INS-055A RAW '!AZ93/'Finalterm OVPAA-F-INS-055A RAW '!AZ$17*100)</f>
        <v/>
      </c>
      <c r="BA93" s="126" t="str">
        <f>IF('Finalterm OVPAA-F-INS-055A RAW '!BA93="","",'Finalterm OVPAA-F-INS-055A RAW '!BA93/'Finalterm OVPAA-F-INS-055A RAW '!BA$17*100)</f>
        <v/>
      </c>
      <c r="BB93" s="126" t="str">
        <f>IF('Finalterm OVPAA-F-INS-055A RAW '!BB93="","",'Finalterm OVPAA-F-INS-055A RAW '!BB93/'Finalterm OVPAA-F-INS-055A RAW '!BB$17*100)</f>
        <v/>
      </c>
      <c r="BC93" s="126" t="str">
        <f>IF('Finalterm OVPAA-F-INS-055A RAW '!BC93="","",'Finalterm OVPAA-F-INS-055A RAW '!BC93/'Finalterm OVPAA-F-INS-055A RAW '!BC$17*100)</f>
        <v/>
      </c>
      <c r="BD93" s="126" t="str">
        <f>IF('Finalterm OVPAA-F-INS-055A RAW '!BD93="","",'Finalterm OVPAA-F-INS-055A RAW '!BD93/'Finalterm OVPAA-F-INS-055A RAW '!BD$17*100)</f>
        <v/>
      </c>
      <c r="BE93" s="126" t="str">
        <f>IF('Finalterm OVPAA-F-INS-055A RAW '!BE93="","",'Finalterm OVPAA-F-INS-055A RAW '!BE93/'Finalterm OVPAA-F-INS-055A RAW '!BE$17*100)</f>
        <v/>
      </c>
      <c r="BF93" s="126" t="str">
        <f>IF('Finalterm OVPAA-F-INS-055A RAW '!BF93="","",'Finalterm OVPAA-F-INS-055A RAW '!BF93/'Finalterm OVPAA-F-INS-055A RAW '!BF$17*100)</f>
        <v/>
      </c>
      <c r="BG93" s="126" t="str">
        <f>IF('Finalterm OVPAA-F-INS-055A RAW '!BG93="","",'Finalterm OVPAA-F-INS-055A RAW '!BG93/'Finalterm OVPAA-F-INS-055A RAW '!BG$17*100)</f>
        <v/>
      </c>
      <c r="BH93" s="126" t="str">
        <f>IF('Finalterm OVPAA-F-INS-055A RAW '!BH93="","",'Finalterm OVPAA-F-INS-055A RAW '!BH93/'Finalterm OVPAA-F-INS-055A RAW '!BH$17*100)</f>
        <v/>
      </c>
      <c r="BI93" s="126" t="str">
        <f>IF('Finalterm OVPAA-F-INS-055A RAW '!BI93="","",'Finalterm OVPAA-F-INS-055A RAW '!BI93/'Finalterm OVPAA-F-INS-055A RAW '!BI$17*100)</f>
        <v/>
      </c>
      <c r="BJ93" s="126" t="str">
        <f>IF('Finalterm OVPAA-F-INS-055A RAW '!BJ93="","",'Finalterm OVPAA-F-INS-055A RAW '!BJ93/'Finalterm OVPAA-F-INS-055A RAW '!BJ$17*100)</f>
        <v/>
      </c>
      <c r="BK93" s="126" t="str">
        <f>IF('Finalterm OVPAA-F-INS-055A RAW '!BK93="","",'Finalterm OVPAA-F-INS-055A RAW '!BK93/'Finalterm OVPAA-F-INS-055A RAW '!BK$17*100)</f>
        <v/>
      </c>
      <c r="BL93" s="126" t="str">
        <f>IF('Finalterm OVPAA-F-INS-055A RAW '!BL93="","",'Finalterm OVPAA-F-INS-055A RAW '!BL93/'Finalterm OVPAA-F-INS-055A RAW '!BL$17*100)</f>
        <v/>
      </c>
      <c r="BM93" s="126" t="str">
        <f>IF('Finalterm OVPAA-F-INS-055A RAW '!BM93="","",'Finalterm OVPAA-F-INS-055A RAW '!BM93/'Finalterm OVPAA-F-INS-055A RAW '!BM$17*100)</f>
        <v/>
      </c>
      <c r="BN93" s="126" t="str">
        <f>IF('Finalterm OVPAA-F-INS-055A RAW '!BN93="","",'Finalterm OVPAA-F-INS-055A RAW '!BN93/'Finalterm OVPAA-F-INS-055A RAW '!BN$17*100)</f>
        <v/>
      </c>
      <c r="BO93" s="126" t="str">
        <f>IF('Finalterm OVPAA-F-INS-055A RAW '!BO93="","",'Finalterm OVPAA-F-INS-055A RAW '!BO93/'Finalterm OVPAA-F-INS-055A RAW '!BO$17*100)</f>
        <v/>
      </c>
      <c r="BP93" s="126" t="str">
        <f>IF('Finalterm OVPAA-F-INS-055A RAW '!BP93="","",'Finalterm OVPAA-F-INS-055A RAW '!BP93/'Finalterm OVPAA-F-INS-055A RAW '!BP$17*100)</f>
        <v/>
      </c>
      <c r="BQ93" s="126" t="str">
        <f>IF('Finalterm OVPAA-F-INS-055A RAW '!BQ93="","",'Finalterm OVPAA-F-INS-055A RAW '!BQ93/'Finalterm OVPAA-F-INS-055A RAW '!BQ$17*100)</f>
        <v/>
      </c>
      <c r="BR93" s="126" t="str">
        <f>IF('Finalterm OVPAA-F-INS-055A RAW '!BR93="","",'Finalterm OVPAA-F-INS-055A RAW '!BR93/'Finalterm OVPAA-F-INS-055A RAW '!BR$17*100)</f>
        <v/>
      </c>
      <c r="BS93" s="126" t="str">
        <f>IF('Finalterm OVPAA-F-INS-055A RAW '!BS93="","",'Finalterm OVPAA-F-INS-055A RAW '!BS93/'Finalterm OVPAA-F-INS-055A RAW '!BS$17*100)</f>
        <v/>
      </c>
      <c r="BT93" s="126" t="str">
        <f>IF('Finalterm OVPAA-F-INS-055A RAW '!BT93="","",'Finalterm OVPAA-F-INS-055A RAW '!BT93/'Finalterm OVPAA-F-INS-055A RAW '!BT$17*100)</f>
        <v/>
      </c>
      <c r="BU93" s="127" t="str">
        <f t="array" ref="BU93">IF('Finalterm OVPAA-F-INS-055A RAW '!$G93="","",IF((SUMPRODUCT(--ISBLANK('Finalterm OVPAA-F-INS-055A RAW '!H93:BT93))=COLUMNS('Finalterm OVPAA-F-INS-055A RAW '!H93:BT93))=TRUE,"",(((COUNTA('Finalterm OVPAA-F-INS-055A RAW '!$H$17:$BT$17)+COUNTBLANK('Finalterm OVPAA-F-INS-055A RAW '!H93:BT93))-COLUMNS('Finalterm OVPAA-F-INS-055A RAW '!H93:BT93))*5+SUM(H93:BT93))/COUNTA('Finalterm OVPAA-F-INS-055A RAW '!$H$17:$BT$17)))</f>
        <v/>
      </c>
      <c r="BV93" s="165" t="str">
        <f>IF(BU93="","",VLOOKUP(BU93,IF('Midterm OVPAA-F-INS-055A RAW SC'!$V$12=0.5,TRANSMUTATION!$C$4:$D$17,TRANSMUTATION!$G$4:$H$17),2,TRUE))</f>
        <v/>
      </c>
      <c r="BW93" s="129" t="str">
        <f>IF('Finalterm OVPAA-F-INS-055A RAW '!BU93="","",'Finalterm OVPAA-F-INS-055A RAW '!BU93/'Finalterm OVPAA-F-INS-055A RAW '!BU$17*100)</f>
        <v/>
      </c>
      <c r="BX93" s="130" t="str">
        <f>IF('Finalterm OVPAA-F-INS-055A RAW '!BV93="","",'Finalterm OVPAA-F-INS-055A RAW '!BV93/'Finalterm OVPAA-F-INS-055A RAW '!BV$17*100)</f>
        <v/>
      </c>
      <c r="BY93" s="130" t="str">
        <f>IF('Finalterm OVPAA-F-INS-055A RAW '!BW93="","",'Finalterm OVPAA-F-INS-055A RAW '!BW93/'Finalterm OVPAA-F-INS-055A RAW '!BW$17*100)</f>
        <v/>
      </c>
      <c r="BZ93" s="130" t="str">
        <f>IF('Finalterm OVPAA-F-INS-055A RAW '!BX93="","",'Finalterm OVPAA-F-INS-055A RAW '!BX93/'Finalterm OVPAA-F-INS-055A RAW '!BX$17*100)</f>
        <v/>
      </c>
      <c r="CA93" s="130" t="str">
        <f>IF('Finalterm OVPAA-F-INS-055A RAW '!BY93="","",'Finalterm OVPAA-F-INS-055A RAW '!BY93/'Finalterm OVPAA-F-INS-055A RAW '!BY$17*100)</f>
        <v/>
      </c>
      <c r="CB93" s="130" t="str">
        <f>IF('Finalterm OVPAA-F-INS-055A RAW '!BZ93="","",'Finalterm OVPAA-F-INS-055A RAW '!BZ93/'Finalterm OVPAA-F-INS-055A RAW '!BZ$17*100)</f>
        <v/>
      </c>
      <c r="CC93" s="130" t="str">
        <f>IF('Finalterm OVPAA-F-INS-055A RAW '!CA93="","",'Finalterm OVPAA-F-INS-055A RAW '!CA93/'Finalterm OVPAA-F-INS-055A RAW '!CA$17*100)</f>
        <v/>
      </c>
      <c r="CD93" s="130" t="str">
        <f>IF('Finalterm OVPAA-F-INS-055A RAW '!CB93="","",'Finalterm OVPAA-F-INS-055A RAW '!CB93/'Finalterm OVPAA-F-INS-055A RAW '!CB$17*100)</f>
        <v/>
      </c>
      <c r="CE93" s="130" t="str">
        <f>IF('Finalterm OVPAA-F-INS-055A RAW '!CC93="","",'Finalterm OVPAA-F-INS-055A RAW '!CC93/'Finalterm OVPAA-F-INS-055A RAW '!CC$17*100)</f>
        <v/>
      </c>
      <c r="CF93" s="130" t="str">
        <f>IF('Finalterm OVPAA-F-INS-055A RAW '!CD93="","",'Finalterm OVPAA-F-INS-055A RAW '!CD93/'Finalterm OVPAA-F-INS-055A RAW '!CD$17*100)</f>
        <v/>
      </c>
      <c r="CG93" s="130" t="str">
        <f>IF('Finalterm OVPAA-F-INS-055A RAW '!CE93="","",'Finalterm OVPAA-F-INS-055A RAW '!CE93/'Finalterm OVPAA-F-INS-055A RAW '!CE$17*100)</f>
        <v/>
      </c>
      <c r="CH93" s="130" t="str">
        <f>IF('Finalterm OVPAA-F-INS-055A RAW '!CF93="","",'Finalterm OVPAA-F-INS-055A RAW '!CF93/'Finalterm OVPAA-F-INS-055A RAW '!CF$17*100)</f>
        <v/>
      </c>
      <c r="CI93" s="130" t="str">
        <f>IF('Finalterm OVPAA-F-INS-055A RAW '!CG93="","",'Finalterm OVPAA-F-INS-055A RAW '!CG93/'Finalterm OVPAA-F-INS-055A RAW '!CG$17*100)</f>
        <v/>
      </c>
      <c r="CJ93" s="130" t="str">
        <f>IF('Finalterm OVPAA-F-INS-055A RAW '!CH93="","",'Finalterm OVPAA-F-INS-055A RAW '!CH93/'Finalterm OVPAA-F-INS-055A RAW '!CH$17*100)</f>
        <v/>
      </c>
      <c r="CK93" s="130" t="str">
        <f>IF('Finalterm OVPAA-F-INS-055A RAW '!CI93="","",'Finalterm OVPAA-F-INS-055A RAW '!CI93/'Finalterm OVPAA-F-INS-055A RAW '!CI$17*100)</f>
        <v/>
      </c>
      <c r="CL93" s="130" t="str">
        <f>IF('Finalterm OVPAA-F-INS-055A RAW '!CJ93="","",'Finalterm OVPAA-F-INS-055A RAW '!CJ93/'Finalterm OVPAA-F-INS-055A RAW '!CJ$17*100)</f>
        <v/>
      </c>
      <c r="CM93" s="130" t="str">
        <f>IF('Finalterm OVPAA-F-INS-055A RAW '!CK93="","",'Finalterm OVPAA-F-INS-055A RAW '!CK93/'Finalterm OVPAA-F-INS-055A RAW '!CK$17*100)</f>
        <v/>
      </c>
      <c r="CN93" s="130" t="str">
        <f>IF('Finalterm OVPAA-F-INS-055A RAW '!CL93="","",'Finalterm OVPAA-F-INS-055A RAW '!CL93/'Finalterm OVPAA-F-INS-055A RAW '!CL$17*100)</f>
        <v/>
      </c>
      <c r="CO93" s="130" t="str">
        <f>IF('Finalterm OVPAA-F-INS-055A RAW '!CM93="","",'Finalterm OVPAA-F-INS-055A RAW '!CM93/'Finalterm OVPAA-F-INS-055A RAW '!CM$17*100)</f>
        <v/>
      </c>
      <c r="CP93" s="130" t="str">
        <f>IF('Finalterm OVPAA-F-INS-055A RAW '!CN93="","",'Finalterm OVPAA-F-INS-055A RAW '!CN93/'Finalterm OVPAA-F-INS-055A RAW '!CN$17*100)</f>
        <v/>
      </c>
      <c r="CQ93" s="131" t="str">
        <f t="array" ref="CQ93">IF('Midterm OVPAA-F-INS-055A RAW SC'!G93="","",IF((SUMPRODUCT(--ISBLANK('Finalterm OVPAA-F-INS-055A RAW '!BU93:CN93))=COLUMNS('Finalterm OVPAA-F-INS-055A RAW '!BU93:CN93))=TRUE,"",(((COUNTA('Finalterm OVPAA-F-INS-055A RAW '!$BU$17:$CN$17)+COUNTBLANK('Finalterm OVPAA-F-INS-055A RAW '!BU93:CN93))-COLUMNS('Finalterm OVPAA-F-INS-055A RAW '!BU93:CN93))*5+SUM(BW93:CP93))/COUNTA('Finalterm OVPAA-F-INS-055A RAW '!$BU$17:$CN$17)))</f>
        <v/>
      </c>
      <c r="CR93" s="132" t="str">
        <f>IF(CQ93="","",VLOOKUP(CQ93,IF('Midterm OVPAA-F-INS-055A RAW SC'!$V$12=0.5,TRANSMUTATION!$C$4:$D$17,TRANSMUTATION!$G$4:$H$17),2,TRUE))</f>
        <v/>
      </c>
      <c r="CS93" s="133" t="str">
        <f>IF('Finalterm OVPAA-F-INS-055A RAW '!CO93="","",'Finalterm OVPAA-F-INS-055A RAW '!CO93/'Finalterm OVPAA-F-INS-055A RAW '!CO$17*100)</f>
        <v/>
      </c>
      <c r="CT93" s="133" t="str">
        <f>IF('Finalterm OVPAA-F-INS-055A RAW '!CP93="","",'Finalterm OVPAA-F-INS-055A RAW '!CP93/'Finalterm OVPAA-F-INS-055A RAW '!CP$17*100)</f>
        <v/>
      </c>
      <c r="CU93" s="133" t="str">
        <f>IF('Finalterm OVPAA-F-INS-055A RAW '!CQ93="","",'Finalterm OVPAA-F-INS-055A RAW '!CQ93/'Finalterm OVPAA-F-INS-055A RAW '!CQ$17*100)</f>
        <v/>
      </c>
      <c r="CV93" s="133" t="str">
        <f>IF('Finalterm OVPAA-F-INS-055A RAW '!CR93="","",'Finalterm OVPAA-F-INS-055A RAW '!CR93/'Finalterm OVPAA-F-INS-055A RAW '!CR$17*100)</f>
        <v/>
      </c>
      <c r="CW93" s="133" t="str">
        <f>IF('Finalterm OVPAA-F-INS-055A RAW '!CS93="","",'Finalterm OVPAA-F-INS-055A RAW '!CS93/'Finalterm OVPAA-F-INS-055A RAW '!CS$17*100)</f>
        <v/>
      </c>
      <c r="CX93" s="133" t="str">
        <f>IF('Finalterm OVPAA-F-INS-055A RAW '!CT93="","",'Finalterm OVPAA-F-INS-055A RAW '!CT93/'Finalterm OVPAA-F-INS-055A RAW '!CT$17*100)</f>
        <v/>
      </c>
      <c r="CY93" s="133" t="str">
        <f>IF('Finalterm OVPAA-F-INS-055A RAW '!CU93="","",'Finalterm OVPAA-F-INS-055A RAW '!CU93/'Finalterm OVPAA-F-INS-055A RAW '!CU$17*100)</f>
        <v/>
      </c>
      <c r="CZ93" s="133" t="str">
        <f>IF('Finalterm OVPAA-F-INS-055A RAW '!CV93="","",'Finalterm OVPAA-F-INS-055A RAW '!CV93/'Finalterm OVPAA-F-INS-055A RAW '!CV$17*100)</f>
        <v/>
      </c>
      <c r="DA93" s="133" t="str">
        <f>IF('Finalterm OVPAA-F-INS-055A RAW '!CW93="","",'Finalterm OVPAA-F-INS-055A RAW '!CW93/'Finalterm OVPAA-F-INS-055A RAW '!CW$17*100)</f>
        <v/>
      </c>
      <c r="DB93" s="133" t="str">
        <f>IF('Finalterm OVPAA-F-INS-055A RAW '!CX93="","",'Finalterm OVPAA-F-INS-055A RAW '!CX93/'Finalterm OVPAA-F-INS-055A RAW '!CX$17*100)</f>
        <v/>
      </c>
      <c r="DC93" s="134" t="str">
        <f t="array" ref="DC93">IF('Midterm OVPAA-F-INS-055A RAW SC'!$G93="","",IF((SUMPRODUCT(--ISBLANK('Finalterm OVPAA-F-INS-055A RAW '!CO93:CX93))=COLUMNS('Finalterm OVPAA-F-INS-055A RAW '!CO93:CX93))=TRUE,"",(((COUNTA('Finalterm OVPAA-F-INS-055A RAW '!$CO$17:$CX$17)+COUNTBLANK('Finalterm OVPAA-F-INS-055A RAW '!CO93:CX93))-COLUMNS('Finalterm OVPAA-F-INS-055A RAW '!CO93:CX93))*5+SUM(CS93:DB93))/COUNTA('Finalterm OVPAA-F-INS-055A RAW '!$CO$17:$CX$17)))</f>
        <v/>
      </c>
      <c r="DD93" s="135" t="str">
        <f>IF(DC93="","",VLOOKUP(DC93,IF('Midterm OVPAA-F-INS-055A RAW SC'!$V$12=0.5,TRANSMUTATION!$C$4:$D$17,TRANSMUTATION!$G$4:$H$17),2,TRUE))</f>
        <v/>
      </c>
      <c r="DE93" s="136" t="str">
        <f t="shared" si="1"/>
        <v/>
      </c>
      <c r="DF93" s="166" t="str">
        <f t="shared" si="2"/>
        <v/>
      </c>
      <c r="DG93" s="167" t="str">
        <f t="shared" si="3"/>
        <v/>
      </c>
      <c r="DH93" s="168" t="str">
        <f t="shared" si="4"/>
        <v/>
      </c>
      <c r="DI93" s="169" t="str">
        <f t="shared" si="5"/>
        <v/>
      </c>
    </row>
    <row r="94" spans="1:113" ht="15.75" hidden="1" customHeight="1">
      <c r="A94" s="5"/>
      <c r="B94" s="5"/>
      <c r="C94" s="5"/>
      <c r="D94" s="5"/>
      <c r="E94" s="59">
        <v>77</v>
      </c>
      <c r="F94" s="124" t="str">
        <f>IF(NOT(ISBLANK('Midterm OVPAA-F-INS-055A RAW SC'!F94)),'Midterm OVPAA-F-INS-055A RAW SC'!F94,"")</f>
        <v/>
      </c>
      <c r="G94" s="125" t="str">
        <f>IF(NOT(ISBLANK('Midterm OVPAA-F-INS-055A RAW SC'!G94)),'Midterm OVPAA-F-INS-055A RAW SC'!G94,"")</f>
        <v/>
      </c>
      <c r="H94" s="126" t="str">
        <f>IF('Finalterm OVPAA-F-INS-055A RAW '!H94="","",'Finalterm OVPAA-F-INS-055A RAW '!H94/'Finalterm OVPAA-F-INS-055A RAW '!H$17*100)</f>
        <v/>
      </c>
      <c r="I94" s="126" t="str">
        <f>IF('Finalterm OVPAA-F-INS-055A RAW '!I94="","",'Finalterm OVPAA-F-INS-055A RAW '!I94/'Finalterm OVPAA-F-INS-055A RAW '!I$17*100)</f>
        <v/>
      </c>
      <c r="J94" s="126" t="str">
        <f>IF('Finalterm OVPAA-F-INS-055A RAW '!J94="","",'Finalterm OVPAA-F-INS-055A RAW '!J94/'Finalterm OVPAA-F-INS-055A RAW '!J$17*100)</f>
        <v/>
      </c>
      <c r="K94" s="126" t="str">
        <f>IF('Finalterm OVPAA-F-INS-055A RAW '!K94="","",'Finalterm OVPAA-F-INS-055A RAW '!K94/'Finalterm OVPAA-F-INS-055A RAW '!K$17*100)</f>
        <v/>
      </c>
      <c r="L94" s="126" t="str">
        <f>IF('Finalterm OVPAA-F-INS-055A RAW '!L94="","",'Finalterm OVPAA-F-INS-055A RAW '!L94/'Finalterm OVPAA-F-INS-055A RAW '!L$17*100)</f>
        <v/>
      </c>
      <c r="M94" s="126" t="str">
        <f>IF('Finalterm OVPAA-F-INS-055A RAW '!M94="","",'Finalterm OVPAA-F-INS-055A RAW '!M94/'Finalterm OVPAA-F-INS-055A RAW '!M$17*100)</f>
        <v/>
      </c>
      <c r="N94" s="126" t="str">
        <f>IF('Finalterm OVPAA-F-INS-055A RAW '!N94="","",'Finalterm OVPAA-F-INS-055A RAW '!N94/'Finalterm OVPAA-F-INS-055A RAW '!N$17*100)</f>
        <v/>
      </c>
      <c r="O94" s="126" t="str">
        <f>IF('Finalterm OVPAA-F-INS-055A RAW '!O94="","",'Finalterm OVPAA-F-INS-055A RAW '!O94/'Finalterm OVPAA-F-INS-055A RAW '!O$17*100)</f>
        <v/>
      </c>
      <c r="P94" s="126" t="str">
        <f>IF('Finalterm OVPAA-F-INS-055A RAW '!P94="","",'Finalterm OVPAA-F-INS-055A RAW '!P94/'Finalterm OVPAA-F-INS-055A RAW '!P$17*100)</f>
        <v/>
      </c>
      <c r="Q94" s="126" t="str">
        <f>IF('Finalterm OVPAA-F-INS-055A RAW '!Q94="","",'Finalterm OVPAA-F-INS-055A RAW '!Q94/'Finalterm OVPAA-F-INS-055A RAW '!Q$17*100)</f>
        <v/>
      </c>
      <c r="R94" s="126" t="str">
        <f>IF('Finalterm OVPAA-F-INS-055A RAW '!R94="","",'Finalterm OVPAA-F-INS-055A RAW '!R94/'Finalterm OVPAA-F-INS-055A RAW '!R$17*100)</f>
        <v/>
      </c>
      <c r="S94" s="126" t="str">
        <f>IF('Finalterm OVPAA-F-INS-055A RAW '!S94="","",'Finalterm OVPAA-F-INS-055A RAW '!S94/'Finalterm OVPAA-F-INS-055A RAW '!S$17*100)</f>
        <v/>
      </c>
      <c r="T94" s="126" t="str">
        <f>IF('Finalterm OVPAA-F-INS-055A RAW '!T94="","",'Finalterm OVPAA-F-INS-055A RAW '!T94/'Finalterm OVPAA-F-INS-055A RAW '!T$17*100)</f>
        <v/>
      </c>
      <c r="U94" s="126" t="str">
        <f>IF('Finalterm OVPAA-F-INS-055A RAW '!U94="","",'Finalterm OVPAA-F-INS-055A RAW '!U94/'Finalterm OVPAA-F-INS-055A RAW '!U$17*100)</f>
        <v/>
      </c>
      <c r="V94" s="126" t="str">
        <f>IF('Finalterm OVPAA-F-INS-055A RAW '!V94="","",'Finalterm OVPAA-F-INS-055A RAW '!V94/'Finalterm OVPAA-F-INS-055A RAW '!V$17*100)</f>
        <v/>
      </c>
      <c r="W94" s="126" t="str">
        <f>IF('Finalterm OVPAA-F-INS-055A RAW '!W94="","",'Finalterm OVPAA-F-INS-055A RAW '!W94/'Finalterm OVPAA-F-INS-055A RAW '!W$17*100)</f>
        <v/>
      </c>
      <c r="X94" s="126" t="str">
        <f>IF('Finalterm OVPAA-F-INS-055A RAW '!X94="","",'Finalterm OVPAA-F-INS-055A RAW '!X94/'Finalterm OVPAA-F-INS-055A RAW '!X$17*100)</f>
        <v/>
      </c>
      <c r="Y94" s="126" t="str">
        <f>IF('Finalterm OVPAA-F-INS-055A RAW '!Y94="","",'Finalterm OVPAA-F-INS-055A RAW '!Y94/'Finalterm OVPAA-F-INS-055A RAW '!Y$17*100)</f>
        <v/>
      </c>
      <c r="Z94" s="126" t="str">
        <f>IF('Finalterm OVPAA-F-INS-055A RAW '!Z94="","",'Finalterm OVPAA-F-INS-055A RAW '!Z94/'Finalterm OVPAA-F-INS-055A RAW '!Z$17*100)</f>
        <v/>
      </c>
      <c r="AA94" s="126" t="str">
        <f>IF('Finalterm OVPAA-F-INS-055A RAW '!AA94="","",'Finalterm OVPAA-F-INS-055A RAW '!AA94/'Finalterm OVPAA-F-INS-055A RAW '!AA$17*100)</f>
        <v/>
      </c>
      <c r="AB94" s="126" t="str">
        <f>IF('Finalterm OVPAA-F-INS-055A RAW '!AB94="","",'Finalterm OVPAA-F-INS-055A RAW '!AB94/'Finalterm OVPAA-F-INS-055A RAW '!AB$17*100)</f>
        <v/>
      </c>
      <c r="AC94" s="126" t="str">
        <f>IF('Finalterm OVPAA-F-INS-055A RAW '!AC94="","",'Finalterm OVPAA-F-INS-055A RAW '!AC94/'Finalterm OVPAA-F-INS-055A RAW '!AC$17*100)</f>
        <v/>
      </c>
      <c r="AD94" s="126" t="str">
        <f>IF('Finalterm OVPAA-F-INS-055A RAW '!AD94="","",'Finalterm OVPAA-F-INS-055A RAW '!AD94/'Finalterm OVPAA-F-INS-055A RAW '!AD$17*100)</f>
        <v/>
      </c>
      <c r="AE94" s="126" t="str">
        <f>IF('Finalterm OVPAA-F-INS-055A RAW '!AE94="","",'Finalterm OVPAA-F-INS-055A RAW '!AE94/'Finalterm OVPAA-F-INS-055A RAW '!AE$17*100)</f>
        <v/>
      </c>
      <c r="AF94" s="126" t="str">
        <f>IF('Finalterm OVPAA-F-INS-055A RAW '!AF94="","",'Finalterm OVPAA-F-INS-055A RAW '!AF94/'Finalterm OVPAA-F-INS-055A RAW '!AF$17*100)</f>
        <v/>
      </c>
      <c r="AG94" s="126" t="str">
        <f>IF('Finalterm OVPAA-F-INS-055A RAW '!AG94="","",'Finalterm OVPAA-F-INS-055A RAW '!AG94/'Finalterm OVPAA-F-INS-055A RAW '!AG$17*100)</f>
        <v/>
      </c>
      <c r="AH94" s="126" t="str">
        <f>IF('Finalterm OVPAA-F-INS-055A RAW '!AH94="","",'Finalterm OVPAA-F-INS-055A RAW '!AH94/'Finalterm OVPAA-F-INS-055A RAW '!AH$17*100)</f>
        <v/>
      </c>
      <c r="AI94" s="126" t="str">
        <f>IF('Finalterm OVPAA-F-INS-055A RAW '!AI94="","",'Finalterm OVPAA-F-INS-055A RAW '!AI94/'Finalterm OVPAA-F-INS-055A RAW '!AI$17*100)</f>
        <v/>
      </c>
      <c r="AJ94" s="126" t="str">
        <f>IF('Finalterm OVPAA-F-INS-055A RAW '!AJ94="","",'Finalterm OVPAA-F-INS-055A RAW '!AJ94/'Finalterm OVPAA-F-INS-055A RAW '!AJ$17*100)</f>
        <v/>
      </c>
      <c r="AK94" s="126" t="str">
        <f>IF('Finalterm OVPAA-F-INS-055A RAW '!AK94="","",'Finalterm OVPAA-F-INS-055A RAW '!AK94/'Finalterm OVPAA-F-INS-055A RAW '!AK$17*100)</f>
        <v/>
      </c>
      <c r="AL94" s="126" t="str">
        <f>IF('Finalterm OVPAA-F-INS-055A RAW '!AL94="","",'Finalterm OVPAA-F-INS-055A RAW '!AL94/'Finalterm OVPAA-F-INS-055A RAW '!AL$17*100)</f>
        <v/>
      </c>
      <c r="AM94" s="126" t="str">
        <f>IF('Finalterm OVPAA-F-INS-055A RAW '!AM94="","",'Finalterm OVPAA-F-INS-055A RAW '!AM94/'Finalterm OVPAA-F-INS-055A RAW '!AM$17*100)</f>
        <v/>
      </c>
      <c r="AN94" s="126" t="str">
        <f>IF('Finalterm OVPAA-F-INS-055A RAW '!AN94="","",'Finalterm OVPAA-F-INS-055A RAW '!AN94/'Finalterm OVPAA-F-INS-055A RAW '!AN$17*100)</f>
        <v/>
      </c>
      <c r="AO94" s="126" t="str">
        <f>IF('Finalterm OVPAA-F-INS-055A RAW '!AO94="","",'Finalterm OVPAA-F-INS-055A RAW '!AO94/'Finalterm OVPAA-F-INS-055A RAW '!AO$17*100)</f>
        <v/>
      </c>
      <c r="AP94" s="126" t="str">
        <f>IF('Finalterm OVPAA-F-INS-055A RAW '!AP94="","",'Finalterm OVPAA-F-INS-055A RAW '!AP94/'Finalterm OVPAA-F-INS-055A RAW '!AP$17*100)</f>
        <v/>
      </c>
      <c r="AQ94" s="126" t="str">
        <f>IF('Finalterm OVPAA-F-INS-055A RAW '!AQ94="","",'Finalterm OVPAA-F-INS-055A RAW '!AQ94/'Finalterm OVPAA-F-INS-055A RAW '!AQ$17*100)</f>
        <v/>
      </c>
      <c r="AR94" s="126" t="str">
        <f>IF('Finalterm OVPAA-F-INS-055A RAW '!AR94="","",'Finalterm OVPAA-F-INS-055A RAW '!AR94/'Finalterm OVPAA-F-INS-055A RAW '!AR$17*100)</f>
        <v/>
      </c>
      <c r="AS94" s="126" t="str">
        <f>IF('Finalterm OVPAA-F-INS-055A RAW '!AS94="","",'Finalterm OVPAA-F-INS-055A RAW '!AS94/'Finalterm OVPAA-F-INS-055A RAW '!AS$17*100)</f>
        <v/>
      </c>
      <c r="AT94" s="126" t="str">
        <f>IF('Finalterm OVPAA-F-INS-055A RAW '!AT94="","",'Finalterm OVPAA-F-INS-055A RAW '!AT94/'Finalterm OVPAA-F-INS-055A RAW '!AT$17*100)</f>
        <v/>
      </c>
      <c r="AU94" s="126" t="str">
        <f>IF('Finalterm OVPAA-F-INS-055A RAW '!AU94="","",'Finalterm OVPAA-F-INS-055A RAW '!AU94/'Finalterm OVPAA-F-INS-055A RAW '!AU$17*100)</f>
        <v/>
      </c>
      <c r="AV94" s="126" t="str">
        <f>IF('Finalterm OVPAA-F-INS-055A RAW '!AV94="","",'Finalterm OVPAA-F-INS-055A RAW '!AV94/'Finalterm OVPAA-F-INS-055A RAW '!AV$17*100)</f>
        <v/>
      </c>
      <c r="AW94" s="126" t="str">
        <f>IF('Finalterm OVPAA-F-INS-055A RAW '!AW94="","",'Finalterm OVPAA-F-INS-055A RAW '!AW94/'Finalterm OVPAA-F-INS-055A RAW '!AW$17*100)</f>
        <v/>
      </c>
      <c r="AX94" s="126" t="str">
        <f>IF('Finalterm OVPAA-F-INS-055A RAW '!AX94="","",'Finalterm OVPAA-F-INS-055A RAW '!AX94/'Finalterm OVPAA-F-INS-055A RAW '!AX$17*100)</f>
        <v/>
      </c>
      <c r="AY94" s="126" t="str">
        <f>IF('Finalterm OVPAA-F-INS-055A RAW '!AY94="","",'Finalterm OVPAA-F-INS-055A RAW '!AY94/'Finalterm OVPAA-F-INS-055A RAW '!AY$17*100)</f>
        <v/>
      </c>
      <c r="AZ94" s="126" t="str">
        <f>IF('Finalterm OVPAA-F-INS-055A RAW '!AZ94="","",'Finalterm OVPAA-F-INS-055A RAW '!AZ94/'Finalterm OVPAA-F-INS-055A RAW '!AZ$17*100)</f>
        <v/>
      </c>
      <c r="BA94" s="126" t="str">
        <f>IF('Finalterm OVPAA-F-INS-055A RAW '!BA94="","",'Finalterm OVPAA-F-INS-055A RAW '!BA94/'Finalterm OVPAA-F-INS-055A RAW '!BA$17*100)</f>
        <v/>
      </c>
      <c r="BB94" s="126" t="str">
        <f>IF('Finalterm OVPAA-F-INS-055A RAW '!BB94="","",'Finalterm OVPAA-F-INS-055A RAW '!BB94/'Finalterm OVPAA-F-INS-055A RAW '!BB$17*100)</f>
        <v/>
      </c>
      <c r="BC94" s="126" t="str">
        <f>IF('Finalterm OVPAA-F-INS-055A RAW '!BC94="","",'Finalterm OVPAA-F-INS-055A RAW '!BC94/'Finalterm OVPAA-F-INS-055A RAW '!BC$17*100)</f>
        <v/>
      </c>
      <c r="BD94" s="126" t="str">
        <f>IF('Finalterm OVPAA-F-INS-055A RAW '!BD94="","",'Finalterm OVPAA-F-INS-055A RAW '!BD94/'Finalterm OVPAA-F-INS-055A RAW '!BD$17*100)</f>
        <v/>
      </c>
      <c r="BE94" s="126" t="str">
        <f>IF('Finalterm OVPAA-F-INS-055A RAW '!BE94="","",'Finalterm OVPAA-F-INS-055A RAW '!BE94/'Finalterm OVPAA-F-INS-055A RAW '!BE$17*100)</f>
        <v/>
      </c>
      <c r="BF94" s="126" t="str">
        <f>IF('Finalterm OVPAA-F-INS-055A RAW '!BF94="","",'Finalterm OVPAA-F-INS-055A RAW '!BF94/'Finalterm OVPAA-F-INS-055A RAW '!BF$17*100)</f>
        <v/>
      </c>
      <c r="BG94" s="126" t="str">
        <f>IF('Finalterm OVPAA-F-INS-055A RAW '!BG94="","",'Finalterm OVPAA-F-INS-055A RAW '!BG94/'Finalterm OVPAA-F-INS-055A RAW '!BG$17*100)</f>
        <v/>
      </c>
      <c r="BH94" s="126" t="str">
        <f>IF('Finalterm OVPAA-F-INS-055A RAW '!BH94="","",'Finalterm OVPAA-F-INS-055A RAW '!BH94/'Finalterm OVPAA-F-INS-055A RAW '!BH$17*100)</f>
        <v/>
      </c>
      <c r="BI94" s="126" t="str">
        <f>IF('Finalterm OVPAA-F-INS-055A RAW '!BI94="","",'Finalterm OVPAA-F-INS-055A RAW '!BI94/'Finalterm OVPAA-F-INS-055A RAW '!BI$17*100)</f>
        <v/>
      </c>
      <c r="BJ94" s="126" t="str">
        <f>IF('Finalterm OVPAA-F-INS-055A RAW '!BJ94="","",'Finalterm OVPAA-F-INS-055A RAW '!BJ94/'Finalterm OVPAA-F-INS-055A RAW '!BJ$17*100)</f>
        <v/>
      </c>
      <c r="BK94" s="126" t="str">
        <f>IF('Finalterm OVPAA-F-INS-055A RAW '!BK94="","",'Finalterm OVPAA-F-INS-055A RAW '!BK94/'Finalterm OVPAA-F-INS-055A RAW '!BK$17*100)</f>
        <v/>
      </c>
      <c r="BL94" s="126" t="str">
        <f>IF('Finalterm OVPAA-F-INS-055A RAW '!BL94="","",'Finalterm OVPAA-F-INS-055A RAW '!BL94/'Finalterm OVPAA-F-INS-055A RAW '!BL$17*100)</f>
        <v/>
      </c>
      <c r="BM94" s="126" t="str">
        <f>IF('Finalterm OVPAA-F-INS-055A RAW '!BM94="","",'Finalterm OVPAA-F-INS-055A RAW '!BM94/'Finalterm OVPAA-F-INS-055A RAW '!BM$17*100)</f>
        <v/>
      </c>
      <c r="BN94" s="126" t="str">
        <f>IF('Finalterm OVPAA-F-INS-055A RAW '!BN94="","",'Finalterm OVPAA-F-INS-055A RAW '!BN94/'Finalterm OVPAA-F-INS-055A RAW '!BN$17*100)</f>
        <v/>
      </c>
      <c r="BO94" s="126" t="str">
        <f>IF('Finalterm OVPAA-F-INS-055A RAW '!BO94="","",'Finalterm OVPAA-F-INS-055A RAW '!BO94/'Finalterm OVPAA-F-INS-055A RAW '!BO$17*100)</f>
        <v/>
      </c>
      <c r="BP94" s="126" t="str">
        <f>IF('Finalterm OVPAA-F-INS-055A RAW '!BP94="","",'Finalterm OVPAA-F-INS-055A RAW '!BP94/'Finalterm OVPAA-F-INS-055A RAW '!BP$17*100)</f>
        <v/>
      </c>
      <c r="BQ94" s="126" t="str">
        <f>IF('Finalterm OVPAA-F-INS-055A RAW '!BQ94="","",'Finalterm OVPAA-F-INS-055A RAW '!BQ94/'Finalterm OVPAA-F-INS-055A RAW '!BQ$17*100)</f>
        <v/>
      </c>
      <c r="BR94" s="126" t="str">
        <f>IF('Finalterm OVPAA-F-INS-055A RAW '!BR94="","",'Finalterm OVPAA-F-INS-055A RAW '!BR94/'Finalterm OVPAA-F-INS-055A RAW '!BR$17*100)</f>
        <v/>
      </c>
      <c r="BS94" s="126" t="str">
        <f>IF('Finalterm OVPAA-F-INS-055A RAW '!BS94="","",'Finalterm OVPAA-F-INS-055A RAW '!BS94/'Finalterm OVPAA-F-INS-055A RAW '!BS$17*100)</f>
        <v/>
      </c>
      <c r="BT94" s="126" t="str">
        <f>IF('Finalterm OVPAA-F-INS-055A RAW '!BT94="","",'Finalterm OVPAA-F-INS-055A RAW '!BT94/'Finalterm OVPAA-F-INS-055A RAW '!BT$17*100)</f>
        <v/>
      </c>
      <c r="BU94" s="127" t="str">
        <f t="array" ref="BU94">IF('Finalterm OVPAA-F-INS-055A RAW '!$G94="","",IF((SUMPRODUCT(--ISBLANK('Finalterm OVPAA-F-INS-055A RAW '!H94:BT94))=COLUMNS('Finalterm OVPAA-F-INS-055A RAW '!H94:BT94))=TRUE,"",(((COUNTA('Finalterm OVPAA-F-INS-055A RAW '!$H$17:$BT$17)+COUNTBLANK('Finalterm OVPAA-F-INS-055A RAW '!H94:BT94))-COLUMNS('Finalterm OVPAA-F-INS-055A RAW '!H94:BT94))*5+SUM(H94:BT94))/COUNTA('Finalterm OVPAA-F-INS-055A RAW '!$H$17:$BT$17)))</f>
        <v/>
      </c>
      <c r="BV94" s="165" t="str">
        <f>IF(BU94="","",VLOOKUP(BU94,IF('Midterm OVPAA-F-INS-055A RAW SC'!$V$12=0.5,TRANSMUTATION!$C$4:$D$17,TRANSMUTATION!$G$4:$H$17),2,TRUE))</f>
        <v/>
      </c>
      <c r="BW94" s="129" t="str">
        <f>IF('Finalterm OVPAA-F-INS-055A RAW '!BU94="","",'Finalterm OVPAA-F-INS-055A RAW '!BU94/'Finalterm OVPAA-F-INS-055A RAW '!BU$17*100)</f>
        <v/>
      </c>
      <c r="BX94" s="130" t="str">
        <f>IF('Finalterm OVPAA-F-INS-055A RAW '!BV94="","",'Finalterm OVPAA-F-INS-055A RAW '!BV94/'Finalterm OVPAA-F-INS-055A RAW '!BV$17*100)</f>
        <v/>
      </c>
      <c r="BY94" s="130" t="str">
        <f>IF('Finalterm OVPAA-F-INS-055A RAW '!BW94="","",'Finalterm OVPAA-F-INS-055A RAW '!BW94/'Finalterm OVPAA-F-INS-055A RAW '!BW$17*100)</f>
        <v/>
      </c>
      <c r="BZ94" s="130" t="str">
        <f>IF('Finalterm OVPAA-F-INS-055A RAW '!BX94="","",'Finalterm OVPAA-F-INS-055A RAW '!BX94/'Finalterm OVPAA-F-INS-055A RAW '!BX$17*100)</f>
        <v/>
      </c>
      <c r="CA94" s="130" t="str">
        <f>IF('Finalterm OVPAA-F-INS-055A RAW '!BY94="","",'Finalterm OVPAA-F-INS-055A RAW '!BY94/'Finalterm OVPAA-F-INS-055A RAW '!BY$17*100)</f>
        <v/>
      </c>
      <c r="CB94" s="130" t="str">
        <f>IF('Finalterm OVPAA-F-INS-055A RAW '!BZ94="","",'Finalterm OVPAA-F-INS-055A RAW '!BZ94/'Finalterm OVPAA-F-INS-055A RAW '!BZ$17*100)</f>
        <v/>
      </c>
      <c r="CC94" s="130" t="str">
        <f>IF('Finalterm OVPAA-F-INS-055A RAW '!CA94="","",'Finalterm OVPAA-F-INS-055A RAW '!CA94/'Finalterm OVPAA-F-INS-055A RAW '!CA$17*100)</f>
        <v/>
      </c>
      <c r="CD94" s="130" t="str">
        <f>IF('Finalterm OVPAA-F-INS-055A RAW '!CB94="","",'Finalterm OVPAA-F-INS-055A RAW '!CB94/'Finalterm OVPAA-F-INS-055A RAW '!CB$17*100)</f>
        <v/>
      </c>
      <c r="CE94" s="130" t="str">
        <f>IF('Finalterm OVPAA-F-INS-055A RAW '!CC94="","",'Finalterm OVPAA-F-INS-055A RAW '!CC94/'Finalterm OVPAA-F-INS-055A RAW '!CC$17*100)</f>
        <v/>
      </c>
      <c r="CF94" s="130" t="str">
        <f>IF('Finalterm OVPAA-F-INS-055A RAW '!CD94="","",'Finalterm OVPAA-F-INS-055A RAW '!CD94/'Finalterm OVPAA-F-INS-055A RAW '!CD$17*100)</f>
        <v/>
      </c>
      <c r="CG94" s="130" t="str">
        <f>IF('Finalterm OVPAA-F-INS-055A RAW '!CE94="","",'Finalterm OVPAA-F-INS-055A RAW '!CE94/'Finalterm OVPAA-F-INS-055A RAW '!CE$17*100)</f>
        <v/>
      </c>
      <c r="CH94" s="130" t="str">
        <f>IF('Finalterm OVPAA-F-INS-055A RAW '!CF94="","",'Finalterm OVPAA-F-INS-055A RAW '!CF94/'Finalterm OVPAA-F-INS-055A RAW '!CF$17*100)</f>
        <v/>
      </c>
      <c r="CI94" s="130" t="str">
        <f>IF('Finalterm OVPAA-F-INS-055A RAW '!CG94="","",'Finalterm OVPAA-F-INS-055A RAW '!CG94/'Finalterm OVPAA-F-INS-055A RAW '!CG$17*100)</f>
        <v/>
      </c>
      <c r="CJ94" s="130" t="str">
        <f>IF('Finalterm OVPAA-F-INS-055A RAW '!CH94="","",'Finalterm OVPAA-F-INS-055A RAW '!CH94/'Finalterm OVPAA-F-INS-055A RAW '!CH$17*100)</f>
        <v/>
      </c>
      <c r="CK94" s="130" t="str">
        <f>IF('Finalterm OVPAA-F-INS-055A RAW '!CI94="","",'Finalterm OVPAA-F-INS-055A RAW '!CI94/'Finalterm OVPAA-F-INS-055A RAW '!CI$17*100)</f>
        <v/>
      </c>
      <c r="CL94" s="130" t="str">
        <f>IF('Finalterm OVPAA-F-INS-055A RAW '!CJ94="","",'Finalterm OVPAA-F-INS-055A RAW '!CJ94/'Finalterm OVPAA-F-INS-055A RAW '!CJ$17*100)</f>
        <v/>
      </c>
      <c r="CM94" s="130" t="str">
        <f>IF('Finalterm OVPAA-F-INS-055A RAW '!CK94="","",'Finalterm OVPAA-F-INS-055A RAW '!CK94/'Finalterm OVPAA-F-INS-055A RAW '!CK$17*100)</f>
        <v/>
      </c>
      <c r="CN94" s="130" t="str">
        <f>IF('Finalterm OVPAA-F-INS-055A RAW '!CL94="","",'Finalterm OVPAA-F-INS-055A RAW '!CL94/'Finalterm OVPAA-F-INS-055A RAW '!CL$17*100)</f>
        <v/>
      </c>
      <c r="CO94" s="130" t="str">
        <f>IF('Finalterm OVPAA-F-INS-055A RAW '!CM94="","",'Finalterm OVPAA-F-INS-055A RAW '!CM94/'Finalterm OVPAA-F-INS-055A RAW '!CM$17*100)</f>
        <v/>
      </c>
      <c r="CP94" s="130" t="str">
        <f>IF('Finalterm OVPAA-F-INS-055A RAW '!CN94="","",'Finalterm OVPAA-F-INS-055A RAW '!CN94/'Finalterm OVPAA-F-INS-055A RAW '!CN$17*100)</f>
        <v/>
      </c>
      <c r="CQ94" s="131" t="str">
        <f t="array" ref="CQ94">IF('Midterm OVPAA-F-INS-055A RAW SC'!G94="","",IF((SUMPRODUCT(--ISBLANK('Finalterm OVPAA-F-INS-055A RAW '!BU94:CN94))=COLUMNS('Finalterm OVPAA-F-INS-055A RAW '!BU94:CN94))=TRUE,"",(((COUNTA('Finalterm OVPAA-F-INS-055A RAW '!$BU$17:$CN$17)+COUNTBLANK('Finalterm OVPAA-F-INS-055A RAW '!BU94:CN94))-COLUMNS('Finalterm OVPAA-F-INS-055A RAW '!BU94:CN94))*5+SUM(BW94:CP94))/COUNTA('Finalterm OVPAA-F-INS-055A RAW '!$BU$17:$CN$17)))</f>
        <v/>
      </c>
      <c r="CR94" s="132" t="str">
        <f>IF(CQ94="","",VLOOKUP(CQ94,IF('Midterm OVPAA-F-INS-055A RAW SC'!$V$12=0.5,TRANSMUTATION!$C$4:$D$17,TRANSMUTATION!$G$4:$H$17),2,TRUE))</f>
        <v/>
      </c>
      <c r="CS94" s="133" t="str">
        <f>IF('Finalterm OVPAA-F-INS-055A RAW '!CO94="","",'Finalterm OVPAA-F-INS-055A RAW '!CO94/'Finalterm OVPAA-F-INS-055A RAW '!CO$17*100)</f>
        <v/>
      </c>
      <c r="CT94" s="133" t="str">
        <f>IF('Finalterm OVPAA-F-INS-055A RAW '!CP94="","",'Finalterm OVPAA-F-INS-055A RAW '!CP94/'Finalterm OVPAA-F-INS-055A RAW '!CP$17*100)</f>
        <v/>
      </c>
      <c r="CU94" s="133" t="str">
        <f>IF('Finalterm OVPAA-F-INS-055A RAW '!CQ94="","",'Finalterm OVPAA-F-INS-055A RAW '!CQ94/'Finalterm OVPAA-F-INS-055A RAW '!CQ$17*100)</f>
        <v/>
      </c>
      <c r="CV94" s="133" t="str">
        <f>IF('Finalterm OVPAA-F-INS-055A RAW '!CR94="","",'Finalterm OVPAA-F-INS-055A RAW '!CR94/'Finalterm OVPAA-F-INS-055A RAW '!CR$17*100)</f>
        <v/>
      </c>
      <c r="CW94" s="133" t="str">
        <f>IF('Finalterm OVPAA-F-INS-055A RAW '!CS94="","",'Finalterm OVPAA-F-INS-055A RAW '!CS94/'Finalterm OVPAA-F-INS-055A RAW '!CS$17*100)</f>
        <v/>
      </c>
      <c r="CX94" s="133" t="str">
        <f>IF('Finalterm OVPAA-F-INS-055A RAW '!CT94="","",'Finalterm OVPAA-F-INS-055A RAW '!CT94/'Finalterm OVPAA-F-INS-055A RAW '!CT$17*100)</f>
        <v/>
      </c>
      <c r="CY94" s="133" t="str">
        <f>IF('Finalterm OVPAA-F-INS-055A RAW '!CU94="","",'Finalterm OVPAA-F-INS-055A RAW '!CU94/'Finalterm OVPAA-F-INS-055A RAW '!CU$17*100)</f>
        <v/>
      </c>
      <c r="CZ94" s="133" t="str">
        <f>IF('Finalterm OVPAA-F-INS-055A RAW '!CV94="","",'Finalterm OVPAA-F-INS-055A RAW '!CV94/'Finalterm OVPAA-F-INS-055A RAW '!CV$17*100)</f>
        <v/>
      </c>
      <c r="DA94" s="133" t="str">
        <f>IF('Finalterm OVPAA-F-INS-055A RAW '!CW94="","",'Finalterm OVPAA-F-INS-055A RAW '!CW94/'Finalterm OVPAA-F-INS-055A RAW '!CW$17*100)</f>
        <v/>
      </c>
      <c r="DB94" s="133" t="str">
        <f>IF('Finalterm OVPAA-F-INS-055A RAW '!CX94="","",'Finalterm OVPAA-F-INS-055A RAW '!CX94/'Finalterm OVPAA-F-INS-055A RAW '!CX$17*100)</f>
        <v/>
      </c>
      <c r="DC94" s="134" t="str">
        <f t="array" ref="DC94">IF('Midterm OVPAA-F-INS-055A RAW SC'!$G94="","",IF((SUMPRODUCT(--ISBLANK('Finalterm OVPAA-F-INS-055A RAW '!CO94:CX94))=COLUMNS('Finalterm OVPAA-F-INS-055A RAW '!CO94:CX94))=TRUE,"",(((COUNTA('Finalterm OVPAA-F-INS-055A RAW '!$CO$17:$CX$17)+COUNTBLANK('Finalterm OVPAA-F-INS-055A RAW '!CO94:CX94))-COLUMNS('Finalterm OVPAA-F-INS-055A RAW '!CO94:CX94))*5+SUM(CS94:DB94))/COUNTA('Finalterm OVPAA-F-INS-055A RAW '!$CO$17:$CX$17)))</f>
        <v/>
      </c>
      <c r="DD94" s="135" t="str">
        <f>IF(DC94="","",VLOOKUP(DC94,IF('Midterm OVPAA-F-INS-055A RAW SC'!$V$12=0.5,TRANSMUTATION!$C$4:$D$17,TRANSMUTATION!$G$4:$H$17),2,TRUE))</f>
        <v/>
      </c>
      <c r="DE94" s="136" t="str">
        <f t="shared" si="1"/>
        <v/>
      </c>
      <c r="DF94" s="166" t="str">
        <f t="shared" si="2"/>
        <v/>
      </c>
      <c r="DG94" s="167" t="str">
        <f t="shared" si="3"/>
        <v/>
      </c>
      <c r="DH94" s="168" t="str">
        <f t="shared" si="4"/>
        <v/>
      </c>
      <c r="DI94" s="169" t="str">
        <f t="shared" si="5"/>
        <v/>
      </c>
    </row>
    <row r="95" spans="1:113" ht="15.75" hidden="1" customHeight="1">
      <c r="A95" s="5"/>
      <c r="B95" s="5"/>
      <c r="C95" s="5"/>
      <c r="D95" s="5"/>
      <c r="E95" s="59">
        <v>78</v>
      </c>
      <c r="F95" s="124" t="str">
        <f>IF(NOT(ISBLANK('Midterm OVPAA-F-INS-055A RAW SC'!F95)),'Midterm OVPAA-F-INS-055A RAW SC'!F95,"")</f>
        <v/>
      </c>
      <c r="G95" s="125" t="str">
        <f>IF(NOT(ISBLANK('Midterm OVPAA-F-INS-055A RAW SC'!G95)),'Midterm OVPAA-F-INS-055A RAW SC'!G95,"")</f>
        <v/>
      </c>
      <c r="H95" s="126" t="str">
        <f>IF('Finalterm OVPAA-F-INS-055A RAW '!H95="","",'Finalterm OVPAA-F-INS-055A RAW '!H95/'Finalterm OVPAA-F-INS-055A RAW '!H$17*100)</f>
        <v/>
      </c>
      <c r="I95" s="126" t="str">
        <f>IF('Finalterm OVPAA-F-INS-055A RAW '!I95="","",'Finalterm OVPAA-F-INS-055A RAW '!I95/'Finalterm OVPAA-F-INS-055A RAW '!I$17*100)</f>
        <v/>
      </c>
      <c r="J95" s="126" t="str">
        <f>IF('Finalterm OVPAA-F-INS-055A RAW '!J95="","",'Finalterm OVPAA-F-INS-055A RAW '!J95/'Finalterm OVPAA-F-INS-055A RAW '!J$17*100)</f>
        <v/>
      </c>
      <c r="K95" s="126" t="str">
        <f>IF('Finalterm OVPAA-F-INS-055A RAW '!K95="","",'Finalterm OVPAA-F-INS-055A RAW '!K95/'Finalterm OVPAA-F-INS-055A RAW '!K$17*100)</f>
        <v/>
      </c>
      <c r="L95" s="126" t="str">
        <f>IF('Finalterm OVPAA-F-INS-055A RAW '!L95="","",'Finalterm OVPAA-F-INS-055A RAW '!L95/'Finalterm OVPAA-F-INS-055A RAW '!L$17*100)</f>
        <v/>
      </c>
      <c r="M95" s="126" t="str">
        <f>IF('Finalterm OVPAA-F-INS-055A RAW '!M95="","",'Finalterm OVPAA-F-INS-055A RAW '!M95/'Finalterm OVPAA-F-INS-055A RAW '!M$17*100)</f>
        <v/>
      </c>
      <c r="N95" s="126" t="str">
        <f>IF('Finalterm OVPAA-F-INS-055A RAW '!N95="","",'Finalterm OVPAA-F-INS-055A RAW '!N95/'Finalterm OVPAA-F-INS-055A RAW '!N$17*100)</f>
        <v/>
      </c>
      <c r="O95" s="126" t="str">
        <f>IF('Finalterm OVPAA-F-INS-055A RAW '!O95="","",'Finalterm OVPAA-F-INS-055A RAW '!O95/'Finalterm OVPAA-F-INS-055A RAW '!O$17*100)</f>
        <v/>
      </c>
      <c r="P95" s="126" t="str">
        <f>IF('Finalterm OVPAA-F-INS-055A RAW '!P95="","",'Finalterm OVPAA-F-INS-055A RAW '!P95/'Finalterm OVPAA-F-INS-055A RAW '!P$17*100)</f>
        <v/>
      </c>
      <c r="Q95" s="126" t="str">
        <f>IF('Finalterm OVPAA-F-INS-055A RAW '!Q95="","",'Finalterm OVPAA-F-INS-055A RAW '!Q95/'Finalterm OVPAA-F-INS-055A RAW '!Q$17*100)</f>
        <v/>
      </c>
      <c r="R95" s="126" t="str">
        <f>IF('Finalterm OVPAA-F-INS-055A RAW '!R95="","",'Finalterm OVPAA-F-INS-055A RAW '!R95/'Finalterm OVPAA-F-INS-055A RAW '!R$17*100)</f>
        <v/>
      </c>
      <c r="S95" s="126" t="str">
        <f>IF('Finalterm OVPAA-F-INS-055A RAW '!S95="","",'Finalterm OVPAA-F-INS-055A RAW '!S95/'Finalterm OVPAA-F-INS-055A RAW '!S$17*100)</f>
        <v/>
      </c>
      <c r="T95" s="126" t="str">
        <f>IF('Finalterm OVPAA-F-INS-055A RAW '!T95="","",'Finalterm OVPAA-F-INS-055A RAW '!T95/'Finalterm OVPAA-F-INS-055A RAW '!T$17*100)</f>
        <v/>
      </c>
      <c r="U95" s="126" t="str">
        <f>IF('Finalterm OVPAA-F-INS-055A RAW '!U95="","",'Finalterm OVPAA-F-INS-055A RAW '!U95/'Finalterm OVPAA-F-INS-055A RAW '!U$17*100)</f>
        <v/>
      </c>
      <c r="V95" s="126" t="str">
        <f>IF('Finalterm OVPAA-F-INS-055A RAW '!V95="","",'Finalterm OVPAA-F-INS-055A RAW '!V95/'Finalterm OVPAA-F-INS-055A RAW '!V$17*100)</f>
        <v/>
      </c>
      <c r="W95" s="126" t="str">
        <f>IF('Finalterm OVPAA-F-INS-055A RAW '!W95="","",'Finalterm OVPAA-F-INS-055A RAW '!W95/'Finalterm OVPAA-F-INS-055A RAW '!W$17*100)</f>
        <v/>
      </c>
      <c r="X95" s="126" t="str">
        <f>IF('Finalterm OVPAA-F-INS-055A RAW '!X95="","",'Finalterm OVPAA-F-INS-055A RAW '!X95/'Finalterm OVPAA-F-INS-055A RAW '!X$17*100)</f>
        <v/>
      </c>
      <c r="Y95" s="126" t="str">
        <f>IF('Finalterm OVPAA-F-INS-055A RAW '!Y95="","",'Finalterm OVPAA-F-INS-055A RAW '!Y95/'Finalterm OVPAA-F-INS-055A RAW '!Y$17*100)</f>
        <v/>
      </c>
      <c r="Z95" s="126" t="str">
        <f>IF('Finalterm OVPAA-F-INS-055A RAW '!Z95="","",'Finalterm OVPAA-F-INS-055A RAW '!Z95/'Finalterm OVPAA-F-INS-055A RAW '!Z$17*100)</f>
        <v/>
      </c>
      <c r="AA95" s="126" t="str">
        <f>IF('Finalterm OVPAA-F-INS-055A RAW '!AA95="","",'Finalterm OVPAA-F-INS-055A RAW '!AA95/'Finalterm OVPAA-F-INS-055A RAW '!AA$17*100)</f>
        <v/>
      </c>
      <c r="AB95" s="126" t="str">
        <f>IF('Finalterm OVPAA-F-INS-055A RAW '!AB95="","",'Finalterm OVPAA-F-INS-055A RAW '!AB95/'Finalterm OVPAA-F-INS-055A RAW '!AB$17*100)</f>
        <v/>
      </c>
      <c r="AC95" s="126" t="str">
        <f>IF('Finalterm OVPAA-F-INS-055A RAW '!AC95="","",'Finalterm OVPAA-F-INS-055A RAW '!AC95/'Finalterm OVPAA-F-INS-055A RAW '!AC$17*100)</f>
        <v/>
      </c>
      <c r="AD95" s="126" t="str">
        <f>IF('Finalterm OVPAA-F-INS-055A RAW '!AD95="","",'Finalterm OVPAA-F-INS-055A RAW '!AD95/'Finalterm OVPAA-F-INS-055A RAW '!AD$17*100)</f>
        <v/>
      </c>
      <c r="AE95" s="126" t="str">
        <f>IF('Finalterm OVPAA-F-INS-055A RAW '!AE95="","",'Finalterm OVPAA-F-INS-055A RAW '!AE95/'Finalterm OVPAA-F-INS-055A RAW '!AE$17*100)</f>
        <v/>
      </c>
      <c r="AF95" s="126" t="str">
        <f>IF('Finalterm OVPAA-F-INS-055A RAW '!AF95="","",'Finalterm OVPAA-F-INS-055A RAW '!AF95/'Finalterm OVPAA-F-INS-055A RAW '!AF$17*100)</f>
        <v/>
      </c>
      <c r="AG95" s="126" t="str">
        <f>IF('Finalterm OVPAA-F-INS-055A RAW '!AG95="","",'Finalterm OVPAA-F-INS-055A RAW '!AG95/'Finalterm OVPAA-F-INS-055A RAW '!AG$17*100)</f>
        <v/>
      </c>
      <c r="AH95" s="126" t="str">
        <f>IF('Finalterm OVPAA-F-INS-055A RAW '!AH95="","",'Finalterm OVPAA-F-INS-055A RAW '!AH95/'Finalterm OVPAA-F-INS-055A RAW '!AH$17*100)</f>
        <v/>
      </c>
      <c r="AI95" s="126" t="str">
        <f>IF('Finalterm OVPAA-F-INS-055A RAW '!AI95="","",'Finalterm OVPAA-F-INS-055A RAW '!AI95/'Finalterm OVPAA-F-INS-055A RAW '!AI$17*100)</f>
        <v/>
      </c>
      <c r="AJ95" s="126" t="str">
        <f>IF('Finalterm OVPAA-F-INS-055A RAW '!AJ95="","",'Finalterm OVPAA-F-INS-055A RAW '!AJ95/'Finalterm OVPAA-F-INS-055A RAW '!AJ$17*100)</f>
        <v/>
      </c>
      <c r="AK95" s="126" t="str">
        <f>IF('Finalterm OVPAA-F-INS-055A RAW '!AK95="","",'Finalterm OVPAA-F-INS-055A RAW '!AK95/'Finalterm OVPAA-F-INS-055A RAW '!AK$17*100)</f>
        <v/>
      </c>
      <c r="AL95" s="126" t="str">
        <f>IF('Finalterm OVPAA-F-INS-055A RAW '!AL95="","",'Finalterm OVPAA-F-INS-055A RAW '!AL95/'Finalterm OVPAA-F-INS-055A RAW '!AL$17*100)</f>
        <v/>
      </c>
      <c r="AM95" s="126" t="str">
        <f>IF('Finalterm OVPAA-F-INS-055A RAW '!AM95="","",'Finalterm OVPAA-F-INS-055A RAW '!AM95/'Finalterm OVPAA-F-INS-055A RAW '!AM$17*100)</f>
        <v/>
      </c>
      <c r="AN95" s="126" t="str">
        <f>IF('Finalterm OVPAA-F-INS-055A RAW '!AN95="","",'Finalterm OVPAA-F-INS-055A RAW '!AN95/'Finalterm OVPAA-F-INS-055A RAW '!AN$17*100)</f>
        <v/>
      </c>
      <c r="AO95" s="126" t="str">
        <f>IF('Finalterm OVPAA-F-INS-055A RAW '!AO95="","",'Finalterm OVPAA-F-INS-055A RAW '!AO95/'Finalterm OVPAA-F-INS-055A RAW '!AO$17*100)</f>
        <v/>
      </c>
      <c r="AP95" s="126" t="str">
        <f>IF('Finalterm OVPAA-F-INS-055A RAW '!AP95="","",'Finalterm OVPAA-F-INS-055A RAW '!AP95/'Finalterm OVPAA-F-INS-055A RAW '!AP$17*100)</f>
        <v/>
      </c>
      <c r="AQ95" s="126" t="str">
        <f>IF('Finalterm OVPAA-F-INS-055A RAW '!AQ95="","",'Finalterm OVPAA-F-INS-055A RAW '!AQ95/'Finalterm OVPAA-F-INS-055A RAW '!AQ$17*100)</f>
        <v/>
      </c>
      <c r="AR95" s="126" t="str">
        <f>IF('Finalterm OVPAA-F-INS-055A RAW '!AR95="","",'Finalterm OVPAA-F-INS-055A RAW '!AR95/'Finalterm OVPAA-F-INS-055A RAW '!AR$17*100)</f>
        <v/>
      </c>
      <c r="AS95" s="126" t="str">
        <f>IF('Finalterm OVPAA-F-INS-055A RAW '!AS95="","",'Finalterm OVPAA-F-INS-055A RAW '!AS95/'Finalterm OVPAA-F-INS-055A RAW '!AS$17*100)</f>
        <v/>
      </c>
      <c r="AT95" s="126" t="str">
        <f>IF('Finalterm OVPAA-F-INS-055A RAW '!AT95="","",'Finalterm OVPAA-F-INS-055A RAW '!AT95/'Finalterm OVPAA-F-INS-055A RAW '!AT$17*100)</f>
        <v/>
      </c>
      <c r="AU95" s="126" t="str">
        <f>IF('Finalterm OVPAA-F-INS-055A RAW '!AU95="","",'Finalterm OVPAA-F-INS-055A RAW '!AU95/'Finalterm OVPAA-F-INS-055A RAW '!AU$17*100)</f>
        <v/>
      </c>
      <c r="AV95" s="126" t="str">
        <f>IF('Finalterm OVPAA-F-INS-055A RAW '!AV95="","",'Finalterm OVPAA-F-INS-055A RAW '!AV95/'Finalterm OVPAA-F-INS-055A RAW '!AV$17*100)</f>
        <v/>
      </c>
      <c r="AW95" s="126" t="str">
        <f>IF('Finalterm OVPAA-F-INS-055A RAW '!AW95="","",'Finalterm OVPAA-F-INS-055A RAW '!AW95/'Finalterm OVPAA-F-INS-055A RAW '!AW$17*100)</f>
        <v/>
      </c>
      <c r="AX95" s="126" t="str">
        <f>IF('Finalterm OVPAA-F-INS-055A RAW '!AX95="","",'Finalterm OVPAA-F-INS-055A RAW '!AX95/'Finalterm OVPAA-F-INS-055A RAW '!AX$17*100)</f>
        <v/>
      </c>
      <c r="AY95" s="126" t="str">
        <f>IF('Finalterm OVPAA-F-INS-055A RAW '!AY95="","",'Finalterm OVPAA-F-INS-055A RAW '!AY95/'Finalterm OVPAA-F-INS-055A RAW '!AY$17*100)</f>
        <v/>
      </c>
      <c r="AZ95" s="126" t="str">
        <f>IF('Finalterm OVPAA-F-INS-055A RAW '!AZ95="","",'Finalterm OVPAA-F-INS-055A RAW '!AZ95/'Finalterm OVPAA-F-INS-055A RAW '!AZ$17*100)</f>
        <v/>
      </c>
      <c r="BA95" s="126" t="str">
        <f>IF('Finalterm OVPAA-F-INS-055A RAW '!BA95="","",'Finalterm OVPAA-F-INS-055A RAW '!BA95/'Finalterm OVPAA-F-INS-055A RAW '!BA$17*100)</f>
        <v/>
      </c>
      <c r="BB95" s="126" t="str">
        <f>IF('Finalterm OVPAA-F-INS-055A RAW '!BB95="","",'Finalterm OVPAA-F-INS-055A RAW '!BB95/'Finalterm OVPAA-F-INS-055A RAW '!BB$17*100)</f>
        <v/>
      </c>
      <c r="BC95" s="126" t="str">
        <f>IF('Finalterm OVPAA-F-INS-055A RAW '!BC95="","",'Finalterm OVPAA-F-INS-055A RAW '!BC95/'Finalterm OVPAA-F-INS-055A RAW '!BC$17*100)</f>
        <v/>
      </c>
      <c r="BD95" s="126" t="str">
        <f>IF('Finalterm OVPAA-F-INS-055A RAW '!BD95="","",'Finalterm OVPAA-F-INS-055A RAW '!BD95/'Finalterm OVPAA-F-INS-055A RAW '!BD$17*100)</f>
        <v/>
      </c>
      <c r="BE95" s="126" t="str">
        <f>IF('Finalterm OVPAA-F-INS-055A RAW '!BE95="","",'Finalterm OVPAA-F-INS-055A RAW '!BE95/'Finalterm OVPAA-F-INS-055A RAW '!BE$17*100)</f>
        <v/>
      </c>
      <c r="BF95" s="126" t="str">
        <f>IF('Finalterm OVPAA-F-INS-055A RAW '!BF95="","",'Finalterm OVPAA-F-INS-055A RAW '!BF95/'Finalterm OVPAA-F-INS-055A RAW '!BF$17*100)</f>
        <v/>
      </c>
      <c r="BG95" s="126" t="str">
        <f>IF('Finalterm OVPAA-F-INS-055A RAW '!BG95="","",'Finalterm OVPAA-F-INS-055A RAW '!BG95/'Finalterm OVPAA-F-INS-055A RAW '!BG$17*100)</f>
        <v/>
      </c>
      <c r="BH95" s="126" t="str">
        <f>IF('Finalterm OVPAA-F-INS-055A RAW '!BH95="","",'Finalterm OVPAA-F-INS-055A RAW '!BH95/'Finalterm OVPAA-F-INS-055A RAW '!BH$17*100)</f>
        <v/>
      </c>
      <c r="BI95" s="126" t="str">
        <f>IF('Finalterm OVPAA-F-INS-055A RAW '!BI95="","",'Finalterm OVPAA-F-INS-055A RAW '!BI95/'Finalterm OVPAA-F-INS-055A RAW '!BI$17*100)</f>
        <v/>
      </c>
      <c r="BJ95" s="126" t="str">
        <f>IF('Finalterm OVPAA-F-INS-055A RAW '!BJ95="","",'Finalterm OVPAA-F-INS-055A RAW '!BJ95/'Finalterm OVPAA-F-INS-055A RAW '!BJ$17*100)</f>
        <v/>
      </c>
      <c r="BK95" s="126" t="str">
        <f>IF('Finalterm OVPAA-F-INS-055A RAW '!BK95="","",'Finalterm OVPAA-F-INS-055A RAW '!BK95/'Finalterm OVPAA-F-INS-055A RAW '!BK$17*100)</f>
        <v/>
      </c>
      <c r="BL95" s="126" t="str">
        <f>IF('Finalterm OVPAA-F-INS-055A RAW '!BL95="","",'Finalterm OVPAA-F-INS-055A RAW '!BL95/'Finalterm OVPAA-F-INS-055A RAW '!BL$17*100)</f>
        <v/>
      </c>
      <c r="BM95" s="126" t="str">
        <f>IF('Finalterm OVPAA-F-INS-055A RAW '!BM95="","",'Finalterm OVPAA-F-INS-055A RAW '!BM95/'Finalterm OVPAA-F-INS-055A RAW '!BM$17*100)</f>
        <v/>
      </c>
      <c r="BN95" s="126" t="str">
        <f>IF('Finalterm OVPAA-F-INS-055A RAW '!BN95="","",'Finalterm OVPAA-F-INS-055A RAW '!BN95/'Finalterm OVPAA-F-INS-055A RAW '!BN$17*100)</f>
        <v/>
      </c>
      <c r="BO95" s="126" t="str">
        <f>IF('Finalterm OVPAA-F-INS-055A RAW '!BO95="","",'Finalterm OVPAA-F-INS-055A RAW '!BO95/'Finalterm OVPAA-F-INS-055A RAW '!BO$17*100)</f>
        <v/>
      </c>
      <c r="BP95" s="126" t="str">
        <f>IF('Finalterm OVPAA-F-INS-055A RAW '!BP95="","",'Finalterm OVPAA-F-INS-055A RAW '!BP95/'Finalterm OVPAA-F-INS-055A RAW '!BP$17*100)</f>
        <v/>
      </c>
      <c r="BQ95" s="126" t="str">
        <f>IF('Finalterm OVPAA-F-INS-055A RAW '!BQ95="","",'Finalterm OVPAA-F-INS-055A RAW '!BQ95/'Finalterm OVPAA-F-INS-055A RAW '!BQ$17*100)</f>
        <v/>
      </c>
      <c r="BR95" s="126" t="str">
        <f>IF('Finalterm OVPAA-F-INS-055A RAW '!BR95="","",'Finalterm OVPAA-F-INS-055A RAW '!BR95/'Finalterm OVPAA-F-INS-055A RAW '!BR$17*100)</f>
        <v/>
      </c>
      <c r="BS95" s="126" t="str">
        <f>IF('Finalterm OVPAA-F-INS-055A RAW '!BS95="","",'Finalterm OVPAA-F-INS-055A RAW '!BS95/'Finalterm OVPAA-F-INS-055A RAW '!BS$17*100)</f>
        <v/>
      </c>
      <c r="BT95" s="126" t="str">
        <f>IF('Finalterm OVPAA-F-INS-055A RAW '!BT95="","",'Finalterm OVPAA-F-INS-055A RAW '!BT95/'Finalterm OVPAA-F-INS-055A RAW '!BT$17*100)</f>
        <v/>
      </c>
      <c r="BU95" s="127" t="str">
        <f t="array" ref="BU95">IF('Finalterm OVPAA-F-INS-055A RAW '!$G95="","",IF((SUMPRODUCT(--ISBLANK('Finalterm OVPAA-F-INS-055A RAW '!H95:BT95))=COLUMNS('Finalterm OVPAA-F-INS-055A RAW '!H95:BT95))=TRUE,"",(((COUNTA('Finalterm OVPAA-F-INS-055A RAW '!$H$17:$BT$17)+COUNTBLANK('Finalterm OVPAA-F-INS-055A RAW '!H95:BT95))-COLUMNS('Finalterm OVPAA-F-INS-055A RAW '!H95:BT95))*5+SUM(H95:BT95))/COUNTA('Finalterm OVPAA-F-INS-055A RAW '!$H$17:$BT$17)))</f>
        <v/>
      </c>
      <c r="BV95" s="165" t="str">
        <f>IF(BU95="","",VLOOKUP(BU95,IF('Midterm OVPAA-F-INS-055A RAW SC'!$V$12=0.5,TRANSMUTATION!$C$4:$D$17,TRANSMUTATION!$G$4:$H$17),2,TRUE))</f>
        <v/>
      </c>
      <c r="BW95" s="129" t="str">
        <f>IF('Finalterm OVPAA-F-INS-055A RAW '!BU95="","",'Finalterm OVPAA-F-INS-055A RAW '!BU95/'Finalterm OVPAA-F-INS-055A RAW '!BU$17*100)</f>
        <v/>
      </c>
      <c r="BX95" s="130" t="str">
        <f>IF('Finalterm OVPAA-F-INS-055A RAW '!BV95="","",'Finalterm OVPAA-F-INS-055A RAW '!BV95/'Finalterm OVPAA-F-INS-055A RAW '!BV$17*100)</f>
        <v/>
      </c>
      <c r="BY95" s="130" t="str">
        <f>IF('Finalterm OVPAA-F-INS-055A RAW '!BW95="","",'Finalterm OVPAA-F-INS-055A RAW '!BW95/'Finalterm OVPAA-F-INS-055A RAW '!BW$17*100)</f>
        <v/>
      </c>
      <c r="BZ95" s="130" t="str">
        <f>IF('Finalterm OVPAA-F-INS-055A RAW '!BX95="","",'Finalterm OVPAA-F-INS-055A RAW '!BX95/'Finalterm OVPAA-F-INS-055A RAW '!BX$17*100)</f>
        <v/>
      </c>
      <c r="CA95" s="130" t="str">
        <f>IF('Finalterm OVPAA-F-INS-055A RAW '!BY95="","",'Finalterm OVPAA-F-INS-055A RAW '!BY95/'Finalterm OVPAA-F-INS-055A RAW '!BY$17*100)</f>
        <v/>
      </c>
      <c r="CB95" s="130" t="str">
        <f>IF('Finalterm OVPAA-F-INS-055A RAW '!BZ95="","",'Finalterm OVPAA-F-INS-055A RAW '!BZ95/'Finalterm OVPAA-F-INS-055A RAW '!BZ$17*100)</f>
        <v/>
      </c>
      <c r="CC95" s="130" t="str">
        <f>IF('Finalterm OVPAA-F-INS-055A RAW '!CA95="","",'Finalterm OVPAA-F-INS-055A RAW '!CA95/'Finalterm OVPAA-F-INS-055A RAW '!CA$17*100)</f>
        <v/>
      </c>
      <c r="CD95" s="130" t="str">
        <f>IF('Finalterm OVPAA-F-INS-055A RAW '!CB95="","",'Finalterm OVPAA-F-INS-055A RAW '!CB95/'Finalterm OVPAA-F-INS-055A RAW '!CB$17*100)</f>
        <v/>
      </c>
      <c r="CE95" s="130" t="str">
        <f>IF('Finalterm OVPAA-F-INS-055A RAW '!CC95="","",'Finalterm OVPAA-F-INS-055A RAW '!CC95/'Finalterm OVPAA-F-INS-055A RAW '!CC$17*100)</f>
        <v/>
      </c>
      <c r="CF95" s="130" t="str">
        <f>IF('Finalterm OVPAA-F-INS-055A RAW '!CD95="","",'Finalterm OVPAA-F-INS-055A RAW '!CD95/'Finalterm OVPAA-F-INS-055A RAW '!CD$17*100)</f>
        <v/>
      </c>
      <c r="CG95" s="130" t="str">
        <f>IF('Finalterm OVPAA-F-INS-055A RAW '!CE95="","",'Finalterm OVPAA-F-INS-055A RAW '!CE95/'Finalterm OVPAA-F-INS-055A RAW '!CE$17*100)</f>
        <v/>
      </c>
      <c r="CH95" s="130" t="str">
        <f>IF('Finalterm OVPAA-F-INS-055A RAW '!CF95="","",'Finalterm OVPAA-F-INS-055A RAW '!CF95/'Finalterm OVPAA-F-INS-055A RAW '!CF$17*100)</f>
        <v/>
      </c>
      <c r="CI95" s="130" t="str">
        <f>IF('Finalterm OVPAA-F-INS-055A RAW '!CG95="","",'Finalterm OVPAA-F-INS-055A RAW '!CG95/'Finalterm OVPAA-F-INS-055A RAW '!CG$17*100)</f>
        <v/>
      </c>
      <c r="CJ95" s="130" t="str">
        <f>IF('Finalterm OVPAA-F-INS-055A RAW '!CH95="","",'Finalterm OVPAA-F-INS-055A RAW '!CH95/'Finalterm OVPAA-F-INS-055A RAW '!CH$17*100)</f>
        <v/>
      </c>
      <c r="CK95" s="130" t="str">
        <f>IF('Finalterm OVPAA-F-INS-055A RAW '!CI95="","",'Finalterm OVPAA-F-INS-055A RAW '!CI95/'Finalterm OVPAA-F-INS-055A RAW '!CI$17*100)</f>
        <v/>
      </c>
      <c r="CL95" s="130" t="str">
        <f>IF('Finalterm OVPAA-F-INS-055A RAW '!CJ95="","",'Finalterm OVPAA-F-INS-055A RAW '!CJ95/'Finalterm OVPAA-F-INS-055A RAW '!CJ$17*100)</f>
        <v/>
      </c>
      <c r="CM95" s="130" t="str">
        <f>IF('Finalterm OVPAA-F-INS-055A RAW '!CK95="","",'Finalterm OVPAA-F-INS-055A RAW '!CK95/'Finalterm OVPAA-F-INS-055A RAW '!CK$17*100)</f>
        <v/>
      </c>
      <c r="CN95" s="130" t="str">
        <f>IF('Finalterm OVPAA-F-INS-055A RAW '!CL95="","",'Finalterm OVPAA-F-INS-055A RAW '!CL95/'Finalterm OVPAA-F-INS-055A RAW '!CL$17*100)</f>
        <v/>
      </c>
      <c r="CO95" s="130" t="str">
        <f>IF('Finalterm OVPAA-F-INS-055A RAW '!CM95="","",'Finalterm OVPAA-F-INS-055A RAW '!CM95/'Finalterm OVPAA-F-INS-055A RAW '!CM$17*100)</f>
        <v/>
      </c>
      <c r="CP95" s="130" t="str">
        <f>IF('Finalterm OVPAA-F-INS-055A RAW '!CN95="","",'Finalterm OVPAA-F-INS-055A RAW '!CN95/'Finalterm OVPAA-F-INS-055A RAW '!CN$17*100)</f>
        <v/>
      </c>
      <c r="CQ95" s="131" t="str">
        <f t="array" ref="CQ95">IF('Midterm OVPAA-F-INS-055A RAW SC'!G95="","",IF((SUMPRODUCT(--ISBLANK('Finalterm OVPAA-F-INS-055A RAW '!BU95:CN95))=COLUMNS('Finalterm OVPAA-F-INS-055A RAW '!BU95:CN95))=TRUE,"",(((COUNTA('Finalterm OVPAA-F-INS-055A RAW '!$BU$17:$CN$17)+COUNTBLANK('Finalterm OVPAA-F-INS-055A RAW '!BU95:CN95))-COLUMNS('Finalterm OVPAA-F-INS-055A RAW '!BU95:CN95))*5+SUM(BW95:CP95))/COUNTA('Finalterm OVPAA-F-INS-055A RAW '!$BU$17:$CN$17)))</f>
        <v/>
      </c>
      <c r="CR95" s="132" t="str">
        <f>IF(CQ95="","",VLOOKUP(CQ95,IF('Midterm OVPAA-F-INS-055A RAW SC'!$V$12=0.5,TRANSMUTATION!$C$4:$D$17,TRANSMUTATION!$G$4:$H$17),2,TRUE))</f>
        <v/>
      </c>
      <c r="CS95" s="133" t="str">
        <f>IF('Finalterm OVPAA-F-INS-055A RAW '!CO95="","",'Finalterm OVPAA-F-INS-055A RAW '!CO95/'Finalterm OVPAA-F-INS-055A RAW '!CO$17*100)</f>
        <v/>
      </c>
      <c r="CT95" s="133" t="str">
        <f>IF('Finalterm OVPAA-F-INS-055A RAW '!CP95="","",'Finalterm OVPAA-F-INS-055A RAW '!CP95/'Finalterm OVPAA-F-INS-055A RAW '!CP$17*100)</f>
        <v/>
      </c>
      <c r="CU95" s="133" t="str">
        <f>IF('Finalterm OVPAA-F-INS-055A RAW '!CQ95="","",'Finalterm OVPAA-F-INS-055A RAW '!CQ95/'Finalterm OVPAA-F-INS-055A RAW '!CQ$17*100)</f>
        <v/>
      </c>
      <c r="CV95" s="133" t="str">
        <f>IF('Finalterm OVPAA-F-INS-055A RAW '!CR95="","",'Finalterm OVPAA-F-INS-055A RAW '!CR95/'Finalterm OVPAA-F-INS-055A RAW '!CR$17*100)</f>
        <v/>
      </c>
      <c r="CW95" s="133" t="str">
        <f>IF('Finalterm OVPAA-F-INS-055A RAW '!CS95="","",'Finalterm OVPAA-F-INS-055A RAW '!CS95/'Finalterm OVPAA-F-INS-055A RAW '!CS$17*100)</f>
        <v/>
      </c>
      <c r="CX95" s="133" t="str">
        <f>IF('Finalterm OVPAA-F-INS-055A RAW '!CT95="","",'Finalterm OVPAA-F-INS-055A RAW '!CT95/'Finalterm OVPAA-F-INS-055A RAW '!CT$17*100)</f>
        <v/>
      </c>
      <c r="CY95" s="133" t="str">
        <f>IF('Finalterm OVPAA-F-INS-055A RAW '!CU95="","",'Finalterm OVPAA-F-INS-055A RAW '!CU95/'Finalterm OVPAA-F-INS-055A RAW '!CU$17*100)</f>
        <v/>
      </c>
      <c r="CZ95" s="133" t="str">
        <f>IF('Finalterm OVPAA-F-INS-055A RAW '!CV95="","",'Finalterm OVPAA-F-INS-055A RAW '!CV95/'Finalterm OVPAA-F-INS-055A RAW '!CV$17*100)</f>
        <v/>
      </c>
      <c r="DA95" s="133" t="str">
        <f>IF('Finalterm OVPAA-F-INS-055A RAW '!CW95="","",'Finalterm OVPAA-F-INS-055A RAW '!CW95/'Finalterm OVPAA-F-INS-055A RAW '!CW$17*100)</f>
        <v/>
      </c>
      <c r="DB95" s="133" t="str">
        <f>IF('Finalterm OVPAA-F-INS-055A RAW '!CX95="","",'Finalterm OVPAA-F-INS-055A RAW '!CX95/'Finalterm OVPAA-F-INS-055A RAW '!CX$17*100)</f>
        <v/>
      </c>
      <c r="DC95" s="134" t="str">
        <f t="array" ref="DC95">IF('Midterm OVPAA-F-INS-055A RAW SC'!$G95="","",IF((SUMPRODUCT(--ISBLANK('Finalterm OVPAA-F-INS-055A RAW '!CO95:CX95))=COLUMNS('Finalterm OVPAA-F-INS-055A RAW '!CO95:CX95))=TRUE,"",(((COUNTA('Finalterm OVPAA-F-INS-055A RAW '!$CO$17:$CX$17)+COUNTBLANK('Finalterm OVPAA-F-INS-055A RAW '!CO95:CX95))-COLUMNS('Finalterm OVPAA-F-INS-055A RAW '!CO95:CX95))*5+SUM(CS95:DB95))/COUNTA('Finalterm OVPAA-F-INS-055A RAW '!$CO$17:$CX$17)))</f>
        <v/>
      </c>
      <c r="DD95" s="135" t="str">
        <f>IF(DC95="","",VLOOKUP(DC95,IF('Midterm OVPAA-F-INS-055A RAW SC'!$V$12=0.5,TRANSMUTATION!$C$4:$D$17,TRANSMUTATION!$G$4:$H$17),2,TRUE))</f>
        <v/>
      </c>
      <c r="DE95" s="136" t="str">
        <f t="shared" si="1"/>
        <v/>
      </c>
      <c r="DF95" s="166" t="str">
        <f t="shared" si="2"/>
        <v/>
      </c>
      <c r="DG95" s="167" t="str">
        <f t="shared" si="3"/>
        <v/>
      </c>
      <c r="DH95" s="168" t="str">
        <f t="shared" si="4"/>
        <v/>
      </c>
      <c r="DI95" s="169" t="str">
        <f t="shared" si="5"/>
        <v/>
      </c>
    </row>
    <row r="96" spans="1:113" ht="15.75" hidden="1" customHeight="1">
      <c r="A96" s="5"/>
      <c r="B96" s="5"/>
      <c r="C96" s="5"/>
      <c r="D96" s="5"/>
      <c r="E96" s="59">
        <v>79</v>
      </c>
      <c r="F96" s="124" t="str">
        <f>IF(NOT(ISBLANK('Midterm OVPAA-F-INS-055A RAW SC'!F96)),'Midterm OVPAA-F-INS-055A RAW SC'!F96,"")</f>
        <v/>
      </c>
      <c r="G96" s="125" t="str">
        <f>IF(NOT(ISBLANK('Midterm OVPAA-F-INS-055A RAW SC'!G96)),'Midterm OVPAA-F-INS-055A RAW SC'!G96,"")</f>
        <v/>
      </c>
      <c r="H96" s="126" t="str">
        <f>IF('Finalterm OVPAA-F-INS-055A RAW '!H96="","",'Finalterm OVPAA-F-INS-055A RAW '!H96/'Finalterm OVPAA-F-INS-055A RAW '!H$17*100)</f>
        <v/>
      </c>
      <c r="I96" s="126" t="str">
        <f>IF('Finalterm OVPAA-F-INS-055A RAW '!I96="","",'Finalterm OVPAA-F-INS-055A RAW '!I96/'Finalterm OVPAA-F-INS-055A RAW '!I$17*100)</f>
        <v/>
      </c>
      <c r="J96" s="126" t="str">
        <f>IF('Finalterm OVPAA-F-INS-055A RAW '!J96="","",'Finalterm OVPAA-F-INS-055A RAW '!J96/'Finalterm OVPAA-F-INS-055A RAW '!J$17*100)</f>
        <v/>
      </c>
      <c r="K96" s="126" t="str">
        <f>IF('Finalterm OVPAA-F-INS-055A RAW '!K96="","",'Finalterm OVPAA-F-INS-055A RAW '!K96/'Finalterm OVPAA-F-INS-055A RAW '!K$17*100)</f>
        <v/>
      </c>
      <c r="L96" s="126" t="str">
        <f>IF('Finalterm OVPAA-F-INS-055A RAW '!L96="","",'Finalterm OVPAA-F-INS-055A RAW '!L96/'Finalterm OVPAA-F-INS-055A RAW '!L$17*100)</f>
        <v/>
      </c>
      <c r="M96" s="126" t="str">
        <f>IF('Finalterm OVPAA-F-INS-055A RAW '!M96="","",'Finalterm OVPAA-F-INS-055A RAW '!M96/'Finalterm OVPAA-F-INS-055A RAW '!M$17*100)</f>
        <v/>
      </c>
      <c r="N96" s="126" t="str">
        <f>IF('Finalterm OVPAA-F-INS-055A RAW '!N96="","",'Finalterm OVPAA-F-INS-055A RAW '!N96/'Finalterm OVPAA-F-INS-055A RAW '!N$17*100)</f>
        <v/>
      </c>
      <c r="O96" s="126" t="str">
        <f>IF('Finalterm OVPAA-F-INS-055A RAW '!O96="","",'Finalterm OVPAA-F-INS-055A RAW '!O96/'Finalterm OVPAA-F-INS-055A RAW '!O$17*100)</f>
        <v/>
      </c>
      <c r="P96" s="126" t="str">
        <f>IF('Finalterm OVPAA-F-INS-055A RAW '!P96="","",'Finalterm OVPAA-F-INS-055A RAW '!P96/'Finalterm OVPAA-F-INS-055A RAW '!P$17*100)</f>
        <v/>
      </c>
      <c r="Q96" s="126" t="str">
        <f>IF('Finalterm OVPAA-F-INS-055A RAW '!Q96="","",'Finalterm OVPAA-F-INS-055A RAW '!Q96/'Finalterm OVPAA-F-INS-055A RAW '!Q$17*100)</f>
        <v/>
      </c>
      <c r="R96" s="126" t="str">
        <f>IF('Finalterm OVPAA-F-INS-055A RAW '!R96="","",'Finalterm OVPAA-F-INS-055A RAW '!R96/'Finalterm OVPAA-F-INS-055A RAW '!R$17*100)</f>
        <v/>
      </c>
      <c r="S96" s="126" t="str">
        <f>IF('Finalterm OVPAA-F-INS-055A RAW '!S96="","",'Finalterm OVPAA-F-INS-055A RAW '!S96/'Finalterm OVPAA-F-INS-055A RAW '!S$17*100)</f>
        <v/>
      </c>
      <c r="T96" s="126" t="str">
        <f>IF('Finalterm OVPAA-F-INS-055A RAW '!T96="","",'Finalterm OVPAA-F-INS-055A RAW '!T96/'Finalterm OVPAA-F-INS-055A RAW '!T$17*100)</f>
        <v/>
      </c>
      <c r="U96" s="126" t="str">
        <f>IF('Finalterm OVPAA-F-INS-055A RAW '!U96="","",'Finalterm OVPAA-F-INS-055A RAW '!U96/'Finalterm OVPAA-F-INS-055A RAW '!U$17*100)</f>
        <v/>
      </c>
      <c r="V96" s="126" t="str">
        <f>IF('Finalterm OVPAA-F-INS-055A RAW '!V96="","",'Finalterm OVPAA-F-INS-055A RAW '!V96/'Finalterm OVPAA-F-INS-055A RAW '!V$17*100)</f>
        <v/>
      </c>
      <c r="W96" s="126" t="str">
        <f>IF('Finalterm OVPAA-F-INS-055A RAW '!W96="","",'Finalterm OVPAA-F-INS-055A RAW '!W96/'Finalterm OVPAA-F-INS-055A RAW '!W$17*100)</f>
        <v/>
      </c>
      <c r="X96" s="126" t="str">
        <f>IF('Finalterm OVPAA-F-INS-055A RAW '!X96="","",'Finalterm OVPAA-F-INS-055A RAW '!X96/'Finalterm OVPAA-F-INS-055A RAW '!X$17*100)</f>
        <v/>
      </c>
      <c r="Y96" s="126" t="str">
        <f>IF('Finalterm OVPAA-F-INS-055A RAW '!Y96="","",'Finalterm OVPAA-F-INS-055A RAW '!Y96/'Finalterm OVPAA-F-INS-055A RAW '!Y$17*100)</f>
        <v/>
      </c>
      <c r="Z96" s="126" t="str">
        <f>IF('Finalterm OVPAA-F-INS-055A RAW '!Z96="","",'Finalterm OVPAA-F-INS-055A RAW '!Z96/'Finalterm OVPAA-F-INS-055A RAW '!Z$17*100)</f>
        <v/>
      </c>
      <c r="AA96" s="126" t="str">
        <f>IF('Finalterm OVPAA-F-INS-055A RAW '!AA96="","",'Finalterm OVPAA-F-INS-055A RAW '!AA96/'Finalterm OVPAA-F-INS-055A RAW '!AA$17*100)</f>
        <v/>
      </c>
      <c r="AB96" s="126" t="str">
        <f>IF('Finalterm OVPAA-F-INS-055A RAW '!AB96="","",'Finalterm OVPAA-F-INS-055A RAW '!AB96/'Finalterm OVPAA-F-INS-055A RAW '!AB$17*100)</f>
        <v/>
      </c>
      <c r="AC96" s="126" t="str">
        <f>IF('Finalterm OVPAA-F-INS-055A RAW '!AC96="","",'Finalterm OVPAA-F-INS-055A RAW '!AC96/'Finalterm OVPAA-F-INS-055A RAW '!AC$17*100)</f>
        <v/>
      </c>
      <c r="AD96" s="126" t="str">
        <f>IF('Finalterm OVPAA-F-INS-055A RAW '!AD96="","",'Finalterm OVPAA-F-INS-055A RAW '!AD96/'Finalterm OVPAA-F-INS-055A RAW '!AD$17*100)</f>
        <v/>
      </c>
      <c r="AE96" s="126" t="str">
        <f>IF('Finalterm OVPAA-F-INS-055A RAW '!AE96="","",'Finalterm OVPAA-F-INS-055A RAW '!AE96/'Finalterm OVPAA-F-INS-055A RAW '!AE$17*100)</f>
        <v/>
      </c>
      <c r="AF96" s="126" t="str">
        <f>IF('Finalterm OVPAA-F-INS-055A RAW '!AF96="","",'Finalterm OVPAA-F-INS-055A RAW '!AF96/'Finalterm OVPAA-F-INS-055A RAW '!AF$17*100)</f>
        <v/>
      </c>
      <c r="AG96" s="126" t="str">
        <f>IF('Finalterm OVPAA-F-INS-055A RAW '!AG96="","",'Finalterm OVPAA-F-INS-055A RAW '!AG96/'Finalterm OVPAA-F-INS-055A RAW '!AG$17*100)</f>
        <v/>
      </c>
      <c r="AH96" s="126" t="str">
        <f>IF('Finalterm OVPAA-F-INS-055A RAW '!AH96="","",'Finalterm OVPAA-F-INS-055A RAW '!AH96/'Finalterm OVPAA-F-INS-055A RAW '!AH$17*100)</f>
        <v/>
      </c>
      <c r="AI96" s="126" t="str">
        <f>IF('Finalterm OVPAA-F-INS-055A RAW '!AI96="","",'Finalterm OVPAA-F-INS-055A RAW '!AI96/'Finalterm OVPAA-F-INS-055A RAW '!AI$17*100)</f>
        <v/>
      </c>
      <c r="AJ96" s="126" t="str">
        <f>IF('Finalterm OVPAA-F-INS-055A RAW '!AJ96="","",'Finalterm OVPAA-F-INS-055A RAW '!AJ96/'Finalterm OVPAA-F-INS-055A RAW '!AJ$17*100)</f>
        <v/>
      </c>
      <c r="AK96" s="126" t="str">
        <f>IF('Finalterm OVPAA-F-INS-055A RAW '!AK96="","",'Finalterm OVPAA-F-INS-055A RAW '!AK96/'Finalterm OVPAA-F-INS-055A RAW '!AK$17*100)</f>
        <v/>
      </c>
      <c r="AL96" s="126" t="str">
        <f>IF('Finalterm OVPAA-F-INS-055A RAW '!AL96="","",'Finalterm OVPAA-F-INS-055A RAW '!AL96/'Finalterm OVPAA-F-INS-055A RAW '!AL$17*100)</f>
        <v/>
      </c>
      <c r="AM96" s="126" t="str">
        <f>IF('Finalterm OVPAA-F-INS-055A RAW '!AM96="","",'Finalterm OVPAA-F-INS-055A RAW '!AM96/'Finalterm OVPAA-F-INS-055A RAW '!AM$17*100)</f>
        <v/>
      </c>
      <c r="AN96" s="126" t="str">
        <f>IF('Finalterm OVPAA-F-INS-055A RAW '!AN96="","",'Finalterm OVPAA-F-INS-055A RAW '!AN96/'Finalterm OVPAA-F-INS-055A RAW '!AN$17*100)</f>
        <v/>
      </c>
      <c r="AO96" s="126" t="str">
        <f>IF('Finalterm OVPAA-F-INS-055A RAW '!AO96="","",'Finalterm OVPAA-F-INS-055A RAW '!AO96/'Finalterm OVPAA-F-INS-055A RAW '!AO$17*100)</f>
        <v/>
      </c>
      <c r="AP96" s="126" t="str">
        <f>IF('Finalterm OVPAA-F-INS-055A RAW '!AP96="","",'Finalterm OVPAA-F-INS-055A RAW '!AP96/'Finalterm OVPAA-F-INS-055A RAW '!AP$17*100)</f>
        <v/>
      </c>
      <c r="AQ96" s="126" t="str">
        <f>IF('Finalterm OVPAA-F-INS-055A RAW '!AQ96="","",'Finalterm OVPAA-F-INS-055A RAW '!AQ96/'Finalterm OVPAA-F-INS-055A RAW '!AQ$17*100)</f>
        <v/>
      </c>
      <c r="AR96" s="126" t="str">
        <f>IF('Finalterm OVPAA-F-INS-055A RAW '!AR96="","",'Finalterm OVPAA-F-INS-055A RAW '!AR96/'Finalterm OVPAA-F-INS-055A RAW '!AR$17*100)</f>
        <v/>
      </c>
      <c r="AS96" s="126" t="str">
        <f>IF('Finalterm OVPAA-F-INS-055A RAW '!AS96="","",'Finalterm OVPAA-F-INS-055A RAW '!AS96/'Finalterm OVPAA-F-INS-055A RAW '!AS$17*100)</f>
        <v/>
      </c>
      <c r="AT96" s="126" t="str">
        <f>IF('Finalterm OVPAA-F-INS-055A RAW '!AT96="","",'Finalterm OVPAA-F-INS-055A RAW '!AT96/'Finalterm OVPAA-F-INS-055A RAW '!AT$17*100)</f>
        <v/>
      </c>
      <c r="AU96" s="126" t="str">
        <f>IF('Finalterm OVPAA-F-INS-055A RAW '!AU96="","",'Finalterm OVPAA-F-INS-055A RAW '!AU96/'Finalterm OVPAA-F-INS-055A RAW '!AU$17*100)</f>
        <v/>
      </c>
      <c r="AV96" s="126" t="str">
        <f>IF('Finalterm OVPAA-F-INS-055A RAW '!AV96="","",'Finalterm OVPAA-F-INS-055A RAW '!AV96/'Finalterm OVPAA-F-INS-055A RAW '!AV$17*100)</f>
        <v/>
      </c>
      <c r="AW96" s="126" t="str">
        <f>IF('Finalterm OVPAA-F-INS-055A RAW '!AW96="","",'Finalterm OVPAA-F-INS-055A RAW '!AW96/'Finalterm OVPAA-F-INS-055A RAW '!AW$17*100)</f>
        <v/>
      </c>
      <c r="AX96" s="126" t="str">
        <f>IF('Finalterm OVPAA-F-INS-055A RAW '!AX96="","",'Finalterm OVPAA-F-INS-055A RAW '!AX96/'Finalterm OVPAA-F-INS-055A RAW '!AX$17*100)</f>
        <v/>
      </c>
      <c r="AY96" s="126" t="str">
        <f>IF('Finalterm OVPAA-F-INS-055A RAW '!AY96="","",'Finalterm OVPAA-F-INS-055A RAW '!AY96/'Finalterm OVPAA-F-INS-055A RAW '!AY$17*100)</f>
        <v/>
      </c>
      <c r="AZ96" s="126" t="str">
        <f>IF('Finalterm OVPAA-F-INS-055A RAW '!AZ96="","",'Finalterm OVPAA-F-INS-055A RAW '!AZ96/'Finalterm OVPAA-F-INS-055A RAW '!AZ$17*100)</f>
        <v/>
      </c>
      <c r="BA96" s="126" t="str">
        <f>IF('Finalterm OVPAA-F-INS-055A RAW '!BA96="","",'Finalterm OVPAA-F-INS-055A RAW '!BA96/'Finalterm OVPAA-F-INS-055A RAW '!BA$17*100)</f>
        <v/>
      </c>
      <c r="BB96" s="126" t="str">
        <f>IF('Finalterm OVPAA-F-INS-055A RAW '!BB96="","",'Finalterm OVPAA-F-INS-055A RAW '!BB96/'Finalterm OVPAA-F-INS-055A RAW '!BB$17*100)</f>
        <v/>
      </c>
      <c r="BC96" s="126" t="str">
        <f>IF('Finalterm OVPAA-F-INS-055A RAW '!BC96="","",'Finalterm OVPAA-F-INS-055A RAW '!BC96/'Finalterm OVPAA-F-INS-055A RAW '!BC$17*100)</f>
        <v/>
      </c>
      <c r="BD96" s="126" t="str">
        <f>IF('Finalterm OVPAA-F-INS-055A RAW '!BD96="","",'Finalterm OVPAA-F-INS-055A RAW '!BD96/'Finalterm OVPAA-F-INS-055A RAW '!BD$17*100)</f>
        <v/>
      </c>
      <c r="BE96" s="126" t="str">
        <f>IF('Finalterm OVPAA-F-INS-055A RAW '!BE96="","",'Finalterm OVPAA-F-INS-055A RAW '!BE96/'Finalterm OVPAA-F-INS-055A RAW '!BE$17*100)</f>
        <v/>
      </c>
      <c r="BF96" s="126" t="str">
        <f>IF('Finalterm OVPAA-F-INS-055A RAW '!BF96="","",'Finalterm OVPAA-F-INS-055A RAW '!BF96/'Finalterm OVPAA-F-INS-055A RAW '!BF$17*100)</f>
        <v/>
      </c>
      <c r="BG96" s="126" t="str">
        <f>IF('Finalterm OVPAA-F-INS-055A RAW '!BG96="","",'Finalterm OVPAA-F-INS-055A RAW '!BG96/'Finalterm OVPAA-F-INS-055A RAW '!BG$17*100)</f>
        <v/>
      </c>
      <c r="BH96" s="126" t="str">
        <f>IF('Finalterm OVPAA-F-INS-055A RAW '!BH96="","",'Finalterm OVPAA-F-INS-055A RAW '!BH96/'Finalterm OVPAA-F-INS-055A RAW '!BH$17*100)</f>
        <v/>
      </c>
      <c r="BI96" s="126" t="str">
        <f>IF('Finalterm OVPAA-F-INS-055A RAW '!BI96="","",'Finalterm OVPAA-F-INS-055A RAW '!BI96/'Finalterm OVPAA-F-INS-055A RAW '!BI$17*100)</f>
        <v/>
      </c>
      <c r="BJ96" s="126" t="str">
        <f>IF('Finalterm OVPAA-F-INS-055A RAW '!BJ96="","",'Finalterm OVPAA-F-INS-055A RAW '!BJ96/'Finalterm OVPAA-F-INS-055A RAW '!BJ$17*100)</f>
        <v/>
      </c>
      <c r="BK96" s="126" t="str">
        <f>IF('Finalterm OVPAA-F-INS-055A RAW '!BK96="","",'Finalterm OVPAA-F-INS-055A RAW '!BK96/'Finalterm OVPAA-F-INS-055A RAW '!BK$17*100)</f>
        <v/>
      </c>
      <c r="BL96" s="126" t="str">
        <f>IF('Finalterm OVPAA-F-INS-055A RAW '!BL96="","",'Finalterm OVPAA-F-INS-055A RAW '!BL96/'Finalterm OVPAA-F-INS-055A RAW '!BL$17*100)</f>
        <v/>
      </c>
      <c r="BM96" s="126" t="str">
        <f>IF('Finalterm OVPAA-F-INS-055A RAW '!BM96="","",'Finalterm OVPAA-F-INS-055A RAW '!BM96/'Finalterm OVPAA-F-INS-055A RAW '!BM$17*100)</f>
        <v/>
      </c>
      <c r="BN96" s="126" t="str">
        <f>IF('Finalterm OVPAA-F-INS-055A RAW '!BN96="","",'Finalterm OVPAA-F-INS-055A RAW '!BN96/'Finalterm OVPAA-F-INS-055A RAW '!BN$17*100)</f>
        <v/>
      </c>
      <c r="BO96" s="126" t="str">
        <f>IF('Finalterm OVPAA-F-INS-055A RAW '!BO96="","",'Finalterm OVPAA-F-INS-055A RAW '!BO96/'Finalterm OVPAA-F-INS-055A RAW '!BO$17*100)</f>
        <v/>
      </c>
      <c r="BP96" s="126" t="str">
        <f>IF('Finalterm OVPAA-F-INS-055A RAW '!BP96="","",'Finalterm OVPAA-F-INS-055A RAW '!BP96/'Finalterm OVPAA-F-INS-055A RAW '!BP$17*100)</f>
        <v/>
      </c>
      <c r="BQ96" s="126" t="str">
        <f>IF('Finalterm OVPAA-F-INS-055A RAW '!BQ96="","",'Finalterm OVPAA-F-INS-055A RAW '!BQ96/'Finalterm OVPAA-F-INS-055A RAW '!BQ$17*100)</f>
        <v/>
      </c>
      <c r="BR96" s="126" t="str">
        <f>IF('Finalterm OVPAA-F-INS-055A RAW '!BR96="","",'Finalterm OVPAA-F-INS-055A RAW '!BR96/'Finalterm OVPAA-F-INS-055A RAW '!BR$17*100)</f>
        <v/>
      </c>
      <c r="BS96" s="126" t="str">
        <f>IF('Finalterm OVPAA-F-INS-055A RAW '!BS96="","",'Finalterm OVPAA-F-INS-055A RAW '!BS96/'Finalterm OVPAA-F-INS-055A RAW '!BS$17*100)</f>
        <v/>
      </c>
      <c r="BT96" s="126" t="str">
        <f>IF('Finalterm OVPAA-F-INS-055A RAW '!BT96="","",'Finalterm OVPAA-F-INS-055A RAW '!BT96/'Finalterm OVPAA-F-INS-055A RAW '!BT$17*100)</f>
        <v/>
      </c>
      <c r="BU96" s="127" t="str">
        <f t="array" ref="BU96">IF('Finalterm OVPAA-F-INS-055A RAW '!$G96="","",IF((SUMPRODUCT(--ISBLANK('Finalterm OVPAA-F-INS-055A RAW '!H96:BT96))=COLUMNS('Finalterm OVPAA-F-INS-055A RAW '!H96:BT96))=TRUE,"",(((COUNTA('Finalterm OVPAA-F-INS-055A RAW '!$H$17:$BT$17)+COUNTBLANK('Finalterm OVPAA-F-INS-055A RAW '!H96:BT96))-COLUMNS('Finalterm OVPAA-F-INS-055A RAW '!H96:BT96))*5+SUM(H96:BT96))/COUNTA('Finalterm OVPAA-F-INS-055A RAW '!$H$17:$BT$17)))</f>
        <v/>
      </c>
      <c r="BV96" s="165" t="str">
        <f>IF(BU96="","",VLOOKUP(BU96,IF('Midterm OVPAA-F-INS-055A RAW SC'!$V$12=0.5,TRANSMUTATION!$C$4:$D$17,TRANSMUTATION!$G$4:$H$17),2,TRUE))</f>
        <v/>
      </c>
      <c r="BW96" s="129" t="str">
        <f>IF('Finalterm OVPAA-F-INS-055A RAW '!BU96="","",'Finalterm OVPAA-F-INS-055A RAW '!BU96/'Finalterm OVPAA-F-INS-055A RAW '!BU$17*100)</f>
        <v/>
      </c>
      <c r="BX96" s="130" t="str">
        <f>IF('Finalterm OVPAA-F-INS-055A RAW '!BV96="","",'Finalterm OVPAA-F-INS-055A RAW '!BV96/'Finalterm OVPAA-F-INS-055A RAW '!BV$17*100)</f>
        <v/>
      </c>
      <c r="BY96" s="130" t="str">
        <f>IF('Finalterm OVPAA-F-INS-055A RAW '!BW96="","",'Finalterm OVPAA-F-INS-055A RAW '!BW96/'Finalterm OVPAA-F-INS-055A RAW '!BW$17*100)</f>
        <v/>
      </c>
      <c r="BZ96" s="130" t="str">
        <f>IF('Finalterm OVPAA-F-INS-055A RAW '!BX96="","",'Finalterm OVPAA-F-INS-055A RAW '!BX96/'Finalterm OVPAA-F-INS-055A RAW '!BX$17*100)</f>
        <v/>
      </c>
      <c r="CA96" s="130" t="str">
        <f>IF('Finalterm OVPAA-F-INS-055A RAW '!BY96="","",'Finalterm OVPAA-F-INS-055A RAW '!BY96/'Finalterm OVPAA-F-INS-055A RAW '!BY$17*100)</f>
        <v/>
      </c>
      <c r="CB96" s="130" t="str">
        <f>IF('Finalterm OVPAA-F-INS-055A RAW '!BZ96="","",'Finalterm OVPAA-F-INS-055A RAW '!BZ96/'Finalterm OVPAA-F-INS-055A RAW '!BZ$17*100)</f>
        <v/>
      </c>
      <c r="CC96" s="130" t="str">
        <f>IF('Finalterm OVPAA-F-INS-055A RAW '!CA96="","",'Finalterm OVPAA-F-INS-055A RAW '!CA96/'Finalterm OVPAA-F-INS-055A RAW '!CA$17*100)</f>
        <v/>
      </c>
      <c r="CD96" s="130" t="str">
        <f>IF('Finalterm OVPAA-F-INS-055A RAW '!CB96="","",'Finalterm OVPAA-F-INS-055A RAW '!CB96/'Finalterm OVPAA-F-INS-055A RAW '!CB$17*100)</f>
        <v/>
      </c>
      <c r="CE96" s="130" t="str">
        <f>IF('Finalterm OVPAA-F-INS-055A RAW '!CC96="","",'Finalterm OVPAA-F-INS-055A RAW '!CC96/'Finalterm OVPAA-F-INS-055A RAW '!CC$17*100)</f>
        <v/>
      </c>
      <c r="CF96" s="130" t="str">
        <f>IF('Finalterm OVPAA-F-INS-055A RAW '!CD96="","",'Finalterm OVPAA-F-INS-055A RAW '!CD96/'Finalterm OVPAA-F-INS-055A RAW '!CD$17*100)</f>
        <v/>
      </c>
      <c r="CG96" s="130" t="str">
        <f>IF('Finalterm OVPAA-F-INS-055A RAW '!CE96="","",'Finalterm OVPAA-F-INS-055A RAW '!CE96/'Finalterm OVPAA-F-INS-055A RAW '!CE$17*100)</f>
        <v/>
      </c>
      <c r="CH96" s="130" t="str">
        <f>IF('Finalterm OVPAA-F-INS-055A RAW '!CF96="","",'Finalterm OVPAA-F-INS-055A RAW '!CF96/'Finalterm OVPAA-F-INS-055A RAW '!CF$17*100)</f>
        <v/>
      </c>
      <c r="CI96" s="130" t="str">
        <f>IF('Finalterm OVPAA-F-INS-055A RAW '!CG96="","",'Finalterm OVPAA-F-INS-055A RAW '!CG96/'Finalterm OVPAA-F-INS-055A RAW '!CG$17*100)</f>
        <v/>
      </c>
      <c r="CJ96" s="130" t="str">
        <f>IF('Finalterm OVPAA-F-INS-055A RAW '!CH96="","",'Finalterm OVPAA-F-INS-055A RAW '!CH96/'Finalterm OVPAA-F-INS-055A RAW '!CH$17*100)</f>
        <v/>
      </c>
      <c r="CK96" s="130" t="str">
        <f>IF('Finalterm OVPAA-F-INS-055A RAW '!CI96="","",'Finalterm OVPAA-F-INS-055A RAW '!CI96/'Finalterm OVPAA-F-INS-055A RAW '!CI$17*100)</f>
        <v/>
      </c>
      <c r="CL96" s="130" t="str">
        <f>IF('Finalterm OVPAA-F-INS-055A RAW '!CJ96="","",'Finalterm OVPAA-F-INS-055A RAW '!CJ96/'Finalterm OVPAA-F-INS-055A RAW '!CJ$17*100)</f>
        <v/>
      </c>
      <c r="CM96" s="130" t="str">
        <f>IF('Finalterm OVPAA-F-INS-055A RAW '!CK96="","",'Finalterm OVPAA-F-INS-055A RAW '!CK96/'Finalterm OVPAA-F-INS-055A RAW '!CK$17*100)</f>
        <v/>
      </c>
      <c r="CN96" s="130" t="str">
        <f>IF('Finalterm OVPAA-F-INS-055A RAW '!CL96="","",'Finalterm OVPAA-F-INS-055A RAW '!CL96/'Finalterm OVPAA-F-INS-055A RAW '!CL$17*100)</f>
        <v/>
      </c>
      <c r="CO96" s="130" t="str">
        <f>IF('Finalterm OVPAA-F-INS-055A RAW '!CM96="","",'Finalterm OVPAA-F-INS-055A RAW '!CM96/'Finalterm OVPAA-F-INS-055A RAW '!CM$17*100)</f>
        <v/>
      </c>
      <c r="CP96" s="130" t="str">
        <f>IF('Finalterm OVPAA-F-INS-055A RAW '!CN96="","",'Finalterm OVPAA-F-INS-055A RAW '!CN96/'Finalterm OVPAA-F-INS-055A RAW '!CN$17*100)</f>
        <v/>
      </c>
      <c r="CQ96" s="131" t="str">
        <f t="array" ref="CQ96">IF('Midterm OVPAA-F-INS-055A RAW SC'!G96="","",IF((SUMPRODUCT(--ISBLANK('Finalterm OVPAA-F-INS-055A RAW '!BU96:CN96))=COLUMNS('Finalterm OVPAA-F-INS-055A RAW '!BU96:CN96))=TRUE,"",(((COUNTA('Finalterm OVPAA-F-INS-055A RAW '!$BU$17:$CN$17)+COUNTBLANK('Finalterm OVPAA-F-INS-055A RAW '!BU96:CN96))-COLUMNS('Finalterm OVPAA-F-INS-055A RAW '!BU96:CN96))*5+SUM(BW96:CP96))/COUNTA('Finalterm OVPAA-F-INS-055A RAW '!$BU$17:$CN$17)))</f>
        <v/>
      </c>
      <c r="CR96" s="132" t="str">
        <f>IF(CQ96="","",VLOOKUP(CQ96,IF('Midterm OVPAA-F-INS-055A RAW SC'!$V$12=0.5,TRANSMUTATION!$C$4:$D$17,TRANSMUTATION!$G$4:$H$17),2,TRUE))</f>
        <v/>
      </c>
      <c r="CS96" s="133" t="str">
        <f>IF('Finalterm OVPAA-F-INS-055A RAW '!CO96="","",'Finalterm OVPAA-F-INS-055A RAW '!CO96/'Finalterm OVPAA-F-INS-055A RAW '!CO$17*100)</f>
        <v/>
      </c>
      <c r="CT96" s="133" t="str">
        <f>IF('Finalterm OVPAA-F-INS-055A RAW '!CP96="","",'Finalterm OVPAA-F-INS-055A RAW '!CP96/'Finalterm OVPAA-F-INS-055A RAW '!CP$17*100)</f>
        <v/>
      </c>
      <c r="CU96" s="133" t="str">
        <f>IF('Finalterm OVPAA-F-INS-055A RAW '!CQ96="","",'Finalterm OVPAA-F-INS-055A RAW '!CQ96/'Finalterm OVPAA-F-INS-055A RAW '!CQ$17*100)</f>
        <v/>
      </c>
      <c r="CV96" s="133" t="str">
        <f>IF('Finalterm OVPAA-F-INS-055A RAW '!CR96="","",'Finalterm OVPAA-F-INS-055A RAW '!CR96/'Finalterm OVPAA-F-INS-055A RAW '!CR$17*100)</f>
        <v/>
      </c>
      <c r="CW96" s="133" t="str">
        <f>IF('Finalterm OVPAA-F-INS-055A RAW '!CS96="","",'Finalterm OVPAA-F-INS-055A RAW '!CS96/'Finalterm OVPAA-F-INS-055A RAW '!CS$17*100)</f>
        <v/>
      </c>
      <c r="CX96" s="133" t="str">
        <f>IF('Finalterm OVPAA-F-INS-055A RAW '!CT96="","",'Finalterm OVPAA-F-INS-055A RAW '!CT96/'Finalterm OVPAA-F-INS-055A RAW '!CT$17*100)</f>
        <v/>
      </c>
      <c r="CY96" s="133" t="str">
        <f>IF('Finalterm OVPAA-F-INS-055A RAW '!CU96="","",'Finalterm OVPAA-F-INS-055A RAW '!CU96/'Finalterm OVPAA-F-INS-055A RAW '!CU$17*100)</f>
        <v/>
      </c>
      <c r="CZ96" s="133" t="str">
        <f>IF('Finalterm OVPAA-F-INS-055A RAW '!CV96="","",'Finalterm OVPAA-F-INS-055A RAW '!CV96/'Finalterm OVPAA-F-INS-055A RAW '!CV$17*100)</f>
        <v/>
      </c>
      <c r="DA96" s="133" t="str">
        <f>IF('Finalterm OVPAA-F-INS-055A RAW '!CW96="","",'Finalterm OVPAA-F-INS-055A RAW '!CW96/'Finalterm OVPAA-F-INS-055A RAW '!CW$17*100)</f>
        <v/>
      </c>
      <c r="DB96" s="133" t="str">
        <f>IF('Finalterm OVPAA-F-INS-055A RAW '!CX96="","",'Finalterm OVPAA-F-INS-055A RAW '!CX96/'Finalterm OVPAA-F-INS-055A RAW '!CX$17*100)</f>
        <v/>
      </c>
      <c r="DC96" s="134" t="str">
        <f t="array" ref="DC96">IF('Midterm OVPAA-F-INS-055A RAW SC'!$G96="","",IF((SUMPRODUCT(--ISBLANK('Finalterm OVPAA-F-INS-055A RAW '!CO96:CX96))=COLUMNS('Finalterm OVPAA-F-INS-055A RAW '!CO96:CX96))=TRUE,"",(((COUNTA('Finalterm OVPAA-F-INS-055A RAW '!$CO$17:$CX$17)+COUNTBLANK('Finalterm OVPAA-F-INS-055A RAW '!CO96:CX96))-COLUMNS('Finalterm OVPAA-F-INS-055A RAW '!CO96:CX96))*5+SUM(CS96:DB96))/COUNTA('Finalterm OVPAA-F-INS-055A RAW '!$CO$17:$CX$17)))</f>
        <v/>
      </c>
      <c r="DD96" s="135" t="str">
        <f>IF(DC96="","",VLOOKUP(DC96,IF('Midterm OVPAA-F-INS-055A RAW SC'!$V$12=0.5,TRANSMUTATION!$C$4:$D$17,TRANSMUTATION!$G$4:$H$17),2,TRUE))</f>
        <v/>
      </c>
      <c r="DE96" s="136" t="str">
        <f t="shared" si="1"/>
        <v/>
      </c>
      <c r="DF96" s="166" t="str">
        <f t="shared" si="2"/>
        <v/>
      </c>
      <c r="DG96" s="167" t="str">
        <f t="shared" si="3"/>
        <v/>
      </c>
      <c r="DH96" s="168" t="str">
        <f t="shared" si="4"/>
        <v/>
      </c>
      <c r="DI96" s="169" t="str">
        <f t="shared" si="5"/>
        <v/>
      </c>
    </row>
    <row r="97" spans="1:113" ht="15.75" hidden="1" customHeight="1">
      <c r="A97" s="5"/>
      <c r="B97" s="5"/>
      <c r="C97" s="5"/>
      <c r="D97" s="5"/>
      <c r="E97" s="59">
        <v>80</v>
      </c>
      <c r="F97" s="124" t="str">
        <f>IF(NOT(ISBLANK('Midterm OVPAA-F-INS-055A RAW SC'!F97)),'Midterm OVPAA-F-INS-055A RAW SC'!F97,"")</f>
        <v/>
      </c>
      <c r="G97" s="125" t="str">
        <f>IF(NOT(ISBLANK('Midterm OVPAA-F-INS-055A RAW SC'!G97)),'Midterm OVPAA-F-INS-055A RAW SC'!G97,"")</f>
        <v/>
      </c>
      <c r="H97" s="126" t="str">
        <f>IF('Finalterm OVPAA-F-INS-055A RAW '!H97="","",'Finalterm OVPAA-F-INS-055A RAW '!H97/'Finalterm OVPAA-F-INS-055A RAW '!H$17*100)</f>
        <v/>
      </c>
      <c r="I97" s="126" t="str">
        <f>IF('Finalterm OVPAA-F-INS-055A RAW '!I97="","",'Finalterm OVPAA-F-INS-055A RAW '!I97/'Finalterm OVPAA-F-INS-055A RAW '!I$17*100)</f>
        <v/>
      </c>
      <c r="J97" s="126" t="str">
        <f>IF('Finalterm OVPAA-F-INS-055A RAW '!J97="","",'Finalterm OVPAA-F-INS-055A RAW '!J97/'Finalterm OVPAA-F-INS-055A RAW '!J$17*100)</f>
        <v/>
      </c>
      <c r="K97" s="126" t="str">
        <f>IF('Finalterm OVPAA-F-INS-055A RAW '!K97="","",'Finalterm OVPAA-F-INS-055A RAW '!K97/'Finalterm OVPAA-F-INS-055A RAW '!K$17*100)</f>
        <v/>
      </c>
      <c r="L97" s="126" t="str">
        <f>IF('Finalterm OVPAA-F-INS-055A RAW '!L97="","",'Finalterm OVPAA-F-INS-055A RAW '!L97/'Finalterm OVPAA-F-INS-055A RAW '!L$17*100)</f>
        <v/>
      </c>
      <c r="M97" s="126" t="str">
        <f>IF('Finalterm OVPAA-F-INS-055A RAW '!M97="","",'Finalterm OVPAA-F-INS-055A RAW '!M97/'Finalterm OVPAA-F-INS-055A RAW '!M$17*100)</f>
        <v/>
      </c>
      <c r="N97" s="126" t="str">
        <f>IF('Finalterm OVPAA-F-INS-055A RAW '!N97="","",'Finalterm OVPAA-F-INS-055A RAW '!N97/'Finalterm OVPAA-F-INS-055A RAW '!N$17*100)</f>
        <v/>
      </c>
      <c r="O97" s="126" t="str">
        <f>IF('Finalterm OVPAA-F-INS-055A RAW '!O97="","",'Finalterm OVPAA-F-INS-055A RAW '!O97/'Finalterm OVPAA-F-INS-055A RAW '!O$17*100)</f>
        <v/>
      </c>
      <c r="P97" s="126" t="str">
        <f>IF('Finalterm OVPAA-F-INS-055A RAW '!P97="","",'Finalterm OVPAA-F-INS-055A RAW '!P97/'Finalterm OVPAA-F-INS-055A RAW '!P$17*100)</f>
        <v/>
      </c>
      <c r="Q97" s="126" t="str">
        <f>IF('Finalterm OVPAA-F-INS-055A RAW '!Q97="","",'Finalterm OVPAA-F-INS-055A RAW '!Q97/'Finalterm OVPAA-F-INS-055A RAW '!Q$17*100)</f>
        <v/>
      </c>
      <c r="R97" s="126" t="str">
        <f>IF('Finalterm OVPAA-F-INS-055A RAW '!R97="","",'Finalterm OVPAA-F-INS-055A RAW '!R97/'Finalterm OVPAA-F-INS-055A RAW '!R$17*100)</f>
        <v/>
      </c>
      <c r="S97" s="126" t="str">
        <f>IF('Finalterm OVPAA-F-INS-055A RAW '!S97="","",'Finalterm OVPAA-F-INS-055A RAW '!S97/'Finalterm OVPAA-F-INS-055A RAW '!S$17*100)</f>
        <v/>
      </c>
      <c r="T97" s="126" t="str">
        <f>IF('Finalterm OVPAA-F-INS-055A RAW '!T97="","",'Finalterm OVPAA-F-INS-055A RAW '!T97/'Finalterm OVPAA-F-INS-055A RAW '!T$17*100)</f>
        <v/>
      </c>
      <c r="U97" s="126" t="str">
        <f>IF('Finalterm OVPAA-F-INS-055A RAW '!U97="","",'Finalterm OVPAA-F-INS-055A RAW '!U97/'Finalterm OVPAA-F-INS-055A RAW '!U$17*100)</f>
        <v/>
      </c>
      <c r="V97" s="126" t="str">
        <f>IF('Finalterm OVPAA-F-INS-055A RAW '!V97="","",'Finalterm OVPAA-F-INS-055A RAW '!V97/'Finalterm OVPAA-F-INS-055A RAW '!V$17*100)</f>
        <v/>
      </c>
      <c r="W97" s="126" t="str">
        <f>IF('Finalterm OVPAA-F-INS-055A RAW '!W97="","",'Finalterm OVPAA-F-INS-055A RAW '!W97/'Finalterm OVPAA-F-INS-055A RAW '!W$17*100)</f>
        <v/>
      </c>
      <c r="X97" s="126" t="str">
        <f>IF('Finalterm OVPAA-F-INS-055A RAW '!X97="","",'Finalterm OVPAA-F-INS-055A RAW '!X97/'Finalterm OVPAA-F-INS-055A RAW '!X$17*100)</f>
        <v/>
      </c>
      <c r="Y97" s="126" t="str">
        <f>IF('Finalterm OVPAA-F-INS-055A RAW '!Y97="","",'Finalterm OVPAA-F-INS-055A RAW '!Y97/'Finalterm OVPAA-F-INS-055A RAW '!Y$17*100)</f>
        <v/>
      </c>
      <c r="Z97" s="126" t="str">
        <f>IF('Finalterm OVPAA-F-INS-055A RAW '!Z97="","",'Finalterm OVPAA-F-INS-055A RAW '!Z97/'Finalterm OVPAA-F-INS-055A RAW '!Z$17*100)</f>
        <v/>
      </c>
      <c r="AA97" s="126" t="str">
        <f>IF('Finalterm OVPAA-F-INS-055A RAW '!AA97="","",'Finalterm OVPAA-F-INS-055A RAW '!AA97/'Finalterm OVPAA-F-INS-055A RAW '!AA$17*100)</f>
        <v/>
      </c>
      <c r="AB97" s="126" t="str">
        <f>IF('Finalterm OVPAA-F-INS-055A RAW '!AB97="","",'Finalterm OVPAA-F-INS-055A RAW '!AB97/'Finalterm OVPAA-F-INS-055A RAW '!AB$17*100)</f>
        <v/>
      </c>
      <c r="AC97" s="126" t="str">
        <f>IF('Finalterm OVPAA-F-INS-055A RAW '!AC97="","",'Finalterm OVPAA-F-INS-055A RAW '!AC97/'Finalterm OVPAA-F-INS-055A RAW '!AC$17*100)</f>
        <v/>
      </c>
      <c r="AD97" s="126" t="str">
        <f>IF('Finalterm OVPAA-F-INS-055A RAW '!AD97="","",'Finalterm OVPAA-F-INS-055A RAW '!AD97/'Finalterm OVPAA-F-INS-055A RAW '!AD$17*100)</f>
        <v/>
      </c>
      <c r="AE97" s="126" t="str">
        <f>IF('Finalterm OVPAA-F-INS-055A RAW '!AE97="","",'Finalterm OVPAA-F-INS-055A RAW '!AE97/'Finalterm OVPAA-F-INS-055A RAW '!AE$17*100)</f>
        <v/>
      </c>
      <c r="AF97" s="126" t="str">
        <f>IF('Finalterm OVPAA-F-INS-055A RAW '!AF97="","",'Finalterm OVPAA-F-INS-055A RAW '!AF97/'Finalterm OVPAA-F-INS-055A RAW '!AF$17*100)</f>
        <v/>
      </c>
      <c r="AG97" s="126" t="str">
        <f>IF('Finalterm OVPAA-F-INS-055A RAW '!AG97="","",'Finalterm OVPAA-F-INS-055A RAW '!AG97/'Finalterm OVPAA-F-INS-055A RAW '!AG$17*100)</f>
        <v/>
      </c>
      <c r="AH97" s="126" t="str">
        <f>IF('Finalterm OVPAA-F-INS-055A RAW '!AH97="","",'Finalterm OVPAA-F-INS-055A RAW '!AH97/'Finalterm OVPAA-F-INS-055A RAW '!AH$17*100)</f>
        <v/>
      </c>
      <c r="AI97" s="126" t="str">
        <f>IF('Finalterm OVPAA-F-INS-055A RAW '!AI97="","",'Finalterm OVPAA-F-INS-055A RAW '!AI97/'Finalterm OVPAA-F-INS-055A RAW '!AI$17*100)</f>
        <v/>
      </c>
      <c r="AJ97" s="126" t="str">
        <f>IF('Finalterm OVPAA-F-INS-055A RAW '!AJ97="","",'Finalterm OVPAA-F-INS-055A RAW '!AJ97/'Finalterm OVPAA-F-INS-055A RAW '!AJ$17*100)</f>
        <v/>
      </c>
      <c r="AK97" s="126" t="str">
        <f>IF('Finalterm OVPAA-F-INS-055A RAW '!AK97="","",'Finalterm OVPAA-F-INS-055A RAW '!AK97/'Finalterm OVPAA-F-INS-055A RAW '!AK$17*100)</f>
        <v/>
      </c>
      <c r="AL97" s="126" t="str">
        <f>IF('Finalterm OVPAA-F-INS-055A RAW '!AL97="","",'Finalterm OVPAA-F-INS-055A RAW '!AL97/'Finalterm OVPAA-F-INS-055A RAW '!AL$17*100)</f>
        <v/>
      </c>
      <c r="AM97" s="126" t="str">
        <f>IF('Finalterm OVPAA-F-INS-055A RAW '!AM97="","",'Finalterm OVPAA-F-INS-055A RAW '!AM97/'Finalterm OVPAA-F-INS-055A RAW '!AM$17*100)</f>
        <v/>
      </c>
      <c r="AN97" s="126" t="str">
        <f>IF('Finalterm OVPAA-F-INS-055A RAW '!AN97="","",'Finalterm OVPAA-F-INS-055A RAW '!AN97/'Finalterm OVPAA-F-INS-055A RAW '!AN$17*100)</f>
        <v/>
      </c>
      <c r="AO97" s="126" t="str">
        <f>IF('Finalterm OVPAA-F-INS-055A RAW '!AO97="","",'Finalterm OVPAA-F-INS-055A RAW '!AO97/'Finalterm OVPAA-F-INS-055A RAW '!AO$17*100)</f>
        <v/>
      </c>
      <c r="AP97" s="126" t="str">
        <f>IF('Finalterm OVPAA-F-INS-055A RAW '!AP97="","",'Finalterm OVPAA-F-INS-055A RAW '!AP97/'Finalterm OVPAA-F-INS-055A RAW '!AP$17*100)</f>
        <v/>
      </c>
      <c r="AQ97" s="126" t="str">
        <f>IF('Finalterm OVPAA-F-INS-055A RAW '!AQ97="","",'Finalterm OVPAA-F-INS-055A RAW '!AQ97/'Finalterm OVPAA-F-INS-055A RAW '!AQ$17*100)</f>
        <v/>
      </c>
      <c r="AR97" s="126" t="str">
        <f>IF('Finalterm OVPAA-F-INS-055A RAW '!AR97="","",'Finalterm OVPAA-F-INS-055A RAW '!AR97/'Finalterm OVPAA-F-INS-055A RAW '!AR$17*100)</f>
        <v/>
      </c>
      <c r="AS97" s="126" t="str">
        <f>IF('Finalterm OVPAA-F-INS-055A RAW '!AS97="","",'Finalterm OVPAA-F-INS-055A RAW '!AS97/'Finalterm OVPAA-F-INS-055A RAW '!AS$17*100)</f>
        <v/>
      </c>
      <c r="AT97" s="126" t="str">
        <f>IF('Finalterm OVPAA-F-INS-055A RAW '!AT97="","",'Finalterm OVPAA-F-INS-055A RAW '!AT97/'Finalterm OVPAA-F-INS-055A RAW '!AT$17*100)</f>
        <v/>
      </c>
      <c r="AU97" s="126" t="str">
        <f>IF('Finalterm OVPAA-F-INS-055A RAW '!AU97="","",'Finalterm OVPAA-F-INS-055A RAW '!AU97/'Finalterm OVPAA-F-INS-055A RAW '!AU$17*100)</f>
        <v/>
      </c>
      <c r="AV97" s="126" t="str">
        <f>IF('Finalterm OVPAA-F-INS-055A RAW '!AV97="","",'Finalterm OVPAA-F-INS-055A RAW '!AV97/'Finalterm OVPAA-F-INS-055A RAW '!AV$17*100)</f>
        <v/>
      </c>
      <c r="AW97" s="126" t="str">
        <f>IF('Finalterm OVPAA-F-INS-055A RAW '!AW97="","",'Finalterm OVPAA-F-INS-055A RAW '!AW97/'Finalterm OVPAA-F-INS-055A RAW '!AW$17*100)</f>
        <v/>
      </c>
      <c r="AX97" s="126" t="str">
        <f>IF('Finalterm OVPAA-F-INS-055A RAW '!AX97="","",'Finalterm OVPAA-F-INS-055A RAW '!AX97/'Finalterm OVPAA-F-INS-055A RAW '!AX$17*100)</f>
        <v/>
      </c>
      <c r="AY97" s="126" t="str">
        <f>IF('Finalterm OVPAA-F-INS-055A RAW '!AY97="","",'Finalterm OVPAA-F-INS-055A RAW '!AY97/'Finalterm OVPAA-F-INS-055A RAW '!AY$17*100)</f>
        <v/>
      </c>
      <c r="AZ97" s="126" t="str">
        <f>IF('Finalterm OVPAA-F-INS-055A RAW '!AZ97="","",'Finalterm OVPAA-F-INS-055A RAW '!AZ97/'Finalterm OVPAA-F-INS-055A RAW '!AZ$17*100)</f>
        <v/>
      </c>
      <c r="BA97" s="126" t="str">
        <f>IF('Finalterm OVPAA-F-INS-055A RAW '!BA97="","",'Finalterm OVPAA-F-INS-055A RAW '!BA97/'Finalterm OVPAA-F-INS-055A RAW '!BA$17*100)</f>
        <v/>
      </c>
      <c r="BB97" s="126" t="str">
        <f>IF('Finalterm OVPAA-F-INS-055A RAW '!BB97="","",'Finalterm OVPAA-F-INS-055A RAW '!BB97/'Finalterm OVPAA-F-INS-055A RAW '!BB$17*100)</f>
        <v/>
      </c>
      <c r="BC97" s="126" t="str">
        <f>IF('Finalterm OVPAA-F-INS-055A RAW '!BC97="","",'Finalterm OVPAA-F-INS-055A RAW '!BC97/'Finalterm OVPAA-F-INS-055A RAW '!BC$17*100)</f>
        <v/>
      </c>
      <c r="BD97" s="126" t="str">
        <f>IF('Finalterm OVPAA-F-INS-055A RAW '!BD97="","",'Finalterm OVPAA-F-INS-055A RAW '!BD97/'Finalterm OVPAA-F-INS-055A RAW '!BD$17*100)</f>
        <v/>
      </c>
      <c r="BE97" s="126" t="str">
        <f>IF('Finalterm OVPAA-F-INS-055A RAW '!BE97="","",'Finalterm OVPAA-F-INS-055A RAW '!BE97/'Finalterm OVPAA-F-INS-055A RAW '!BE$17*100)</f>
        <v/>
      </c>
      <c r="BF97" s="126" t="str">
        <f>IF('Finalterm OVPAA-F-INS-055A RAW '!BF97="","",'Finalterm OVPAA-F-INS-055A RAW '!BF97/'Finalterm OVPAA-F-INS-055A RAW '!BF$17*100)</f>
        <v/>
      </c>
      <c r="BG97" s="126" t="str">
        <f>IF('Finalterm OVPAA-F-INS-055A RAW '!BG97="","",'Finalterm OVPAA-F-INS-055A RAW '!BG97/'Finalterm OVPAA-F-INS-055A RAW '!BG$17*100)</f>
        <v/>
      </c>
      <c r="BH97" s="126" t="str">
        <f>IF('Finalterm OVPAA-F-INS-055A RAW '!BH97="","",'Finalterm OVPAA-F-INS-055A RAW '!BH97/'Finalterm OVPAA-F-INS-055A RAW '!BH$17*100)</f>
        <v/>
      </c>
      <c r="BI97" s="126" t="str">
        <f>IF('Finalterm OVPAA-F-INS-055A RAW '!BI97="","",'Finalterm OVPAA-F-INS-055A RAW '!BI97/'Finalterm OVPAA-F-INS-055A RAW '!BI$17*100)</f>
        <v/>
      </c>
      <c r="BJ97" s="126" t="str">
        <f>IF('Finalterm OVPAA-F-INS-055A RAW '!BJ97="","",'Finalterm OVPAA-F-INS-055A RAW '!BJ97/'Finalterm OVPAA-F-INS-055A RAW '!BJ$17*100)</f>
        <v/>
      </c>
      <c r="BK97" s="126" t="str">
        <f>IF('Finalterm OVPAA-F-INS-055A RAW '!BK97="","",'Finalterm OVPAA-F-INS-055A RAW '!BK97/'Finalterm OVPAA-F-INS-055A RAW '!BK$17*100)</f>
        <v/>
      </c>
      <c r="BL97" s="126" t="str">
        <f>IF('Finalterm OVPAA-F-INS-055A RAW '!BL97="","",'Finalterm OVPAA-F-INS-055A RAW '!BL97/'Finalterm OVPAA-F-INS-055A RAW '!BL$17*100)</f>
        <v/>
      </c>
      <c r="BM97" s="126" t="str">
        <f>IF('Finalterm OVPAA-F-INS-055A RAW '!BM97="","",'Finalterm OVPAA-F-INS-055A RAW '!BM97/'Finalterm OVPAA-F-INS-055A RAW '!BM$17*100)</f>
        <v/>
      </c>
      <c r="BN97" s="126" t="str">
        <f>IF('Finalterm OVPAA-F-INS-055A RAW '!BN97="","",'Finalterm OVPAA-F-INS-055A RAW '!BN97/'Finalterm OVPAA-F-INS-055A RAW '!BN$17*100)</f>
        <v/>
      </c>
      <c r="BO97" s="126" t="str">
        <f>IF('Finalterm OVPAA-F-INS-055A RAW '!BO97="","",'Finalterm OVPAA-F-INS-055A RAW '!BO97/'Finalterm OVPAA-F-INS-055A RAW '!BO$17*100)</f>
        <v/>
      </c>
      <c r="BP97" s="126" t="str">
        <f>IF('Finalterm OVPAA-F-INS-055A RAW '!BP97="","",'Finalterm OVPAA-F-INS-055A RAW '!BP97/'Finalterm OVPAA-F-INS-055A RAW '!BP$17*100)</f>
        <v/>
      </c>
      <c r="BQ97" s="126" t="str">
        <f>IF('Finalterm OVPAA-F-INS-055A RAW '!BQ97="","",'Finalterm OVPAA-F-INS-055A RAW '!BQ97/'Finalterm OVPAA-F-INS-055A RAW '!BQ$17*100)</f>
        <v/>
      </c>
      <c r="BR97" s="126" t="str">
        <f>IF('Finalterm OVPAA-F-INS-055A RAW '!BR97="","",'Finalterm OVPAA-F-INS-055A RAW '!BR97/'Finalterm OVPAA-F-INS-055A RAW '!BR$17*100)</f>
        <v/>
      </c>
      <c r="BS97" s="126" t="str">
        <f>IF('Finalterm OVPAA-F-INS-055A RAW '!BS97="","",'Finalterm OVPAA-F-INS-055A RAW '!BS97/'Finalterm OVPAA-F-INS-055A RAW '!BS$17*100)</f>
        <v/>
      </c>
      <c r="BT97" s="126" t="str">
        <f>IF('Finalterm OVPAA-F-INS-055A RAW '!BT97="","",'Finalterm OVPAA-F-INS-055A RAW '!BT97/'Finalterm OVPAA-F-INS-055A RAW '!BT$17*100)</f>
        <v/>
      </c>
      <c r="BU97" s="127" t="str">
        <f t="array" ref="BU97">IF('Finalterm OVPAA-F-INS-055A RAW '!$G97="","",IF((SUMPRODUCT(--ISBLANK('Finalterm OVPAA-F-INS-055A RAW '!H97:BT97))=COLUMNS('Finalterm OVPAA-F-INS-055A RAW '!H97:BT97))=TRUE,"",(((COUNTA('Finalterm OVPAA-F-INS-055A RAW '!$H$17:$BT$17)+COUNTBLANK('Finalterm OVPAA-F-INS-055A RAW '!H97:BT97))-COLUMNS('Finalterm OVPAA-F-INS-055A RAW '!H97:BT97))*5+SUM(H97:BT97))/COUNTA('Finalterm OVPAA-F-INS-055A RAW '!$H$17:$BT$17)))</f>
        <v/>
      </c>
      <c r="BV97" s="165" t="str">
        <f>IF(BU97="","",VLOOKUP(BU97,IF('Midterm OVPAA-F-INS-055A RAW SC'!$V$12=0.5,TRANSMUTATION!$C$4:$D$17,TRANSMUTATION!$G$4:$H$17),2,TRUE))</f>
        <v/>
      </c>
      <c r="BW97" s="129" t="str">
        <f>IF('Finalterm OVPAA-F-INS-055A RAW '!BU97="","",'Finalterm OVPAA-F-INS-055A RAW '!BU97/'Finalterm OVPAA-F-INS-055A RAW '!BU$17*100)</f>
        <v/>
      </c>
      <c r="BX97" s="130" t="str">
        <f>IF('Finalterm OVPAA-F-INS-055A RAW '!BV97="","",'Finalterm OVPAA-F-INS-055A RAW '!BV97/'Finalterm OVPAA-F-INS-055A RAW '!BV$17*100)</f>
        <v/>
      </c>
      <c r="BY97" s="130" t="str">
        <f>IF('Finalterm OVPAA-F-INS-055A RAW '!BW97="","",'Finalterm OVPAA-F-INS-055A RAW '!BW97/'Finalterm OVPAA-F-INS-055A RAW '!BW$17*100)</f>
        <v/>
      </c>
      <c r="BZ97" s="130" t="str">
        <f>IF('Finalterm OVPAA-F-INS-055A RAW '!BX97="","",'Finalterm OVPAA-F-INS-055A RAW '!BX97/'Finalterm OVPAA-F-INS-055A RAW '!BX$17*100)</f>
        <v/>
      </c>
      <c r="CA97" s="130" t="str">
        <f>IF('Finalterm OVPAA-F-INS-055A RAW '!BY97="","",'Finalterm OVPAA-F-INS-055A RAW '!BY97/'Finalterm OVPAA-F-INS-055A RAW '!BY$17*100)</f>
        <v/>
      </c>
      <c r="CB97" s="130" t="str">
        <f>IF('Finalterm OVPAA-F-INS-055A RAW '!BZ97="","",'Finalterm OVPAA-F-INS-055A RAW '!BZ97/'Finalterm OVPAA-F-INS-055A RAW '!BZ$17*100)</f>
        <v/>
      </c>
      <c r="CC97" s="130" t="str">
        <f>IF('Finalterm OVPAA-F-INS-055A RAW '!CA97="","",'Finalterm OVPAA-F-INS-055A RAW '!CA97/'Finalterm OVPAA-F-INS-055A RAW '!CA$17*100)</f>
        <v/>
      </c>
      <c r="CD97" s="130" t="str">
        <f>IF('Finalterm OVPAA-F-INS-055A RAW '!CB97="","",'Finalterm OVPAA-F-INS-055A RAW '!CB97/'Finalterm OVPAA-F-INS-055A RAW '!CB$17*100)</f>
        <v/>
      </c>
      <c r="CE97" s="130" t="str">
        <f>IF('Finalterm OVPAA-F-INS-055A RAW '!CC97="","",'Finalterm OVPAA-F-INS-055A RAW '!CC97/'Finalterm OVPAA-F-INS-055A RAW '!CC$17*100)</f>
        <v/>
      </c>
      <c r="CF97" s="130" t="str">
        <f>IF('Finalterm OVPAA-F-INS-055A RAW '!CD97="","",'Finalterm OVPAA-F-INS-055A RAW '!CD97/'Finalterm OVPAA-F-INS-055A RAW '!CD$17*100)</f>
        <v/>
      </c>
      <c r="CG97" s="130" t="str">
        <f>IF('Finalterm OVPAA-F-INS-055A RAW '!CE97="","",'Finalterm OVPAA-F-INS-055A RAW '!CE97/'Finalterm OVPAA-F-INS-055A RAW '!CE$17*100)</f>
        <v/>
      </c>
      <c r="CH97" s="130" t="str">
        <f>IF('Finalterm OVPAA-F-INS-055A RAW '!CF97="","",'Finalterm OVPAA-F-INS-055A RAW '!CF97/'Finalterm OVPAA-F-INS-055A RAW '!CF$17*100)</f>
        <v/>
      </c>
      <c r="CI97" s="130" t="str">
        <f>IF('Finalterm OVPAA-F-INS-055A RAW '!CG97="","",'Finalterm OVPAA-F-INS-055A RAW '!CG97/'Finalterm OVPAA-F-INS-055A RAW '!CG$17*100)</f>
        <v/>
      </c>
      <c r="CJ97" s="130" t="str">
        <f>IF('Finalterm OVPAA-F-INS-055A RAW '!CH97="","",'Finalterm OVPAA-F-INS-055A RAW '!CH97/'Finalterm OVPAA-F-INS-055A RAW '!CH$17*100)</f>
        <v/>
      </c>
      <c r="CK97" s="130" t="str">
        <f>IF('Finalterm OVPAA-F-INS-055A RAW '!CI97="","",'Finalterm OVPAA-F-INS-055A RAW '!CI97/'Finalterm OVPAA-F-INS-055A RAW '!CI$17*100)</f>
        <v/>
      </c>
      <c r="CL97" s="130" t="str">
        <f>IF('Finalterm OVPAA-F-INS-055A RAW '!CJ97="","",'Finalterm OVPAA-F-INS-055A RAW '!CJ97/'Finalterm OVPAA-F-INS-055A RAW '!CJ$17*100)</f>
        <v/>
      </c>
      <c r="CM97" s="130" t="str">
        <f>IF('Finalterm OVPAA-F-INS-055A RAW '!CK97="","",'Finalterm OVPAA-F-INS-055A RAW '!CK97/'Finalterm OVPAA-F-INS-055A RAW '!CK$17*100)</f>
        <v/>
      </c>
      <c r="CN97" s="130" t="str">
        <f>IF('Finalterm OVPAA-F-INS-055A RAW '!CL97="","",'Finalterm OVPAA-F-INS-055A RAW '!CL97/'Finalterm OVPAA-F-INS-055A RAW '!CL$17*100)</f>
        <v/>
      </c>
      <c r="CO97" s="130" t="str">
        <f>IF('Finalterm OVPAA-F-INS-055A RAW '!CM97="","",'Finalterm OVPAA-F-INS-055A RAW '!CM97/'Finalterm OVPAA-F-INS-055A RAW '!CM$17*100)</f>
        <v/>
      </c>
      <c r="CP97" s="130" t="str">
        <f>IF('Finalterm OVPAA-F-INS-055A RAW '!CN97="","",'Finalterm OVPAA-F-INS-055A RAW '!CN97/'Finalterm OVPAA-F-INS-055A RAW '!CN$17*100)</f>
        <v/>
      </c>
      <c r="CQ97" s="131" t="str">
        <f t="array" ref="CQ97">IF('Midterm OVPAA-F-INS-055A RAW SC'!G97="","",IF((SUMPRODUCT(--ISBLANK('Finalterm OVPAA-F-INS-055A RAW '!BU97:CN97))=COLUMNS('Finalterm OVPAA-F-INS-055A RAW '!BU97:CN97))=TRUE,"",(((COUNTA('Finalterm OVPAA-F-INS-055A RAW '!$BU$17:$CN$17)+COUNTBLANK('Finalterm OVPAA-F-INS-055A RAW '!BU97:CN97))-COLUMNS('Finalterm OVPAA-F-INS-055A RAW '!BU97:CN97))*5+SUM(BW97:CP97))/COUNTA('Finalterm OVPAA-F-INS-055A RAW '!$BU$17:$CN$17)))</f>
        <v/>
      </c>
      <c r="CR97" s="132" t="str">
        <f>IF(CQ97="","",VLOOKUP(CQ97,IF('Midterm OVPAA-F-INS-055A RAW SC'!$V$12=0.5,TRANSMUTATION!$C$4:$D$17,TRANSMUTATION!$G$4:$H$17),2,TRUE))</f>
        <v/>
      </c>
      <c r="CS97" s="133" t="str">
        <f>IF('Finalterm OVPAA-F-INS-055A RAW '!CO97="","",'Finalterm OVPAA-F-INS-055A RAW '!CO97/'Finalterm OVPAA-F-INS-055A RAW '!CO$17*100)</f>
        <v/>
      </c>
      <c r="CT97" s="133" t="str">
        <f>IF('Finalterm OVPAA-F-INS-055A RAW '!CP97="","",'Finalterm OVPAA-F-INS-055A RAW '!CP97/'Finalterm OVPAA-F-INS-055A RAW '!CP$17*100)</f>
        <v/>
      </c>
      <c r="CU97" s="133" t="str">
        <f>IF('Finalterm OVPAA-F-INS-055A RAW '!CQ97="","",'Finalterm OVPAA-F-INS-055A RAW '!CQ97/'Finalterm OVPAA-F-INS-055A RAW '!CQ$17*100)</f>
        <v/>
      </c>
      <c r="CV97" s="133" t="str">
        <f>IF('Finalterm OVPAA-F-INS-055A RAW '!CR97="","",'Finalterm OVPAA-F-INS-055A RAW '!CR97/'Finalterm OVPAA-F-INS-055A RAW '!CR$17*100)</f>
        <v/>
      </c>
      <c r="CW97" s="133" t="str">
        <f>IF('Finalterm OVPAA-F-INS-055A RAW '!CS97="","",'Finalterm OVPAA-F-INS-055A RAW '!CS97/'Finalterm OVPAA-F-INS-055A RAW '!CS$17*100)</f>
        <v/>
      </c>
      <c r="CX97" s="133" t="str">
        <f>IF('Finalterm OVPAA-F-INS-055A RAW '!CT97="","",'Finalterm OVPAA-F-INS-055A RAW '!CT97/'Finalterm OVPAA-F-INS-055A RAW '!CT$17*100)</f>
        <v/>
      </c>
      <c r="CY97" s="133" t="str">
        <f>IF('Finalterm OVPAA-F-INS-055A RAW '!CU97="","",'Finalterm OVPAA-F-INS-055A RAW '!CU97/'Finalterm OVPAA-F-INS-055A RAW '!CU$17*100)</f>
        <v/>
      </c>
      <c r="CZ97" s="133" t="str">
        <f>IF('Finalterm OVPAA-F-INS-055A RAW '!CV97="","",'Finalterm OVPAA-F-INS-055A RAW '!CV97/'Finalterm OVPAA-F-INS-055A RAW '!CV$17*100)</f>
        <v/>
      </c>
      <c r="DA97" s="133" t="str">
        <f>IF('Finalterm OVPAA-F-INS-055A RAW '!CW97="","",'Finalterm OVPAA-F-INS-055A RAW '!CW97/'Finalterm OVPAA-F-INS-055A RAW '!CW$17*100)</f>
        <v/>
      </c>
      <c r="DB97" s="133" t="str">
        <f>IF('Finalterm OVPAA-F-INS-055A RAW '!CX97="","",'Finalterm OVPAA-F-INS-055A RAW '!CX97/'Finalterm OVPAA-F-INS-055A RAW '!CX$17*100)</f>
        <v/>
      </c>
      <c r="DC97" s="134" t="str">
        <f t="array" ref="DC97">IF('Midterm OVPAA-F-INS-055A RAW SC'!$G97="","",IF((SUMPRODUCT(--ISBLANK('Finalterm OVPAA-F-INS-055A RAW '!CO97:CX97))=COLUMNS('Finalterm OVPAA-F-INS-055A RAW '!CO97:CX97))=TRUE,"",(((COUNTA('Finalterm OVPAA-F-INS-055A RAW '!$CO$17:$CX$17)+COUNTBLANK('Finalterm OVPAA-F-INS-055A RAW '!CO97:CX97))-COLUMNS('Finalterm OVPAA-F-INS-055A RAW '!CO97:CX97))*5+SUM(CS97:DB97))/COUNTA('Finalterm OVPAA-F-INS-055A RAW '!$CO$17:$CX$17)))</f>
        <v/>
      </c>
      <c r="DD97" s="135" t="str">
        <f>IF(DC97="","",VLOOKUP(DC97,IF('Midterm OVPAA-F-INS-055A RAW SC'!$V$12=0.5,TRANSMUTATION!$C$4:$D$17,TRANSMUTATION!$G$4:$H$17),2,TRUE))</f>
        <v/>
      </c>
      <c r="DE97" s="136" t="str">
        <f t="shared" si="1"/>
        <v/>
      </c>
      <c r="DF97" s="166" t="str">
        <f t="shared" si="2"/>
        <v/>
      </c>
      <c r="DG97" s="167" t="str">
        <f t="shared" si="3"/>
        <v/>
      </c>
      <c r="DH97" s="168" t="str">
        <f t="shared" si="4"/>
        <v/>
      </c>
      <c r="DI97" s="169" t="str">
        <f t="shared" si="5"/>
        <v/>
      </c>
    </row>
    <row r="98" spans="1:113" ht="15.75" hidden="1" customHeight="1">
      <c r="A98" s="5"/>
      <c r="B98" s="5"/>
      <c r="C98" s="5"/>
      <c r="D98" s="5"/>
      <c r="E98" s="59">
        <v>81</v>
      </c>
      <c r="F98" s="124" t="str">
        <f>IF(NOT(ISBLANK('Midterm OVPAA-F-INS-055A RAW SC'!F98)),'Midterm OVPAA-F-INS-055A RAW SC'!F98,"")</f>
        <v/>
      </c>
      <c r="G98" s="125" t="str">
        <f>IF(NOT(ISBLANK('Midterm OVPAA-F-INS-055A RAW SC'!G98)),'Midterm OVPAA-F-INS-055A RAW SC'!G98,"")</f>
        <v/>
      </c>
      <c r="H98" s="126" t="str">
        <f>IF('Finalterm OVPAA-F-INS-055A RAW '!H98="","",'Finalterm OVPAA-F-INS-055A RAW '!H98/'Finalterm OVPAA-F-INS-055A RAW '!H$17*100)</f>
        <v/>
      </c>
      <c r="I98" s="126" t="str">
        <f>IF('Finalterm OVPAA-F-INS-055A RAW '!I98="","",'Finalterm OVPAA-F-INS-055A RAW '!I98/'Finalterm OVPAA-F-INS-055A RAW '!I$17*100)</f>
        <v/>
      </c>
      <c r="J98" s="126" t="str">
        <f>IF('Finalterm OVPAA-F-INS-055A RAW '!J98="","",'Finalterm OVPAA-F-INS-055A RAW '!J98/'Finalterm OVPAA-F-INS-055A RAW '!J$17*100)</f>
        <v/>
      </c>
      <c r="K98" s="126" t="str">
        <f>IF('Finalterm OVPAA-F-INS-055A RAW '!K98="","",'Finalterm OVPAA-F-INS-055A RAW '!K98/'Finalterm OVPAA-F-INS-055A RAW '!K$17*100)</f>
        <v/>
      </c>
      <c r="L98" s="126" t="str">
        <f>IF('Finalterm OVPAA-F-INS-055A RAW '!L98="","",'Finalterm OVPAA-F-INS-055A RAW '!L98/'Finalterm OVPAA-F-INS-055A RAW '!L$17*100)</f>
        <v/>
      </c>
      <c r="M98" s="126" t="str">
        <f>IF('Finalterm OVPAA-F-INS-055A RAW '!M98="","",'Finalterm OVPAA-F-INS-055A RAW '!M98/'Finalterm OVPAA-F-INS-055A RAW '!M$17*100)</f>
        <v/>
      </c>
      <c r="N98" s="126" t="str">
        <f>IF('Finalterm OVPAA-F-INS-055A RAW '!N98="","",'Finalterm OVPAA-F-INS-055A RAW '!N98/'Finalterm OVPAA-F-INS-055A RAW '!N$17*100)</f>
        <v/>
      </c>
      <c r="O98" s="126" t="str">
        <f>IF('Finalterm OVPAA-F-INS-055A RAW '!O98="","",'Finalterm OVPAA-F-INS-055A RAW '!O98/'Finalterm OVPAA-F-INS-055A RAW '!O$17*100)</f>
        <v/>
      </c>
      <c r="P98" s="126" t="str">
        <f>IF('Finalterm OVPAA-F-INS-055A RAW '!P98="","",'Finalterm OVPAA-F-INS-055A RAW '!P98/'Finalterm OVPAA-F-INS-055A RAW '!P$17*100)</f>
        <v/>
      </c>
      <c r="Q98" s="126" t="str">
        <f>IF('Finalterm OVPAA-F-INS-055A RAW '!Q98="","",'Finalterm OVPAA-F-INS-055A RAW '!Q98/'Finalterm OVPAA-F-INS-055A RAW '!Q$17*100)</f>
        <v/>
      </c>
      <c r="R98" s="126" t="str">
        <f>IF('Finalterm OVPAA-F-INS-055A RAW '!R98="","",'Finalterm OVPAA-F-INS-055A RAW '!R98/'Finalterm OVPAA-F-INS-055A RAW '!R$17*100)</f>
        <v/>
      </c>
      <c r="S98" s="126" t="str">
        <f>IF('Finalterm OVPAA-F-INS-055A RAW '!S98="","",'Finalterm OVPAA-F-INS-055A RAW '!S98/'Finalterm OVPAA-F-INS-055A RAW '!S$17*100)</f>
        <v/>
      </c>
      <c r="T98" s="126" t="str">
        <f>IF('Finalterm OVPAA-F-INS-055A RAW '!T98="","",'Finalterm OVPAA-F-INS-055A RAW '!T98/'Finalterm OVPAA-F-INS-055A RAW '!T$17*100)</f>
        <v/>
      </c>
      <c r="U98" s="126" t="str">
        <f>IF('Finalterm OVPAA-F-INS-055A RAW '!U98="","",'Finalterm OVPAA-F-INS-055A RAW '!U98/'Finalterm OVPAA-F-INS-055A RAW '!U$17*100)</f>
        <v/>
      </c>
      <c r="V98" s="126" t="str">
        <f>IF('Finalterm OVPAA-F-INS-055A RAW '!V98="","",'Finalterm OVPAA-F-INS-055A RAW '!V98/'Finalterm OVPAA-F-INS-055A RAW '!V$17*100)</f>
        <v/>
      </c>
      <c r="W98" s="126" t="str">
        <f>IF('Finalterm OVPAA-F-INS-055A RAW '!W98="","",'Finalterm OVPAA-F-INS-055A RAW '!W98/'Finalterm OVPAA-F-INS-055A RAW '!W$17*100)</f>
        <v/>
      </c>
      <c r="X98" s="126" t="str">
        <f>IF('Finalterm OVPAA-F-INS-055A RAW '!X98="","",'Finalterm OVPAA-F-INS-055A RAW '!X98/'Finalterm OVPAA-F-INS-055A RAW '!X$17*100)</f>
        <v/>
      </c>
      <c r="Y98" s="126" t="str">
        <f>IF('Finalterm OVPAA-F-INS-055A RAW '!Y98="","",'Finalterm OVPAA-F-INS-055A RAW '!Y98/'Finalterm OVPAA-F-INS-055A RAW '!Y$17*100)</f>
        <v/>
      </c>
      <c r="Z98" s="126" t="str">
        <f>IF('Finalterm OVPAA-F-INS-055A RAW '!Z98="","",'Finalterm OVPAA-F-INS-055A RAW '!Z98/'Finalterm OVPAA-F-INS-055A RAW '!Z$17*100)</f>
        <v/>
      </c>
      <c r="AA98" s="126" t="str">
        <f>IF('Finalterm OVPAA-F-INS-055A RAW '!AA98="","",'Finalterm OVPAA-F-INS-055A RAW '!AA98/'Finalterm OVPAA-F-INS-055A RAW '!AA$17*100)</f>
        <v/>
      </c>
      <c r="AB98" s="126" t="str">
        <f>IF('Finalterm OVPAA-F-INS-055A RAW '!AB98="","",'Finalterm OVPAA-F-INS-055A RAW '!AB98/'Finalterm OVPAA-F-INS-055A RAW '!AB$17*100)</f>
        <v/>
      </c>
      <c r="AC98" s="126" t="str">
        <f>IF('Finalterm OVPAA-F-INS-055A RAW '!AC98="","",'Finalterm OVPAA-F-INS-055A RAW '!AC98/'Finalterm OVPAA-F-INS-055A RAW '!AC$17*100)</f>
        <v/>
      </c>
      <c r="AD98" s="126" t="str">
        <f>IF('Finalterm OVPAA-F-INS-055A RAW '!AD98="","",'Finalterm OVPAA-F-INS-055A RAW '!AD98/'Finalterm OVPAA-F-INS-055A RAW '!AD$17*100)</f>
        <v/>
      </c>
      <c r="AE98" s="126" t="str">
        <f>IF('Finalterm OVPAA-F-INS-055A RAW '!AE98="","",'Finalterm OVPAA-F-INS-055A RAW '!AE98/'Finalterm OVPAA-F-INS-055A RAW '!AE$17*100)</f>
        <v/>
      </c>
      <c r="AF98" s="126" t="str">
        <f>IF('Finalterm OVPAA-F-INS-055A RAW '!AF98="","",'Finalterm OVPAA-F-INS-055A RAW '!AF98/'Finalterm OVPAA-F-INS-055A RAW '!AF$17*100)</f>
        <v/>
      </c>
      <c r="AG98" s="126" t="str">
        <f>IF('Finalterm OVPAA-F-INS-055A RAW '!AG98="","",'Finalterm OVPAA-F-INS-055A RAW '!AG98/'Finalterm OVPAA-F-INS-055A RAW '!AG$17*100)</f>
        <v/>
      </c>
      <c r="AH98" s="126" t="str">
        <f>IF('Finalterm OVPAA-F-INS-055A RAW '!AH98="","",'Finalterm OVPAA-F-INS-055A RAW '!AH98/'Finalterm OVPAA-F-INS-055A RAW '!AH$17*100)</f>
        <v/>
      </c>
      <c r="AI98" s="126" t="str">
        <f>IF('Finalterm OVPAA-F-INS-055A RAW '!AI98="","",'Finalterm OVPAA-F-INS-055A RAW '!AI98/'Finalterm OVPAA-F-INS-055A RAW '!AI$17*100)</f>
        <v/>
      </c>
      <c r="AJ98" s="126" t="str">
        <f>IF('Finalterm OVPAA-F-INS-055A RAW '!AJ98="","",'Finalterm OVPAA-F-INS-055A RAW '!AJ98/'Finalterm OVPAA-F-INS-055A RAW '!AJ$17*100)</f>
        <v/>
      </c>
      <c r="AK98" s="126" t="str">
        <f>IF('Finalterm OVPAA-F-INS-055A RAW '!AK98="","",'Finalterm OVPAA-F-INS-055A RAW '!AK98/'Finalterm OVPAA-F-INS-055A RAW '!AK$17*100)</f>
        <v/>
      </c>
      <c r="AL98" s="126" t="str">
        <f>IF('Finalterm OVPAA-F-INS-055A RAW '!AL98="","",'Finalterm OVPAA-F-INS-055A RAW '!AL98/'Finalterm OVPAA-F-INS-055A RAW '!AL$17*100)</f>
        <v/>
      </c>
      <c r="AM98" s="126" t="str">
        <f>IF('Finalterm OVPAA-F-INS-055A RAW '!AM98="","",'Finalterm OVPAA-F-INS-055A RAW '!AM98/'Finalterm OVPAA-F-INS-055A RAW '!AM$17*100)</f>
        <v/>
      </c>
      <c r="AN98" s="126" t="str">
        <f>IF('Finalterm OVPAA-F-INS-055A RAW '!AN98="","",'Finalterm OVPAA-F-INS-055A RAW '!AN98/'Finalterm OVPAA-F-INS-055A RAW '!AN$17*100)</f>
        <v/>
      </c>
      <c r="AO98" s="126" t="str">
        <f>IF('Finalterm OVPAA-F-INS-055A RAW '!AO98="","",'Finalterm OVPAA-F-INS-055A RAW '!AO98/'Finalterm OVPAA-F-INS-055A RAW '!AO$17*100)</f>
        <v/>
      </c>
      <c r="AP98" s="126" t="str">
        <f>IF('Finalterm OVPAA-F-INS-055A RAW '!AP98="","",'Finalterm OVPAA-F-INS-055A RAW '!AP98/'Finalterm OVPAA-F-INS-055A RAW '!AP$17*100)</f>
        <v/>
      </c>
      <c r="AQ98" s="126" t="str">
        <f>IF('Finalterm OVPAA-F-INS-055A RAW '!AQ98="","",'Finalterm OVPAA-F-INS-055A RAW '!AQ98/'Finalterm OVPAA-F-INS-055A RAW '!AQ$17*100)</f>
        <v/>
      </c>
      <c r="AR98" s="126" t="str">
        <f>IF('Finalterm OVPAA-F-INS-055A RAW '!AR98="","",'Finalterm OVPAA-F-INS-055A RAW '!AR98/'Finalterm OVPAA-F-INS-055A RAW '!AR$17*100)</f>
        <v/>
      </c>
      <c r="AS98" s="126" t="str">
        <f>IF('Finalterm OVPAA-F-INS-055A RAW '!AS98="","",'Finalterm OVPAA-F-INS-055A RAW '!AS98/'Finalterm OVPAA-F-INS-055A RAW '!AS$17*100)</f>
        <v/>
      </c>
      <c r="AT98" s="126" t="str">
        <f>IF('Finalterm OVPAA-F-INS-055A RAW '!AT98="","",'Finalterm OVPAA-F-INS-055A RAW '!AT98/'Finalterm OVPAA-F-INS-055A RAW '!AT$17*100)</f>
        <v/>
      </c>
      <c r="AU98" s="126" t="str">
        <f>IF('Finalterm OVPAA-F-INS-055A RAW '!AU98="","",'Finalterm OVPAA-F-INS-055A RAW '!AU98/'Finalterm OVPAA-F-INS-055A RAW '!AU$17*100)</f>
        <v/>
      </c>
      <c r="AV98" s="126" t="str">
        <f>IF('Finalterm OVPAA-F-INS-055A RAW '!AV98="","",'Finalterm OVPAA-F-INS-055A RAW '!AV98/'Finalterm OVPAA-F-INS-055A RAW '!AV$17*100)</f>
        <v/>
      </c>
      <c r="AW98" s="126" t="str">
        <f>IF('Finalterm OVPAA-F-INS-055A RAW '!AW98="","",'Finalterm OVPAA-F-INS-055A RAW '!AW98/'Finalterm OVPAA-F-INS-055A RAW '!AW$17*100)</f>
        <v/>
      </c>
      <c r="AX98" s="126" t="str">
        <f>IF('Finalterm OVPAA-F-INS-055A RAW '!AX98="","",'Finalterm OVPAA-F-INS-055A RAW '!AX98/'Finalterm OVPAA-F-INS-055A RAW '!AX$17*100)</f>
        <v/>
      </c>
      <c r="AY98" s="126" t="str">
        <f>IF('Finalterm OVPAA-F-INS-055A RAW '!AY98="","",'Finalterm OVPAA-F-INS-055A RAW '!AY98/'Finalterm OVPAA-F-INS-055A RAW '!AY$17*100)</f>
        <v/>
      </c>
      <c r="AZ98" s="126" t="str">
        <f>IF('Finalterm OVPAA-F-INS-055A RAW '!AZ98="","",'Finalterm OVPAA-F-INS-055A RAW '!AZ98/'Finalterm OVPAA-F-INS-055A RAW '!AZ$17*100)</f>
        <v/>
      </c>
      <c r="BA98" s="126" t="str">
        <f>IF('Finalterm OVPAA-F-INS-055A RAW '!BA98="","",'Finalterm OVPAA-F-INS-055A RAW '!BA98/'Finalterm OVPAA-F-INS-055A RAW '!BA$17*100)</f>
        <v/>
      </c>
      <c r="BB98" s="126" t="str">
        <f>IF('Finalterm OVPAA-F-INS-055A RAW '!BB98="","",'Finalterm OVPAA-F-INS-055A RAW '!BB98/'Finalterm OVPAA-F-INS-055A RAW '!BB$17*100)</f>
        <v/>
      </c>
      <c r="BC98" s="126" t="str">
        <f>IF('Finalterm OVPAA-F-INS-055A RAW '!BC98="","",'Finalterm OVPAA-F-INS-055A RAW '!BC98/'Finalterm OVPAA-F-INS-055A RAW '!BC$17*100)</f>
        <v/>
      </c>
      <c r="BD98" s="126" t="str">
        <f>IF('Finalterm OVPAA-F-INS-055A RAW '!BD98="","",'Finalterm OVPAA-F-INS-055A RAW '!BD98/'Finalterm OVPAA-F-INS-055A RAW '!BD$17*100)</f>
        <v/>
      </c>
      <c r="BE98" s="126" t="str">
        <f>IF('Finalterm OVPAA-F-INS-055A RAW '!BE98="","",'Finalterm OVPAA-F-INS-055A RAW '!BE98/'Finalterm OVPAA-F-INS-055A RAW '!BE$17*100)</f>
        <v/>
      </c>
      <c r="BF98" s="126" t="str">
        <f>IF('Finalterm OVPAA-F-INS-055A RAW '!BF98="","",'Finalterm OVPAA-F-INS-055A RAW '!BF98/'Finalterm OVPAA-F-INS-055A RAW '!BF$17*100)</f>
        <v/>
      </c>
      <c r="BG98" s="126" t="str">
        <f>IF('Finalterm OVPAA-F-INS-055A RAW '!BG98="","",'Finalterm OVPAA-F-INS-055A RAW '!BG98/'Finalterm OVPAA-F-INS-055A RAW '!BG$17*100)</f>
        <v/>
      </c>
      <c r="BH98" s="126" t="str">
        <f>IF('Finalterm OVPAA-F-INS-055A RAW '!BH98="","",'Finalterm OVPAA-F-INS-055A RAW '!BH98/'Finalterm OVPAA-F-INS-055A RAW '!BH$17*100)</f>
        <v/>
      </c>
      <c r="BI98" s="126" t="str">
        <f>IF('Finalterm OVPAA-F-INS-055A RAW '!BI98="","",'Finalterm OVPAA-F-INS-055A RAW '!BI98/'Finalterm OVPAA-F-INS-055A RAW '!BI$17*100)</f>
        <v/>
      </c>
      <c r="BJ98" s="126" t="str">
        <f>IF('Finalterm OVPAA-F-INS-055A RAW '!BJ98="","",'Finalterm OVPAA-F-INS-055A RAW '!BJ98/'Finalterm OVPAA-F-INS-055A RAW '!BJ$17*100)</f>
        <v/>
      </c>
      <c r="BK98" s="126" t="str">
        <f>IF('Finalterm OVPAA-F-INS-055A RAW '!BK98="","",'Finalterm OVPAA-F-INS-055A RAW '!BK98/'Finalterm OVPAA-F-INS-055A RAW '!BK$17*100)</f>
        <v/>
      </c>
      <c r="BL98" s="126" t="str">
        <f>IF('Finalterm OVPAA-F-INS-055A RAW '!BL98="","",'Finalterm OVPAA-F-INS-055A RAW '!BL98/'Finalterm OVPAA-F-INS-055A RAW '!BL$17*100)</f>
        <v/>
      </c>
      <c r="BM98" s="126" t="str">
        <f>IF('Finalterm OVPAA-F-INS-055A RAW '!BM98="","",'Finalterm OVPAA-F-INS-055A RAW '!BM98/'Finalterm OVPAA-F-INS-055A RAW '!BM$17*100)</f>
        <v/>
      </c>
      <c r="BN98" s="126" t="str">
        <f>IF('Finalterm OVPAA-F-INS-055A RAW '!BN98="","",'Finalterm OVPAA-F-INS-055A RAW '!BN98/'Finalterm OVPAA-F-INS-055A RAW '!BN$17*100)</f>
        <v/>
      </c>
      <c r="BO98" s="126" t="str">
        <f>IF('Finalterm OVPAA-F-INS-055A RAW '!BO98="","",'Finalterm OVPAA-F-INS-055A RAW '!BO98/'Finalterm OVPAA-F-INS-055A RAW '!BO$17*100)</f>
        <v/>
      </c>
      <c r="BP98" s="126" t="str">
        <f>IF('Finalterm OVPAA-F-INS-055A RAW '!BP98="","",'Finalterm OVPAA-F-INS-055A RAW '!BP98/'Finalterm OVPAA-F-INS-055A RAW '!BP$17*100)</f>
        <v/>
      </c>
      <c r="BQ98" s="126" t="str">
        <f>IF('Finalterm OVPAA-F-INS-055A RAW '!BQ98="","",'Finalterm OVPAA-F-INS-055A RAW '!BQ98/'Finalterm OVPAA-F-INS-055A RAW '!BQ$17*100)</f>
        <v/>
      </c>
      <c r="BR98" s="126" t="str">
        <f>IF('Finalterm OVPAA-F-INS-055A RAW '!BR98="","",'Finalterm OVPAA-F-INS-055A RAW '!BR98/'Finalterm OVPAA-F-INS-055A RAW '!BR$17*100)</f>
        <v/>
      </c>
      <c r="BS98" s="126" t="str">
        <f>IF('Finalterm OVPAA-F-INS-055A RAW '!BS98="","",'Finalterm OVPAA-F-INS-055A RAW '!BS98/'Finalterm OVPAA-F-INS-055A RAW '!BS$17*100)</f>
        <v/>
      </c>
      <c r="BT98" s="126" t="str">
        <f>IF('Finalterm OVPAA-F-INS-055A RAW '!BT98="","",'Finalterm OVPAA-F-INS-055A RAW '!BT98/'Finalterm OVPAA-F-INS-055A RAW '!BT$17*100)</f>
        <v/>
      </c>
      <c r="BU98" s="127" t="str">
        <f t="array" ref="BU98">IF('Finalterm OVPAA-F-INS-055A RAW '!$G98="","",IF((SUMPRODUCT(--ISBLANK('Finalterm OVPAA-F-INS-055A RAW '!H98:BT98))=COLUMNS('Finalterm OVPAA-F-INS-055A RAW '!H98:BT98))=TRUE,"",(((COUNTA('Finalterm OVPAA-F-INS-055A RAW '!$H$17:$BT$17)+COUNTBLANK('Finalterm OVPAA-F-INS-055A RAW '!H98:BT98))-COLUMNS('Finalterm OVPAA-F-INS-055A RAW '!H98:BT98))*5+SUM(H98:BT98))/COUNTA('Finalterm OVPAA-F-INS-055A RAW '!$H$17:$BT$17)))</f>
        <v/>
      </c>
      <c r="BV98" s="165" t="str">
        <f>IF(BU98="","",VLOOKUP(BU98,IF('Midterm OVPAA-F-INS-055A RAW SC'!$V$12=0.5,TRANSMUTATION!$C$4:$D$17,TRANSMUTATION!$G$4:$H$17),2,TRUE))</f>
        <v/>
      </c>
      <c r="BW98" s="129" t="str">
        <f>IF('Finalterm OVPAA-F-INS-055A RAW '!BU98="","",'Finalterm OVPAA-F-INS-055A RAW '!BU98/'Finalterm OVPAA-F-INS-055A RAW '!BU$17*100)</f>
        <v/>
      </c>
      <c r="BX98" s="130" t="str">
        <f>IF('Finalterm OVPAA-F-INS-055A RAW '!BV98="","",'Finalterm OVPAA-F-INS-055A RAW '!BV98/'Finalterm OVPAA-F-INS-055A RAW '!BV$17*100)</f>
        <v/>
      </c>
      <c r="BY98" s="130" t="str">
        <f>IF('Finalterm OVPAA-F-INS-055A RAW '!BW98="","",'Finalterm OVPAA-F-INS-055A RAW '!BW98/'Finalterm OVPAA-F-INS-055A RAW '!BW$17*100)</f>
        <v/>
      </c>
      <c r="BZ98" s="130" t="str">
        <f>IF('Finalterm OVPAA-F-INS-055A RAW '!BX98="","",'Finalterm OVPAA-F-INS-055A RAW '!BX98/'Finalterm OVPAA-F-INS-055A RAW '!BX$17*100)</f>
        <v/>
      </c>
      <c r="CA98" s="130" t="str">
        <f>IF('Finalterm OVPAA-F-INS-055A RAW '!BY98="","",'Finalterm OVPAA-F-INS-055A RAW '!BY98/'Finalterm OVPAA-F-INS-055A RAW '!BY$17*100)</f>
        <v/>
      </c>
      <c r="CB98" s="130" t="str">
        <f>IF('Finalterm OVPAA-F-INS-055A RAW '!BZ98="","",'Finalterm OVPAA-F-INS-055A RAW '!BZ98/'Finalterm OVPAA-F-INS-055A RAW '!BZ$17*100)</f>
        <v/>
      </c>
      <c r="CC98" s="130" t="str">
        <f>IF('Finalterm OVPAA-F-INS-055A RAW '!CA98="","",'Finalterm OVPAA-F-INS-055A RAW '!CA98/'Finalterm OVPAA-F-INS-055A RAW '!CA$17*100)</f>
        <v/>
      </c>
      <c r="CD98" s="130" t="str">
        <f>IF('Finalterm OVPAA-F-INS-055A RAW '!CB98="","",'Finalterm OVPAA-F-INS-055A RAW '!CB98/'Finalterm OVPAA-F-INS-055A RAW '!CB$17*100)</f>
        <v/>
      </c>
      <c r="CE98" s="130" t="str">
        <f>IF('Finalterm OVPAA-F-INS-055A RAW '!CC98="","",'Finalterm OVPAA-F-INS-055A RAW '!CC98/'Finalterm OVPAA-F-INS-055A RAW '!CC$17*100)</f>
        <v/>
      </c>
      <c r="CF98" s="130" t="str">
        <f>IF('Finalterm OVPAA-F-INS-055A RAW '!CD98="","",'Finalterm OVPAA-F-INS-055A RAW '!CD98/'Finalterm OVPAA-F-INS-055A RAW '!CD$17*100)</f>
        <v/>
      </c>
      <c r="CG98" s="130" t="str">
        <f>IF('Finalterm OVPAA-F-INS-055A RAW '!CE98="","",'Finalterm OVPAA-F-INS-055A RAW '!CE98/'Finalterm OVPAA-F-INS-055A RAW '!CE$17*100)</f>
        <v/>
      </c>
      <c r="CH98" s="130" t="str">
        <f>IF('Finalterm OVPAA-F-INS-055A RAW '!CF98="","",'Finalterm OVPAA-F-INS-055A RAW '!CF98/'Finalterm OVPAA-F-INS-055A RAW '!CF$17*100)</f>
        <v/>
      </c>
      <c r="CI98" s="130" t="str">
        <f>IF('Finalterm OVPAA-F-INS-055A RAW '!CG98="","",'Finalterm OVPAA-F-INS-055A RAW '!CG98/'Finalterm OVPAA-F-INS-055A RAW '!CG$17*100)</f>
        <v/>
      </c>
      <c r="CJ98" s="130" t="str">
        <f>IF('Finalterm OVPAA-F-INS-055A RAW '!CH98="","",'Finalterm OVPAA-F-INS-055A RAW '!CH98/'Finalterm OVPAA-F-INS-055A RAW '!CH$17*100)</f>
        <v/>
      </c>
      <c r="CK98" s="130" t="str">
        <f>IF('Finalterm OVPAA-F-INS-055A RAW '!CI98="","",'Finalterm OVPAA-F-INS-055A RAW '!CI98/'Finalterm OVPAA-F-INS-055A RAW '!CI$17*100)</f>
        <v/>
      </c>
      <c r="CL98" s="130" t="str">
        <f>IF('Finalterm OVPAA-F-INS-055A RAW '!CJ98="","",'Finalterm OVPAA-F-INS-055A RAW '!CJ98/'Finalterm OVPAA-F-INS-055A RAW '!CJ$17*100)</f>
        <v/>
      </c>
      <c r="CM98" s="130" t="str">
        <f>IF('Finalterm OVPAA-F-INS-055A RAW '!CK98="","",'Finalterm OVPAA-F-INS-055A RAW '!CK98/'Finalterm OVPAA-F-INS-055A RAW '!CK$17*100)</f>
        <v/>
      </c>
      <c r="CN98" s="130" t="str">
        <f>IF('Finalterm OVPAA-F-INS-055A RAW '!CL98="","",'Finalterm OVPAA-F-INS-055A RAW '!CL98/'Finalterm OVPAA-F-INS-055A RAW '!CL$17*100)</f>
        <v/>
      </c>
      <c r="CO98" s="130" t="str">
        <f>IF('Finalterm OVPAA-F-INS-055A RAW '!CM98="","",'Finalterm OVPAA-F-INS-055A RAW '!CM98/'Finalterm OVPAA-F-INS-055A RAW '!CM$17*100)</f>
        <v/>
      </c>
      <c r="CP98" s="130" t="str">
        <f>IF('Finalterm OVPAA-F-INS-055A RAW '!CN98="","",'Finalterm OVPAA-F-INS-055A RAW '!CN98/'Finalterm OVPAA-F-INS-055A RAW '!CN$17*100)</f>
        <v/>
      </c>
      <c r="CQ98" s="131" t="str">
        <f t="array" ref="CQ98">IF('Midterm OVPAA-F-INS-055A RAW SC'!G98="","",IF((SUMPRODUCT(--ISBLANK('Finalterm OVPAA-F-INS-055A RAW '!BU98:CN98))=COLUMNS('Finalterm OVPAA-F-INS-055A RAW '!BU98:CN98))=TRUE,"",(((COUNTA('Finalterm OVPAA-F-INS-055A RAW '!$BU$17:$CN$17)+COUNTBLANK('Finalterm OVPAA-F-INS-055A RAW '!BU98:CN98))-COLUMNS('Finalterm OVPAA-F-INS-055A RAW '!BU98:CN98))*5+SUM(BW98:CP98))/COUNTA('Finalterm OVPAA-F-INS-055A RAW '!$BU$17:$CN$17)))</f>
        <v/>
      </c>
      <c r="CR98" s="132" t="str">
        <f>IF(CQ98="","",VLOOKUP(CQ98,IF('Midterm OVPAA-F-INS-055A RAW SC'!$V$12=0.5,TRANSMUTATION!$C$4:$D$17,TRANSMUTATION!$G$4:$H$17),2,TRUE))</f>
        <v/>
      </c>
      <c r="CS98" s="133" t="str">
        <f>IF('Finalterm OVPAA-F-INS-055A RAW '!CO98="","",'Finalterm OVPAA-F-INS-055A RAW '!CO98/'Finalterm OVPAA-F-INS-055A RAW '!CO$17*100)</f>
        <v/>
      </c>
      <c r="CT98" s="133" t="str">
        <f>IF('Finalterm OVPAA-F-INS-055A RAW '!CP98="","",'Finalterm OVPAA-F-INS-055A RAW '!CP98/'Finalterm OVPAA-F-INS-055A RAW '!CP$17*100)</f>
        <v/>
      </c>
      <c r="CU98" s="133" t="str">
        <f>IF('Finalterm OVPAA-F-INS-055A RAW '!CQ98="","",'Finalterm OVPAA-F-INS-055A RAW '!CQ98/'Finalterm OVPAA-F-INS-055A RAW '!CQ$17*100)</f>
        <v/>
      </c>
      <c r="CV98" s="133" t="str">
        <f>IF('Finalterm OVPAA-F-INS-055A RAW '!CR98="","",'Finalterm OVPAA-F-INS-055A RAW '!CR98/'Finalterm OVPAA-F-INS-055A RAW '!CR$17*100)</f>
        <v/>
      </c>
      <c r="CW98" s="133" t="str">
        <f>IF('Finalterm OVPAA-F-INS-055A RAW '!CS98="","",'Finalterm OVPAA-F-INS-055A RAW '!CS98/'Finalterm OVPAA-F-INS-055A RAW '!CS$17*100)</f>
        <v/>
      </c>
      <c r="CX98" s="133" t="str">
        <f>IF('Finalterm OVPAA-F-INS-055A RAW '!CT98="","",'Finalterm OVPAA-F-INS-055A RAW '!CT98/'Finalterm OVPAA-F-INS-055A RAW '!CT$17*100)</f>
        <v/>
      </c>
      <c r="CY98" s="133" t="str">
        <f>IF('Finalterm OVPAA-F-INS-055A RAW '!CU98="","",'Finalterm OVPAA-F-INS-055A RAW '!CU98/'Finalterm OVPAA-F-INS-055A RAW '!CU$17*100)</f>
        <v/>
      </c>
      <c r="CZ98" s="133" t="str">
        <f>IF('Finalterm OVPAA-F-INS-055A RAW '!CV98="","",'Finalterm OVPAA-F-INS-055A RAW '!CV98/'Finalterm OVPAA-F-INS-055A RAW '!CV$17*100)</f>
        <v/>
      </c>
      <c r="DA98" s="133" t="str">
        <f>IF('Finalterm OVPAA-F-INS-055A RAW '!CW98="","",'Finalterm OVPAA-F-INS-055A RAW '!CW98/'Finalterm OVPAA-F-INS-055A RAW '!CW$17*100)</f>
        <v/>
      </c>
      <c r="DB98" s="133" t="str">
        <f>IF('Finalterm OVPAA-F-INS-055A RAW '!CX98="","",'Finalterm OVPAA-F-INS-055A RAW '!CX98/'Finalterm OVPAA-F-INS-055A RAW '!CX$17*100)</f>
        <v/>
      </c>
      <c r="DC98" s="134" t="str">
        <f t="array" ref="DC98">IF('Midterm OVPAA-F-INS-055A RAW SC'!$G98="","",IF((SUMPRODUCT(--ISBLANK('Finalterm OVPAA-F-INS-055A RAW '!CO98:CX98))=COLUMNS('Finalterm OVPAA-F-INS-055A RAW '!CO98:CX98))=TRUE,"",(((COUNTA('Finalterm OVPAA-F-INS-055A RAW '!$CO$17:$CX$17)+COUNTBLANK('Finalterm OVPAA-F-INS-055A RAW '!CO98:CX98))-COLUMNS('Finalterm OVPAA-F-INS-055A RAW '!CO98:CX98))*5+SUM(CS98:DB98))/COUNTA('Finalterm OVPAA-F-INS-055A RAW '!$CO$17:$CX$17)))</f>
        <v/>
      </c>
      <c r="DD98" s="135" t="str">
        <f>IF(DC98="","",VLOOKUP(DC98,IF('Midterm OVPAA-F-INS-055A RAW SC'!$V$12=0.5,TRANSMUTATION!$C$4:$D$17,TRANSMUTATION!$G$4:$H$17),2,TRUE))</f>
        <v/>
      </c>
      <c r="DE98" s="136" t="str">
        <f t="shared" si="1"/>
        <v/>
      </c>
      <c r="DF98" s="166" t="str">
        <f t="shared" si="2"/>
        <v/>
      </c>
      <c r="DG98" s="167" t="str">
        <f t="shared" si="3"/>
        <v/>
      </c>
      <c r="DH98" s="168" t="str">
        <f t="shared" si="4"/>
        <v/>
      </c>
      <c r="DI98" s="169" t="str">
        <f t="shared" si="5"/>
        <v/>
      </c>
    </row>
    <row r="99" spans="1:113" ht="15.75" hidden="1" customHeight="1">
      <c r="A99" s="5"/>
      <c r="B99" s="5"/>
      <c r="C99" s="5"/>
      <c r="D99" s="5"/>
      <c r="E99" s="59">
        <v>82</v>
      </c>
      <c r="F99" s="124" t="str">
        <f>IF(NOT(ISBLANK('Midterm OVPAA-F-INS-055A RAW SC'!F99)),'Midterm OVPAA-F-INS-055A RAW SC'!F99,"")</f>
        <v/>
      </c>
      <c r="G99" s="125" t="str">
        <f>IF(NOT(ISBLANK('Midterm OVPAA-F-INS-055A RAW SC'!G99)),'Midterm OVPAA-F-INS-055A RAW SC'!G99,"")</f>
        <v/>
      </c>
      <c r="H99" s="126" t="str">
        <f>IF('Finalterm OVPAA-F-INS-055A RAW '!H99="","",'Finalterm OVPAA-F-INS-055A RAW '!H99/'Finalterm OVPAA-F-INS-055A RAW '!H$17*100)</f>
        <v/>
      </c>
      <c r="I99" s="126" t="str">
        <f>IF('Finalterm OVPAA-F-INS-055A RAW '!I99="","",'Finalterm OVPAA-F-INS-055A RAW '!I99/'Finalterm OVPAA-F-INS-055A RAW '!I$17*100)</f>
        <v/>
      </c>
      <c r="J99" s="126" t="str">
        <f>IF('Finalterm OVPAA-F-INS-055A RAW '!J99="","",'Finalterm OVPAA-F-INS-055A RAW '!J99/'Finalterm OVPAA-F-INS-055A RAW '!J$17*100)</f>
        <v/>
      </c>
      <c r="K99" s="126" t="str">
        <f>IF('Finalterm OVPAA-F-INS-055A RAW '!K99="","",'Finalterm OVPAA-F-INS-055A RAW '!K99/'Finalterm OVPAA-F-INS-055A RAW '!K$17*100)</f>
        <v/>
      </c>
      <c r="L99" s="126" t="str">
        <f>IF('Finalterm OVPAA-F-INS-055A RAW '!L99="","",'Finalterm OVPAA-F-INS-055A RAW '!L99/'Finalterm OVPAA-F-INS-055A RAW '!L$17*100)</f>
        <v/>
      </c>
      <c r="M99" s="126" t="str">
        <f>IF('Finalterm OVPAA-F-INS-055A RAW '!M99="","",'Finalterm OVPAA-F-INS-055A RAW '!M99/'Finalterm OVPAA-F-INS-055A RAW '!M$17*100)</f>
        <v/>
      </c>
      <c r="N99" s="126" t="str">
        <f>IF('Finalterm OVPAA-F-INS-055A RAW '!N99="","",'Finalterm OVPAA-F-INS-055A RAW '!N99/'Finalterm OVPAA-F-INS-055A RAW '!N$17*100)</f>
        <v/>
      </c>
      <c r="O99" s="126" t="str">
        <f>IF('Finalterm OVPAA-F-INS-055A RAW '!O99="","",'Finalterm OVPAA-F-INS-055A RAW '!O99/'Finalterm OVPAA-F-INS-055A RAW '!O$17*100)</f>
        <v/>
      </c>
      <c r="P99" s="126" t="str">
        <f>IF('Finalterm OVPAA-F-INS-055A RAW '!P99="","",'Finalterm OVPAA-F-INS-055A RAW '!P99/'Finalterm OVPAA-F-INS-055A RAW '!P$17*100)</f>
        <v/>
      </c>
      <c r="Q99" s="126" t="str">
        <f>IF('Finalterm OVPAA-F-INS-055A RAW '!Q99="","",'Finalterm OVPAA-F-INS-055A RAW '!Q99/'Finalterm OVPAA-F-INS-055A RAW '!Q$17*100)</f>
        <v/>
      </c>
      <c r="R99" s="126" t="str">
        <f>IF('Finalterm OVPAA-F-INS-055A RAW '!R99="","",'Finalterm OVPAA-F-INS-055A RAW '!R99/'Finalterm OVPAA-F-INS-055A RAW '!R$17*100)</f>
        <v/>
      </c>
      <c r="S99" s="126" t="str">
        <f>IF('Finalterm OVPAA-F-INS-055A RAW '!S99="","",'Finalterm OVPAA-F-INS-055A RAW '!S99/'Finalterm OVPAA-F-INS-055A RAW '!S$17*100)</f>
        <v/>
      </c>
      <c r="T99" s="126" t="str">
        <f>IF('Finalterm OVPAA-F-INS-055A RAW '!T99="","",'Finalterm OVPAA-F-INS-055A RAW '!T99/'Finalterm OVPAA-F-INS-055A RAW '!T$17*100)</f>
        <v/>
      </c>
      <c r="U99" s="126" t="str">
        <f>IF('Finalterm OVPAA-F-INS-055A RAW '!U99="","",'Finalterm OVPAA-F-INS-055A RAW '!U99/'Finalterm OVPAA-F-INS-055A RAW '!U$17*100)</f>
        <v/>
      </c>
      <c r="V99" s="126" t="str">
        <f>IF('Finalterm OVPAA-F-INS-055A RAW '!V99="","",'Finalterm OVPAA-F-INS-055A RAW '!V99/'Finalterm OVPAA-F-INS-055A RAW '!V$17*100)</f>
        <v/>
      </c>
      <c r="W99" s="126" t="str">
        <f>IF('Finalterm OVPAA-F-INS-055A RAW '!W99="","",'Finalterm OVPAA-F-INS-055A RAW '!W99/'Finalterm OVPAA-F-INS-055A RAW '!W$17*100)</f>
        <v/>
      </c>
      <c r="X99" s="126" t="str">
        <f>IF('Finalterm OVPAA-F-INS-055A RAW '!X99="","",'Finalterm OVPAA-F-INS-055A RAW '!X99/'Finalterm OVPAA-F-INS-055A RAW '!X$17*100)</f>
        <v/>
      </c>
      <c r="Y99" s="126" t="str">
        <f>IF('Finalterm OVPAA-F-INS-055A RAW '!Y99="","",'Finalterm OVPAA-F-INS-055A RAW '!Y99/'Finalterm OVPAA-F-INS-055A RAW '!Y$17*100)</f>
        <v/>
      </c>
      <c r="Z99" s="126" t="str">
        <f>IF('Finalterm OVPAA-F-INS-055A RAW '!Z99="","",'Finalterm OVPAA-F-INS-055A RAW '!Z99/'Finalterm OVPAA-F-INS-055A RAW '!Z$17*100)</f>
        <v/>
      </c>
      <c r="AA99" s="126" t="str">
        <f>IF('Finalterm OVPAA-F-INS-055A RAW '!AA99="","",'Finalterm OVPAA-F-INS-055A RAW '!AA99/'Finalterm OVPAA-F-INS-055A RAW '!AA$17*100)</f>
        <v/>
      </c>
      <c r="AB99" s="126" t="str">
        <f>IF('Finalterm OVPAA-F-INS-055A RAW '!AB99="","",'Finalterm OVPAA-F-INS-055A RAW '!AB99/'Finalterm OVPAA-F-INS-055A RAW '!AB$17*100)</f>
        <v/>
      </c>
      <c r="AC99" s="126" t="str">
        <f>IF('Finalterm OVPAA-F-INS-055A RAW '!AC99="","",'Finalterm OVPAA-F-INS-055A RAW '!AC99/'Finalterm OVPAA-F-INS-055A RAW '!AC$17*100)</f>
        <v/>
      </c>
      <c r="AD99" s="126" t="str">
        <f>IF('Finalterm OVPAA-F-INS-055A RAW '!AD99="","",'Finalterm OVPAA-F-INS-055A RAW '!AD99/'Finalterm OVPAA-F-INS-055A RAW '!AD$17*100)</f>
        <v/>
      </c>
      <c r="AE99" s="126" t="str">
        <f>IF('Finalterm OVPAA-F-INS-055A RAW '!AE99="","",'Finalterm OVPAA-F-INS-055A RAW '!AE99/'Finalterm OVPAA-F-INS-055A RAW '!AE$17*100)</f>
        <v/>
      </c>
      <c r="AF99" s="126" t="str">
        <f>IF('Finalterm OVPAA-F-INS-055A RAW '!AF99="","",'Finalterm OVPAA-F-INS-055A RAW '!AF99/'Finalterm OVPAA-F-INS-055A RAW '!AF$17*100)</f>
        <v/>
      </c>
      <c r="AG99" s="126" t="str">
        <f>IF('Finalterm OVPAA-F-INS-055A RAW '!AG99="","",'Finalterm OVPAA-F-INS-055A RAW '!AG99/'Finalterm OVPAA-F-INS-055A RAW '!AG$17*100)</f>
        <v/>
      </c>
      <c r="AH99" s="126" t="str">
        <f>IF('Finalterm OVPAA-F-INS-055A RAW '!AH99="","",'Finalterm OVPAA-F-INS-055A RAW '!AH99/'Finalterm OVPAA-F-INS-055A RAW '!AH$17*100)</f>
        <v/>
      </c>
      <c r="AI99" s="126" t="str">
        <f>IF('Finalterm OVPAA-F-INS-055A RAW '!AI99="","",'Finalterm OVPAA-F-INS-055A RAW '!AI99/'Finalterm OVPAA-F-INS-055A RAW '!AI$17*100)</f>
        <v/>
      </c>
      <c r="AJ99" s="126" t="str">
        <f>IF('Finalterm OVPAA-F-INS-055A RAW '!AJ99="","",'Finalterm OVPAA-F-INS-055A RAW '!AJ99/'Finalterm OVPAA-F-INS-055A RAW '!AJ$17*100)</f>
        <v/>
      </c>
      <c r="AK99" s="126" t="str">
        <f>IF('Finalterm OVPAA-F-INS-055A RAW '!AK99="","",'Finalterm OVPAA-F-INS-055A RAW '!AK99/'Finalterm OVPAA-F-INS-055A RAW '!AK$17*100)</f>
        <v/>
      </c>
      <c r="AL99" s="126" t="str">
        <f>IF('Finalterm OVPAA-F-INS-055A RAW '!AL99="","",'Finalterm OVPAA-F-INS-055A RAW '!AL99/'Finalterm OVPAA-F-INS-055A RAW '!AL$17*100)</f>
        <v/>
      </c>
      <c r="AM99" s="126" t="str">
        <f>IF('Finalterm OVPAA-F-INS-055A RAW '!AM99="","",'Finalterm OVPAA-F-INS-055A RAW '!AM99/'Finalterm OVPAA-F-INS-055A RAW '!AM$17*100)</f>
        <v/>
      </c>
      <c r="AN99" s="126" t="str">
        <f>IF('Finalterm OVPAA-F-INS-055A RAW '!AN99="","",'Finalterm OVPAA-F-INS-055A RAW '!AN99/'Finalterm OVPAA-F-INS-055A RAW '!AN$17*100)</f>
        <v/>
      </c>
      <c r="AO99" s="126" t="str">
        <f>IF('Finalterm OVPAA-F-INS-055A RAW '!AO99="","",'Finalterm OVPAA-F-INS-055A RAW '!AO99/'Finalterm OVPAA-F-INS-055A RAW '!AO$17*100)</f>
        <v/>
      </c>
      <c r="AP99" s="126" t="str">
        <f>IF('Finalterm OVPAA-F-INS-055A RAW '!AP99="","",'Finalterm OVPAA-F-INS-055A RAW '!AP99/'Finalterm OVPAA-F-INS-055A RAW '!AP$17*100)</f>
        <v/>
      </c>
      <c r="AQ99" s="126" t="str">
        <f>IF('Finalterm OVPAA-F-INS-055A RAW '!AQ99="","",'Finalterm OVPAA-F-INS-055A RAW '!AQ99/'Finalterm OVPAA-F-INS-055A RAW '!AQ$17*100)</f>
        <v/>
      </c>
      <c r="AR99" s="126" t="str">
        <f>IF('Finalterm OVPAA-F-INS-055A RAW '!AR99="","",'Finalterm OVPAA-F-INS-055A RAW '!AR99/'Finalterm OVPAA-F-INS-055A RAW '!AR$17*100)</f>
        <v/>
      </c>
      <c r="AS99" s="126" t="str">
        <f>IF('Finalterm OVPAA-F-INS-055A RAW '!AS99="","",'Finalterm OVPAA-F-INS-055A RAW '!AS99/'Finalterm OVPAA-F-INS-055A RAW '!AS$17*100)</f>
        <v/>
      </c>
      <c r="AT99" s="126" t="str">
        <f>IF('Finalterm OVPAA-F-INS-055A RAW '!AT99="","",'Finalterm OVPAA-F-INS-055A RAW '!AT99/'Finalterm OVPAA-F-INS-055A RAW '!AT$17*100)</f>
        <v/>
      </c>
      <c r="AU99" s="126" t="str">
        <f>IF('Finalterm OVPAA-F-INS-055A RAW '!AU99="","",'Finalterm OVPAA-F-INS-055A RAW '!AU99/'Finalterm OVPAA-F-INS-055A RAW '!AU$17*100)</f>
        <v/>
      </c>
      <c r="AV99" s="126" t="str">
        <f>IF('Finalterm OVPAA-F-INS-055A RAW '!AV99="","",'Finalterm OVPAA-F-INS-055A RAW '!AV99/'Finalterm OVPAA-F-INS-055A RAW '!AV$17*100)</f>
        <v/>
      </c>
      <c r="AW99" s="126" t="str">
        <f>IF('Finalterm OVPAA-F-INS-055A RAW '!AW99="","",'Finalterm OVPAA-F-INS-055A RAW '!AW99/'Finalterm OVPAA-F-INS-055A RAW '!AW$17*100)</f>
        <v/>
      </c>
      <c r="AX99" s="126" t="str">
        <f>IF('Finalterm OVPAA-F-INS-055A RAW '!AX99="","",'Finalterm OVPAA-F-INS-055A RAW '!AX99/'Finalterm OVPAA-F-INS-055A RAW '!AX$17*100)</f>
        <v/>
      </c>
      <c r="AY99" s="126" t="str">
        <f>IF('Finalterm OVPAA-F-INS-055A RAW '!AY99="","",'Finalterm OVPAA-F-INS-055A RAW '!AY99/'Finalterm OVPAA-F-INS-055A RAW '!AY$17*100)</f>
        <v/>
      </c>
      <c r="AZ99" s="126" t="str">
        <f>IF('Finalterm OVPAA-F-INS-055A RAW '!AZ99="","",'Finalterm OVPAA-F-INS-055A RAW '!AZ99/'Finalterm OVPAA-F-INS-055A RAW '!AZ$17*100)</f>
        <v/>
      </c>
      <c r="BA99" s="126" t="str">
        <f>IF('Finalterm OVPAA-F-INS-055A RAW '!BA99="","",'Finalterm OVPAA-F-INS-055A RAW '!BA99/'Finalterm OVPAA-F-INS-055A RAW '!BA$17*100)</f>
        <v/>
      </c>
      <c r="BB99" s="126" t="str">
        <f>IF('Finalterm OVPAA-F-INS-055A RAW '!BB99="","",'Finalterm OVPAA-F-INS-055A RAW '!BB99/'Finalterm OVPAA-F-INS-055A RAW '!BB$17*100)</f>
        <v/>
      </c>
      <c r="BC99" s="126" t="str">
        <f>IF('Finalterm OVPAA-F-INS-055A RAW '!BC99="","",'Finalterm OVPAA-F-INS-055A RAW '!BC99/'Finalterm OVPAA-F-INS-055A RAW '!BC$17*100)</f>
        <v/>
      </c>
      <c r="BD99" s="126" t="str">
        <f>IF('Finalterm OVPAA-F-INS-055A RAW '!BD99="","",'Finalterm OVPAA-F-INS-055A RAW '!BD99/'Finalterm OVPAA-F-INS-055A RAW '!BD$17*100)</f>
        <v/>
      </c>
      <c r="BE99" s="126" t="str">
        <f>IF('Finalterm OVPAA-F-INS-055A RAW '!BE99="","",'Finalterm OVPAA-F-INS-055A RAW '!BE99/'Finalterm OVPAA-F-INS-055A RAW '!BE$17*100)</f>
        <v/>
      </c>
      <c r="BF99" s="126" t="str">
        <f>IF('Finalterm OVPAA-F-INS-055A RAW '!BF99="","",'Finalterm OVPAA-F-INS-055A RAW '!BF99/'Finalterm OVPAA-F-INS-055A RAW '!BF$17*100)</f>
        <v/>
      </c>
      <c r="BG99" s="126" t="str">
        <f>IF('Finalterm OVPAA-F-INS-055A RAW '!BG99="","",'Finalterm OVPAA-F-INS-055A RAW '!BG99/'Finalterm OVPAA-F-INS-055A RAW '!BG$17*100)</f>
        <v/>
      </c>
      <c r="BH99" s="126" t="str">
        <f>IF('Finalterm OVPAA-F-INS-055A RAW '!BH99="","",'Finalterm OVPAA-F-INS-055A RAW '!BH99/'Finalterm OVPAA-F-INS-055A RAW '!BH$17*100)</f>
        <v/>
      </c>
      <c r="BI99" s="126" t="str">
        <f>IF('Finalterm OVPAA-F-INS-055A RAW '!BI99="","",'Finalterm OVPAA-F-INS-055A RAW '!BI99/'Finalterm OVPAA-F-INS-055A RAW '!BI$17*100)</f>
        <v/>
      </c>
      <c r="BJ99" s="126" t="str">
        <f>IF('Finalterm OVPAA-F-INS-055A RAW '!BJ99="","",'Finalterm OVPAA-F-INS-055A RAW '!BJ99/'Finalterm OVPAA-F-INS-055A RAW '!BJ$17*100)</f>
        <v/>
      </c>
      <c r="BK99" s="126" t="str">
        <f>IF('Finalterm OVPAA-F-INS-055A RAW '!BK99="","",'Finalterm OVPAA-F-INS-055A RAW '!BK99/'Finalterm OVPAA-F-INS-055A RAW '!BK$17*100)</f>
        <v/>
      </c>
      <c r="BL99" s="126" t="str">
        <f>IF('Finalterm OVPAA-F-INS-055A RAW '!BL99="","",'Finalterm OVPAA-F-INS-055A RAW '!BL99/'Finalterm OVPAA-F-INS-055A RAW '!BL$17*100)</f>
        <v/>
      </c>
      <c r="BM99" s="126" t="str">
        <f>IF('Finalterm OVPAA-F-INS-055A RAW '!BM99="","",'Finalterm OVPAA-F-INS-055A RAW '!BM99/'Finalterm OVPAA-F-INS-055A RAW '!BM$17*100)</f>
        <v/>
      </c>
      <c r="BN99" s="126" t="str">
        <f>IF('Finalterm OVPAA-F-INS-055A RAW '!BN99="","",'Finalterm OVPAA-F-INS-055A RAW '!BN99/'Finalterm OVPAA-F-INS-055A RAW '!BN$17*100)</f>
        <v/>
      </c>
      <c r="BO99" s="126" t="str">
        <f>IF('Finalterm OVPAA-F-INS-055A RAW '!BO99="","",'Finalterm OVPAA-F-INS-055A RAW '!BO99/'Finalterm OVPAA-F-INS-055A RAW '!BO$17*100)</f>
        <v/>
      </c>
      <c r="BP99" s="126" t="str">
        <f>IF('Finalterm OVPAA-F-INS-055A RAW '!BP99="","",'Finalterm OVPAA-F-INS-055A RAW '!BP99/'Finalterm OVPAA-F-INS-055A RAW '!BP$17*100)</f>
        <v/>
      </c>
      <c r="BQ99" s="126" t="str">
        <f>IF('Finalterm OVPAA-F-INS-055A RAW '!BQ99="","",'Finalterm OVPAA-F-INS-055A RAW '!BQ99/'Finalterm OVPAA-F-INS-055A RAW '!BQ$17*100)</f>
        <v/>
      </c>
      <c r="BR99" s="126" t="str">
        <f>IF('Finalterm OVPAA-F-INS-055A RAW '!BR99="","",'Finalterm OVPAA-F-INS-055A RAW '!BR99/'Finalterm OVPAA-F-INS-055A RAW '!BR$17*100)</f>
        <v/>
      </c>
      <c r="BS99" s="126" t="str">
        <f>IF('Finalterm OVPAA-F-INS-055A RAW '!BS99="","",'Finalterm OVPAA-F-INS-055A RAW '!BS99/'Finalterm OVPAA-F-INS-055A RAW '!BS$17*100)</f>
        <v/>
      </c>
      <c r="BT99" s="126" t="str">
        <f>IF('Finalterm OVPAA-F-INS-055A RAW '!BT99="","",'Finalterm OVPAA-F-INS-055A RAW '!BT99/'Finalterm OVPAA-F-INS-055A RAW '!BT$17*100)</f>
        <v/>
      </c>
      <c r="BU99" s="127" t="str">
        <f t="array" ref="BU99">IF('Finalterm OVPAA-F-INS-055A RAW '!$G99="","",IF((SUMPRODUCT(--ISBLANK('Finalterm OVPAA-F-INS-055A RAW '!H99:BT99))=COLUMNS('Finalterm OVPAA-F-INS-055A RAW '!H99:BT99))=TRUE,"",(((COUNTA('Finalterm OVPAA-F-INS-055A RAW '!$H$17:$BT$17)+COUNTBLANK('Finalterm OVPAA-F-INS-055A RAW '!H99:BT99))-COLUMNS('Finalterm OVPAA-F-INS-055A RAW '!H99:BT99))*5+SUM(H99:BT99))/COUNTA('Finalterm OVPAA-F-INS-055A RAW '!$H$17:$BT$17)))</f>
        <v/>
      </c>
      <c r="BV99" s="165" t="str">
        <f>IF(BU99="","",VLOOKUP(BU99,IF('Midterm OVPAA-F-INS-055A RAW SC'!$V$12=0.5,TRANSMUTATION!$C$4:$D$17,TRANSMUTATION!$G$4:$H$17),2,TRUE))</f>
        <v/>
      </c>
      <c r="BW99" s="129" t="str">
        <f>IF('Finalterm OVPAA-F-INS-055A RAW '!BU99="","",'Finalterm OVPAA-F-INS-055A RAW '!BU99/'Finalterm OVPAA-F-INS-055A RAW '!BU$17*100)</f>
        <v/>
      </c>
      <c r="BX99" s="130" t="str">
        <f>IF('Finalterm OVPAA-F-INS-055A RAW '!BV99="","",'Finalterm OVPAA-F-INS-055A RAW '!BV99/'Finalterm OVPAA-F-INS-055A RAW '!BV$17*100)</f>
        <v/>
      </c>
      <c r="BY99" s="130" t="str">
        <f>IF('Finalterm OVPAA-F-INS-055A RAW '!BW99="","",'Finalterm OVPAA-F-INS-055A RAW '!BW99/'Finalterm OVPAA-F-INS-055A RAW '!BW$17*100)</f>
        <v/>
      </c>
      <c r="BZ99" s="130" t="str">
        <f>IF('Finalterm OVPAA-F-INS-055A RAW '!BX99="","",'Finalterm OVPAA-F-INS-055A RAW '!BX99/'Finalterm OVPAA-F-INS-055A RAW '!BX$17*100)</f>
        <v/>
      </c>
      <c r="CA99" s="130" t="str">
        <f>IF('Finalterm OVPAA-F-INS-055A RAW '!BY99="","",'Finalterm OVPAA-F-INS-055A RAW '!BY99/'Finalterm OVPAA-F-INS-055A RAW '!BY$17*100)</f>
        <v/>
      </c>
      <c r="CB99" s="130" t="str">
        <f>IF('Finalterm OVPAA-F-INS-055A RAW '!BZ99="","",'Finalterm OVPAA-F-INS-055A RAW '!BZ99/'Finalterm OVPAA-F-INS-055A RAW '!BZ$17*100)</f>
        <v/>
      </c>
      <c r="CC99" s="130" t="str">
        <f>IF('Finalterm OVPAA-F-INS-055A RAW '!CA99="","",'Finalterm OVPAA-F-INS-055A RAW '!CA99/'Finalterm OVPAA-F-INS-055A RAW '!CA$17*100)</f>
        <v/>
      </c>
      <c r="CD99" s="130" t="str">
        <f>IF('Finalterm OVPAA-F-INS-055A RAW '!CB99="","",'Finalterm OVPAA-F-INS-055A RAW '!CB99/'Finalterm OVPAA-F-INS-055A RAW '!CB$17*100)</f>
        <v/>
      </c>
      <c r="CE99" s="130" t="str">
        <f>IF('Finalterm OVPAA-F-INS-055A RAW '!CC99="","",'Finalterm OVPAA-F-INS-055A RAW '!CC99/'Finalterm OVPAA-F-INS-055A RAW '!CC$17*100)</f>
        <v/>
      </c>
      <c r="CF99" s="130" t="str">
        <f>IF('Finalterm OVPAA-F-INS-055A RAW '!CD99="","",'Finalterm OVPAA-F-INS-055A RAW '!CD99/'Finalterm OVPAA-F-INS-055A RAW '!CD$17*100)</f>
        <v/>
      </c>
      <c r="CG99" s="130" t="str">
        <f>IF('Finalterm OVPAA-F-INS-055A RAW '!CE99="","",'Finalterm OVPAA-F-INS-055A RAW '!CE99/'Finalterm OVPAA-F-INS-055A RAW '!CE$17*100)</f>
        <v/>
      </c>
      <c r="CH99" s="130" t="str">
        <f>IF('Finalterm OVPAA-F-INS-055A RAW '!CF99="","",'Finalterm OVPAA-F-INS-055A RAW '!CF99/'Finalterm OVPAA-F-INS-055A RAW '!CF$17*100)</f>
        <v/>
      </c>
      <c r="CI99" s="130" t="str">
        <f>IF('Finalterm OVPAA-F-INS-055A RAW '!CG99="","",'Finalterm OVPAA-F-INS-055A RAW '!CG99/'Finalterm OVPAA-F-INS-055A RAW '!CG$17*100)</f>
        <v/>
      </c>
      <c r="CJ99" s="130" t="str">
        <f>IF('Finalterm OVPAA-F-INS-055A RAW '!CH99="","",'Finalterm OVPAA-F-INS-055A RAW '!CH99/'Finalterm OVPAA-F-INS-055A RAW '!CH$17*100)</f>
        <v/>
      </c>
      <c r="CK99" s="130" t="str">
        <f>IF('Finalterm OVPAA-F-INS-055A RAW '!CI99="","",'Finalterm OVPAA-F-INS-055A RAW '!CI99/'Finalterm OVPAA-F-INS-055A RAW '!CI$17*100)</f>
        <v/>
      </c>
      <c r="CL99" s="130" t="str">
        <f>IF('Finalterm OVPAA-F-INS-055A RAW '!CJ99="","",'Finalterm OVPAA-F-INS-055A RAW '!CJ99/'Finalterm OVPAA-F-INS-055A RAW '!CJ$17*100)</f>
        <v/>
      </c>
      <c r="CM99" s="130" t="str">
        <f>IF('Finalterm OVPAA-F-INS-055A RAW '!CK99="","",'Finalterm OVPAA-F-INS-055A RAW '!CK99/'Finalterm OVPAA-F-INS-055A RAW '!CK$17*100)</f>
        <v/>
      </c>
      <c r="CN99" s="130" t="str">
        <f>IF('Finalterm OVPAA-F-INS-055A RAW '!CL99="","",'Finalterm OVPAA-F-INS-055A RAW '!CL99/'Finalterm OVPAA-F-INS-055A RAW '!CL$17*100)</f>
        <v/>
      </c>
      <c r="CO99" s="130" t="str">
        <f>IF('Finalterm OVPAA-F-INS-055A RAW '!CM99="","",'Finalterm OVPAA-F-INS-055A RAW '!CM99/'Finalterm OVPAA-F-INS-055A RAW '!CM$17*100)</f>
        <v/>
      </c>
      <c r="CP99" s="130" t="str">
        <f>IF('Finalterm OVPAA-F-INS-055A RAW '!CN99="","",'Finalterm OVPAA-F-INS-055A RAW '!CN99/'Finalterm OVPAA-F-INS-055A RAW '!CN$17*100)</f>
        <v/>
      </c>
      <c r="CQ99" s="131" t="str">
        <f t="array" ref="CQ99">IF('Midterm OVPAA-F-INS-055A RAW SC'!G99="","",IF((SUMPRODUCT(--ISBLANK('Finalterm OVPAA-F-INS-055A RAW '!BU99:CN99))=COLUMNS('Finalterm OVPAA-F-INS-055A RAW '!BU99:CN99))=TRUE,"",(((COUNTA('Finalterm OVPAA-F-INS-055A RAW '!$BU$17:$CN$17)+COUNTBLANK('Finalterm OVPAA-F-INS-055A RAW '!BU99:CN99))-COLUMNS('Finalterm OVPAA-F-INS-055A RAW '!BU99:CN99))*5+SUM(BW99:CP99))/COUNTA('Finalterm OVPAA-F-INS-055A RAW '!$BU$17:$CN$17)))</f>
        <v/>
      </c>
      <c r="CR99" s="132" t="str">
        <f>IF(CQ99="","",VLOOKUP(CQ99,IF('Midterm OVPAA-F-INS-055A RAW SC'!$V$12=0.5,TRANSMUTATION!$C$4:$D$17,TRANSMUTATION!$G$4:$H$17),2,TRUE))</f>
        <v/>
      </c>
      <c r="CS99" s="133" t="str">
        <f>IF('Finalterm OVPAA-F-INS-055A RAW '!CO99="","",'Finalterm OVPAA-F-INS-055A RAW '!CO99/'Finalterm OVPAA-F-INS-055A RAW '!CO$17*100)</f>
        <v/>
      </c>
      <c r="CT99" s="133" t="str">
        <f>IF('Finalterm OVPAA-F-INS-055A RAW '!CP99="","",'Finalterm OVPAA-F-INS-055A RAW '!CP99/'Finalterm OVPAA-F-INS-055A RAW '!CP$17*100)</f>
        <v/>
      </c>
      <c r="CU99" s="133" t="str">
        <f>IF('Finalterm OVPAA-F-INS-055A RAW '!CQ99="","",'Finalterm OVPAA-F-INS-055A RAW '!CQ99/'Finalterm OVPAA-F-INS-055A RAW '!CQ$17*100)</f>
        <v/>
      </c>
      <c r="CV99" s="133" t="str">
        <f>IF('Finalterm OVPAA-F-INS-055A RAW '!CR99="","",'Finalterm OVPAA-F-INS-055A RAW '!CR99/'Finalterm OVPAA-F-INS-055A RAW '!CR$17*100)</f>
        <v/>
      </c>
      <c r="CW99" s="133" t="str">
        <f>IF('Finalterm OVPAA-F-INS-055A RAW '!CS99="","",'Finalterm OVPAA-F-INS-055A RAW '!CS99/'Finalterm OVPAA-F-INS-055A RAW '!CS$17*100)</f>
        <v/>
      </c>
      <c r="CX99" s="133" t="str">
        <f>IF('Finalterm OVPAA-F-INS-055A RAW '!CT99="","",'Finalterm OVPAA-F-INS-055A RAW '!CT99/'Finalterm OVPAA-F-INS-055A RAW '!CT$17*100)</f>
        <v/>
      </c>
      <c r="CY99" s="133" t="str">
        <f>IF('Finalterm OVPAA-F-INS-055A RAW '!CU99="","",'Finalterm OVPAA-F-INS-055A RAW '!CU99/'Finalterm OVPAA-F-INS-055A RAW '!CU$17*100)</f>
        <v/>
      </c>
      <c r="CZ99" s="133" t="str">
        <f>IF('Finalterm OVPAA-F-INS-055A RAW '!CV99="","",'Finalterm OVPAA-F-INS-055A RAW '!CV99/'Finalterm OVPAA-F-INS-055A RAW '!CV$17*100)</f>
        <v/>
      </c>
      <c r="DA99" s="133" t="str">
        <f>IF('Finalterm OVPAA-F-INS-055A RAW '!CW99="","",'Finalterm OVPAA-F-INS-055A RAW '!CW99/'Finalterm OVPAA-F-INS-055A RAW '!CW$17*100)</f>
        <v/>
      </c>
      <c r="DB99" s="133" t="str">
        <f>IF('Finalterm OVPAA-F-INS-055A RAW '!CX99="","",'Finalterm OVPAA-F-INS-055A RAW '!CX99/'Finalterm OVPAA-F-INS-055A RAW '!CX$17*100)</f>
        <v/>
      </c>
      <c r="DC99" s="134" t="str">
        <f t="array" ref="DC99">IF('Midterm OVPAA-F-INS-055A RAW SC'!$G99="","",IF((SUMPRODUCT(--ISBLANK('Finalterm OVPAA-F-INS-055A RAW '!CO99:CX99))=COLUMNS('Finalterm OVPAA-F-INS-055A RAW '!CO99:CX99))=TRUE,"",(((COUNTA('Finalterm OVPAA-F-INS-055A RAW '!$CO$17:$CX$17)+COUNTBLANK('Finalterm OVPAA-F-INS-055A RAW '!CO99:CX99))-COLUMNS('Finalterm OVPAA-F-INS-055A RAW '!CO99:CX99))*5+SUM(CS99:DB99))/COUNTA('Finalterm OVPAA-F-INS-055A RAW '!$CO$17:$CX$17)))</f>
        <v/>
      </c>
      <c r="DD99" s="135" t="str">
        <f>IF(DC99="","",VLOOKUP(DC99,IF('Midterm OVPAA-F-INS-055A RAW SC'!$V$12=0.5,TRANSMUTATION!$C$4:$D$17,TRANSMUTATION!$G$4:$H$17),2,TRUE))</f>
        <v/>
      </c>
      <c r="DE99" s="136" t="str">
        <f t="shared" si="1"/>
        <v/>
      </c>
      <c r="DF99" s="166" t="str">
        <f t="shared" si="2"/>
        <v/>
      </c>
      <c r="DG99" s="167" t="str">
        <f t="shared" si="3"/>
        <v/>
      </c>
      <c r="DH99" s="168" t="str">
        <f t="shared" si="4"/>
        <v/>
      </c>
      <c r="DI99" s="169" t="str">
        <f t="shared" si="5"/>
        <v/>
      </c>
    </row>
    <row r="100" spans="1:113" ht="15.75" hidden="1" customHeight="1">
      <c r="A100" s="5"/>
      <c r="B100" s="5"/>
      <c r="C100" s="5"/>
      <c r="D100" s="5"/>
      <c r="E100" s="59">
        <v>83</v>
      </c>
      <c r="F100" s="124" t="str">
        <f>IF(NOT(ISBLANK('Midterm OVPAA-F-INS-055A RAW SC'!F100)),'Midterm OVPAA-F-INS-055A RAW SC'!F100,"")</f>
        <v/>
      </c>
      <c r="G100" s="125" t="str">
        <f>IF(NOT(ISBLANK('Midterm OVPAA-F-INS-055A RAW SC'!G100)),'Midterm OVPAA-F-INS-055A RAW SC'!G100,"")</f>
        <v/>
      </c>
      <c r="H100" s="126" t="str">
        <f>IF('Finalterm OVPAA-F-INS-055A RAW '!H100="","",'Finalterm OVPAA-F-INS-055A RAW '!H100/'Finalterm OVPAA-F-INS-055A RAW '!H$17*100)</f>
        <v/>
      </c>
      <c r="I100" s="126" t="str">
        <f>IF('Finalterm OVPAA-F-INS-055A RAW '!I100="","",'Finalterm OVPAA-F-INS-055A RAW '!I100/'Finalterm OVPAA-F-INS-055A RAW '!I$17*100)</f>
        <v/>
      </c>
      <c r="J100" s="126" t="str">
        <f>IF('Finalterm OVPAA-F-INS-055A RAW '!J100="","",'Finalterm OVPAA-F-INS-055A RAW '!J100/'Finalterm OVPAA-F-INS-055A RAW '!J$17*100)</f>
        <v/>
      </c>
      <c r="K100" s="126" t="str">
        <f>IF('Finalterm OVPAA-F-INS-055A RAW '!K100="","",'Finalterm OVPAA-F-INS-055A RAW '!K100/'Finalterm OVPAA-F-INS-055A RAW '!K$17*100)</f>
        <v/>
      </c>
      <c r="L100" s="126" t="str">
        <f>IF('Finalterm OVPAA-F-INS-055A RAW '!L100="","",'Finalterm OVPAA-F-INS-055A RAW '!L100/'Finalterm OVPAA-F-INS-055A RAW '!L$17*100)</f>
        <v/>
      </c>
      <c r="M100" s="126" t="str">
        <f>IF('Finalterm OVPAA-F-INS-055A RAW '!M100="","",'Finalterm OVPAA-F-INS-055A RAW '!M100/'Finalterm OVPAA-F-INS-055A RAW '!M$17*100)</f>
        <v/>
      </c>
      <c r="N100" s="126" t="str">
        <f>IF('Finalterm OVPAA-F-INS-055A RAW '!N100="","",'Finalterm OVPAA-F-INS-055A RAW '!N100/'Finalterm OVPAA-F-INS-055A RAW '!N$17*100)</f>
        <v/>
      </c>
      <c r="O100" s="126" t="str">
        <f>IF('Finalterm OVPAA-F-INS-055A RAW '!O100="","",'Finalterm OVPAA-F-INS-055A RAW '!O100/'Finalterm OVPAA-F-INS-055A RAW '!O$17*100)</f>
        <v/>
      </c>
      <c r="P100" s="126" t="str">
        <f>IF('Finalterm OVPAA-F-INS-055A RAW '!P100="","",'Finalterm OVPAA-F-INS-055A RAW '!P100/'Finalterm OVPAA-F-INS-055A RAW '!P$17*100)</f>
        <v/>
      </c>
      <c r="Q100" s="126" t="str">
        <f>IF('Finalterm OVPAA-F-INS-055A RAW '!Q100="","",'Finalterm OVPAA-F-INS-055A RAW '!Q100/'Finalterm OVPAA-F-INS-055A RAW '!Q$17*100)</f>
        <v/>
      </c>
      <c r="R100" s="126" t="str">
        <f>IF('Finalterm OVPAA-F-INS-055A RAW '!R100="","",'Finalterm OVPAA-F-INS-055A RAW '!R100/'Finalterm OVPAA-F-INS-055A RAW '!R$17*100)</f>
        <v/>
      </c>
      <c r="S100" s="126" t="str">
        <f>IF('Finalterm OVPAA-F-INS-055A RAW '!S100="","",'Finalterm OVPAA-F-INS-055A RAW '!S100/'Finalterm OVPAA-F-INS-055A RAW '!S$17*100)</f>
        <v/>
      </c>
      <c r="T100" s="126" t="str">
        <f>IF('Finalterm OVPAA-F-INS-055A RAW '!T100="","",'Finalterm OVPAA-F-INS-055A RAW '!T100/'Finalterm OVPAA-F-INS-055A RAW '!T$17*100)</f>
        <v/>
      </c>
      <c r="U100" s="126" t="str">
        <f>IF('Finalterm OVPAA-F-INS-055A RAW '!U100="","",'Finalterm OVPAA-F-INS-055A RAW '!U100/'Finalterm OVPAA-F-INS-055A RAW '!U$17*100)</f>
        <v/>
      </c>
      <c r="V100" s="126" t="str">
        <f>IF('Finalterm OVPAA-F-INS-055A RAW '!V100="","",'Finalterm OVPAA-F-INS-055A RAW '!V100/'Finalterm OVPAA-F-INS-055A RAW '!V$17*100)</f>
        <v/>
      </c>
      <c r="W100" s="126" t="str">
        <f>IF('Finalterm OVPAA-F-INS-055A RAW '!W100="","",'Finalterm OVPAA-F-INS-055A RAW '!W100/'Finalterm OVPAA-F-INS-055A RAW '!W$17*100)</f>
        <v/>
      </c>
      <c r="X100" s="126" t="str">
        <f>IF('Finalterm OVPAA-F-INS-055A RAW '!X100="","",'Finalterm OVPAA-F-INS-055A RAW '!X100/'Finalterm OVPAA-F-INS-055A RAW '!X$17*100)</f>
        <v/>
      </c>
      <c r="Y100" s="126" t="str">
        <f>IF('Finalterm OVPAA-F-INS-055A RAW '!Y100="","",'Finalterm OVPAA-F-INS-055A RAW '!Y100/'Finalterm OVPAA-F-INS-055A RAW '!Y$17*100)</f>
        <v/>
      </c>
      <c r="Z100" s="126" t="str">
        <f>IF('Finalterm OVPAA-F-INS-055A RAW '!Z100="","",'Finalterm OVPAA-F-INS-055A RAW '!Z100/'Finalterm OVPAA-F-INS-055A RAW '!Z$17*100)</f>
        <v/>
      </c>
      <c r="AA100" s="126" t="str">
        <f>IF('Finalterm OVPAA-F-INS-055A RAW '!AA100="","",'Finalterm OVPAA-F-INS-055A RAW '!AA100/'Finalterm OVPAA-F-INS-055A RAW '!AA$17*100)</f>
        <v/>
      </c>
      <c r="AB100" s="126" t="str">
        <f>IF('Finalterm OVPAA-F-INS-055A RAW '!AB100="","",'Finalterm OVPAA-F-INS-055A RAW '!AB100/'Finalterm OVPAA-F-INS-055A RAW '!AB$17*100)</f>
        <v/>
      </c>
      <c r="AC100" s="126" t="str">
        <f>IF('Finalterm OVPAA-F-INS-055A RAW '!AC100="","",'Finalterm OVPAA-F-INS-055A RAW '!AC100/'Finalterm OVPAA-F-INS-055A RAW '!AC$17*100)</f>
        <v/>
      </c>
      <c r="AD100" s="126" t="str">
        <f>IF('Finalterm OVPAA-F-INS-055A RAW '!AD100="","",'Finalterm OVPAA-F-INS-055A RAW '!AD100/'Finalterm OVPAA-F-INS-055A RAW '!AD$17*100)</f>
        <v/>
      </c>
      <c r="AE100" s="126" t="str">
        <f>IF('Finalterm OVPAA-F-INS-055A RAW '!AE100="","",'Finalterm OVPAA-F-INS-055A RAW '!AE100/'Finalterm OVPAA-F-INS-055A RAW '!AE$17*100)</f>
        <v/>
      </c>
      <c r="AF100" s="126" t="str">
        <f>IF('Finalterm OVPAA-F-INS-055A RAW '!AF100="","",'Finalterm OVPAA-F-INS-055A RAW '!AF100/'Finalterm OVPAA-F-INS-055A RAW '!AF$17*100)</f>
        <v/>
      </c>
      <c r="AG100" s="126" t="str">
        <f>IF('Finalterm OVPAA-F-INS-055A RAW '!AG100="","",'Finalterm OVPAA-F-INS-055A RAW '!AG100/'Finalterm OVPAA-F-INS-055A RAW '!AG$17*100)</f>
        <v/>
      </c>
      <c r="AH100" s="126" t="str">
        <f>IF('Finalterm OVPAA-F-INS-055A RAW '!AH100="","",'Finalterm OVPAA-F-INS-055A RAW '!AH100/'Finalterm OVPAA-F-INS-055A RAW '!AH$17*100)</f>
        <v/>
      </c>
      <c r="AI100" s="126" t="str">
        <f>IF('Finalterm OVPAA-F-INS-055A RAW '!AI100="","",'Finalterm OVPAA-F-INS-055A RAW '!AI100/'Finalterm OVPAA-F-INS-055A RAW '!AI$17*100)</f>
        <v/>
      </c>
      <c r="AJ100" s="126" t="str">
        <f>IF('Finalterm OVPAA-F-INS-055A RAW '!AJ100="","",'Finalterm OVPAA-F-INS-055A RAW '!AJ100/'Finalterm OVPAA-F-INS-055A RAW '!AJ$17*100)</f>
        <v/>
      </c>
      <c r="AK100" s="126" t="str">
        <f>IF('Finalterm OVPAA-F-INS-055A RAW '!AK100="","",'Finalterm OVPAA-F-INS-055A RAW '!AK100/'Finalterm OVPAA-F-INS-055A RAW '!AK$17*100)</f>
        <v/>
      </c>
      <c r="AL100" s="126" t="str">
        <f>IF('Finalterm OVPAA-F-INS-055A RAW '!AL100="","",'Finalterm OVPAA-F-INS-055A RAW '!AL100/'Finalterm OVPAA-F-INS-055A RAW '!AL$17*100)</f>
        <v/>
      </c>
      <c r="AM100" s="126" t="str">
        <f>IF('Finalterm OVPAA-F-INS-055A RAW '!AM100="","",'Finalterm OVPAA-F-INS-055A RAW '!AM100/'Finalterm OVPAA-F-INS-055A RAW '!AM$17*100)</f>
        <v/>
      </c>
      <c r="AN100" s="126" t="str">
        <f>IF('Finalterm OVPAA-F-INS-055A RAW '!AN100="","",'Finalterm OVPAA-F-INS-055A RAW '!AN100/'Finalterm OVPAA-F-INS-055A RAW '!AN$17*100)</f>
        <v/>
      </c>
      <c r="AO100" s="126" t="str">
        <f>IF('Finalterm OVPAA-F-INS-055A RAW '!AO100="","",'Finalterm OVPAA-F-INS-055A RAW '!AO100/'Finalterm OVPAA-F-INS-055A RAW '!AO$17*100)</f>
        <v/>
      </c>
      <c r="AP100" s="126" t="str">
        <f>IF('Finalterm OVPAA-F-INS-055A RAW '!AP100="","",'Finalterm OVPAA-F-INS-055A RAW '!AP100/'Finalterm OVPAA-F-INS-055A RAW '!AP$17*100)</f>
        <v/>
      </c>
      <c r="AQ100" s="126" t="str">
        <f>IF('Finalterm OVPAA-F-INS-055A RAW '!AQ100="","",'Finalterm OVPAA-F-INS-055A RAW '!AQ100/'Finalterm OVPAA-F-INS-055A RAW '!AQ$17*100)</f>
        <v/>
      </c>
      <c r="AR100" s="126" t="str">
        <f>IF('Finalterm OVPAA-F-INS-055A RAW '!AR100="","",'Finalterm OVPAA-F-INS-055A RAW '!AR100/'Finalterm OVPAA-F-INS-055A RAW '!AR$17*100)</f>
        <v/>
      </c>
      <c r="AS100" s="126" t="str">
        <f>IF('Finalterm OVPAA-F-INS-055A RAW '!AS100="","",'Finalterm OVPAA-F-INS-055A RAW '!AS100/'Finalterm OVPAA-F-INS-055A RAW '!AS$17*100)</f>
        <v/>
      </c>
      <c r="AT100" s="126" t="str">
        <f>IF('Finalterm OVPAA-F-INS-055A RAW '!AT100="","",'Finalterm OVPAA-F-INS-055A RAW '!AT100/'Finalterm OVPAA-F-INS-055A RAW '!AT$17*100)</f>
        <v/>
      </c>
      <c r="AU100" s="126" t="str">
        <f>IF('Finalterm OVPAA-F-INS-055A RAW '!AU100="","",'Finalterm OVPAA-F-INS-055A RAW '!AU100/'Finalterm OVPAA-F-INS-055A RAW '!AU$17*100)</f>
        <v/>
      </c>
      <c r="AV100" s="126" t="str">
        <f>IF('Finalterm OVPAA-F-INS-055A RAW '!AV100="","",'Finalterm OVPAA-F-INS-055A RAW '!AV100/'Finalterm OVPAA-F-INS-055A RAW '!AV$17*100)</f>
        <v/>
      </c>
      <c r="AW100" s="126" t="str">
        <f>IF('Finalterm OVPAA-F-INS-055A RAW '!AW100="","",'Finalterm OVPAA-F-INS-055A RAW '!AW100/'Finalterm OVPAA-F-INS-055A RAW '!AW$17*100)</f>
        <v/>
      </c>
      <c r="AX100" s="126" t="str">
        <f>IF('Finalterm OVPAA-F-INS-055A RAW '!AX100="","",'Finalterm OVPAA-F-INS-055A RAW '!AX100/'Finalterm OVPAA-F-INS-055A RAW '!AX$17*100)</f>
        <v/>
      </c>
      <c r="AY100" s="126" t="str">
        <f>IF('Finalterm OVPAA-F-INS-055A RAW '!AY100="","",'Finalterm OVPAA-F-INS-055A RAW '!AY100/'Finalterm OVPAA-F-INS-055A RAW '!AY$17*100)</f>
        <v/>
      </c>
      <c r="AZ100" s="126" t="str">
        <f>IF('Finalterm OVPAA-F-INS-055A RAW '!AZ100="","",'Finalterm OVPAA-F-INS-055A RAW '!AZ100/'Finalterm OVPAA-F-INS-055A RAW '!AZ$17*100)</f>
        <v/>
      </c>
      <c r="BA100" s="126" t="str">
        <f>IF('Finalterm OVPAA-F-INS-055A RAW '!BA100="","",'Finalterm OVPAA-F-INS-055A RAW '!BA100/'Finalterm OVPAA-F-INS-055A RAW '!BA$17*100)</f>
        <v/>
      </c>
      <c r="BB100" s="126" t="str">
        <f>IF('Finalterm OVPAA-F-INS-055A RAW '!BB100="","",'Finalterm OVPAA-F-INS-055A RAW '!BB100/'Finalterm OVPAA-F-INS-055A RAW '!BB$17*100)</f>
        <v/>
      </c>
      <c r="BC100" s="126" t="str">
        <f>IF('Finalterm OVPAA-F-INS-055A RAW '!BC100="","",'Finalterm OVPAA-F-INS-055A RAW '!BC100/'Finalterm OVPAA-F-INS-055A RAW '!BC$17*100)</f>
        <v/>
      </c>
      <c r="BD100" s="126" t="str">
        <f>IF('Finalterm OVPAA-F-INS-055A RAW '!BD100="","",'Finalterm OVPAA-F-INS-055A RAW '!BD100/'Finalterm OVPAA-F-INS-055A RAW '!BD$17*100)</f>
        <v/>
      </c>
      <c r="BE100" s="126" t="str">
        <f>IF('Finalterm OVPAA-F-INS-055A RAW '!BE100="","",'Finalterm OVPAA-F-INS-055A RAW '!BE100/'Finalterm OVPAA-F-INS-055A RAW '!BE$17*100)</f>
        <v/>
      </c>
      <c r="BF100" s="126" t="str">
        <f>IF('Finalterm OVPAA-F-INS-055A RAW '!BF100="","",'Finalterm OVPAA-F-INS-055A RAW '!BF100/'Finalterm OVPAA-F-INS-055A RAW '!BF$17*100)</f>
        <v/>
      </c>
      <c r="BG100" s="126" t="str">
        <f>IF('Finalterm OVPAA-F-INS-055A RAW '!BG100="","",'Finalterm OVPAA-F-INS-055A RAW '!BG100/'Finalterm OVPAA-F-INS-055A RAW '!BG$17*100)</f>
        <v/>
      </c>
      <c r="BH100" s="126" t="str">
        <f>IF('Finalterm OVPAA-F-INS-055A RAW '!BH100="","",'Finalterm OVPAA-F-INS-055A RAW '!BH100/'Finalterm OVPAA-F-INS-055A RAW '!BH$17*100)</f>
        <v/>
      </c>
      <c r="BI100" s="126" t="str">
        <f>IF('Finalterm OVPAA-F-INS-055A RAW '!BI100="","",'Finalterm OVPAA-F-INS-055A RAW '!BI100/'Finalterm OVPAA-F-INS-055A RAW '!BI$17*100)</f>
        <v/>
      </c>
      <c r="BJ100" s="126" t="str">
        <f>IF('Finalterm OVPAA-F-INS-055A RAW '!BJ100="","",'Finalterm OVPAA-F-INS-055A RAW '!BJ100/'Finalterm OVPAA-F-INS-055A RAW '!BJ$17*100)</f>
        <v/>
      </c>
      <c r="BK100" s="126" t="str">
        <f>IF('Finalterm OVPAA-F-INS-055A RAW '!BK100="","",'Finalterm OVPAA-F-INS-055A RAW '!BK100/'Finalterm OVPAA-F-INS-055A RAW '!BK$17*100)</f>
        <v/>
      </c>
      <c r="BL100" s="126" t="str">
        <f>IF('Finalterm OVPAA-F-INS-055A RAW '!BL100="","",'Finalterm OVPAA-F-INS-055A RAW '!BL100/'Finalterm OVPAA-F-INS-055A RAW '!BL$17*100)</f>
        <v/>
      </c>
      <c r="BM100" s="126" t="str">
        <f>IF('Finalterm OVPAA-F-INS-055A RAW '!BM100="","",'Finalterm OVPAA-F-INS-055A RAW '!BM100/'Finalterm OVPAA-F-INS-055A RAW '!BM$17*100)</f>
        <v/>
      </c>
      <c r="BN100" s="126" t="str">
        <f>IF('Finalterm OVPAA-F-INS-055A RAW '!BN100="","",'Finalterm OVPAA-F-INS-055A RAW '!BN100/'Finalterm OVPAA-F-INS-055A RAW '!BN$17*100)</f>
        <v/>
      </c>
      <c r="BO100" s="126" t="str">
        <f>IF('Finalterm OVPAA-F-INS-055A RAW '!BO100="","",'Finalterm OVPAA-F-INS-055A RAW '!BO100/'Finalterm OVPAA-F-INS-055A RAW '!BO$17*100)</f>
        <v/>
      </c>
      <c r="BP100" s="126" t="str">
        <f>IF('Finalterm OVPAA-F-INS-055A RAW '!BP100="","",'Finalterm OVPAA-F-INS-055A RAW '!BP100/'Finalterm OVPAA-F-INS-055A RAW '!BP$17*100)</f>
        <v/>
      </c>
      <c r="BQ100" s="126" t="str">
        <f>IF('Finalterm OVPAA-F-INS-055A RAW '!BQ100="","",'Finalterm OVPAA-F-INS-055A RAW '!BQ100/'Finalterm OVPAA-F-INS-055A RAW '!BQ$17*100)</f>
        <v/>
      </c>
      <c r="BR100" s="126" t="str">
        <f>IF('Finalterm OVPAA-F-INS-055A RAW '!BR100="","",'Finalterm OVPAA-F-INS-055A RAW '!BR100/'Finalterm OVPAA-F-INS-055A RAW '!BR$17*100)</f>
        <v/>
      </c>
      <c r="BS100" s="126" t="str">
        <f>IF('Finalterm OVPAA-F-INS-055A RAW '!BS100="","",'Finalterm OVPAA-F-INS-055A RAW '!BS100/'Finalterm OVPAA-F-INS-055A RAW '!BS$17*100)</f>
        <v/>
      </c>
      <c r="BT100" s="126" t="str">
        <f>IF('Finalterm OVPAA-F-INS-055A RAW '!BT100="","",'Finalterm OVPAA-F-INS-055A RAW '!BT100/'Finalterm OVPAA-F-INS-055A RAW '!BT$17*100)</f>
        <v/>
      </c>
      <c r="BU100" s="127" t="str">
        <f t="array" ref="BU100">IF('Finalterm OVPAA-F-INS-055A RAW '!$G100="","",IF((SUMPRODUCT(--ISBLANK('Finalterm OVPAA-F-INS-055A RAW '!H100:BT100))=COLUMNS('Finalterm OVPAA-F-INS-055A RAW '!H100:BT100))=TRUE,"",(((COUNTA('Finalterm OVPAA-F-INS-055A RAW '!$H$17:$BT$17)+COUNTBLANK('Finalterm OVPAA-F-INS-055A RAW '!H100:BT100))-COLUMNS('Finalterm OVPAA-F-INS-055A RAW '!H100:BT100))*5+SUM(H100:BT100))/COUNTA('Finalterm OVPAA-F-INS-055A RAW '!$H$17:$BT$17)))</f>
        <v/>
      </c>
      <c r="BV100" s="165" t="str">
        <f>IF(BU100="","",VLOOKUP(BU100,IF('Midterm OVPAA-F-INS-055A RAW SC'!$V$12=0.5,TRANSMUTATION!$C$4:$D$17,TRANSMUTATION!$G$4:$H$17),2,TRUE))</f>
        <v/>
      </c>
      <c r="BW100" s="129" t="str">
        <f>IF('Finalterm OVPAA-F-INS-055A RAW '!BU100="","",'Finalterm OVPAA-F-INS-055A RAW '!BU100/'Finalterm OVPAA-F-INS-055A RAW '!BU$17*100)</f>
        <v/>
      </c>
      <c r="BX100" s="130" t="str">
        <f>IF('Finalterm OVPAA-F-INS-055A RAW '!BV100="","",'Finalterm OVPAA-F-INS-055A RAW '!BV100/'Finalterm OVPAA-F-INS-055A RAW '!BV$17*100)</f>
        <v/>
      </c>
      <c r="BY100" s="130" t="str">
        <f>IF('Finalterm OVPAA-F-INS-055A RAW '!BW100="","",'Finalterm OVPAA-F-INS-055A RAW '!BW100/'Finalterm OVPAA-F-INS-055A RAW '!BW$17*100)</f>
        <v/>
      </c>
      <c r="BZ100" s="130" t="str">
        <f>IF('Finalterm OVPAA-F-INS-055A RAW '!BX100="","",'Finalterm OVPAA-F-INS-055A RAW '!BX100/'Finalterm OVPAA-F-INS-055A RAW '!BX$17*100)</f>
        <v/>
      </c>
      <c r="CA100" s="130" t="str">
        <f>IF('Finalterm OVPAA-F-INS-055A RAW '!BY100="","",'Finalterm OVPAA-F-INS-055A RAW '!BY100/'Finalterm OVPAA-F-INS-055A RAW '!BY$17*100)</f>
        <v/>
      </c>
      <c r="CB100" s="130" t="str">
        <f>IF('Finalterm OVPAA-F-INS-055A RAW '!BZ100="","",'Finalterm OVPAA-F-INS-055A RAW '!BZ100/'Finalterm OVPAA-F-INS-055A RAW '!BZ$17*100)</f>
        <v/>
      </c>
      <c r="CC100" s="130" t="str">
        <f>IF('Finalterm OVPAA-F-INS-055A RAW '!CA100="","",'Finalterm OVPAA-F-INS-055A RAW '!CA100/'Finalterm OVPAA-F-INS-055A RAW '!CA$17*100)</f>
        <v/>
      </c>
      <c r="CD100" s="130" t="str">
        <f>IF('Finalterm OVPAA-F-INS-055A RAW '!CB100="","",'Finalterm OVPAA-F-INS-055A RAW '!CB100/'Finalterm OVPAA-F-INS-055A RAW '!CB$17*100)</f>
        <v/>
      </c>
      <c r="CE100" s="130" t="str">
        <f>IF('Finalterm OVPAA-F-INS-055A RAW '!CC100="","",'Finalterm OVPAA-F-INS-055A RAW '!CC100/'Finalterm OVPAA-F-INS-055A RAW '!CC$17*100)</f>
        <v/>
      </c>
      <c r="CF100" s="130" t="str">
        <f>IF('Finalterm OVPAA-F-INS-055A RAW '!CD100="","",'Finalterm OVPAA-F-INS-055A RAW '!CD100/'Finalterm OVPAA-F-INS-055A RAW '!CD$17*100)</f>
        <v/>
      </c>
      <c r="CG100" s="130" t="str">
        <f>IF('Finalterm OVPAA-F-INS-055A RAW '!CE100="","",'Finalterm OVPAA-F-INS-055A RAW '!CE100/'Finalterm OVPAA-F-INS-055A RAW '!CE$17*100)</f>
        <v/>
      </c>
      <c r="CH100" s="130" t="str">
        <f>IF('Finalterm OVPAA-F-INS-055A RAW '!CF100="","",'Finalterm OVPAA-F-INS-055A RAW '!CF100/'Finalterm OVPAA-F-INS-055A RAW '!CF$17*100)</f>
        <v/>
      </c>
      <c r="CI100" s="130" t="str">
        <f>IF('Finalterm OVPAA-F-INS-055A RAW '!CG100="","",'Finalterm OVPAA-F-INS-055A RAW '!CG100/'Finalterm OVPAA-F-INS-055A RAW '!CG$17*100)</f>
        <v/>
      </c>
      <c r="CJ100" s="130" t="str">
        <f>IF('Finalterm OVPAA-F-INS-055A RAW '!CH100="","",'Finalterm OVPAA-F-INS-055A RAW '!CH100/'Finalterm OVPAA-F-INS-055A RAW '!CH$17*100)</f>
        <v/>
      </c>
      <c r="CK100" s="130" t="str">
        <f>IF('Finalterm OVPAA-F-INS-055A RAW '!CI100="","",'Finalterm OVPAA-F-INS-055A RAW '!CI100/'Finalterm OVPAA-F-INS-055A RAW '!CI$17*100)</f>
        <v/>
      </c>
      <c r="CL100" s="130" t="str">
        <f>IF('Finalterm OVPAA-F-INS-055A RAW '!CJ100="","",'Finalterm OVPAA-F-INS-055A RAW '!CJ100/'Finalterm OVPAA-F-INS-055A RAW '!CJ$17*100)</f>
        <v/>
      </c>
      <c r="CM100" s="130" t="str">
        <f>IF('Finalterm OVPAA-F-INS-055A RAW '!CK100="","",'Finalterm OVPAA-F-INS-055A RAW '!CK100/'Finalterm OVPAA-F-INS-055A RAW '!CK$17*100)</f>
        <v/>
      </c>
      <c r="CN100" s="130" t="str">
        <f>IF('Finalterm OVPAA-F-INS-055A RAW '!CL100="","",'Finalterm OVPAA-F-INS-055A RAW '!CL100/'Finalterm OVPAA-F-INS-055A RAW '!CL$17*100)</f>
        <v/>
      </c>
      <c r="CO100" s="130" t="str">
        <f>IF('Finalterm OVPAA-F-INS-055A RAW '!CM100="","",'Finalterm OVPAA-F-INS-055A RAW '!CM100/'Finalterm OVPAA-F-INS-055A RAW '!CM$17*100)</f>
        <v/>
      </c>
      <c r="CP100" s="130" t="str">
        <f>IF('Finalterm OVPAA-F-INS-055A RAW '!CN100="","",'Finalterm OVPAA-F-INS-055A RAW '!CN100/'Finalterm OVPAA-F-INS-055A RAW '!CN$17*100)</f>
        <v/>
      </c>
      <c r="CQ100" s="131" t="str">
        <f t="array" ref="CQ100">IF('Midterm OVPAA-F-INS-055A RAW SC'!G100="","",IF((SUMPRODUCT(--ISBLANK('Finalterm OVPAA-F-INS-055A RAW '!BU100:CN100))=COLUMNS('Finalterm OVPAA-F-INS-055A RAW '!BU100:CN100))=TRUE,"",(((COUNTA('Finalterm OVPAA-F-INS-055A RAW '!$BU$17:$CN$17)+COUNTBLANK('Finalterm OVPAA-F-INS-055A RAW '!BU100:CN100))-COLUMNS('Finalterm OVPAA-F-INS-055A RAW '!BU100:CN100))*5+SUM(BW100:CP100))/COUNTA('Finalterm OVPAA-F-INS-055A RAW '!$BU$17:$CN$17)))</f>
        <v/>
      </c>
      <c r="CR100" s="132" t="str">
        <f>IF(CQ100="","",VLOOKUP(CQ100,IF('Midterm OVPAA-F-INS-055A RAW SC'!$V$12=0.5,TRANSMUTATION!$C$4:$D$17,TRANSMUTATION!$G$4:$H$17),2,TRUE))</f>
        <v/>
      </c>
      <c r="CS100" s="133" t="str">
        <f>IF('Finalterm OVPAA-F-INS-055A RAW '!CO100="","",'Finalterm OVPAA-F-INS-055A RAW '!CO100/'Finalterm OVPAA-F-INS-055A RAW '!CO$17*100)</f>
        <v/>
      </c>
      <c r="CT100" s="133" t="str">
        <f>IF('Finalterm OVPAA-F-INS-055A RAW '!CP100="","",'Finalterm OVPAA-F-INS-055A RAW '!CP100/'Finalterm OVPAA-F-INS-055A RAW '!CP$17*100)</f>
        <v/>
      </c>
      <c r="CU100" s="133" t="str">
        <f>IF('Finalterm OVPAA-F-INS-055A RAW '!CQ100="","",'Finalterm OVPAA-F-INS-055A RAW '!CQ100/'Finalterm OVPAA-F-INS-055A RAW '!CQ$17*100)</f>
        <v/>
      </c>
      <c r="CV100" s="133" t="str">
        <f>IF('Finalterm OVPAA-F-INS-055A RAW '!CR100="","",'Finalterm OVPAA-F-INS-055A RAW '!CR100/'Finalterm OVPAA-F-INS-055A RAW '!CR$17*100)</f>
        <v/>
      </c>
      <c r="CW100" s="133" t="str">
        <f>IF('Finalterm OVPAA-F-INS-055A RAW '!CS100="","",'Finalterm OVPAA-F-INS-055A RAW '!CS100/'Finalterm OVPAA-F-INS-055A RAW '!CS$17*100)</f>
        <v/>
      </c>
      <c r="CX100" s="133" t="str">
        <f>IF('Finalterm OVPAA-F-INS-055A RAW '!CT100="","",'Finalterm OVPAA-F-INS-055A RAW '!CT100/'Finalterm OVPAA-F-INS-055A RAW '!CT$17*100)</f>
        <v/>
      </c>
      <c r="CY100" s="133" t="str">
        <f>IF('Finalterm OVPAA-F-INS-055A RAW '!CU100="","",'Finalterm OVPAA-F-INS-055A RAW '!CU100/'Finalterm OVPAA-F-INS-055A RAW '!CU$17*100)</f>
        <v/>
      </c>
      <c r="CZ100" s="133" t="str">
        <f>IF('Finalterm OVPAA-F-INS-055A RAW '!CV100="","",'Finalterm OVPAA-F-INS-055A RAW '!CV100/'Finalterm OVPAA-F-INS-055A RAW '!CV$17*100)</f>
        <v/>
      </c>
      <c r="DA100" s="133" t="str">
        <f>IF('Finalterm OVPAA-F-INS-055A RAW '!CW100="","",'Finalterm OVPAA-F-INS-055A RAW '!CW100/'Finalterm OVPAA-F-INS-055A RAW '!CW$17*100)</f>
        <v/>
      </c>
      <c r="DB100" s="133" t="str">
        <f>IF('Finalterm OVPAA-F-INS-055A RAW '!CX100="","",'Finalterm OVPAA-F-INS-055A RAW '!CX100/'Finalterm OVPAA-F-INS-055A RAW '!CX$17*100)</f>
        <v/>
      </c>
      <c r="DC100" s="134" t="str">
        <f t="array" ref="DC100">IF('Midterm OVPAA-F-INS-055A RAW SC'!$G100="","",IF((SUMPRODUCT(--ISBLANK('Finalterm OVPAA-F-INS-055A RAW '!CO100:CX100))=COLUMNS('Finalterm OVPAA-F-INS-055A RAW '!CO100:CX100))=TRUE,"",(((COUNTA('Finalterm OVPAA-F-INS-055A RAW '!$CO$17:$CX$17)+COUNTBLANK('Finalterm OVPAA-F-INS-055A RAW '!CO100:CX100))-COLUMNS('Finalterm OVPAA-F-INS-055A RAW '!CO100:CX100))*5+SUM(CS100:DB100))/COUNTA('Finalterm OVPAA-F-INS-055A RAW '!$CO$17:$CX$17)))</f>
        <v/>
      </c>
      <c r="DD100" s="135" t="str">
        <f>IF(DC100="","",VLOOKUP(DC100,IF('Midterm OVPAA-F-INS-055A RAW SC'!$V$12=0.5,TRANSMUTATION!$C$4:$D$17,TRANSMUTATION!$G$4:$H$17),2,TRUE))</f>
        <v/>
      </c>
      <c r="DE100" s="136" t="str">
        <f t="shared" si="1"/>
        <v/>
      </c>
      <c r="DF100" s="166" t="str">
        <f t="shared" si="2"/>
        <v/>
      </c>
      <c r="DG100" s="167" t="str">
        <f t="shared" si="3"/>
        <v/>
      </c>
      <c r="DH100" s="168" t="str">
        <f t="shared" si="4"/>
        <v/>
      </c>
      <c r="DI100" s="169" t="str">
        <f t="shared" si="5"/>
        <v/>
      </c>
    </row>
    <row r="101" spans="1:113" ht="15.75" hidden="1" customHeight="1">
      <c r="A101" s="5"/>
      <c r="B101" s="5"/>
      <c r="C101" s="5"/>
      <c r="D101" s="5"/>
      <c r="E101" s="59">
        <v>84</v>
      </c>
      <c r="F101" s="124" t="str">
        <f>IF(NOT(ISBLANK('Midterm OVPAA-F-INS-055A RAW SC'!F101)),'Midterm OVPAA-F-INS-055A RAW SC'!F101,"")</f>
        <v/>
      </c>
      <c r="G101" s="125" t="str">
        <f>IF(NOT(ISBLANK('Midterm OVPAA-F-INS-055A RAW SC'!G101)),'Midterm OVPAA-F-INS-055A RAW SC'!G101,"")</f>
        <v/>
      </c>
      <c r="H101" s="126" t="str">
        <f>IF('Finalterm OVPAA-F-INS-055A RAW '!H101="","",'Finalterm OVPAA-F-INS-055A RAW '!H101/'Finalterm OVPAA-F-INS-055A RAW '!H$17*100)</f>
        <v/>
      </c>
      <c r="I101" s="126" t="str">
        <f>IF('Finalterm OVPAA-F-INS-055A RAW '!I101="","",'Finalterm OVPAA-F-INS-055A RAW '!I101/'Finalterm OVPAA-F-INS-055A RAW '!I$17*100)</f>
        <v/>
      </c>
      <c r="J101" s="126" t="str">
        <f>IF('Finalterm OVPAA-F-INS-055A RAW '!J101="","",'Finalterm OVPAA-F-INS-055A RAW '!J101/'Finalterm OVPAA-F-INS-055A RAW '!J$17*100)</f>
        <v/>
      </c>
      <c r="K101" s="126" t="str">
        <f>IF('Finalterm OVPAA-F-INS-055A RAW '!K101="","",'Finalterm OVPAA-F-INS-055A RAW '!K101/'Finalterm OVPAA-F-INS-055A RAW '!K$17*100)</f>
        <v/>
      </c>
      <c r="L101" s="126" t="str">
        <f>IF('Finalterm OVPAA-F-INS-055A RAW '!L101="","",'Finalterm OVPAA-F-INS-055A RAW '!L101/'Finalterm OVPAA-F-INS-055A RAW '!L$17*100)</f>
        <v/>
      </c>
      <c r="M101" s="126" t="str">
        <f>IF('Finalterm OVPAA-F-INS-055A RAW '!M101="","",'Finalterm OVPAA-F-INS-055A RAW '!M101/'Finalterm OVPAA-F-INS-055A RAW '!M$17*100)</f>
        <v/>
      </c>
      <c r="N101" s="126" t="str">
        <f>IF('Finalterm OVPAA-F-INS-055A RAW '!N101="","",'Finalterm OVPAA-F-INS-055A RAW '!N101/'Finalterm OVPAA-F-INS-055A RAW '!N$17*100)</f>
        <v/>
      </c>
      <c r="O101" s="126" t="str">
        <f>IF('Finalterm OVPAA-F-INS-055A RAW '!O101="","",'Finalterm OVPAA-F-INS-055A RAW '!O101/'Finalterm OVPAA-F-INS-055A RAW '!O$17*100)</f>
        <v/>
      </c>
      <c r="P101" s="126" t="str">
        <f>IF('Finalterm OVPAA-F-INS-055A RAW '!P101="","",'Finalterm OVPAA-F-INS-055A RAW '!P101/'Finalterm OVPAA-F-INS-055A RAW '!P$17*100)</f>
        <v/>
      </c>
      <c r="Q101" s="126" t="str">
        <f>IF('Finalterm OVPAA-F-INS-055A RAW '!Q101="","",'Finalterm OVPAA-F-INS-055A RAW '!Q101/'Finalterm OVPAA-F-INS-055A RAW '!Q$17*100)</f>
        <v/>
      </c>
      <c r="R101" s="126" t="str">
        <f>IF('Finalterm OVPAA-F-INS-055A RAW '!R101="","",'Finalterm OVPAA-F-INS-055A RAW '!R101/'Finalterm OVPAA-F-INS-055A RAW '!R$17*100)</f>
        <v/>
      </c>
      <c r="S101" s="126" t="str">
        <f>IF('Finalterm OVPAA-F-INS-055A RAW '!S101="","",'Finalterm OVPAA-F-INS-055A RAW '!S101/'Finalterm OVPAA-F-INS-055A RAW '!S$17*100)</f>
        <v/>
      </c>
      <c r="T101" s="126" t="str">
        <f>IF('Finalterm OVPAA-F-INS-055A RAW '!T101="","",'Finalterm OVPAA-F-INS-055A RAW '!T101/'Finalterm OVPAA-F-INS-055A RAW '!T$17*100)</f>
        <v/>
      </c>
      <c r="U101" s="126" t="str">
        <f>IF('Finalterm OVPAA-F-INS-055A RAW '!U101="","",'Finalterm OVPAA-F-INS-055A RAW '!U101/'Finalterm OVPAA-F-INS-055A RAW '!U$17*100)</f>
        <v/>
      </c>
      <c r="V101" s="126" t="str">
        <f>IF('Finalterm OVPAA-F-INS-055A RAW '!V101="","",'Finalterm OVPAA-F-INS-055A RAW '!V101/'Finalterm OVPAA-F-INS-055A RAW '!V$17*100)</f>
        <v/>
      </c>
      <c r="W101" s="126" t="str">
        <f>IF('Finalterm OVPAA-F-INS-055A RAW '!W101="","",'Finalterm OVPAA-F-INS-055A RAW '!W101/'Finalterm OVPAA-F-INS-055A RAW '!W$17*100)</f>
        <v/>
      </c>
      <c r="X101" s="126" t="str">
        <f>IF('Finalterm OVPAA-F-INS-055A RAW '!X101="","",'Finalterm OVPAA-F-INS-055A RAW '!X101/'Finalterm OVPAA-F-INS-055A RAW '!X$17*100)</f>
        <v/>
      </c>
      <c r="Y101" s="126" t="str">
        <f>IF('Finalterm OVPAA-F-INS-055A RAW '!Y101="","",'Finalterm OVPAA-F-INS-055A RAW '!Y101/'Finalterm OVPAA-F-INS-055A RAW '!Y$17*100)</f>
        <v/>
      </c>
      <c r="Z101" s="126" t="str">
        <f>IF('Finalterm OVPAA-F-INS-055A RAW '!Z101="","",'Finalterm OVPAA-F-INS-055A RAW '!Z101/'Finalterm OVPAA-F-INS-055A RAW '!Z$17*100)</f>
        <v/>
      </c>
      <c r="AA101" s="126" t="str">
        <f>IF('Finalterm OVPAA-F-INS-055A RAW '!AA101="","",'Finalterm OVPAA-F-INS-055A RAW '!AA101/'Finalterm OVPAA-F-INS-055A RAW '!AA$17*100)</f>
        <v/>
      </c>
      <c r="AB101" s="126" t="str">
        <f>IF('Finalterm OVPAA-F-INS-055A RAW '!AB101="","",'Finalterm OVPAA-F-INS-055A RAW '!AB101/'Finalterm OVPAA-F-INS-055A RAW '!AB$17*100)</f>
        <v/>
      </c>
      <c r="AC101" s="126" t="str">
        <f>IF('Finalterm OVPAA-F-INS-055A RAW '!AC101="","",'Finalterm OVPAA-F-INS-055A RAW '!AC101/'Finalterm OVPAA-F-INS-055A RAW '!AC$17*100)</f>
        <v/>
      </c>
      <c r="AD101" s="126" t="str">
        <f>IF('Finalterm OVPAA-F-INS-055A RAW '!AD101="","",'Finalterm OVPAA-F-INS-055A RAW '!AD101/'Finalterm OVPAA-F-INS-055A RAW '!AD$17*100)</f>
        <v/>
      </c>
      <c r="AE101" s="126" t="str">
        <f>IF('Finalterm OVPAA-F-INS-055A RAW '!AE101="","",'Finalterm OVPAA-F-INS-055A RAW '!AE101/'Finalterm OVPAA-F-INS-055A RAW '!AE$17*100)</f>
        <v/>
      </c>
      <c r="AF101" s="126" t="str">
        <f>IF('Finalterm OVPAA-F-INS-055A RAW '!AF101="","",'Finalterm OVPAA-F-INS-055A RAW '!AF101/'Finalterm OVPAA-F-INS-055A RAW '!AF$17*100)</f>
        <v/>
      </c>
      <c r="AG101" s="126" t="str">
        <f>IF('Finalterm OVPAA-F-INS-055A RAW '!AG101="","",'Finalterm OVPAA-F-INS-055A RAW '!AG101/'Finalterm OVPAA-F-INS-055A RAW '!AG$17*100)</f>
        <v/>
      </c>
      <c r="AH101" s="126" t="str">
        <f>IF('Finalterm OVPAA-F-INS-055A RAW '!AH101="","",'Finalterm OVPAA-F-INS-055A RAW '!AH101/'Finalterm OVPAA-F-INS-055A RAW '!AH$17*100)</f>
        <v/>
      </c>
      <c r="AI101" s="126" t="str">
        <f>IF('Finalterm OVPAA-F-INS-055A RAW '!AI101="","",'Finalterm OVPAA-F-INS-055A RAW '!AI101/'Finalterm OVPAA-F-INS-055A RAW '!AI$17*100)</f>
        <v/>
      </c>
      <c r="AJ101" s="126" t="str">
        <f>IF('Finalterm OVPAA-F-INS-055A RAW '!AJ101="","",'Finalterm OVPAA-F-INS-055A RAW '!AJ101/'Finalterm OVPAA-F-INS-055A RAW '!AJ$17*100)</f>
        <v/>
      </c>
      <c r="AK101" s="126" t="str">
        <f>IF('Finalterm OVPAA-F-INS-055A RAW '!AK101="","",'Finalterm OVPAA-F-INS-055A RAW '!AK101/'Finalterm OVPAA-F-INS-055A RAW '!AK$17*100)</f>
        <v/>
      </c>
      <c r="AL101" s="126" t="str">
        <f>IF('Finalterm OVPAA-F-INS-055A RAW '!AL101="","",'Finalterm OVPAA-F-INS-055A RAW '!AL101/'Finalterm OVPAA-F-INS-055A RAW '!AL$17*100)</f>
        <v/>
      </c>
      <c r="AM101" s="126" t="str">
        <f>IF('Finalterm OVPAA-F-INS-055A RAW '!AM101="","",'Finalterm OVPAA-F-INS-055A RAW '!AM101/'Finalterm OVPAA-F-INS-055A RAW '!AM$17*100)</f>
        <v/>
      </c>
      <c r="AN101" s="126" t="str">
        <f>IF('Finalterm OVPAA-F-INS-055A RAW '!AN101="","",'Finalterm OVPAA-F-INS-055A RAW '!AN101/'Finalterm OVPAA-F-INS-055A RAW '!AN$17*100)</f>
        <v/>
      </c>
      <c r="AO101" s="126" t="str">
        <f>IF('Finalterm OVPAA-F-INS-055A RAW '!AO101="","",'Finalterm OVPAA-F-INS-055A RAW '!AO101/'Finalterm OVPAA-F-INS-055A RAW '!AO$17*100)</f>
        <v/>
      </c>
      <c r="AP101" s="126" t="str">
        <f>IF('Finalterm OVPAA-F-INS-055A RAW '!AP101="","",'Finalterm OVPAA-F-INS-055A RAW '!AP101/'Finalterm OVPAA-F-INS-055A RAW '!AP$17*100)</f>
        <v/>
      </c>
      <c r="AQ101" s="126" t="str">
        <f>IF('Finalterm OVPAA-F-INS-055A RAW '!AQ101="","",'Finalterm OVPAA-F-INS-055A RAW '!AQ101/'Finalterm OVPAA-F-INS-055A RAW '!AQ$17*100)</f>
        <v/>
      </c>
      <c r="AR101" s="126" t="str">
        <f>IF('Finalterm OVPAA-F-INS-055A RAW '!AR101="","",'Finalterm OVPAA-F-INS-055A RAW '!AR101/'Finalterm OVPAA-F-INS-055A RAW '!AR$17*100)</f>
        <v/>
      </c>
      <c r="AS101" s="126" t="str">
        <f>IF('Finalterm OVPAA-F-INS-055A RAW '!AS101="","",'Finalterm OVPAA-F-INS-055A RAW '!AS101/'Finalterm OVPAA-F-INS-055A RAW '!AS$17*100)</f>
        <v/>
      </c>
      <c r="AT101" s="126" t="str">
        <f>IF('Finalterm OVPAA-F-INS-055A RAW '!AT101="","",'Finalterm OVPAA-F-INS-055A RAW '!AT101/'Finalterm OVPAA-F-INS-055A RAW '!AT$17*100)</f>
        <v/>
      </c>
      <c r="AU101" s="126" t="str">
        <f>IF('Finalterm OVPAA-F-INS-055A RAW '!AU101="","",'Finalterm OVPAA-F-INS-055A RAW '!AU101/'Finalterm OVPAA-F-INS-055A RAW '!AU$17*100)</f>
        <v/>
      </c>
      <c r="AV101" s="126" t="str">
        <f>IF('Finalterm OVPAA-F-INS-055A RAW '!AV101="","",'Finalterm OVPAA-F-INS-055A RAW '!AV101/'Finalterm OVPAA-F-INS-055A RAW '!AV$17*100)</f>
        <v/>
      </c>
      <c r="AW101" s="126" t="str">
        <f>IF('Finalterm OVPAA-F-INS-055A RAW '!AW101="","",'Finalterm OVPAA-F-INS-055A RAW '!AW101/'Finalterm OVPAA-F-INS-055A RAW '!AW$17*100)</f>
        <v/>
      </c>
      <c r="AX101" s="126" t="str">
        <f>IF('Finalterm OVPAA-F-INS-055A RAW '!AX101="","",'Finalterm OVPAA-F-INS-055A RAW '!AX101/'Finalterm OVPAA-F-INS-055A RAW '!AX$17*100)</f>
        <v/>
      </c>
      <c r="AY101" s="126" t="str">
        <f>IF('Finalterm OVPAA-F-INS-055A RAW '!AY101="","",'Finalterm OVPAA-F-INS-055A RAW '!AY101/'Finalterm OVPAA-F-INS-055A RAW '!AY$17*100)</f>
        <v/>
      </c>
      <c r="AZ101" s="126" t="str">
        <f>IF('Finalterm OVPAA-F-INS-055A RAW '!AZ101="","",'Finalterm OVPAA-F-INS-055A RAW '!AZ101/'Finalterm OVPAA-F-INS-055A RAW '!AZ$17*100)</f>
        <v/>
      </c>
      <c r="BA101" s="126" t="str">
        <f>IF('Finalterm OVPAA-F-INS-055A RAW '!BA101="","",'Finalterm OVPAA-F-INS-055A RAW '!BA101/'Finalterm OVPAA-F-INS-055A RAW '!BA$17*100)</f>
        <v/>
      </c>
      <c r="BB101" s="126" t="str">
        <f>IF('Finalterm OVPAA-F-INS-055A RAW '!BB101="","",'Finalterm OVPAA-F-INS-055A RAW '!BB101/'Finalterm OVPAA-F-INS-055A RAW '!BB$17*100)</f>
        <v/>
      </c>
      <c r="BC101" s="126" t="str">
        <f>IF('Finalterm OVPAA-F-INS-055A RAW '!BC101="","",'Finalterm OVPAA-F-INS-055A RAW '!BC101/'Finalterm OVPAA-F-INS-055A RAW '!BC$17*100)</f>
        <v/>
      </c>
      <c r="BD101" s="126" t="str">
        <f>IF('Finalterm OVPAA-F-INS-055A RAW '!BD101="","",'Finalterm OVPAA-F-INS-055A RAW '!BD101/'Finalterm OVPAA-F-INS-055A RAW '!BD$17*100)</f>
        <v/>
      </c>
      <c r="BE101" s="126" t="str">
        <f>IF('Finalterm OVPAA-F-INS-055A RAW '!BE101="","",'Finalterm OVPAA-F-INS-055A RAW '!BE101/'Finalterm OVPAA-F-INS-055A RAW '!BE$17*100)</f>
        <v/>
      </c>
      <c r="BF101" s="126" t="str">
        <f>IF('Finalterm OVPAA-F-INS-055A RAW '!BF101="","",'Finalterm OVPAA-F-INS-055A RAW '!BF101/'Finalterm OVPAA-F-INS-055A RAW '!BF$17*100)</f>
        <v/>
      </c>
      <c r="BG101" s="126" t="str">
        <f>IF('Finalterm OVPAA-F-INS-055A RAW '!BG101="","",'Finalterm OVPAA-F-INS-055A RAW '!BG101/'Finalterm OVPAA-F-INS-055A RAW '!BG$17*100)</f>
        <v/>
      </c>
      <c r="BH101" s="126" t="str">
        <f>IF('Finalterm OVPAA-F-INS-055A RAW '!BH101="","",'Finalterm OVPAA-F-INS-055A RAW '!BH101/'Finalterm OVPAA-F-INS-055A RAW '!BH$17*100)</f>
        <v/>
      </c>
      <c r="BI101" s="126" t="str">
        <f>IF('Finalterm OVPAA-F-INS-055A RAW '!BI101="","",'Finalterm OVPAA-F-INS-055A RAW '!BI101/'Finalterm OVPAA-F-INS-055A RAW '!BI$17*100)</f>
        <v/>
      </c>
      <c r="BJ101" s="126" t="str">
        <f>IF('Finalterm OVPAA-F-INS-055A RAW '!BJ101="","",'Finalterm OVPAA-F-INS-055A RAW '!BJ101/'Finalterm OVPAA-F-INS-055A RAW '!BJ$17*100)</f>
        <v/>
      </c>
      <c r="BK101" s="126" t="str">
        <f>IF('Finalterm OVPAA-F-INS-055A RAW '!BK101="","",'Finalterm OVPAA-F-INS-055A RAW '!BK101/'Finalterm OVPAA-F-INS-055A RAW '!BK$17*100)</f>
        <v/>
      </c>
      <c r="BL101" s="126" t="str">
        <f>IF('Finalterm OVPAA-F-INS-055A RAW '!BL101="","",'Finalterm OVPAA-F-INS-055A RAW '!BL101/'Finalterm OVPAA-F-INS-055A RAW '!BL$17*100)</f>
        <v/>
      </c>
      <c r="BM101" s="126" t="str">
        <f>IF('Finalterm OVPAA-F-INS-055A RAW '!BM101="","",'Finalterm OVPAA-F-INS-055A RAW '!BM101/'Finalterm OVPAA-F-INS-055A RAW '!BM$17*100)</f>
        <v/>
      </c>
      <c r="BN101" s="126" t="str">
        <f>IF('Finalterm OVPAA-F-INS-055A RAW '!BN101="","",'Finalterm OVPAA-F-INS-055A RAW '!BN101/'Finalterm OVPAA-F-INS-055A RAW '!BN$17*100)</f>
        <v/>
      </c>
      <c r="BO101" s="126" t="str">
        <f>IF('Finalterm OVPAA-F-INS-055A RAW '!BO101="","",'Finalterm OVPAA-F-INS-055A RAW '!BO101/'Finalterm OVPAA-F-INS-055A RAW '!BO$17*100)</f>
        <v/>
      </c>
      <c r="BP101" s="126" t="str">
        <f>IF('Finalterm OVPAA-F-INS-055A RAW '!BP101="","",'Finalterm OVPAA-F-INS-055A RAW '!BP101/'Finalterm OVPAA-F-INS-055A RAW '!BP$17*100)</f>
        <v/>
      </c>
      <c r="BQ101" s="126" t="str">
        <f>IF('Finalterm OVPAA-F-INS-055A RAW '!BQ101="","",'Finalterm OVPAA-F-INS-055A RAW '!BQ101/'Finalterm OVPAA-F-INS-055A RAW '!BQ$17*100)</f>
        <v/>
      </c>
      <c r="BR101" s="126" t="str">
        <f>IF('Finalterm OVPAA-F-INS-055A RAW '!BR101="","",'Finalterm OVPAA-F-INS-055A RAW '!BR101/'Finalterm OVPAA-F-INS-055A RAW '!BR$17*100)</f>
        <v/>
      </c>
      <c r="BS101" s="126" t="str">
        <f>IF('Finalterm OVPAA-F-INS-055A RAW '!BS101="","",'Finalterm OVPAA-F-INS-055A RAW '!BS101/'Finalterm OVPAA-F-INS-055A RAW '!BS$17*100)</f>
        <v/>
      </c>
      <c r="BT101" s="126" t="str">
        <f>IF('Finalterm OVPAA-F-INS-055A RAW '!BT101="","",'Finalterm OVPAA-F-INS-055A RAW '!BT101/'Finalterm OVPAA-F-INS-055A RAW '!BT$17*100)</f>
        <v/>
      </c>
      <c r="BU101" s="127" t="str">
        <f t="array" ref="BU101">IF('Finalterm OVPAA-F-INS-055A RAW '!$G101="","",IF((SUMPRODUCT(--ISBLANK('Finalterm OVPAA-F-INS-055A RAW '!H101:BT101))=COLUMNS('Finalterm OVPAA-F-INS-055A RAW '!H101:BT101))=TRUE,"",(((COUNTA('Finalterm OVPAA-F-INS-055A RAW '!$H$17:$BT$17)+COUNTBLANK('Finalterm OVPAA-F-INS-055A RAW '!H101:BT101))-COLUMNS('Finalterm OVPAA-F-INS-055A RAW '!H101:BT101))*5+SUM(H101:BT101))/COUNTA('Finalterm OVPAA-F-INS-055A RAW '!$H$17:$BT$17)))</f>
        <v/>
      </c>
      <c r="BV101" s="165" t="str">
        <f>IF(BU101="","",VLOOKUP(BU101,IF('Midterm OVPAA-F-INS-055A RAW SC'!$V$12=0.5,TRANSMUTATION!$C$4:$D$17,TRANSMUTATION!$G$4:$H$17),2,TRUE))</f>
        <v/>
      </c>
      <c r="BW101" s="129" t="str">
        <f>IF('Finalterm OVPAA-F-INS-055A RAW '!BU101="","",'Finalterm OVPAA-F-INS-055A RAW '!BU101/'Finalterm OVPAA-F-INS-055A RAW '!BU$17*100)</f>
        <v/>
      </c>
      <c r="BX101" s="130" t="str">
        <f>IF('Finalterm OVPAA-F-INS-055A RAW '!BV101="","",'Finalterm OVPAA-F-INS-055A RAW '!BV101/'Finalterm OVPAA-F-INS-055A RAW '!BV$17*100)</f>
        <v/>
      </c>
      <c r="BY101" s="130" t="str">
        <f>IF('Finalterm OVPAA-F-INS-055A RAW '!BW101="","",'Finalterm OVPAA-F-INS-055A RAW '!BW101/'Finalterm OVPAA-F-INS-055A RAW '!BW$17*100)</f>
        <v/>
      </c>
      <c r="BZ101" s="130" t="str">
        <f>IF('Finalterm OVPAA-F-INS-055A RAW '!BX101="","",'Finalterm OVPAA-F-INS-055A RAW '!BX101/'Finalterm OVPAA-F-INS-055A RAW '!BX$17*100)</f>
        <v/>
      </c>
      <c r="CA101" s="130" t="str">
        <f>IF('Finalterm OVPAA-F-INS-055A RAW '!BY101="","",'Finalterm OVPAA-F-INS-055A RAW '!BY101/'Finalterm OVPAA-F-INS-055A RAW '!BY$17*100)</f>
        <v/>
      </c>
      <c r="CB101" s="130" t="str">
        <f>IF('Finalterm OVPAA-F-INS-055A RAW '!BZ101="","",'Finalterm OVPAA-F-INS-055A RAW '!BZ101/'Finalterm OVPAA-F-INS-055A RAW '!BZ$17*100)</f>
        <v/>
      </c>
      <c r="CC101" s="130" t="str">
        <f>IF('Finalterm OVPAA-F-INS-055A RAW '!CA101="","",'Finalterm OVPAA-F-INS-055A RAW '!CA101/'Finalterm OVPAA-F-INS-055A RAW '!CA$17*100)</f>
        <v/>
      </c>
      <c r="CD101" s="130" t="str">
        <f>IF('Finalterm OVPAA-F-INS-055A RAW '!CB101="","",'Finalterm OVPAA-F-INS-055A RAW '!CB101/'Finalterm OVPAA-F-INS-055A RAW '!CB$17*100)</f>
        <v/>
      </c>
      <c r="CE101" s="130" t="str">
        <f>IF('Finalterm OVPAA-F-INS-055A RAW '!CC101="","",'Finalterm OVPAA-F-INS-055A RAW '!CC101/'Finalterm OVPAA-F-INS-055A RAW '!CC$17*100)</f>
        <v/>
      </c>
      <c r="CF101" s="130" t="str">
        <f>IF('Finalterm OVPAA-F-INS-055A RAW '!CD101="","",'Finalterm OVPAA-F-INS-055A RAW '!CD101/'Finalterm OVPAA-F-INS-055A RAW '!CD$17*100)</f>
        <v/>
      </c>
      <c r="CG101" s="130" t="str">
        <f>IF('Finalterm OVPAA-F-INS-055A RAW '!CE101="","",'Finalterm OVPAA-F-INS-055A RAW '!CE101/'Finalterm OVPAA-F-INS-055A RAW '!CE$17*100)</f>
        <v/>
      </c>
      <c r="CH101" s="130" t="str">
        <f>IF('Finalterm OVPAA-F-INS-055A RAW '!CF101="","",'Finalterm OVPAA-F-INS-055A RAW '!CF101/'Finalterm OVPAA-F-INS-055A RAW '!CF$17*100)</f>
        <v/>
      </c>
      <c r="CI101" s="130" t="str">
        <f>IF('Finalterm OVPAA-F-INS-055A RAW '!CG101="","",'Finalterm OVPAA-F-INS-055A RAW '!CG101/'Finalterm OVPAA-F-INS-055A RAW '!CG$17*100)</f>
        <v/>
      </c>
      <c r="CJ101" s="130" t="str">
        <f>IF('Finalterm OVPAA-F-INS-055A RAW '!CH101="","",'Finalterm OVPAA-F-INS-055A RAW '!CH101/'Finalterm OVPAA-F-INS-055A RAW '!CH$17*100)</f>
        <v/>
      </c>
      <c r="CK101" s="130" t="str">
        <f>IF('Finalterm OVPAA-F-INS-055A RAW '!CI101="","",'Finalterm OVPAA-F-INS-055A RAW '!CI101/'Finalterm OVPAA-F-INS-055A RAW '!CI$17*100)</f>
        <v/>
      </c>
      <c r="CL101" s="130" t="str">
        <f>IF('Finalterm OVPAA-F-INS-055A RAW '!CJ101="","",'Finalterm OVPAA-F-INS-055A RAW '!CJ101/'Finalterm OVPAA-F-INS-055A RAW '!CJ$17*100)</f>
        <v/>
      </c>
      <c r="CM101" s="130" t="str">
        <f>IF('Finalterm OVPAA-F-INS-055A RAW '!CK101="","",'Finalterm OVPAA-F-INS-055A RAW '!CK101/'Finalterm OVPAA-F-INS-055A RAW '!CK$17*100)</f>
        <v/>
      </c>
      <c r="CN101" s="130" t="str">
        <f>IF('Finalterm OVPAA-F-INS-055A RAW '!CL101="","",'Finalterm OVPAA-F-INS-055A RAW '!CL101/'Finalterm OVPAA-F-INS-055A RAW '!CL$17*100)</f>
        <v/>
      </c>
      <c r="CO101" s="130" t="str">
        <f>IF('Finalterm OVPAA-F-INS-055A RAW '!CM101="","",'Finalterm OVPAA-F-INS-055A RAW '!CM101/'Finalterm OVPAA-F-INS-055A RAW '!CM$17*100)</f>
        <v/>
      </c>
      <c r="CP101" s="130" t="str">
        <f>IF('Finalterm OVPAA-F-INS-055A RAW '!CN101="","",'Finalterm OVPAA-F-INS-055A RAW '!CN101/'Finalterm OVPAA-F-INS-055A RAW '!CN$17*100)</f>
        <v/>
      </c>
      <c r="CQ101" s="131" t="str">
        <f t="array" ref="CQ101">IF('Midterm OVPAA-F-INS-055A RAW SC'!G101="","",IF((SUMPRODUCT(--ISBLANK('Finalterm OVPAA-F-INS-055A RAW '!BU101:CN101))=COLUMNS('Finalterm OVPAA-F-INS-055A RAW '!BU101:CN101))=TRUE,"",(((COUNTA('Finalterm OVPAA-F-INS-055A RAW '!$BU$17:$CN$17)+COUNTBLANK('Finalterm OVPAA-F-INS-055A RAW '!BU101:CN101))-COLUMNS('Finalterm OVPAA-F-INS-055A RAW '!BU101:CN101))*5+SUM(BW101:CP101))/COUNTA('Finalterm OVPAA-F-INS-055A RAW '!$BU$17:$CN$17)))</f>
        <v/>
      </c>
      <c r="CR101" s="132" t="str">
        <f>IF(CQ101="","",VLOOKUP(CQ101,IF('Midterm OVPAA-F-INS-055A RAW SC'!$V$12=0.5,TRANSMUTATION!$C$4:$D$17,TRANSMUTATION!$G$4:$H$17),2,TRUE))</f>
        <v/>
      </c>
      <c r="CS101" s="133" t="str">
        <f>IF('Finalterm OVPAA-F-INS-055A RAW '!CO101="","",'Finalterm OVPAA-F-INS-055A RAW '!CO101/'Finalterm OVPAA-F-INS-055A RAW '!CO$17*100)</f>
        <v/>
      </c>
      <c r="CT101" s="133" t="str">
        <f>IF('Finalterm OVPAA-F-INS-055A RAW '!CP101="","",'Finalterm OVPAA-F-INS-055A RAW '!CP101/'Finalterm OVPAA-F-INS-055A RAW '!CP$17*100)</f>
        <v/>
      </c>
      <c r="CU101" s="133" t="str">
        <f>IF('Finalterm OVPAA-F-INS-055A RAW '!CQ101="","",'Finalterm OVPAA-F-INS-055A RAW '!CQ101/'Finalterm OVPAA-F-INS-055A RAW '!CQ$17*100)</f>
        <v/>
      </c>
      <c r="CV101" s="133" t="str">
        <f>IF('Finalterm OVPAA-F-INS-055A RAW '!CR101="","",'Finalterm OVPAA-F-INS-055A RAW '!CR101/'Finalterm OVPAA-F-INS-055A RAW '!CR$17*100)</f>
        <v/>
      </c>
      <c r="CW101" s="133" t="str">
        <f>IF('Finalterm OVPAA-F-INS-055A RAW '!CS101="","",'Finalterm OVPAA-F-INS-055A RAW '!CS101/'Finalterm OVPAA-F-INS-055A RAW '!CS$17*100)</f>
        <v/>
      </c>
      <c r="CX101" s="133" t="str">
        <f>IF('Finalterm OVPAA-F-INS-055A RAW '!CT101="","",'Finalterm OVPAA-F-INS-055A RAW '!CT101/'Finalterm OVPAA-F-INS-055A RAW '!CT$17*100)</f>
        <v/>
      </c>
      <c r="CY101" s="133" t="str">
        <f>IF('Finalterm OVPAA-F-INS-055A RAW '!CU101="","",'Finalterm OVPAA-F-INS-055A RAW '!CU101/'Finalterm OVPAA-F-INS-055A RAW '!CU$17*100)</f>
        <v/>
      </c>
      <c r="CZ101" s="133" t="str">
        <f>IF('Finalterm OVPAA-F-INS-055A RAW '!CV101="","",'Finalterm OVPAA-F-INS-055A RAW '!CV101/'Finalterm OVPAA-F-INS-055A RAW '!CV$17*100)</f>
        <v/>
      </c>
      <c r="DA101" s="133" t="str">
        <f>IF('Finalterm OVPAA-F-INS-055A RAW '!CW101="","",'Finalterm OVPAA-F-INS-055A RAW '!CW101/'Finalterm OVPAA-F-INS-055A RAW '!CW$17*100)</f>
        <v/>
      </c>
      <c r="DB101" s="133" t="str">
        <f>IF('Finalterm OVPAA-F-INS-055A RAW '!CX101="","",'Finalterm OVPAA-F-INS-055A RAW '!CX101/'Finalterm OVPAA-F-INS-055A RAW '!CX$17*100)</f>
        <v/>
      </c>
      <c r="DC101" s="134" t="str">
        <f t="array" ref="DC101">IF('Midterm OVPAA-F-INS-055A RAW SC'!$G101="","",IF((SUMPRODUCT(--ISBLANK('Finalterm OVPAA-F-INS-055A RAW '!CO101:CX101))=COLUMNS('Finalterm OVPAA-F-INS-055A RAW '!CO101:CX101))=TRUE,"",(((COUNTA('Finalterm OVPAA-F-INS-055A RAW '!$CO$17:$CX$17)+COUNTBLANK('Finalterm OVPAA-F-INS-055A RAW '!CO101:CX101))-COLUMNS('Finalterm OVPAA-F-INS-055A RAW '!CO101:CX101))*5+SUM(CS101:DB101))/COUNTA('Finalterm OVPAA-F-INS-055A RAW '!$CO$17:$CX$17)))</f>
        <v/>
      </c>
      <c r="DD101" s="135" t="str">
        <f>IF(DC101="","",VLOOKUP(DC101,IF('Midterm OVPAA-F-INS-055A RAW SC'!$V$12=0.5,TRANSMUTATION!$C$4:$D$17,TRANSMUTATION!$G$4:$H$17),2,TRUE))</f>
        <v/>
      </c>
      <c r="DE101" s="136" t="str">
        <f t="shared" si="1"/>
        <v/>
      </c>
      <c r="DF101" s="166" t="str">
        <f t="shared" si="2"/>
        <v/>
      </c>
      <c r="DG101" s="167" t="str">
        <f t="shared" si="3"/>
        <v/>
      </c>
      <c r="DH101" s="168" t="str">
        <f t="shared" si="4"/>
        <v/>
      </c>
      <c r="DI101" s="169" t="str">
        <f t="shared" si="5"/>
        <v/>
      </c>
    </row>
    <row r="102" spans="1:113" ht="15.75" hidden="1" customHeight="1">
      <c r="A102" s="5"/>
      <c r="B102" s="5"/>
      <c r="C102" s="5"/>
      <c r="D102" s="5"/>
      <c r="E102" s="59">
        <v>85</v>
      </c>
      <c r="F102" s="124" t="str">
        <f>IF(NOT(ISBLANK('Midterm OVPAA-F-INS-055A RAW SC'!F102)),'Midterm OVPAA-F-INS-055A RAW SC'!F102,"")</f>
        <v/>
      </c>
      <c r="G102" s="125" t="str">
        <f>IF(NOT(ISBLANK('Midterm OVPAA-F-INS-055A RAW SC'!G102)),'Midterm OVPAA-F-INS-055A RAW SC'!G102,"")</f>
        <v/>
      </c>
      <c r="H102" s="126" t="str">
        <f>IF('Finalterm OVPAA-F-INS-055A RAW '!H102="","",'Finalterm OVPAA-F-INS-055A RAW '!H102/'Finalterm OVPAA-F-INS-055A RAW '!H$17*100)</f>
        <v/>
      </c>
      <c r="I102" s="126" t="str">
        <f>IF('Finalterm OVPAA-F-INS-055A RAW '!I102="","",'Finalterm OVPAA-F-INS-055A RAW '!I102/'Finalterm OVPAA-F-INS-055A RAW '!I$17*100)</f>
        <v/>
      </c>
      <c r="J102" s="126" t="str">
        <f>IF('Finalterm OVPAA-F-INS-055A RAW '!J102="","",'Finalterm OVPAA-F-INS-055A RAW '!J102/'Finalterm OVPAA-F-INS-055A RAW '!J$17*100)</f>
        <v/>
      </c>
      <c r="K102" s="126" t="str">
        <f>IF('Finalterm OVPAA-F-INS-055A RAW '!K102="","",'Finalterm OVPAA-F-INS-055A RAW '!K102/'Finalterm OVPAA-F-INS-055A RAW '!K$17*100)</f>
        <v/>
      </c>
      <c r="L102" s="126" t="str">
        <f>IF('Finalterm OVPAA-F-INS-055A RAW '!L102="","",'Finalterm OVPAA-F-INS-055A RAW '!L102/'Finalterm OVPAA-F-INS-055A RAW '!L$17*100)</f>
        <v/>
      </c>
      <c r="M102" s="126" t="str">
        <f>IF('Finalterm OVPAA-F-INS-055A RAW '!M102="","",'Finalterm OVPAA-F-INS-055A RAW '!M102/'Finalterm OVPAA-F-INS-055A RAW '!M$17*100)</f>
        <v/>
      </c>
      <c r="N102" s="126" t="str">
        <f>IF('Finalterm OVPAA-F-INS-055A RAW '!N102="","",'Finalterm OVPAA-F-INS-055A RAW '!N102/'Finalterm OVPAA-F-INS-055A RAW '!N$17*100)</f>
        <v/>
      </c>
      <c r="O102" s="126" t="str">
        <f>IF('Finalterm OVPAA-F-INS-055A RAW '!O102="","",'Finalterm OVPAA-F-INS-055A RAW '!O102/'Finalterm OVPAA-F-INS-055A RAW '!O$17*100)</f>
        <v/>
      </c>
      <c r="P102" s="126" t="str">
        <f>IF('Finalterm OVPAA-F-INS-055A RAW '!P102="","",'Finalterm OVPAA-F-INS-055A RAW '!P102/'Finalterm OVPAA-F-INS-055A RAW '!P$17*100)</f>
        <v/>
      </c>
      <c r="Q102" s="126" t="str">
        <f>IF('Finalterm OVPAA-F-INS-055A RAW '!Q102="","",'Finalterm OVPAA-F-INS-055A RAW '!Q102/'Finalterm OVPAA-F-INS-055A RAW '!Q$17*100)</f>
        <v/>
      </c>
      <c r="R102" s="126" t="str">
        <f>IF('Finalterm OVPAA-F-INS-055A RAW '!R102="","",'Finalterm OVPAA-F-INS-055A RAW '!R102/'Finalterm OVPAA-F-INS-055A RAW '!R$17*100)</f>
        <v/>
      </c>
      <c r="S102" s="126" t="str">
        <f>IF('Finalterm OVPAA-F-INS-055A RAW '!S102="","",'Finalterm OVPAA-F-INS-055A RAW '!S102/'Finalterm OVPAA-F-INS-055A RAW '!S$17*100)</f>
        <v/>
      </c>
      <c r="T102" s="126" t="str">
        <f>IF('Finalterm OVPAA-F-INS-055A RAW '!T102="","",'Finalterm OVPAA-F-INS-055A RAW '!T102/'Finalterm OVPAA-F-INS-055A RAW '!T$17*100)</f>
        <v/>
      </c>
      <c r="U102" s="126" t="str">
        <f>IF('Finalterm OVPAA-F-INS-055A RAW '!U102="","",'Finalterm OVPAA-F-INS-055A RAW '!U102/'Finalterm OVPAA-F-INS-055A RAW '!U$17*100)</f>
        <v/>
      </c>
      <c r="V102" s="126" t="str">
        <f>IF('Finalterm OVPAA-F-INS-055A RAW '!V102="","",'Finalterm OVPAA-F-INS-055A RAW '!V102/'Finalterm OVPAA-F-INS-055A RAW '!V$17*100)</f>
        <v/>
      </c>
      <c r="W102" s="126" t="str">
        <f>IF('Finalterm OVPAA-F-INS-055A RAW '!W102="","",'Finalterm OVPAA-F-INS-055A RAW '!W102/'Finalterm OVPAA-F-INS-055A RAW '!W$17*100)</f>
        <v/>
      </c>
      <c r="X102" s="126" t="str">
        <f>IF('Finalterm OVPAA-F-INS-055A RAW '!X102="","",'Finalterm OVPAA-F-INS-055A RAW '!X102/'Finalterm OVPAA-F-INS-055A RAW '!X$17*100)</f>
        <v/>
      </c>
      <c r="Y102" s="126" t="str">
        <f>IF('Finalterm OVPAA-F-INS-055A RAW '!Y102="","",'Finalterm OVPAA-F-INS-055A RAW '!Y102/'Finalterm OVPAA-F-INS-055A RAW '!Y$17*100)</f>
        <v/>
      </c>
      <c r="Z102" s="126" t="str">
        <f>IF('Finalterm OVPAA-F-INS-055A RAW '!Z102="","",'Finalterm OVPAA-F-INS-055A RAW '!Z102/'Finalterm OVPAA-F-INS-055A RAW '!Z$17*100)</f>
        <v/>
      </c>
      <c r="AA102" s="126" t="str">
        <f>IF('Finalterm OVPAA-F-INS-055A RAW '!AA102="","",'Finalterm OVPAA-F-INS-055A RAW '!AA102/'Finalterm OVPAA-F-INS-055A RAW '!AA$17*100)</f>
        <v/>
      </c>
      <c r="AB102" s="126" t="str">
        <f>IF('Finalterm OVPAA-F-INS-055A RAW '!AB102="","",'Finalterm OVPAA-F-INS-055A RAW '!AB102/'Finalterm OVPAA-F-INS-055A RAW '!AB$17*100)</f>
        <v/>
      </c>
      <c r="AC102" s="126" t="str">
        <f>IF('Finalterm OVPAA-F-INS-055A RAW '!AC102="","",'Finalterm OVPAA-F-INS-055A RAW '!AC102/'Finalterm OVPAA-F-INS-055A RAW '!AC$17*100)</f>
        <v/>
      </c>
      <c r="AD102" s="126" t="str">
        <f>IF('Finalterm OVPAA-F-INS-055A RAW '!AD102="","",'Finalterm OVPAA-F-INS-055A RAW '!AD102/'Finalterm OVPAA-F-INS-055A RAW '!AD$17*100)</f>
        <v/>
      </c>
      <c r="AE102" s="126" t="str">
        <f>IF('Finalterm OVPAA-F-INS-055A RAW '!AE102="","",'Finalterm OVPAA-F-INS-055A RAW '!AE102/'Finalterm OVPAA-F-INS-055A RAW '!AE$17*100)</f>
        <v/>
      </c>
      <c r="AF102" s="126" t="str">
        <f>IF('Finalterm OVPAA-F-INS-055A RAW '!AF102="","",'Finalterm OVPAA-F-INS-055A RAW '!AF102/'Finalterm OVPAA-F-INS-055A RAW '!AF$17*100)</f>
        <v/>
      </c>
      <c r="AG102" s="126" t="str">
        <f>IF('Finalterm OVPAA-F-INS-055A RAW '!AG102="","",'Finalterm OVPAA-F-INS-055A RAW '!AG102/'Finalterm OVPAA-F-INS-055A RAW '!AG$17*100)</f>
        <v/>
      </c>
      <c r="AH102" s="126" t="str">
        <f>IF('Finalterm OVPAA-F-INS-055A RAW '!AH102="","",'Finalterm OVPAA-F-INS-055A RAW '!AH102/'Finalterm OVPAA-F-INS-055A RAW '!AH$17*100)</f>
        <v/>
      </c>
      <c r="AI102" s="126" t="str">
        <f>IF('Finalterm OVPAA-F-INS-055A RAW '!AI102="","",'Finalterm OVPAA-F-INS-055A RAW '!AI102/'Finalterm OVPAA-F-INS-055A RAW '!AI$17*100)</f>
        <v/>
      </c>
      <c r="AJ102" s="126" t="str">
        <f>IF('Finalterm OVPAA-F-INS-055A RAW '!AJ102="","",'Finalterm OVPAA-F-INS-055A RAW '!AJ102/'Finalterm OVPAA-F-INS-055A RAW '!AJ$17*100)</f>
        <v/>
      </c>
      <c r="AK102" s="126" t="str">
        <f>IF('Finalterm OVPAA-F-INS-055A RAW '!AK102="","",'Finalterm OVPAA-F-INS-055A RAW '!AK102/'Finalterm OVPAA-F-INS-055A RAW '!AK$17*100)</f>
        <v/>
      </c>
      <c r="AL102" s="126" t="str">
        <f>IF('Finalterm OVPAA-F-INS-055A RAW '!AL102="","",'Finalterm OVPAA-F-INS-055A RAW '!AL102/'Finalterm OVPAA-F-INS-055A RAW '!AL$17*100)</f>
        <v/>
      </c>
      <c r="AM102" s="126" t="str">
        <f>IF('Finalterm OVPAA-F-INS-055A RAW '!AM102="","",'Finalterm OVPAA-F-INS-055A RAW '!AM102/'Finalterm OVPAA-F-INS-055A RAW '!AM$17*100)</f>
        <v/>
      </c>
      <c r="AN102" s="126" t="str">
        <f>IF('Finalterm OVPAA-F-INS-055A RAW '!AN102="","",'Finalterm OVPAA-F-INS-055A RAW '!AN102/'Finalterm OVPAA-F-INS-055A RAW '!AN$17*100)</f>
        <v/>
      </c>
      <c r="AO102" s="126" t="str">
        <f>IF('Finalterm OVPAA-F-INS-055A RAW '!AO102="","",'Finalterm OVPAA-F-INS-055A RAW '!AO102/'Finalterm OVPAA-F-INS-055A RAW '!AO$17*100)</f>
        <v/>
      </c>
      <c r="AP102" s="126" t="str">
        <f>IF('Finalterm OVPAA-F-INS-055A RAW '!AP102="","",'Finalterm OVPAA-F-INS-055A RAW '!AP102/'Finalterm OVPAA-F-INS-055A RAW '!AP$17*100)</f>
        <v/>
      </c>
      <c r="AQ102" s="126" t="str">
        <f>IF('Finalterm OVPAA-F-INS-055A RAW '!AQ102="","",'Finalterm OVPAA-F-INS-055A RAW '!AQ102/'Finalterm OVPAA-F-INS-055A RAW '!AQ$17*100)</f>
        <v/>
      </c>
      <c r="AR102" s="126" t="str">
        <f>IF('Finalterm OVPAA-F-INS-055A RAW '!AR102="","",'Finalterm OVPAA-F-INS-055A RAW '!AR102/'Finalterm OVPAA-F-INS-055A RAW '!AR$17*100)</f>
        <v/>
      </c>
      <c r="AS102" s="126" t="str">
        <f>IF('Finalterm OVPAA-F-INS-055A RAW '!AS102="","",'Finalterm OVPAA-F-INS-055A RAW '!AS102/'Finalterm OVPAA-F-INS-055A RAW '!AS$17*100)</f>
        <v/>
      </c>
      <c r="AT102" s="126" t="str">
        <f>IF('Finalterm OVPAA-F-INS-055A RAW '!AT102="","",'Finalterm OVPAA-F-INS-055A RAW '!AT102/'Finalterm OVPAA-F-INS-055A RAW '!AT$17*100)</f>
        <v/>
      </c>
      <c r="AU102" s="126" t="str">
        <f>IF('Finalterm OVPAA-F-INS-055A RAW '!AU102="","",'Finalterm OVPAA-F-INS-055A RAW '!AU102/'Finalterm OVPAA-F-INS-055A RAW '!AU$17*100)</f>
        <v/>
      </c>
      <c r="AV102" s="126" t="str">
        <f>IF('Finalterm OVPAA-F-INS-055A RAW '!AV102="","",'Finalterm OVPAA-F-INS-055A RAW '!AV102/'Finalterm OVPAA-F-INS-055A RAW '!AV$17*100)</f>
        <v/>
      </c>
      <c r="AW102" s="126" t="str">
        <f>IF('Finalterm OVPAA-F-INS-055A RAW '!AW102="","",'Finalterm OVPAA-F-INS-055A RAW '!AW102/'Finalterm OVPAA-F-INS-055A RAW '!AW$17*100)</f>
        <v/>
      </c>
      <c r="AX102" s="126" t="str">
        <f>IF('Finalterm OVPAA-F-INS-055A RAW '!AX102="","",'Finalterm OVPAA-F-INS-055A RAW '!AX102/'Finalterm OVPAA-F-INS-055A RAW '!AX$17*100)</f>
        <v/>
      </c>
      <c r="AY102" s="126" t="str">
        <f>IF('Finalterm OVPAA-F-INS-055A RAW '!AY102="","",'Finalterm OVPAA-F-INS-055A RAW '!AY102/'Finalterm OVPAA-F-INS-055A RAW '!AY$17*100)</f>
        <v/>
      </c>
      <c r="AZ102" s="126" t="str">
        <f>IF('Finalterm OVPAA-F-INS-055A RAW '!AZ102="","",'Finalterm OVPAA-F-INS-055A RAW '!AZ102/'Finalterm OVPAA-F-INS-055A RAW '!AZ$17*100)</f>
        <v/>
      </c>
      <c r="BA102" s="126" t="str">
        <f>IF('Finalterm OVPAA-F-INS-055A RAW '!BA102="","",'Finalterm OVPAA-F-INS-055A RAW '!BA102/'Finalterm OVPAA-F-INS-055A RAW '!BA$17*100)</f>
        <v/>
      </c>
      <c r="BB102" s="126" t="str">
        <f>IF('Finalterm OVPAA-F-INS-055A RAW '!BB102="","",'Finalterm OVPAA-F-INS-055A RAW '!BB102/'Finalterm OVPAA-F-INS-055A RAW '!BB$17*100)</f>
        <v/>
      </c>
      <c r="BC102" s="126" t="str">
        <f>IF('Finalterm OVPAA-F-INS-055A RAW '!BC102="","",'Finalterm OVPAA-F-INS-055A RAW '!BC102/'Finalterm OVPAA-F-INS-055A RAW '!BC$17*100)</f>
        <v/>
      </c>
      <c r="BD102" s="126" t="str">
        <f>IF('Finalterm OVPAA-F-INS-055A RAW '!BD102="","",'Finalterm OVPAA-F-INS-055A RAW '!BD102/'Finalterm OVPAA-F-INS-055A RAW '!BD$17*100)</f>
        <v/>
      </c>
      <c r="BE102" s="126" t="str">
        <f>IF('Finalterm OVPAA-F-INS-055A RAW '!BE102="","",'Finalterm OVPAA-F-INS-055A RAW '!BE102/'Finalterm OVPAA-F-INS-055A RAW '!BE$17*100)</f>
        <v/>
      </c>
      <c r="BF102" s="126" t="str">
        <f>IF('Finalterm OVPAA-F-INS-055A RAW '!BF102="","",'Finalterm OVPAA-F-INS-055A RAW '!BF102/'Finalterm OVPAA-F-INS-055A RAW '!BF$17*100)</f>
        <v/>
      </c>
      <c r="BG102" s="126" t="str">
        <f>IF('Finalterm OVPAA-F-INS-055A RAW '!BG102="","",'Finalterm OVPAA-F-INS-055A RAW '!BG102/'Finalterm OVPAA-F-INS-055A RAW '!BG$17*100)</f>
        <v/>
      </c>
      <c r="BH102" s="126" t="str">
        <f>IF('Finalterm OVPAA-F-INS-055A RAW '!BH102="","",'Finalterm OVPAA-F-INS-055A RAW '!BH102/'Finalterm OVPAA-F-INS-055A RAW '!BH$17*100)</f>
        <v/>
      </c>
      <c r="BI102" s="126" t="str">
        <f>IF('Finalterm OVPAA-F-INS-055A RAW '!BI102="","",'Finalterm OVPAA-F-INS-055A RAW '!BI102/'Finalterm OVPAA-F-INS-055A RAW '!BI$17*100)</f>
        <v/>
      </c>
      <c r="BJ102" s="126" t="str">
        <f>IF('Finalterm OVPAA-F-INS-055A RAW '!BJ102="","",'Finalterm OVPAA-F-INS-055A RAW '!BJ102/'Finalterm OVPAA-F-INS-055A RAW '!BJ$17*100)</f>
        <v/>
      </c>
      <c r="BK102" s="126" t="str">
        <f>IF('Finalterm OVPAA-F-INS-055A RAW '!BK102="","",'Finalterm OVPAA-F-INS-055A RAW '!BK102/'Finalterm OVPAA-F-INS-055A RAW '!BK$17*100)</f>
        <v/>
      </c>
      <c r="BL102" s="126" t="str">
        <f>IF('Finalterm OVPAA-F-INS-055A RAW '!BL102="","",'Finalterm OVPAA-F-INS-055A RAW '!BL102/'Finalterm OVPAA-F-INS-055A RAW '!BL$17*100)</f>
        <v/>
      </c>
      <c r="BM102" s="126" t="str">
        <f>IF('Finalterm OVPAA-F-INS-055A RAW '!BM102="","",'Finalterm OVPAA-F-INS-055A RAW '!BM102/'Finalterm OVPAA-F-INS-055A RAW '!BM$17*100)</f>
        <v/>
      </c>
      <c r="BN102" s="126" t="str">
        <f>IF('Finalterm OVPAA-F-INS-055A RAW '!BN102="","",'Finalterm OVPAA-F-INS-055A RAW '!BN102/'Finalterm OVPAA-F-INS-055A RAW '!BN$17*100)</f>
        <v/>
      </c>
      <c r="BO102" s="126" t="str">
        <f>IF('Finalterm OVPAA-F-INS-055A RAW '!BO102="","",'Finalterm OVPAA-F-INS-055A RAW '!BO102/'Finalterm OVPAA-F-INS-055A RAW '!BO$17*100)</f>
        <v/>
      </c>
      <c r="BP102" s="126" t="str">
        <f>IF('Finalterm OVPAA-F-INS-055A RAW '!BP102="","",'Finalterm OVPAA-F-INS-055A RAW '!BP102/'Finalterm OVPAA-F-INS-055A RAW '!BP$17*100)</f>
        <v/>
      </c>
      <c r="BQ102" s="126" t="str">
        <f>IF('Finalterm OVPAA-F-INS-055A RAW '!BQ102="","",'Finalterm OVPAA-F-INS-055A RAW '!BQ102/'Finalterm OVPAA-F-INS-055A RAW '!BQ$17*100)</f>
        <v/>
      </c>
      <c r="BR102" s="126" t="str">
        <f>IF('Finalterm OVPAA-F-INS-055A RAW '!BR102="","",'Finalterm OVPAA-F-INS-055A RAW '!BR102/'Finalterm OVPAA-F-INS-055A RAW '!BR$17*100)</f>
        <v/>
      </c>
      <c r="BS102" s="126" t="str">
        <f>IF('Finalterm OVPAA-F-INS-055A RAW '!BS102="","",'Finalterm OVPAA-F-INS-055A RAW '!BS102/'Finalterm OVPAA-F-INS-055A RAW '!BS$17*100)</f>
        <v/>
      </c>
      <c r="BT102" s="126" t="str">
        <f>IF('Finalterm OVPAA-F-INS-055A RAW '!BT102="","",'Finalterm OVPAA-F-INS-055A RAW '!BT102/'Finalterm OVPAA-F-INS-055A RAW '!BT$17*100)</f>
        <v/>
      </c>
      <c r="BU102" s="127" t="str">
        <f t="array" ref="BU102">IF('Finalterm OVPAA-F-INS-055A RAW '!$G102="","",IF((SUMPRODUCT(--ISBLANK('Finalterm OVPAA-F-INS-055A RAW '!H102:BT102))=COLUMNS('Finalterm OVPAA-F-INS-055A RAW '!H102:BT102))=TRUE,"",(((COUNTA('Finalterm OVPAA-F-INS-055A RAW '!$H$17:$BT$17)+COUNTBLANK('Finalterm OVPAA-F-INS-055A RAW '!H102:BT102))-COLUMNS('Finalterm OVPAA-F-INS-055A RAW '!H102:BT102))*5+SUM(H102:BT102))/COUNTA('Finalterm OVPAA-F-INS-055A RAW '!$H$17:$BT$17)))</f>
        <v/>
      </c>
      <c r="BV102" s="165" t="str">
        <f>IF(BU102="","",VLOOKUP(BU102,IF('Midterm OVPAA-F-INS-055A RAW SC'!$V$12=0.5,TRANSMUTATION!$C$4:$D$17,TRANSMUTATION!$G$4:$H$17),2,TRUE))</f>
        <v/>
      </c>
      <c r="BW102" s="129" t="str">
        <f>IF('Finalterm OVPAA-F-INS-055A RAW '!BU102="","",'Finalterm OVPAA-F-INS-055A RAW '!BU102/'Finalterm OVPAA-F-INS-055A RAW '!BU$17*100)</f>
        <v/>
      </c>
      <c r="BX102" s="130" t="str">
        <f>IF('Finalterm OVPAA-F-INS-055A RAW '!BV102="","",'Finalterm OVPAA-F-INS-055A RAW '!BV102/'Finalterm OVPAA-F-INS-055A RAW '!BV$17*100)</f>
        <v/>
      </c>
      <c r="BY102" s="130" t="str">
        <f>IF('Finalterm OVPAA-F-INS-055A RAW '!BW102="","",'Finalterm OVPAA-F-INS-055A RAW '!BW102/'Finalterm OVPAA-F-INS-055A RAW '!BW$17*100)</f>
        <v/>
      </c>
      <c r="BZ102" s="130" t="str">
        <f>IF('Finalterm OVPAA-F-INS-055A RAW '!BX102="","",'Finalterm OVPAA-F-INS-055A RAW '!BX102/'Finalterm OVPAA-F-INS-055A RAW '!BX$17*100)</f>
        <v/>
      </c>
      <c r="CA102" s="130" t="str">
        <f>IF('Finalterm OVPAA-F-INS-055A RAW '!BY102="","",'Finalterm OVPAA-F-INS-055A RAW '!BY102/'Finalterm OVPAA-F-INS-055A RAW '!BY$17*100)</f>
        <v/>
      </c>
      <c r="CB102" s="130" t="str">
        <f>IF('Finalterm OVPAA-F-INS-055A RAW '!BZ102="","",'Finalterm OVPAA-F-INS-055A RAW '!BZ102/'Finalterm OVPAA-F-INS-055A RAW '!BZ$17*100)</f>
        <v/>
      </c>
      <c r="CC102" s="130" t="str">
        <f>IF('Finalterm OVPAA-F-INS-055A RAW '!CA102="","",'Finalterm OVPAA-F-INS-055A RAW '!CA102/'Finalterm OVPAA-F-INS-055A RAW '!CA$17*100)</f>
        <v/>
      </c>
      <c r="CD102" s="130" t="str">
        <f>IF('Finalterm OVPAA-F-INS-055A RAW '!CB102="","",'Finalterm OVPAA-F-INS-055A RAW '!CB102/'Finalterm OVPAA-F-INS-055A RAW '!CB$17*100)</f>
        <v/>
      </c>
      <c r="CE102" s="130" t="str">
        <f>IF('Finalterm OVPAA-F-INS-055A RAW '!CC102="","",'Finalterm OVPAA-F-INS-055A RAW '!CC102/'Finalterm OVPAA-F-INS-055A RAW '!CC$17*100)</f>
        <v/>
      </c>
      <c r="CF102" s="130" t="str">
        <f>IF('Finalterm OVPAA-F-INS-055A RAW '!CD102="","",'Finalterm OVPAA-F-INS-055A RAW '!CD102/'Finalterm OVPAA-F-INS-055A RAW '!CD$17*100)</f>
        <v/>
      </c>
      <c r="CG102" s="130" t="str">
        <f>IF('Finalterm OVPAA-F-INS-055A RAW '!CE102="","",'Finalterm OVPAA-F-INS-055A RAW '!CE102/'Finalterm OVPAA-F-INS-055A RAW '!CE$17*100)</f>
        <v/>
      </c>
      <c r="CH102" s="130" t="str">
        <f>IF('Finalterm OVPAA-F-INS-055A RAW '!CF102="","",'Finalterm OVPAA-F-INS-055A RAW '!CF102/'Finalterm OVPAA-F-INS-055A RAW '!CF$17*100)</f>
        <v/>
      </c>
      <c r="CI102" s="130" t="str">
        <f>IF('Finalterm OVPAA-F-INS-055A RAW '!CG102="","",'Finalterm OVPAA-F-INS-055A RAW '!CG102/'Finalterm OVPAA-F-INS-055A RAW '!CG$17*100)</f>
        <v/>
      </c>
      <c r="CJ102" s="130" t="str">
        <f>IF('Finalterm OVPAA-F-INS-055A RAW '!CH102="","",'Finalterm OVPAA-F-INS-055A RAW '!CH102/'Finalterm OVPAA-F-INS-055A RAW '!CH$17*100)</f>
        <v/>
      </c>
      <c r="CK102" s="130" t="str">
        <f>IF('Finalterm OVPAA-F-INS-055A RAW '!CI102="","",'Finalterm OVPAA-F-INS-055A RAW '!CI102/'Finalterm OVPAA-F-INS-055A RAW '!CI$17*100)</f>
        <v/>
      </c>
      <c r="CL102" s="130" t="str">
        <f>IF('Finalterm OVPAA-F-INS-055A RAW '!CJ102="","",'Finalterm OVPAA-F-INS-055A RAW '!CJ102/'Finalterm OVPAA-F-INS-055A RAW '!CJ$17*100)</f>
        <v/>
      </c>
      <c r="CM102" s="130" t="str">
        <f>IF('Finalterm OVPAA-F-INS-055A RAW '!CK102="","",'Finalterm OVPAA-F-INS-055A RAW '!CK102/'Finalterm OVPAA-F-INS-055A RAW '!CK$17*100)</f>
        <v/>
      </c>
      <c r="CN102" s="130" t="str">
        <f>IF('Finalterm OVPAA-F-INS-055A RAW '!CL102="","",'Finalterm OVPAA-F-INS-055A RAW '!CL102/'Finalterm OVPAA-F-INS-055A RAW '!CL$17*100)</f>
        <v/>
      </c>
      <c r="CO102" s="130" t="str">
        <f>IF('Finalterm OVPAA-F-INS-055A RAW '!CM102="","",'Finalterm OVPAA-F-INS-055A RAW '!CM102/'Finalterm OVPAA-F-INS-055A RAW '!CM$17*100)</f>
        <v/>
      </c>
      <c r="CP102" s="130" t="str">
        <f>IF('Finalterm OVPAA-F-INS-055A RAW '!CN102="","",'Finalterm OVPAA-F-INS-055A RAW '!CN102/'Finalterm OVPAA-F-INS-055A RAW '!CN$17*100)</f>
        <v/>
      </c>
      <c r="CQ102" s="131" t="str">
        <f t="array" ref="CQ102">IF('Midterm OVPAA-F-INS-055A RAW SC'!G102="","",IF((SUMPRODUCT(--ISBLANK('Finalterm OVPAA-F-INS-055A RAW '!BU102:CN102))=COLUMNS('Finalterm OVPAA-F-INS-055A RAW '!BU102:CN102))=TRUE,"",(((COUNTA('Finalterm OVPAA-F-INS-055A RAW '!$BU$17:$CN$17)+COUNTBLANK('Finalterm OVPAA-F-INS-055A RAW '!BU102:CN102))-COLUMNS('Finalterm OVPAA-F-INS-055A RAW '!BU102:CN102))*5+SUM(BW102:CP102))/COUNTA('Finalterm OVPAA-F-INS-055A RAW '!$BU$17:$CN$17)))</f>
        <v/>
      </c>
      <c r="CR102" s="132" t="str">
        <f>IF(CQ102="","",VLOOKUP(CQ102,IF('Midterm OVPAA-F-INS-055A RAW SC'!$V$12=0.5,TRANSMUTATION!$C$4:$D$17,TRANSMUTATION!$G$4:$H$17),2,TRUE))</f>
        <v/>
      </c>
      <c r="CS102" s="133" t="str">
        <f>IF('Finalterm OVPAA-F-INS-055A RAW '!CO102="","",'Finalterm OVPAA-F-INS-055A RAW '!CO102/'Finalterm OVPAA-F-INS-055A RAW '!CO$17*100)</f>
        <v/>
      </c>
      <c r="CT102" s="133" t="str">
        <f>IF('Finalterm OVPAA-F-INS-055A RAW '!CP102="","",'Finalterm OVPAA-F-INS-055A RAW '!CP102/'Finalterm OVPAA-F-INS-055A RAW '!CP$17*100)</f>
        <v/>
      </c>
      <c r="CU102" s="133" t="str">
        <f>IF('Finalterm OVPAA-F-INS-055A RAW '!CQ102="","",'Finalterm OVPAA-F-INS-055A RAW '!CQ102/'Finalterm OVPAA-F-INS-055A RAW '!CQ$17*100)</f>
        <v/>
      </c>
      <c r="CV102" s="133" t="str">
        <f>IF('Finalterm OVPAA-F-INS-055A RAW '!CR102="","",'Finalterm OVPAA-F-INS-055A RAW '!CR102/'Finalterm OVPAA-F-INS-055A RAW '!CR$17*100)</f>
        <v/>
      </c>
      <c r="CW102" s="133" t="str">
        <f>IF('Finalterm OVPAA-F-INS-055A RAW '!CS102="","",'Finalterm OVPAA-F-INS-055A RAW '!CS102/'Finalterm OVPAA-F-INS-055A RAW '!CS$17*100)</f>
        <v/>
      </c>
      <c r="CX102" s="133" t="str">
        <f>IF('Finalterm OVPAA-F-INS-055A RAW '!CT102="","",'Finalterm OVPAA-F-INS-055A RAW '!CT102/'Finalterm OVPAA-F-INS-055A RAW '!CT$17*100)</f>
        <v/>
      </c>
      <c r="CY102" s="133" t="str">
        <f>IF('Finalterm OVPAA-F-INS-055A RAW '!CU102="","",'Finalterm OVPAA-F-INS-055A RAW '!CU102/'Finalterm OVPAA-F-INS-055A RAW '!CU$17*100)</f>
        <v/>
      </c>
      <c r="CZ102" s="133" t="str">
        <f>IF('Finalterm OVPAA-F-INS-055A RAW '!CV102="","",'Finalterm OVPAA-F-INS-055A RAW '!CV102/'Finalterm OVPAA-F-INS-055A RAW '!CV$17*100)</f>
        <v/>
      </c>
      <c r="DA102" s="133" t="str">
        <f>IF('Finalterm OVPAA-F-INS-055A RAW '!CW102="","",'Finalterm OVPAA-F-INS-055A RAW '!CW102/'Finalterm OVPAA-F-INS-055A RAW '!CW$17*100)</f>
        <v/>
      </c>
      <c r="DB102" s="133" t="str">
        <f>IF('Finalterm OVPAA-F-INS-055A RAW '!CX102="","",'Finalterm OVPAA-F-INS-055A RAW '!CX102/'Finalterm OVPAA-F-INS-055A RAW '!CX$17*100)</f>
        <v/>
      </c>
      <c r="DC102" s="134" t="str">
        <f t="array" ref="DC102">IF('Midterm OVPAA-F-INS-055A RAW SC'!$G102="","",IF((SUMPRODUCT(--ISBLANK('Finalterm OVPAA-F-INS-055A RAW '!CO102:CX102))=COLUMNS('Finalterm OVPAA-F-INS-055A RAW '!CO102:CX102))=TRUE,"",(((COUNTA('Finalterm OVPAA-F-INS-055A RAW '!$CO$17:$CX$17)+COUNTBLANK('Finalterm OVPAA-F-INS-055A RAW '!CO102:CX102))-COLUMNS('Finalterm OVPAA-F-INS-055A RAW '!CO102:CX102))*5+SUM(CS102:DB102))/COUNTA('Finalterm OVPAA-F-INS-055A RAW '!$CO$17:$CX$17)))</f>
        <v/>
      </c>
      <c r="DD102" s="135" t="str">
        <f>IF(DC102="","",VLOOKUP(DC102,IF('Midterm OVPAA-F-INS-055A RAW SC'!$V$12=0.5,TRANSMUTATION!$C$4:$D$17,TRANSMUTATION!$G$4:$H$17),2,TRUE))</f>
        <v/>
      </c>
      <c r="DE102" s="136" t="str">
        <f t="shared" si="1"/>
        <v/>
      </c>
      <c r="DF102" s="166" t="str">
        <f t="shared" si="2"/>
        <v/>
      </c>
      <c r="DG102" s="167" t="str">
        <f t="shared" si="3"/>
        <v/>
      </c>
      <c r="DH102" s="168" t="str">
        <f t="shared" si="4"/>
        <v/>
      </c>
      <c r="DI102" s="169" t="str">
        <f t="shared" si="5"/>
        <v/>
      </c>
    </row>
    <row r="103" spans="1:113" ht="15.75" hidden="1" customHeight="1">
      <c r="A103" s="5"/>
      <c r="B103" s="5"/>
      <c r="C103" s="5"/>
      <c r="D103" s="5"/>
      <c r="E103" s="59">
        <v>86</v>
      </c>
      <c r="F103" s="124" t="str">
        <f>IF(NOT(ISBLANK('Midterm OVPAA-F-INS-055A RAW SC'!F103)),'Midterm OVPAA-F-INS-055A RAW SC'!F103,"")</f>
        <v/>
      </c>
      <c r="G103" s="125" t="str">
        <f>IF(NOT(ISBLANK('Midterm OVPAA-F-INS-055A RAW SC'!G103)),'Midterm OVPAA-F-INS-055A RAW SC'!G103,"")</f>
        <v/>
      </c>
      <c r="H103" s="126" t="str">
        <f>IF('Finalterm OVPAA-F-INS-055A RAW '!H103="","",'Finalterm OVPAA-F-INS-055A RAW '!H103/'Finalterm OVPAA-F-INS-055A RAW '!H$17*100)</f>
        <v/>
      </c>
      <c r="I103" s="126" t="str">
        <f>IF('Finalterm OVPAA-F-INS-055A RAW '!I103="","",'Finalterm OVPAA-F-INS-055A RAW '!I103/'Finalterm OVPAA-F-INS-055A RAW '!I$17*100)</f>
        <v/>
      </c>
      <c r="J103" s="126" t="str">
        <f>IF('Finalterm OVPAA-F-INS-055A RAW '!J103="","",'Finalterm OVPAA-F-INS-055A RAW '!J103/'Finalterm OVPAA-F-INS-055A RAW '!J$17*100)</f>
        <v/>
      </c>
      <c r="K103" s="126" t="str">
        <f>IF('Finalterm OVPAA-F-INS-055A RAW '!K103="","",'Finalterm OVPAA-F-INS-055A RAW '!K103/'Finalterm OVPAA-F-INS-055A RAW '!K$17*100)</f>
        <v/>
      </c>
      <c r="L103" s="126" t="str">
        <f>IF('Finalterm OVPAA-F-INS-055A RAW '!L103="","",'Finalterm OVPAA-F-INS-055A RAW '!L103/'Finalterm OVPAA-F-INS-055A RAW '!L$17*100)</f>
        <v/>
      </c>
      <c r="M103" s="126" t="str">
        <f>IF('Finalterm OVPAA-F-INS-055A RAW '!M103="","",'Finalterm OVPAA-F-INS-055A RAW '!M103/'Finalterm OVPAA-F-INS-055A RAW '!M$17*100)</f>
        <v/>
      </c>
      <c r="N103" s="126" t="str">
        <f>IF('Finalterm OVPAA-F-INS-055A RAW '!N103="","",'Finalterm OVPAA-F-INS-055A RAW '!N103/'Finalterm OVPAA-F-INS-055A RAW '!N$17*100)</f>
        <v/>
      </c>
      <c r="O103" s="126" t="str">
        <f>IF('Finalterm OVPAA-F-INS-055A RAW '!O103="","",'Finalterm OVPAA-F-INS-055A RAW '!O103/'Finalterm OVPAA-F-INS-055A RAW '!O$17*100)</f>
        <v/>
      </c>
      <c r="P103" s="126" t="str">
        <f>IF('Finalterm OVPAA-F-INS-055A RAW '!P103="","",'Finalterm OVPAA-F-INS-055A RAW '!P103/'Finalterm OVPAA-F-INS-055A RAW '!P$17*100)</f>
        <v/>
      </c>
      <c r="Q103" s="126" t="str">
        <f>IF('Finalterm OVPAA-F-INS-055A RAW '!Q103="","",'Finalterm OVPAA-F-INS-055A RAW '!Q103/'Finalterm OVPAA-F-INS-055A RAW '!Q$17*100)</f>
        <v/>
      </c>
      <c r="R103" s="126" t="str">
        <f>IF('Finalterm OVPAA-F-INS-055A RAW '!R103="","",'Finalterm OVPAA-F-INS-055A RAW '!R103/'Finalterm OVPAA-F-INS-055A RAW '!R$17*100)</f>
        <v/>
      </c>
      <c r="S103" s="126" t="str">
        <f>IF('Finalterm OVPAA-F-INS-055A RAW '!S103="","",'Finalterm OVPAA-F-INS-055A RAW '!S103/'Finalterm OVPAA-F-INS-055A RAW '!S$17*100)</f>
        <v/>
      </c>
      <c r="T103" s="126" t="str">
        <f>IF('Finalterm OVPAA-F-INS-055A RAW '!T103="","",'Finalterm OVPAA-F-INS-055A RAW '!T103/'Finalterm OVPAA-F-INS-055A RAW '!T$17*100)</f>
        <v/>
      </c>
      <c r="U103" s="126" t="str">
        <f>IF('Finalterm OVPAA-F-INS-055A RAW '!U103="","",'Finalterm OVPAA-F-INS-055A RAW '!U103/'Finalterm OVPAA-F-INS-055A RAW '!U$17*100)</f>
        <v/>
      </c>
      <c r="V103" s="126" t="str">
        <f>IF('Finalterm OVPAA-F-INS-055A RAW '!V103="","",'Finalterm OVPAA-F-INS-055A RAW '!V103/'Finalterm OVPAA-F-INS-055A RAW '!V$17*100)</f>
        <v/>
      </c>
      <c r="W103" s="126" t="str">
        <f>IF('Finalterm OVPAA-F-INS-055A RAW '!W103="","",'Finalterm OVPAA-F-INS-055A RAW '!W103/'Finalterm OVPAA-F-INS-055A RAW '!W$17*100)</f>
        <v/>
      </c>
      <c r="X103" s="126" t="str">
        <f>IF('Finalterm OVPAA-F-INS-055A RAW '!X103="","",'Finalterm OVPAA-F-INS-055A RAW '!X103/'Finalterm OVPAA-F-INS-055A RAW '!X$17*100)</f>
        <v/>
      </c>
      <c r="Y103" s="126" t="str">
        <f>IF('Finalterm OVPAA-F-INS-055A RAW '!Y103="","",'Finalterm OVPAA-F-INS-055A RAW '!Y103/'Finalterm OVPAA-F-INS-055A RAW '!Y$17*100)</f>
        <v/>
      </c>
      <c r="Z103" s="126" t="str">
        <f>IF('Finalterm OVPAA-F-INS-055A RAW '!Z103="","",'Finalterm OVPAA-F-INS-055A RAW '!Z103/'Finalterm OVPAA-F-INS-055A RAW '!Z$17*100)</f>
        <v/>
      </c>
      <c r="AA103" s="126" t="str">
        <f>IF('Finalterm OVPAA-F-INS-055A RAW '!AA103="","",'Finalterm OVPAA-F-INS-055A RAW '!AA103/'Finalterm OVPAA-F-INS-055A RAW '!AA$17*100)</f>
        <v/>
      </c>
      <c r="AB103" s="126" t="str">
        <f>IF('Finalterm OVPAA-F-INS-055A RAW '!AB103="","",'Finalterm OVPAA-F-INS-055A RAW '!AB103/'Finalterm OVPAA-F-INS-055A RAW '!AB$17*100)</f>
        <v/>
      </c>
      <c r="AC103" s="126" t="str">
        <f>IF('Finalterm OVPAA-F-INS-055A RAW '!AC103="","",'Finalterm OVPAA-F-INS-055A RAW '!AC103/'Finalterm OVPAA-F-INS-055A RAW '!AC$17*100)</f>
        <v/>
      </c>
      <c r="AD103" s="126" t="str">
        <f>IF('Finalterm OVPAA-F-INS-055A RAW '!AD103="","",'Finalterm OVPAA-F-INS-055A RAW '!AD103/'Finalterm OVPAA-F-INS-055A RAW '!AD$17*100)</f>
        <v/>
      </c>
      <c r="AE103" s="126" t="str">
        <f>IF('Finalterm OVPAA-F-INS-055A RAW '!AE103="","",'Finalterm OVPAA-F-INS-055A RAW '!AE103/'Finalterm OVPAA-F-INS-055A RAW '!AE$17*100)</f>
        <v/>
      </c>
      <c r="AF103" s="126" t="str">
        <f>IF('Finalterm OVPAA-F-INS-055A RAW '!AF103="","",'Finalterm OVPAA-F-INS-055A RAW '!AF103/'Finalterm OVPAA-F-INS-055A RAW '!AF$17*100)</f>
        <v/>
      </c>
      <c r="AG103" s="126" t="str">
        <f>IF('Finalterm OVPAA-F-INS-055A RAW '!AG103="","",'Finalterm OVPAA-F-INS-055A RAW '!AG103/'Finalterm OVPAA-F-INS-055A RAW '!AG$17*100)</f>
        <v/>
      </c>
      <c r="AH103" s="126" t="str">
        <f>IF('Finalterm OVPAA-F-INS-055A RAW '!AH103="","",'Finalterm OVPAA-F-INS-055A RAW '!AH103/'Finalterm OVPAA-F-INS-055A RAW '!AH$17*100)</f>
        <v/>
      </c>
      <c r="AI103" s="126" t="str">
        <f>IF('Finalterm OVPAA-F-INS-055A RAW '!AI103="","",'Finalterm OVPAA-F-INS-055A RAW '!AI103/'Finalterm OVPAA-F-INS-055A RAW '!AI$17*100)</f>
        <v/>
      </c>
      <c r="AJ103" s="126" t="str">
        <f>IF('Finalterm OVPAA-F-INS-055A RAW '!AJ103="","",'Finalterm OVPAA-F-INS-055A RAW '!AJ103/'Finalterm OVPAA-F-INS-055A RAW '!AJ$17*100)</f>
        <v/>
      </c>
      <c r="AK103" s="126" t="str">
        <f>IF('Finalterm OVPAA-F-INS-055A RAW '!AK103="","",'Finalterm OVPAA-F-INS-055A RAW '!AK103/'Finalterm OVPAA-F-INS-055A RAW '!AK$17*100)</f>
        <v/>
      </c>
      <c r="AL103" s="126" t="str">
        <f>IF('Finalterm OVPAA-F-INS-055A RAW '!AL103="","",'Finalterm OVPAA-F-INS-055A RAW '!AL103/'Finalterm OVPAA-F-INS-055A RAW '!AL$17*100)</f>
        <v/>
      </c>
      <c r="AM103" s="126" t="str">
        <f>IF('Finalterm OVPAA-F-INS-055A RAW '!AM103="","",'Finalterm OVPAA-F-INS-055A RAW '!AM103/'Finalterm OVPAA-F-INS-055A RAW '!AM$17*100)</f>
        <v/>
      </c>
      <c r="AN103" s="126" t="str">
        <f>IF('Finalterm OVPAA-F-INS-055A RAW '!AN103="","",'Finalterm OVPAA-F-INS-055A RAW '!AN103/'Finalterm OVPAA-F-INS-055A RAW '!AN$17*100)</f>
        <v/>
      </c>
      <c r="AO103" s="126" t="str">
        <f>IF('Finalterm OVPAA-F-INS-055A RAW '!AO103="","",'Finalterm OVPAA-F-INS-055A RAW '!AO103/'Finalterm OVPAA-F-INS-055A RAW '!AO$17*100)</f>
        <v/>
      </c>
      <c r="AP103" s="126" t="str">
        <f>IF('Finalterm OVPAA-F-INS-055A RAW '!AP103="","",'Finalterm OVPAA-F-INS-055A RAW '!AP103/'Finalterm OVPAA-F-INS-055A RAW '!AP$17*100)</f>
        <v/>
      </c>
      <c r="AQ103" s="126" t="str">
        <f>IF('Finalterm OVPAA-F-INS-055A RAW '!AQ103="","",'Finalterm OVPAA-F-INS-055A RAW '!AQ103/'Finalterm OVPAA-F-INS-055A RAW '!AQ$17*100)</f>
        <v/>
      </c>
      <c r="AR103" s="126" t="str">
        <f>IF('Finalterm OVPAA-F-INS-055A RAW '!AR103="","",'Finalterm OVPAA-F-INS-055A RAW '!AR103/'Finalterm OVPAA-F-INS-055A RAW '!AR$17*100)</f>
        <v/>
      </c>
      <c r="AS103" s="126" t="str">
        <f>IF('Finalterm OVPAA-F-INS-055A RAW '!AS103="","",'Finalterm OVPAA-F-INS-055A RAW '!AS103/'Finalterm OVPAA-F-INS-055A RAW '!AS$17*100)</f>
        <v/>
      </c>
      <c r="AT103" s="126" t="str">
        <f>IF('Finalterm OVPAA-F-INS-055A RAW '!AT103="","",'Finalterm OVPAA-F-INS-055A RAW '!AT103/'Finalterm OVPAA-F-INS-055A RAW '!AT$17*100)</f>
        <v/>
      </c>
      <c r="AU103" s="126" t="str">
        <f>IF('Finalterm OVPAA-F-INS-055A RAW '!AU103="","",'Finalterm OVPAA-F-INS-055A RAW '!AU103/'Finalterm OVPAA-F-INS-055A RAW '!AU$17*100)</f>
        <v/>
      </c>
      <c r="AV103" s="126" t="str">
        <f>IF('Finalterm OVPAA-F-INS-055A RAW '!AV103="","",'Finalterm OVPAA-F-INS-055A RAW '!AV103/'Finalterm OVPAA-F-INS-055A RAW '!AV$17*100)</f>
        <v/>
      </c>
      <c r="AW103" s="126" t="str">
        <f>IF('Finalterm OVPAA-F-INS-055A RAW '!AW103="","",'Finalterm OVPAA-F-INS-055A RAW '!AW103/'Finalterm OVPAA-F-INS-055A RAW '!AW$17*100)</f>
        <v/>
      </c>
      <c r="AX103" s="126" t="str">
        <f>IF('Finalterm OVPAA-F-INS-055A RAW '!AX103="","",'Finalterm OVPAA-F-INS-055A RAW '!AX103/'Finalterm OVPAA-F-INS-055A RAW '!AX$17*100)</f>
        <v/>
      </c>
      <c r="AY103" s="126" t="str">
        <f>IF('Finalterm OVPAA-F-INS-055A RAW '!AY103="","",'Finalterm OVPAA-F-INS-055A RAW '!AY103/'Finalterm OVPAA-F-INS-055A RAW '!AY$17*100)</f>
        <v/>
      </c>
      <c r="AZ103" s="126" t="str">
        <f>IF('Finalterm OVPAA-F-INS-055A RAW '!AZ103="","",'Finalterm OVPAA-F-INS-055A RAW '!AZ103/'Finalterm OVPAA-F-INS-055A RAW '!AZ$17*100)</f>
        <v/>
      </c>
      <c r="BA103" s="126" t="str">
        <f>IF('Finalterm OVPAA-F-INS-055A RAW '!BA103="","",'Finalterm OVPAA-F-INS-055A RAW '!BA103/'Finalterm OVPAA-F-INS-055A RAW '!BA$17*100)</f>
        <v/>
      </c>
      <c r="BB103" s="126" t="str">
        <f>IF('Finalterm OVPAA-F-INS-055A RAW '!BB103="","",'Finalterm OVPAA-F-INS-055A RAW '!BB103/'Finalterm OVPAA-F-INS-055A RAW '!BB$17*100)</f>
        <v/>
      </c>
      <c r="BC103" s="126" t="str">
        <f>IF('Finalterm OVPAA-F-INS-055A RAW '!BC103="","",'Finalterm OVPAA-F-INS-055A RAW '!BC103/'Finalterm OVPAA-F-INS-055A RAW '!BC$17*100)</f>
        <v/>
      </c>
      <c r="BD103" s="126" t="str">
        <f>IF('Finalterm OVPAA-F-INS-055A RAW '!BD103="","",'Finalterm OVPAA-F-INS-055A RAW '!BD103/'Finalterm OVPAA-F-INS-055A RAW '!BD$17*100)</f>
        <v/>
      </c>
      <c r="BE103" s="126" t="str">
        <f>IF('Finalterm OVPAA-F-INS-055A RAW '!BE103="","",'Finalterm OVPAA-F-INS-055A RAW '!BE103/'Finalterm OVPAA-F-INS-055A RAW '!BE$17*100)</f>
        <v/>
      </c>
      <c r="BF103" s="126" t="str">
        <f>IF('Finalterm OVPAA-F-INS-055A RAW '!BF103="","",'Finalterm OVPAA-F-INS-055A RAW '!BF103/'Finalterm OVPAA-F-INS-055A RAW '!BF$17*100)</f>
        <v/>
      </c>
      <c r="BG103" s="126" t="str">
        <f>IF('Finalterm OVPAA-F-INS-055A RAW '!BG103="","",'Finalterm OVPAA-F-INS-055A RAW '!BG103/'Finalterm OVPAA-F-INS-055A RAW '!BG$17*100)</f>
        <v/>
      </c>
      <c r="BH103" s="126" t="str">
        <f>IF('Finalterm OVPAA-F-INS-055A RAW '!BH103="","",'Finalterm OVPAA-F-INS-055A RAW '!BH103/'Finalterm OVPAA-F-INS-055A RAW '!BH$17*100)</f>
        <v/>
      </c>
      <c r="BI103" s="126" t="str">
        <f>IF('Finalterm OVPAA-F-INS-055A RAW '!BI103="","",'Finalterm OVPAA-F-INS-055A RAW '!BI103/'Finalterm OVPAA-F-INS-055A RAW '!BI$17*100)</f>
        <v/>
      </c>
      <c r="BJ103" s="126" t="str">
        <f>IF('Finalterm OVPAA-F-INS-055A RAW '!BJ103="","",'Finalterm OVPAA-F-INS-055A RAW '!BJ103/'Finalterm OVPAA-F-INS-055A RAW '!BJ$17*100)</f>
        <v/>
      </c>
      <c r="BK103" s="126" t="str">
        <f>IF('Finalterm OVPAA-F-INS-055A RAW '!BK103="","",'Finalterm OVPAA-F-INS-055A RAW '!BK103/'Finalterm OVPAA-F-INS-055A RAW '!BK$17*100)</f>
        <v/>
      </c>
      <c r="BL103" s="126" t="str">
        <f>IF('Finalterm OVPAA-F-INS-055A RAW '!BL103="","",'Finalterm OVPAA-F-INS-055A RAW '!BL103/'Finalterm OVPAA-F-INS-055A RAW '!BL$17*100)</f>
        <v/>
      </c>
      <c r="BM103" s="126" t="str">
        <f>IF('Finalterm OVPAA-F-INS-055A RAW '!BM103="","",'Finalterm OVPAA-F-INS-055A RAW '!BM103/'Finalterm OVPAA-F-INS-055A RAW '!BM$17*100)</f>
        <v/>
      </c>
      <c r="BN103" s="126" t="str">
        <f>IF('Finalterm OVPAA-F-INS-055A RAW '!BN103="","",'Finalterm OVPAA-F-INS-055A RAW '!BN103/'Finalterm OVPAA-F-INS-055A RAW '!BN$17*100)</f>
        <v/>
      </c>
      <c r="BO103" s="126" t="str">
        <f>IF('Finalterm OVPAA-F-INS-055A RAW '!BO103="","",'Finalterm OVPAA-F-INS-055A RAW '!BO103/'Finalterm OVPAA-F-INS-055A RAW '!BO$17*100)</f>
        <v/>
      </c>
      <c r="BP103" s="126" t="str">
        <f>IF('Finalterm OVPAA-F-INS-055A RAW '!BP103="","",'Finalterm OVPAA-F-INS-055A RAW '!BP103/'Finalterm OVPAA-F-INS-055A RAW '!BP$17*100)</f>
        <v/>
      </c>
      <c r="BQ103" s="126" t="str">
        <f>IF('Finalterm OVPAA-F-INS-055A RAW '!BQ103="","",'Finalterm OVPAA-F-INS-055A RAW '!BQ103/'Finalterm OVPAA-F-INS-055A RAW '!BQ$17*100)</f>
        <v/>
      </c>
      <c r="BR103" s="126" t="str">
        <f>IF('Finalterm OVPAA-F-INS-055A RAW '!BR103="","",'Finalterm OVPAA-F-INS-055A RAW '!BR103/'Finalterm OVPAA-F-INS-055A RAW '!BR$17*100)</f>
        <v/>
      </c>
      <c r="BS103" s="126" t="str">
        <f>IF('Finalterm OVPAA-F-INS-055A RAW '!BS103="","",'Finalterm OVPAA-F-INS-055A RAW '!BS103/'Finalterm OVPAA-F-INS-055A RAW '!BS$17*100)</f>
        <v/>
      </c>
      <c r="BT103" s="126" t="str">
        <f>IF('Finalterm OVPAA-F-INS-055A RAW '!BT103="","",'Finalterm OVPAA-F-INS-055A RAW '!BT103/'Finalterm OVPAA-F-INS-055A RAW '!BT$17*100)</f>
        <v/>
      </c>
      <c r="BU103" s="127" t="str">
        <f t="array" ref="BU103">IF('Finalterm OVPAA-F-INS-055A RAW '!$G103="","",IF((SUMPRODUCT(--ISBLANK('Finalterm OVPAA-F-INS-055A RAW '!H103:BT103))=COLUMNS('Finalterm OVPAA-F-INS-055A RAW '!H103:BT103))=TRUE,"",(((COUNTA('Finalterm OVPAA-F-INS-055A RAW '!$H$17:$BT$17)+COUNTBLANK('Finalterm OVPAA-F-INS-055A RAW '!H103:BT103))-COLUMNS('Finalterm OVPAA-F-INS-055A RAW '!H103:BT103))*5+SUM(H103:BT103))/COUNTA('Finalterm OVPAA-F-INS-055A RAW '!$H$17:$BT$17)))</f>
        <v/>
      </c>
      <c r="BV103" s="165" t="str">
        <f>IF(BU103="","",VLOOKUP(BU103,IF('Midterm OVPAA-F-INS-055A RAW SC'!$V$12=0.5,TRANSMUTATION!$C$4:$D$17,TRANSMUTATION!$G$4:$H$17),2,TRUE))</f>
        <v/>
      </c>
      <c r="BW103" s="129" t="str">
        <f>IF('Finalterm OVPAA-F-INS-055A RAW '!BU103="","",'Finalterm OVPAA-F-INS-055A RAW '!BU103/'Finalterm OVPAA-F-INS-055A RAW '!BU$17*100)</f>
        <v/>
      </c>
      <c r="BX103" s="130" t="str">
        <f>IF('Finalterm OVPAA-F-INS-055A RAW '!BV103="","",'Finalterm OVPAA-F-INS-055A RAW '!BV103/'Finalterm OVPAA-F-INS-055A RAW '!BV$17*100)</f>
        <v/>
      </c>
      <c r="BY103" s="130" t="str">
        <f>IF('Finalterm OVPAA-F-INS-055A RAW '!BW103="","",'Finalterm OVPAA-F-INS-055A RAW '!BW103/'Finalterm OVPAA-F-INS-055A RAW '!BW$17*100)</f>
        <v/>
      </c>
      <c r="BZ103" s="130" t="str">
        <f>IF('Finalterm OVPAA-F-INS-055A RAW '!BX103="","",'Finalterm OVPAA-F-INS-055A RAW '!BX103/'Finalterm OVPAA-F-INS-055A RAW '!BX$17*100)</f>
        <v/>
      </c>
      <c r="CA103" s="130" t="str">
        <f>IF('Finalterm OVPAA-F-INS-055A RAW '!BY103="","",'Finalterm OVPAA-F-INS-055A RAW '!BY103/'Finalterm OVPAA-F-INS-055A RAW '!BY$17*100)</f>
        <v/>
      </c>
      <c r="CB103" s="130" t="str">
        <f>IF('Finalterm OVPAA-F-INS-055A RAW '!BZ103="","",'Finalterm OVPAA-F-INS-055A RAW '!BZ103/'Finalterm OVPAA-F-INS-055A RAW '!BZ$17*100)</f>
        <v/>
      </c>
      <c r="CC103" s="130" t="str">
        <f>IF('Finalterm OVPAA-F-INS-055A RAW '!CA103="","",'Finalterm OVPAA-F-INS-055A RAW '!CA103/'Finalterm OVPAA-F-INS-055A RAW '!CA$17*100)</f>
        <v/>
      </c>
      <c r="CD103" s="130" t="str">
        <f>IF('Finalterm OVPAA-F-INS-055A RAW '!CB103="","",'Finalterm OVPAA-F-INS-055A RAW '!CB103/'Finalterm OVPAA-F-INS-055A RAW '!CB$17*100)</f>
        <v/>
      </c>
      <c r="CE103" s="130" t="str">
        <f>IF('Finalterm OVPAA-F-INS-055A RAW '!CC103="","",'Finalterm OVPAA-F-INS-055A RAW '!CC103/'Finalterm OVPAA-F-INS-055A RAW '!CC$17*100)</f>
        <v/>
      </c>
      <c r="CF103" s="130" t="str">
        <f>IF('Finalterm OVPAA-F-INS-055A RAW '!CD103="","",'Finalterm OVPAA-F-INS-055A RAW '!CD103/'Finalterm OVPAA-F-INS-055A RAW '!CD$17*100)</f>
        <v/>
      </c>
      <c r="CG103" s="130" t="str">
        <f>IF('Finalterm OVPAA-F-INS-055A RAW '!CE103="","",'Finalterm OVPAA-F-INS-055A RAW '!CE103/'Finalterm OVPAA-F-INS-055A RAW '!CE$17*100)</f>
        <v/>
      </c>
      <c r="CH103" s="130" t="str">
        <f>IF('Finalterm OVPAA-F-INS-055A RAW '!CF103="","",'Finalterm OVPAA-F-INS-055A RAW '!CF103/'Finalterm OVPAA-F-INS-055A RAW '!CF$17*100)</f>
        <v/>
      </c>
      <c r="CI103" s="130" t="str">
        <f>IF('Finalterm OVPAA-F-INS-055A RAW '!CG103="","",'Finalterm OVPAA-F-INS-055A RAW '!CG103/'Finalterm OVPAA-F-INS-055A RAW '!CG$17*100)</f>
        <v/>
      </c>
      <c r="CJ103" s="130" t="str">
        <f>IF('Finalterm OVPAA-F-INS-055A RAW '!CH103="","",'Finalterm OVPAA-F-INS-055A RAW '!CH103/'Finalterm OVPAA-F-INS-055A RAW '!CH$17*100)</f>
        <v/>
      </c>
      <c r="CK103" s="130" t="str">
        <f>IF('Finalterm OVPAA-F-INS-055A RAW '!CI103="","",'Finalterm OVPAA-F-INS-055A RAW '!CI103/'Finalterm OVPAA-F-INS-055A RAW '!CI$17*100)</f>
        <v/>
      </c>
      <c r="CL103" s="130" t="str">
        <f>IF('Finalterm OVPAA-F-INS-055A RAW '!CJ103="","",'Finalterm OVPAA-F-INS-055A RAW '!CJ103/'Finalterm OVPAA-F-INS-055A RAW '!CJ$17*100)</f>
        <v/>
      </c>
      <c r="CM103" s="130" t="str">
        <f>IF('Finalterm OVPAA-F-INS-055A RAW '!CK103="","",'Finalterm OVPAA-F-INS-055A RAW '!CK103/'Finalterm OVPAA-F-INS-055A RAW '!CK$17*100)</f>
        <v/>
      </c>
      <c r="CN103" s="130" t="str">
        <f>IF('Finalterm OVPAA-F-INS-055A RAW '!CL103="","",'Finalterm OVPAA-F-INS-055A RAW '!CL103/'Finalterm OVPAA-F-INS-055A RAW '!CL$17*100)</f>
        <v/>
      </c>
      <c r="CO103" s="130" t="str">
        <f>IF('Finalterm OVPAA-F-INS-055A RAW '!CM103="","",'Finalterm OVPAA-F-INS-055A RAW '!CM103/'Finalterm OVPAA-F-INS-055A RAW '!CM$17*100)</f>
        <v/>
      </c>
      <c r="CP103" s="130" t="str">
        <f>IF('Finalterm OVPAA-F-INS-055A RAW '!CN103="","",'Finalterm OVPAA-F-INS-055A RAW '!CN103/'Finalterm OVPAA-F-INS-055A RAW '!CN$17*100)</f>
        <v/>
      </c>
      <c r="CQ103" s="131" t="str">
        <f t="array" ref="CQ103">IF('Midterm OVPAA-F-INS-055A RAW SC'!G103="","",IF((SUMPRODUCT(--ISBLANK('Finalterm OVPAA-F-INS-055A RAW '!BU103:CN103))=COLUMNS('Finalterm OVPAA-F-INS-055A RAW '!BU103:CN103))=TRUE,"",(((COUNTA('Finalterm OVPAA-F-INS-055A RAW '!$BU$17:$CN$17)+COUNTBLANK('Finalterm OVPAA-F-INS-055A RAW '!BU103:CN103))-COLUMNS('Finalterm OVPAA-F-INS-055A RAW '!BU103:CN103))*5+SUM(BW103:CP103))/COUNTA('Finalterm OVPAA-F-INS-055A RAW '!$BU$17:$CN$17)))</f>
        <v/>
      </c>
      <c r="CR103" s="132" t="str">
        <f>IF(CQ103="","",VLOOKUP(CQ103,IF('Midterm OVPAA-F-INS-055A RAW SC'!$V$12=0.5,TRANSMUTATION!$C$4:$D$17,TRANSMUTATION!$G$4:$H$17),2,TRUE))</f>
        <v/>
      </c>
      <c r="CS103" s="133" t="str">
        <f>IF('Finalterm OVPAA-F-INS-055A RAW '!CO103="","",'Finalterm OVPAA-F-INS-055A RAW '!CO103/'Finalterm OVPAA-F-INS-055A RAW '!CO$17*100)</f>
        <v/>
      </c>
      <c r="CT103" s="133" t="str">
        <f>IF('Finalterm OVPAA-F-INS-055A RAW '!CP103="","",'Finalterm OVPAA-F-INS-055A RAW '!CP103/'Finalterm OVPAA-F-INS-055A RAW '!CP$17*100)</f>
        <v/>
      </c>
      <c r="CU103" s="133" t="str">
        <f>IF('Finalterm OVPAA-F-INS-055A RAW '!CQ103="","",'Finalterm OVPAA-F-INS-055A RAW '!CQ103/'Finalterm OVPAA-F-INS-055A RAW '!CQ$17*100)</f>
        <v/>
      </c>
      <c r="CV103" s="133" t="str">
        <f>IF('Finalterm OVPAA-F-INS-055A RAW '!CR103="","",'Finalterm OVPAA-F-INS-055A RAW '!CR103/'Finalterm OVPAA-F-INS-055A RAW '!CR$17*100)</f>
        <v/>
      </c>
      <c r="CW103" s="133" t="str">
        <f>IF('Finalterm OVPAA-F-INS-055A RAW '!CS103="","",'Finalterm OVPAA-F-INS-055A RAW '!CS103/'Finalterm OVPAA-F-INS-055A RAW '!CS$17*100)</f>
        <v/>
      </c>
      <c r="CX103" s="133" t="str">
        <f>IF('Finalterm OVPAA-F-INS-055A RAW '!CT103="","",'Finalterm OVPAA-F-INS-055A RAW '!CT103/'Finalterm OVPAA-F-INS-055A RAW '!CT$17*100)</f>
        <v/>
      </c>
      <c r="CY103" s="133" t="str">
        <f>IF('Finalterm OVPAA-F-INS-055A RAW '!CU103="","",'Finalterm OVPAA-F-INS-055A RAW '!CU103/'Finalterm OVPAA-F-INS-055A RAW '!CU$17*100)</f>
        <v/>
      </c>
      <c r="CZ103" s="133" t="str">
        <f>IF('Finalterm OVPAA-F-INS-055A RAW '!CV103="","",'Finalterm OVPAA-F-INS-055A RAW '!CV103/'Finalterm OVPAA-F-INS-055A RAW '!CV$17*100)</f>
        <v/>
      </c>
      <c r="DA103" s="133" t="str">
        <f>IF('Finalterm OVPAA-F-INS-055A RAW '!CW103="","",'Finalterm OVPAA-F-INS-055A RAW '!CW103/'Finalterm OVPAA-F-INS-055A RAW '!CW$17*100)</f>
        <v/>
      </c>
      <c r="DB103" s="133" t="str">
        <f>IF('Finalterm OVPAA-F-INS-055A RAW '!CX103="","",'Finalterm OVPAA-F-INS-055A RAW '!CX103/'Finalterm OVPAA-F-INS-055A RAW '!CX$17*100)</f>
        <v/>
      </c>
      <c r="DC103" s="134" t="str">
        <f t="array" ref="DC103">IF('Midterm OVPAA-F-INS-055A RAW SC'!$G103="","",IF((SUMPRODUCT(--ISBLANK('Finalterm OVPAA-F-INS-055A RAW '!CO103:CX103))=COLUMNS('Finalterm OVPAA-F-INS-055A RAW '!CO103:CX103))=TRUE,"",(((COUNTA('Finalterm OVPAA-F-INS-055A RAW '!$CO$17:$CX$17)+COUNTBLANK('Finalterm OVPAA-F-INS-055A RAW '!CO103:CX103))-COLUMNS('Finalterm OVPAA-F-INS-055A RAW '!CO103:CX103))*5+SUM(CS103:DB103))/COUNTA('Finalterm OVPAA-F-INS-055A RAW '!$CO$17:$CX$17)))</f>
        <v/>
      </c>
      <c r="DD103" s="135" t="str">
        <f>IF(DC103="","",VLOOKUP(DC103,IF('Midterm OVPAA-F-INS-055A RAW SC'!$V$12=0.5,TRANSMUTATION!$C$4:$D$17,TRANSMUTATION!$G$4:$H$17),2,TRUE))</f>
        <v/>
      </c>
      <c r="DE103" s="136" t="str">
        <f t="shared" si="1"/>
        <v/>
      </c>
      <c r="DF103" s="166" t="str">
        <f t="shared" si="2"/>
        <v/>
      </c>
      <c r="DG103" s="167" t="str">
        <f t="shared" si="3"/>
        <v/>
      </c>
      <c r="DH103" s="168" t="str">
        <f t="shared" si="4"/>
        <v/>
      </c>
      <c r="DI103" s="169" t="str">
        <f t="shared" si="5"/>
        <v/>
      </c>
    </row>
    <row r="104" spans="1:113" ht="15.75" hidden="1" customHeight="1">
      <c r="A104" s="5"/>
      <c r="B104" s="5"/>
      <c r="C104" s="5"/>
      <c r="D104" s="5"/>
      <c r="E104" s="59">
        <v>87</v>
      </c>
      <c r="F104" s="124" t="str">
        <f>IF(NOT(ISBLANK('Midterm OVPAA-F-INS-055A RAW SC'!F104)),'Midterm OVPAA-F-INS-055A RAW SC'!F104,"")</f>
        <v/>
      </c>
      <c r="G104" s="125" t="str">
        <f>IF(NOT(ISBLANK('Midterm OVPAA-F-INS-055A RAW SC'!G104)),'Midterm OVPAA-F-INS-055A RAW SC'!G104,"")</f>
        <v/>
      </c>
      <c r="H104" s="126" t="str">
        <f>IF('Finalterm OVPAA-F-INS-055A RAW '!H104="","",'Finalterm OVPAA-F-INS-055A RAW '!H104/'Finalterm OVPAA-F-INS-055A RAW '!H$17*100)</f>
        <v/>
      </c>
      <c r="I104" s="126" t="str">
        <f>IF('Finalterm OVPAA-F-INS-055A RAW '!I104="","",'Finalterm OVPAA-F-INS-055A RAW '!I104/'Finalterm OVPAA-F-INS-055A RAW '!I$17*100)</f>
        <v/>
      </c>
      <c r="J104" s="126" t="str">
        <f>IF('Finalterm OVPAA-F-INS-055A RAW '!J104="","",'Finalterm OVPAA-F-INS-055A RAW '!J104/'Finalterm OVPAA-F-INS-055A RAW '!J$17*100)</f>
        <v/>
      </c>
      <c r="K104" s="126" t="str">
        <f>IF('Finalterm OVPAA-F-INS-055A RAW '!K104="","",'Finalterm OVPAA-F-INS-055A RAW '!K104/'Finalterm OVPAA-F-INS-055A RAW '!K$17*100)</f>
        <v/>
      </c>
      <c r="L104" s="126" t="str">
        <f>IF('Finalterm OVPAA-F-INS-055A RAW '!L104="","",'Finalterm OVPAA-F-INS-055A RAW '!L104/'Finalterm OVPAA-F-INS-055A RAW '!L$17*100)</f>
        <v/>
      </c>
      <c r="M104" s="126" t="str">
        <f>IF('Finalterm OVPAA-F-INS-055A RAW '!M104="","",'Finalterm OVPAA-F-INS-055A RAW '!M104/'Finalterm OVPAA-F-INS-055A RAW '!M$17*100)</f>
        <v/>
      </c>
      <c r="N104" s="126" t="str">
        <f>IF('Finalterm OVPAA-F-INS-055A RAW '!N104="","",'Finalterm OVPAA-F-INS-055A RAW '!N104/'Finalterm OVPAA-F-INS-055A RAW '!N$17*100)</f>
        <v/>
      </c>
      <c r="O104" s="126" t="str">
        <f>IF('Finalterm OVPAA-F-INS-055A RAW '!O104="","",'Finalterm OVPAA-F-INS-055A RAW '!O104/'Finalterm OVPAA-F-INS-055A RAW '!O$17*100)</f>
        <v/>
      </c>
      <c r="P104" s="126" t="str">
        <f>IF('Finalterm OVPAA-F-INS-055A RAW '!P104="","",'Finalterm OVPAA-F-INS-055A RAW '!P104/'Finalterm OVPAA-F-INS-055A RAW '!P$17*100)</f>
        <v/>
      </c>
      <c r="Q104" s="126" t="str">
        <f>IF('Finalterm OVPAA-F-INS-055A RAW '!Q104="","",'Finalterm OVPAA-F-INS-055A RAW '!Q104/'Finalterm OVPAA-F-INS-055A RAW '!Q$17*100)</f>
        <v/>
      </c>
      <c r="R104" s="126" t="str">
        <f>IF('Finalterm OVPAA-F-INS-055A RAW '!R104="","",'Finalterm OVPAA-F-INS-055A RAW '!R104/'Finalterm OVPAA-F-INS-055A RAW '!R$17*100)</f>
        <v/>
      </c>
      <c r="S104" s="126" t="str">
        <f>IF('Finalterm OVPAA-F-INS-055A RAW '!S104="","",'Finalterm OVPAA-F-INS-055A RAW '!S104/'Finalterm OVPAA-F-INS-055A RAW '!S$17*100)</f>
        <v/>
      </c>
      <c r="T104" s="126" t="str">
        <f>IF('Finalterm OVPAA-F-INS-055A RAW '!T104="","",'Finalterm OVPAA-F-INS-055A RAW '!T104/'Finalterm OVPAA-F-INS-055A RAW '!T$17*100)</f>
        <v/>
      </c>
      <c r="U104" s="126" t="str">
        <f>IF('Finalterm OVPAA-F-INS-055A RAW '!U104="","",'Finalterm OVPAA-F-INS-055A RAW '!U104/'Finalterm OVPAA-F-INS-055A RAW '!U$17*100)</f>
        <v/>
      </c>
      <c r="V104" s="126" t="str">
        <f>IF('Finalterm OVPAA-F-INS-055A RAW '!V104="","",'Finalterm OVPAA-F-INS-055A RAW '!V104/'Finalterm OVPAA-F-INS-055A RAW '!V$17*100)</f>
        <v/>
      </c>
      <c r="W104" s="126" t="str">
        <f>IF('Finalterm OVPAA-F-INS-055A RAW '!W104="","",'Finalterm OVPAA-F-INS-055A RAW '!W104/'Finalterm OVPAA-F-INS-055A RAW '!W$17*100)</f>
        <v/>
      </c>
      <c r="X104" s="126" t="str">
        <f>IF('Finalterm OVPAA-F-INS-055A RAW '!X104="","",'Finalterm OVPAA-F-INS-055A RAW '!X104/'Finalterm OVPAA-F-INS-055A RAW '!X$17*100)</f>
        <v/>
      </c>
      <c r="Y104" s="126" t="str">
        <f>IF('Finalterm OVPAA-F-INS-055A RAW '!Y104="","",'Finalterm OVPAA-F-INS-055A RAW '!Y104/'Finalterm OVPAA-F-INS-055A RAW '!Y$17*100)</f>
        <v/>
      </c>
      <c r="Z104" s="126" t="str">
        <f>IF('Finalterm OVPAA-F-INS-055A RAW '!Z104="","",'Finalterm OVPAA-F-INS-055A RAW '!Z104/'Finalterm OVPAA-F-INS-055A RAW '!Z$17*100)</f>
        <v/>
      </c>
      <c r="AA104" s="126" t="str">
        <f>IF('Finalterm OVPAA-F-INS-055A RAW '!AA104="","",'Finalterm OVPAA-F-INS-055A RAW '!AA104/'Finalterm OVPAA-F-INS-055A RAW '!AA$17*100)</f>
        <v/>
      </c>
      <c r="AB104" s="126" t="str">
        <f>IF('Finalterm OVPAA-F-INS-055A RAW '!AB104="","",'Finalterm OVPAA-F-INS-055A RAW '!AB104/'Finalterm OVPAA-F-INS-055A RAW '!AB$17*100)</f>
        <v/>
      </c>
      <c r="AC104" s="126" t="str">
        <f>IF('Finalterm OVPAA-F-INS-055A RAW '!AC104="","",'Finalterm OVPAA-F-INS-055A RAW '!AC104/'Finalterm OVPAA-F-INS-055A RAW '!AC$17*100)</f>
        <v/>
      </c>
      <c r="AD104" s="126" t="str">
        <f>IF('Finalterm OVPAA-F-INS-055A RAW '!AD104="","",'Finalterm OVPAA-F-INS-055A RAW '!AD104/'Finalterm OVPAA-F-INS-055A RAW '!AD$17*100)</f>
        <v/>
      </c>
      <c r="AE104" s="126" t="str">
        <f>IF('Finalterm OVPAA-F-INS-055A RAW '!AE104="","",'Finalterm OVPAA-F-INS-055A RAW '!AE104/'Finalterm OVPAA-F-INS-055A RAW '!AE$17*100)</f>
        <v/>
      </c>
      <c r="AF104" s="126" t="str">
        <f>IF('Finalterm OVPAA-F-INS-055A RAW '!AF104="","",'Finalterm OVPAA-F-INS-055A RAW '!AF104/'Finalterm OVPAA-F-INS-055A RAW '!AF$17*100)</f>
        <v/>
      </c>
      <c r="AG104" s="126" t="str">
        <f>IF('Finalterm OVPAA-F-INS-055A RAW '!AG104="","",'Finalterm OVPAA-F-INS-055A RAW '!AG104/'Finalterm OVPAA-F-INS-055A RAW '!AG$17*100)</f>
        <v/>
      </c>
      <c r="AH104" s="126" t="str">
        <f>IF('Finalterm OVPAA-F-INS-055A RAW '!AH104="","",'Finalterm OVPAA-F-INS-055A RAW '!AH104/'Finalterm OVPAA-F-INS-055A RAW '!AH$17*100)</f>
        <v/>
      </c>
      <c r="AI104" s="126" t="str">
        <f>IF('Finalterm OVPAA-F-INS-055A RAW '!AI104="","",'Finalterm OVPAA-F-INS-055A RAW '!AI104/'Finalterm OVPAA-F-INS-055A RAW '!AI$17*100)</f>
        <v/>
      </c>
      <c r="AJ104" s="126" t="str">
        <f>IF('Finalterm OVPAA-F-INS-055A RAW '!AJ104="","",'Finalterm OVPAA-F-INS-055A RAW '!AJ104/'Finalterm OVPAA-F-INS-055A RAW '!AJ$17*100)</f>
        <v/>
      </c>
      <c r="AK104" s="126" t="str">
        <f>IF('Finalterm OVPAA-F-INS-055A RAW '!AK104="","",'Finalterm OVPAA-F-INS-055A RAW '!AK104/'Finalterm OVPAA-F-INS-055A RAW '!AK$17*100)</f>
        <v/>
      </c>
      <c r="AL104" s="126" t="str">
        <f>IF('Finalterm OVPAA-F-INS-055A RAW '!AL104="","",'Finalterm OVPAA-F-INS-055A RAW '!AL104/'Finalterm OVPAA-F-INS-055A RAW '!AL$17*100)</f>
        <v/>
      </c>
      <c r="AM104" s="126" t="str">
        <f>IF('Finalterm OVPAA-F-INS-055A RAW '!AM104="","",'Finalterm OVPAA-F-INS-055A RAW '!AM104/'Finalterm OVPAA-F-INS-055A RAW '!AM$17*100)</f>
        <v/>
      </c>
      <c r="AN104" s="126" t="str">
        <f>IF('Finalterm OVPAA-F-INS-055A RAW '!AN104="","",'Finalterm OVPAA-F-INS-055A RAW '!AN104/'Finalterm OVPAA-F-INS-055A RAW '!AN$17*100)</f>
        <v/>
      </c>
      <c r="AO104" s="126" t="str">
        <f>IF('Finalterm OVPAA-F-INS-055A RAW '!AO104="","",'Finalterm OVPAA-F-INS-055A RAW '!AO104/'Finalterm OVPAA-F-INS-055A RAW '!AO$17*100)</f>
        <v/>
      </c>
      <c r="AP104" s="126" t="str">
        <f>IF('Finalterm OVPAA-F-INS-055A RAW '!AP104="","",'Finalterm OVPAA-F-INS-055A RAW '!AP104/'Finalterm OVPAA-F-INS-055A RAW '!AP$17*100)</f>
        <v/>
      </c>
      <c r="AQ104" s="126" t="str">
        <f>IF('Finalterm OVPAA-F-INS-055A RAW '!AQ104="","",'Finalterm OVPAA-F-INS-055A RAW '!AQ104/'Finalterm OVPAA-F-INS-055A RAW '!AQ$17*100)</f>
        <v/>
      </c>
      <c r="AR104" s="126" t="str">
        <f>IF('Finalterm OVPAA-F-INS-055A RAW '!AR104="","",'Finalterm OVPAA-F-INS-055A RAW '!AR104/'Finalterm OVPAA-F-INS-055A RAW '!AR$17*100)</f>
        <v/>
      </c>
      <c r="AS104" s="126" t="str">
        <f>IF('Finalterm OVPAA-F-INS-055A RAW '!AS104="","",'Finalterm OVPAA-F-INS-055A RAW '!AS104/'Finalterm OVPAA-F-INS-055A RAW '!AS$17*100)</f>
        <v/>
      </c>
      <c r="AT104" s="126" t="str">
        <f>IF('Finalterm OVPAA-F-INS-055A RAW '!AT104="","",'Finalterm OVPAA-F-INS-055A RAW '!AT104/'Finalterm OVPAA-F-INS-055A RAW '!AT$17*100)</f>
        <v/>
      </c>
      <c r="AU104" s="126" t="str">
        <f>IF('Finalterm OVPAA-F-INS-055A RAW '!AU104="","",'Finalterm OVPAA-F-INS-055A RAW '!AU104/'Finalterm OVPAA-F-INS-055A RAW '!AU$17*100)</f>
        <v/>
      </c>
      <c r="AV104" s="126" t="str">
        <f>IF('Finalterm OVPAA-F-INS-055A RAW '!AV104="","",'Finalterm OVPAA-F-INS-055A RAW '!AV104/'Finalterm OVPAA-F-INS-055A RAW '!AV$17*100)</f>
        <v/>
      </c>
      <c r="AW104" s="126" t="str">
        <f>IF('Finalterm OVPAA-F-INS-055A RAW '!AW104="","",'Finalterm OVPAA-F-INS-055A RAW '!AW104/'Finalterm OVPAA-F-INS-055A RAW '!AW$17*100)</f>
        <v/>
      </c>
      <c r="AX104" s="126" t="str">
        <f>IF('Finalterm OVPAA-F-INS-055A RAW '!AX104="","",'Finalterm OVPAA-F-INS-055A RAW '!AX104/'Finalterm OVPAA-F-INS-055A RAW '!AX$17*100)</f>
        <v/>
      </c>
      <c r="AY104" s="126" t="str">
        <f>IF('Finalterm OVPAA-F-INS-055A RAW '!AY104="","",'Finalterm OVPAA-F-INS-055A RAW '!AY104/'Finalterm OVPAA-F-INS-055A RAW '!AY$17*100)</f>
        <v/>
      </c>
      <c r="AZ104" s="126" t="str">
        <f>IF('Finalterm OVPAA-F-INS-055A RAW '!AZ104="","",'Finalterm OVPAA-F-INS-055A RAW '!AZ104/'Finalterm OVPAA-F-INS-055A RAW '!AZ$17*100)</f>
        <v/>
      </c>
      <c r="BA104" s="126" t="str">
        <f>IF('Finalterm OVPAA-F-INS-055A RAW '!BA104="","",'Finalterm OVPAA-F-INS-055A RAW '!BA104/'Finalterm OVPAA-F-INS-055A RAW '!BA$17*100)</f>
        <v/>
      </c>
      <c r="BB104" s="126" t="str">
        <f>IF('Finalterm OVPAA-F-INS-055A RAW '!BB104="","",'Finalterm OVPAA-F-INS-055A RAW '!BB104/'Finalterm OVPAA-F-INS-055A RAW '!BB$17*100)</f>
        <v/>
      </c>
      <c r="BC104" s="126" t="str">
        <f>IF('Finalterm OVPAA-F-INS-055A RAW '!BC104="","",'Finalterm OVPAA-F-INS-055A RAW '!BC104/'Finalterm OVPAA-F-INS-055A RAW '!BC$17*100)</f>
        <v/>
      </c>
      <c r="BD104" s="126" t="str">
        <f>IF('Finalterm OVPAA-F-INS-055A RAW '!BD104="","",'Finalterm OVPAA-F-INS-055A RAW '!BD104/'Finalterm OVPAA-F-INS-055A RAW '!BD$17*100)</f>
        <v/>
      </c>
      <c r="BE104" s="126" t="str">
        <f>IF('Finalterm OVPAA-F-INS-055A RAW '!BE104="","",'Finalterm OVPAA-F-INS-055A RAW '!BE104/'Finalterm OVPAA-F-INS-055A RAW '!BE$17*100)</f>
        <v/>
      </c>
      <c r="BF104" s="126" t="str">
        <f>IF('Finalterm OVPAA-F-INS-055A RAW '!BF104="","",'Finalterm OVPAA-F-INS-055A RAW '!BF104/'Finalterm OVPAA-F-INS-055A RAW '!BF$17*100)</f>
        <v/>
      </c>
      <c r="BG104" s="126" t="str">
        <f>IF('Finalterm OVPAA-F-INS-055A RAW '!BG104="","",'Finalterm OVPAA-F-INS-055A RAW '!BG104/'Finalterm OVPAA-F-INS-055A RAW '!BG$17*100)</f>
        <v/>
      </c>
      <c r="BH104" s="126" t="str">
        <f>IF('Finalterm OVPAA-F-INS-055A RAW '!BH104="","",'Finalterm OVPAA-F-INS-055A RAW '!BH104/'Finalterm OVPAA-F-INS-055A RAW '!BH$17*100)</f>
        <v/>
      </c>
      <c r="BI104" s="126" t="str">
        <f>IF('Finalterm OVPAA-F-INS-055A RAW '!BI104="","",'Finalterm OVPAA-F-INS-055A RAW '!BI104/'Finalterm OVPAA-F-INS-055A RAW '!BI$17*100)</f>
        <v/>
      </c>
      <c r="BJ104" s="126" t="str">
        <f>IF('Finalterm OVPAA-F-INS-055A RAW '!BJ104="","",'Finalterm OVPAA-F-INS-055A RAW '!BJ104/'Finalterm OVPAA-F-INS-055A RAW '!BJ$17*100)</f>
        <v/>
      </c>
      <c r="BK104" s="126" t="str">
        <f>IF('Finalterm OVPAA-F-INS-055A RAW '!BK104="","",'Finalterm OVPAA-F-INS-055A RAW '!BK104/'Finalterm OVPAA-F-INS-055A RAW '!BK$17*100)</f>
        <v/>
      </c>
      <c r="BL104" s="126" t="str">
        <f>IF('Finalterm OVPAA-F-INS-055A RAW '!BL104="","",'Finalterm OVPAA-F-INS-055A RAW '!BL104/'Finalterm OVPAA-F-INS-055A RAW '!BL$17*100)</f>
        <v/>
      </c>
      <c r="BM104" s="126" t="str">
        <f>IF('Finalterm OVPAA-F-INS-055A RAW '!BM104="","",'Finalterm OVPAA-F-INS-055A RAW '!BM104/'Finalterm OVPAA-F-INS-055A RAW '!BM$17*100)</f>
        <v/>
      </c>
      <c r="BN104" s="126" t="str">
        <f>IF('Finalterm OVPAA-F-INS-055A RAW '!BN104="","",'Finalterm OVPAA-F-INS-055A RAW '!BN104/'Finalterm OVPAA-F-INS-055A RAW '!BN$17*100)</f>
        <v/>
      </c>
      <c r="BO104" s="126" t="str">
        <f>IF('Finalterm OVPAA-F-INS-055A RAW '!BO104="","",'Finalterm OVPAA-F-INS-055A RAW '!BO104/'Finalterm OVPAA-F-INS-055A RAW '!BO$17*100)</f>
        <v/>
      </c>
      <c r="BP104" s="126" t="str">
        <f>IF('Finalterm OVPAA-F-INS-055A RAW '!BP104="","",'Finalterm OVPAA-F-INS-055A RAW '!BP104/'Finalterm OVPAA-F-INS-055A RAW '!BP$17*100)</f>
        <v/>
      </c>
      <c r="BQ104" s="126" t="str">
        <f>IF('Finalterm OVPAA-F-INS-055A RAW '!BQ104="","",'Finalterm OVPAA-F-INS-055A RAW '!BQ104/'Finalterm OVPAA-F-INS-055A RAW '!BQ$17*100)</f>
        <v/>
      </c>
      <c r="BR104" s="126" t="str">
        <f>IF('Finalterm OVPAA-F-INS-055A RAW '!BR104="","",'Finalterm OVPAA-F-INS-055A RAW '!BR104/'Finalterm OVPAA-F-INS-055A RAW '!BR$17*100)</f>
        <v/>
      </c>
      <c r="BS104" s="126" t="str">
        <f>IF('Finalterm OVPAA-F-INS-055A RAW '!BS104="","",'Finalterm OVPAA-F-INS-055A RAW '!BS104/'Finalterm OVPAA-F-INS-055A RAW '!BS$17*100)</f>
        <v/>
      </c>
      <c r="BT104" s="126" t="str">
        <f>IF('Finalterm OVPAA-F-INS-055A RAW '!BT104="","",'Finalterm OVPAA-F-INS-055A RAW '!BT104/'Finalterm OVPAA-F-INS-055A RAW '!BT$17*100)</f>
        <v/>
      </c>
      <c r="BU104" s="127" t="str">
        <f t="array" ref="BU104">IF('Finalterm OVPAA-F-INS-055A RAW '!$G104="","",IF((SUMPRODUCT(--ISBLANK('Finalterm OVPAA-F-INS-055A RAW '!H104:BT104))=COLUMNS('Finalterm OVPAA-F-INS-055A RAW '!H104:BT104))=TRUE,"",(((COUNTA('Finalterm OVPAA-F-INS-055A RAW '!$H$17:$BT$17)+COUNTBLANK('Finalterm OVPAA-F-INS-055A RAW '!H104:BT104))-COLUMNS('Finalterm OVPAA-F-INS-055A RAW '!H104:BT104))*5+SUM(H104:BT104))/COUNTA('Finalterm OVPAA-F-INS-055A RAW '!$H$17:$BT$17)))</f>
        <v/>
      </c>
      <c r="BV104" s="165" t="str">
        <f>IF(BU104="","",VLOOKUP(BU104,IF('Midterm OVPAA-F-INS-055A RAW SC'!$V$12=0.5,TRANSMUTATION!$C$4:$D$17,TRANSMUTATION!$G$4:$H$17),2,TRUE))</f>
        <v/>
      </c>
      <c r="BW104" s="129" t="str">
        <f>IF('Finalterm OVPAA-F-INS-055A RAW '!BU104="","",'Finalterm OVPAA-F-INS-055A RAW '!BU104/'Finalterm OVPAA-F-INS-055A RAW '!BU$17*100)</f>
        <v/>
      </c>
      <c r="BX104" s="130" t="str">
        <f>IF('Finalterm OVPAA-F-INS-055A RAW '!BV104="","",'Finalterm OVPAA-F-INS-055A RAW '!BV104/'Finalterm OVPAA-F-INS-055A RAW '!BV$17*100)</f>
        <v/>
      </c>
      <c r="BY104" s="130" t="str">
        <f>IF('Finalterm OVPAA-F-INS-055A RAW '!BW104="","",'Finalterm OVPAA-F-INS-055A RAW '!BW104/'Finalterm OVPAA-F-INS-055A RAW '!BW$17*100)</f>
        <v/>
      </c>
      <c r="BZ104" s="130" t="str">
        <f>IF('Finalterm OVPAA-F-INS-055A RAW '!BX104="","",'Finalterm OVPAA-F-INS-055A RAW '!BX104/'Finalterm OVPAA-F-INS-055A RAW '!BX$17*100)</f>
        <v/>
      </c>
      <c r="CA104" s="130" t="str">
        <f>IF('Finalterm OVPAA-F-INS-055A RAW '!BY104="","",'Finalterm OVPAA-F-INS-055A RAW '!BY104/'Finalterm OVPAA-F-INS-055A RAW '!BY$17*100)</f>
        <v/>
      </c>
      <c r="CB104" s="130" t="str">
        <f>IF('Finalterm OVPAA-F-INS-055A RAW '!BZ104="","",'Finalterm OVPAA-F-INS-055A RAW '!BZ104/'Finalterm OVPAA-F-INS-055A RAW '!BZ$17*100)</f>
        <v/>
      </c>
      <c r="CC104" s="130" t="str">
        <f>IF('Finalterm OVPAA-F-INS-055A RAW '!CA104="","",'Finalterm OVPAA-F-INS-055A RAW '!CA104/'Finalterm OVPAA-F-INS-055A RAW '!CA$17*100)</f>
        <v/>
      </c>
      <c r="CD104" s="130" t="str">
        <f>IF('Finalterm OVPAA-F-INS-055A RAW '!CB104="","",'Finalterm OVPAA-F-INS-055A RAW '!CB104/'Finalterm OVPAA-F-INS-055A RAW '!CB$17*100)</f>
        <v/>
      </c>
      <c r="CE104" s="130" t="str">
        <f>IF('Finalterm OVPAA-F-INS-055A RAW '!CC104="","",'Finalterm OVPAA-F-INS-055A RAW '!CC104/'Finalterm OVPAA-F-INS-055A RAW '!CC$17*100)</f>
        <v/>
      </c>
      <c r="CF104" s="130" t="str">
        <f>IF('Finalterm OVPAA-F-INS-055A RAW '!CD104="","",'Finalterm OVPAA-F-INS-055A RAW '!CD104/'Finalterm OVPAA-F-INS-055A RAW '!CD$17*100)</f>
        <v/>
      </c>
      <c r="CG104" s="130" t="str">
        <f>IF('Finalterm OVPAA-F-INS-055A RAW '!CE104="","",'Finalterm OVPAA-F-INS-055A RAW '!CE104/'Finalterm OVPAA-F-INS-055A RAW '!CE$17*100)</f>
        <v/>
      </c>
      <c r="CH104" s="130" t="str">
        <f>IF('Finalterm OVPAA-F-INS-055A RAW '!CF104="","",'Finalterm OVPAA-F-INS-055A RAW '!CF104/'Finalterm OVPAA-F-INS-055A RAW '!CF$17*100)</f>
        <v/>
      </c>
      <c r="CI104" s="130" t="str">
        <f>IF('Finalterm OVPAA-F-INS-055A RAW '!CG104="","",'Finalterm OVPAA-F-INS-055A RAW '!CG104/'Finalterm OVPAA-F-INS-055A RAW '!CG$17*100)</f>
        <v/>
      </c>
      <c r="CJ104" s="130" t="str">
        <f>IF('Finalterm OVPAA-F-INS-055A RAW '!CH104="","",'Finalterm OVPAA-F-INS-055A RAW '!CH104/'Finalterm OVPAA-F-INS-055A RAW '!CH$17*100)</f>
        <v/>
      </c>
      <c r="CK104" s="130" t="str">
        <f>IF('Finalterm OVPAA-F-INS-055A RAW '!CI104="","",'Finalterm OVPAA-F-INS-055A RAW '!CI104/'Finalterm OVPAA-F-INS-055A RAW '!CI$17*100)</f>
        <v/>
      </c>
      <c r="CL104" s="130" t="str">
        <f>IF('Finalterm OVPAA-F-INS-055A RAW '!CJ104="","",'Finalterm OVPAA-F-INS-055A RAW '!CJ104/'Finalterm OVPAA-F-INS-055A RAW '!CJ$17*100)</f>
        <v/>
      </c>
      <c r="CM104" s="130" t="str">
        <f>IF('Finalterm OVPAA-F-INS-055A RAW '!CK104="","",'Finalterm OVPAA-F-INS-055A RAW '!CK104/'Finalterm OVPAA-F-INS-055A RAW '!CK$17*100)</f>
        <v/>
      </c>
      <c r="CN104" s="130" t="str">
        <f>IF('Finalterm OVPAA-F-INS-055A RAW '!CL104="","",'Finalterm OVPAA-F-INS-055A RAW '!CL104/'Finalterm OVPAA-F-INS-055A RAW '!CL$17*100)</f>
        <v/>
      </c>
      <c r="CO104" s="130" t="str">
        <f>IF('Finalterm OVPAA-F-INS-055A RAW '!CM104="","",'Finalterm OVPAA-F-INS-055A RAW '!CM104/'Finalterm OVPAA-F-INS-055A RAW '!CM$17*100)</f>
        <v/>
      </c>
      <c r="CP104" s="130" t="str">
        <f>IF('Finalterm OVPAA-F-INS-055A RAW '!CN104="","",'Finalterm OVPAA-F-INS-055A RAW '!CN104/'Finalterm OVPAA-F-INS-055A RAW '!CN$17*100)</f>
        <v/>
      </c>
      <c r="CQ104" s="131" t="str">
        <f t="array" ref="CQ104">IF('Midterm OVPAA-F-INS-055A RAW SC'!G104="","",IF((SUMPRODUCT(--ISBLANK('Finalterm OVPAA-F-INS-055A RAW '!BU104:CN104))=COLUMNS('Finalterm OVPAA-F-INS-055A RAW '!BU104:CN104))=TRUE,"",(((COUNTA('Finalterm OVPAA-F-INS-055A RAW '!$BU$17:$CN$17)+COUNTBLANK('Finalterm OVPAA-F-INS-055A RAW '!BU104:CN104))-COLUMNS('Finalterm OVPAA-F-INS-055A RAW '!BU104:CN104))*5+SUM(BW104:CP104))/COUNTA('Finalterm OVPAA-F-INS-055A RAW '!$BU$17:$CN$17)))</f>
        <v/>
      </c>
      <c r="CR104" s="132" t="str">
        <f>IF(CQ104="","",VLOOKUP(CQ104,IF('Midterm OVPAA-F-INS-055A RAW SC'!$V$12=0.5,TRANSMUTATION!$C$4:$D$17,TRANSMUTATION!$G$4:$H$17),2,TRUE))</f>
        <v/>
      </c>
      <c r="CS104" s="133" t="str">
        <f>IF('Finalterm OVPAA-F-INS-055A RAW '!CO104="","",'Finalterm OVPAA-F-INS-055A RAW '!CO104/'Finalterm OVPAA-F-INS-055A RAW '!CO$17*100)</f>
        <v/>
      </c>
      <c r="CT104" s="133" t="str">
        <f>IF('Finalterm OVPAA-F-INS-055A RAW '!CP104="","",'Finalterm OVPAA-F-INS-055A RAW '!CP104/'Finalterm OVPAA-F-INS-055A RAW '!CP$17*100)</f>
        <v/>
      </c>
      <c r="CU104" s="133" t="str">
        <f>IF('Finalterm OVPAA-F-INS-055A RAW '!CQ104="","",'Finalterm OVPAA-F-INS-055A RAW '!CQ104/'Finalterm OVPAA-F-INS-055A RAW '!CQ$17*100)</f>
        <v/>
      </c>
      <c r="CV104" s="133" t="str">
        <f>IF('Finalterm OVPAA-F-INS-055A RAW '!CR104="","",'Finalterm OVPAA-F-INS-055A RAW '!CR104/'Finalterm OVPAA-F-INS-055A RAW '!CR$17*100)</f>
        <v/>
      </c>
      <c r="CW104" s="133" t="str">
        <f>IF('Finalterm OVPAA-F-INS-055A RAW '!CS104="","",'Finalterm OVPAA-F-INS-055A RAW '!CS104/'Finalterm OVPAA-F-INS-055A RAW '!CS$17*100)</f>
        <v/>
      </c>
      <c r="CX104" s="133" t="str">
        <f>IF('Finalterm OVPAA-F-INS-055A RAW '!CT104="","",'Finalterm OVPAA-F-INS-055A RAW '!CT104/'Finalterm OVPAA-F-INS-055A RAW '!CT$17*100)</f>
        <v/>
      </c>
      <c r="CY104" s="133" t="str">
        <f>IF('Finalterm OVPAA-F-INS-055A RAW '!CU104="","",'Finalterm OVPAA-F-INS-055A RAW '!CU104/'Finalterm OVPAA-F-INS-055A RAW '!CU$17*100)</f>
        <v/>
      </c>
      <c r="CZ104" s="133" t="str">
        <f>IF('Finalterm OVPAA-F-INS-055A RAW '!CV104="","",'Finalterm OVPAA-F-INS-055A RAW '!CV104/'Finalterm OVPAA-F-INS-055A RAW '!CV$17*100)</f>
        <v/>
      </c>
      <c r="DA104" s="133" t="str">
        <f>IF('Finalterm OVPAA-F-INS-055A RAW '!CW104="","",'Finalterm OVPAA-F-INS-055A RAW '!CW104/'Finalterm OVPAA-F-INS-055A RAW '!CW$17*100)</f>
        <v/>
      </c>
      <c r="DB104" s="133" t="str">
        <f>IF('Finalterm OVPAA-F-INS-055A RAW '!CX104="","",'Finalterm OVPAA-F-INS-055A RAW '!CX104/'Finalterm OVPAA-F-INS-055A RAW '!CX$17*100)</f>
        <v/>
      </c>
      <c r="DC104" s="134" t="str">
        <f t="array" ref="DC104">IF('Midterm OVPAA-F-INS-055A RAW SC'!$G104="","",IF((SUMPRODUCT(--ISBLANK('Finalterm OVPAA-F-INS-055A RAW '!CO104:CX104))=COLUMNS('Finalterm OVPAA-F-INS-055A RAW '!CO104:CX104))=TRUE,"",(((COUNTA('Finalterm OVPAA-F-INS-055A RAW '!$CO$17:$CX$17)+COUNTBLANK('Finalterm OVPAA-F-INS-055A RAW '!CO104:CX104))-COLUMNS('Finalterm OVPAA-F-INS-055A RAW '!CO104:CX104))*5+SUM(CS104:DB104))/COUNTA('Finalterm OVPAA-F-INS-055A RAW '!$CO$17:$CX$17)))</f>
        <v/>
      </c>
      <c r="DD104" s="135" t="str">
        <f>IF(DC104="","",VLOOKUP(DC104,IF('Midterm OVPAA-F-INS-055A RAW SC'!$V$12=0.5,TRANSMUTATION!$C$4:$D$17,TRANSMUTATION!$G$4:$H$17),2,TRUE))</f>
        <v/>
      </c>
      <c r="DE104" s="136" t="str">
        <f t="shared" si="1"/>
        <v/>
      </c>
      <c r="DF104" s="166" t="str">
        <f t="shared" si="2"/>
        <v/>
      </c>
      <c r="DG104" s="167" t="str">
        <f t="shared" si="3"/>
        <v/>
      </c>
      <c r="DH104" s="168" t="str">
        <f t="shared" si="4"/>
        <v/>
      </c>
      <c r="DI104" s="169" t="str">
        <f t="shared" si="5"/>
        <v/>
      </c>
    </row>
    <row r="105" spans="1:113" ht="15.75" hidden="1" customHeight="1">
      <c r="A105" s="5"/>
      <c r="B105" s="5"/>
      <c r="C105" s="5"/>
      <c r="D105" s="5"/>
      <c r="E105" s="59">
        <v>88</v>
      </c>
      <c r="F105" s="124" t="str">
        <f>IF(NOT(ISBLANK('Midterm OVPAA-F-INS-055A RAW SC'!F105)),'Midterm OVPAA-F-INS-055A RAW SC'!F105,"")</f>
        <v/>
      </c>
      <c r="G105" s="125" t="str">
        <f>IF(NOT(ISBLANK('Midterm OVPAA-F-INS-055A RAW SC'!G105)),'Midterm OVPAA-F-INS-055A RAW SC'!G105,"")</f>
        <v/>
      </c>
      <c r="H105" s="126" t="str">
        <f>IF('Finalterm OVPAA-F-INS-055A RAW '!H105="","",'Finalterm OVPAA-F-INS-055A RAW '!H105/'Finalterm OVPAA-F-INS-055A RAW '!H$17*100)</f>
        <v/>
      </c>
      <c r="I105" s="126" t="str">
        <f>IF('Finalterm OVPAA-F-INS-055A RAW '!I105="","",'Finalterm OVPAA-F-INS-055A RAW '!I105/'Finalterm OVPAA-F-INS-055A RAW '!I$17*100)</f>
        <v/>
      </c>
      <c r="J105" s="126" t="str">
        <f>IF('Finalterm OVPAA-F-INS-055A RAW '!J105="","",'Finalterm OVPAA-F-INS-055A RAW '!J105/'Finalterm OVPAA-F-INS-055A RAW '!J$17*100)</f>
        <v/>
      </c>
      <c r="K105" s="126" t="str">
        <f>IF('Finalterm OVPAA-F-INS-055A RAW '!K105="","",'Finalterm OVPAA-F-INS-055A RAW '!K105/'Finalterm OVPAA-F-INS-055A RAW '!K$17*100)</f>
        <v/>
      </c>
      <c r="L105" s="126" t="str">
        <f>IF('Finalterm OVPAA-F-INS-055A RAW '!L105="","",'Finalterm OVPAA-F-INS-055A RAW '!L105/'Finalterm OVPAA-F-INS-055A RAW '!L$17*100)</f>
        <v/>
      </c>
      <c r="M105" s="126" t="str">
        <f>IF('Finalterm OVPAA-F-INS-055A RAW '!M105="","",'Finalterm OVPAA-F-INS-055A RAW '!M105/'Finalterm OVPAA-F-INS-055A RAW '!M$17*100)</f>
        <v/>
      </c>
      <c r="N105" s="126" t="str">
        <f>IF('Finalterm OVPAA-F-INS-055A RAW '!N105="","",'Finalterm OVPAA-F-INS-055A RAW '!N105/'Finalterm OVPAA-F-INS-055A RAW '!N$17*100)</f>
        <v/>
      </c>
      <c r="O105" s="126" t="str">
        <f>IF('Finalterm OVPAA-F-INS-055A RAW '!O105="","",'Finalterm OVPAA-F-INS-055A RAW '!O105/'Finalterm OVPAA-F-INS-055A RAW '!O$17*100)</f>
        <v/>
      </c>
      <c r="P105" s="126" t="str">
        <f>IF('Finalterm OVPAA-F-INS-055A RAW '!P105="","",'Finalterm OVPAA-F-INS-055A RAW '!P105/'Finalterm OVPAA-F-INS-055A RAW '!P$17*100)</f>
        <v/>
      </c>
      <c r="Q105" s="126" t="str">
        <f>IF('Finalterm OVPAA-F-INS-055A RAW '!Q105="","",'Finalterm OVPAA-F-INS-055A RAW '!Q105/'Finalterm OVPAA-F-INS-055A RAW '!Q$17*100)</f>
        <v/>
      </c>
      <c r="R105" s="126" t="str">
        <f>IF('Finalterm OVPAA-F-INS-055A RAW '!R105="","",'Finalterm OVPAA-F-INS-055A RAW '!R105/'Finalterm OVPAA-F-INS-055A RAW '!R$17*100)</f>
        <v/>
      </c>
      <c r="S105" s="126" t="str">
        <f>IF('Finalterm OVPAA-F-INS-055A RAW '!S105="","",'Finalterm OVPAA-F-INS-055A RAW '!S105/'Finalterm OVPAA-F-INS-055A RAW '!S$17*100)</f>
        <v/>
      </c>
      <c r="T105" s="126" t="str">
        <f>IF('Finalterm OVPAA-F-INS-055A RAW '!T105="","",'Finalterm OVPAA-F-INS-055A RAW '!T105/'Finalterm OVPAA-F-INS-055A RAW '!T$17*100)</f>
        <v/>
      </c>
      <c r="U105" s="126" t="str">
        <f>IF('Finalterm OVPAA-F-INS-055A RAW '!U105="","",'Finalterm OVPAA-F-INS-055A RAW '!U105/'Finalterm OVPAA-F-INS-055A RAW '!U$17*100)</f>
        <v/>
      </c>
      <c r="V105" s="126" t="str">
        <f>IF('Finalterm OVPAA-F-INS-055A RAW '!V105="","",'Finalterm OVPAA-F-INS-055A RAW '!V105/'Finalterm OVPAA-F-INS-055A RAW '!V$17*100)</f>
        <v/>
      </c>
      <c r="W105" s="126" t="str">
        <f>IF('Finalterm OVPAA-F-INS-055A RAW '!W105="","",'Finalterm OVPAA-F-INS-055A RAW '!W105/'Finalterm OVPAA-F-INS-055A RAW '!W$17*100)</f>
        <v/>
      </c>
      <c r="X105" s="126" t="str">
        <f>IF('Finalterm OVPAA-F-INS-055A RAW '!X105="","",'Finalterm OVPAA-F-INS-055A RAW '!X105/'Finalterm OVPAA-F-INS-055A RAW '!X$17*100)</f>
        <v/>
      </c>
      <c r="Y105" s="126" t="str">
        <f>IF('Finalterm OVPAA-F-INS-055A RAW '!Y105="","",'Finalterm OVPAA-F-INS-055A RAW '!Y105/'Finalterm OVPAA-F-INS-055A RAW '!Y$17*100)</f>
        <v/>
      </c>
      <c r="Z105" s="126" t="str">
        <f>IF('Finalterm OVPAA-F-INS-055A RAW '!Z105="","",'Finalterm OVPAA-F-INS-055A RAW '!Z105/'Finalterm OVPAA-F-INS-055A RAW '!Z$17*100)</f>
        <v/>
      </c>
      <c r="AA105" s="126" t="str">
        <f>IF('Finalterm OVPAA-F-INS-055A RAW '!AA105="","",'Finalterm OVPAA-F-INS-055A RAW '!AA105/'Finalterm OVPAA-F-INS-055A RAW '!AA$17*100)</f>
        <v/>
      </c>
      <c r="AB105" s="126" t="str">
        <f>IF('Finalterm OVPAA-F-INS-055A RAW '!AB105="","",'Finalterm OVPAA-F-INS-055A RAW '!AB105/'Finalterm OVPAA-F-INS-055A RAW '!AB$17*100)</f>
        <v/>
      </c>
      <c r="AC105" s="126" t="str">
        <f>IF('Finalterm OVPAA-F-INS-055A RAW '!AC105="","",'Finalterm OVPAA-F-INS-055A RAW '!AC105/'Finalterm OVPAA-F-INS-055A RAW '!AC$17*100)</f>
        <v/>
      </c>
      <c r="AD105" s="126" t="str">
        <f>IF('Finalterm OVPAA-F-INS-055A RAW '!AD105="","",'Finalterm OVPAA-F-INS-055A RAW '!AD105/'Finalterm OVPAA-F-INS-055A RAW '!AD$17*100)</f>
        <v/>
      </c>
      <c r="AE105" s="126" t="str">
        <f>IF('Finalterm OVPAA-F-INS-055A RAW '!AE105="","",'Finalterm OVPAA-F-INS-055A RAW '!AE105/'Finalterm OVPAA-F-INS-055A RAW '!AE$17*100)</f>
        <v/>
      </c>
      <c r="AF105" s="126" t="str">
        <f>IF('Finalterm OVPAA-F-INS-055A RAW '!AF105="","",'Finalterm OVPAA-F-INS-055A RAW '!AF105/'Finalterm OVPAA-F-INS-055A RAW '!AF$17*100)</f>
        <v/>
      </c>
      <c r="AG105" s="126" t="str">
        <f>IF('Finalterm OVPAA-F-INS-055A RAW '!AG105="","",'Finalterm OVPAA-F-INS-055A RAW '!AG105/'Finalterm OVPAA-F-INS-055A RAW '!AG$17*100)</f>
        <v/>
      </c>
      <c r="AH105" s="126" t="str">
        <f>IF('Finalterm OVPAA-F-INS-055A RAW '!AH105="","",'Finalterm OVPAA-F-INS-055A RAW '!AH105/'Finalterm OVPAA-F-INS-055A RAW '!AH$17*100)</f>
        <v/>
      </c>
      <c r="AI105" s="126" t="str">
        <f>IF('Finalterm OVPAA-F-INS-055A RAW '!AI105="","",'Finalterm OVPAA-F-INS-055A RAW '!AI105/'Finalterm OVPAA-F-INS-055A RAW '!AI$17*100)</f>
        <v/>
      </c>
      <c r="AJ105" s="126" t="str">
        <f>IF('Finalterm OVPAA-F-INS-055A RAW '!AJ105="","",'Finalterm OVPAA-F-INS-055A RAW '!AJ105/'Finalterm OVPAA-F-INS-055A RAW '!AJ$17*100)</f>
        <v/>
      </c>
      <c r="AK105" s="126" t="str">
        <f>IF('Finalterm OVPAA-F-INS-055A RAW '!AK105="","",'Finalterm OVPAA-F-INS-055A RAW '!AK105/'Finalterm OVPAA-F-INS-055A RAW '!AK$17*100)</f>
        <v/>
      </c>
      <c r="AL105" s="126" t="str">
        <f>IF('Finalterm OVPAA-F-INS-055A RAW '!AL105="","",'Finalterm OVPAA-F-INS-055A RAW '!AL105/'Finalterm OVPAA-F-INS-055A RAW '!AL$17*100)</f>
        <v/>
      </c>
      <c r="AM105" s="126" t="str">
        <f>IF('Finalterm OVPAA-F-INS-055A RAW '!AM105="","",'Finalterm OVPAA-F-INS-055A RAW '!AM105/'Finalterm OVPAA-F-INS-055A RAW '!AM$17*100)</f>
        <v/>
      </c>
      <c r="AN105" s="126" t="str">
        <f>IF('Finalterm OVPAA-F-INS-055A RAW '!AN105="","",'Finalterm OVPAA-F-INS-055A RAW '!AN105/'Finalterm OVPAA-F-INS-055A RAW '!AN$17*100)</f>
        <v/>
      </c>
      <c r="AO105" s="126" t="str">
        <f>IF('Finalterm OVPAA-F-INS-055A RAW '!AO105="","",'Finalterm OVPAA-F-INS-055A RAW '!AO105/'Finalterm OVPAA-F-INS-055A RAW '!AO$17*100)</f>
        <v/>
      </c>
      <c r="AP105" s="126" t="str">
        <f>IF('Finalterm OVPAA-F-INS-055A RAW '!AP105="","",'Finalterm OVPAA-F-INS-055A RAW '!AP105/'Finalterm OVPAA-F-INS-055A RAW '!AP$17*100)</f>
        <v/>
      </c>
      <c r="AQ105" s="126" t="str">
        <f>IF('Finalterm OVPAA-F-INS-055A RAW '!AQ105="","",'Finalterm OVPAA-F-INS-055A RAW '!AQ105/'Finalterm OVPAA-F-INS-055A RAW '!AQ$17*100)</f>
        <v/>
      </c>
      <c r="AR105" s="126" t="str">
        <f>IF('Finalterm OVPAA-F-INS-055A RAW '!AR105="","",'Finalterm OVPAA-F-INS-055A RAW '!AR105/'Finalterm OVPAA-F-INS-055A RAW '!AR$17*100)</f>
        <v/>
      </c>
      <c r="AS105" s="126" t="str">
        <f>IF('Finalterm OVPAA-F-INS-055A RAW '!AS105="","",'Finalterm OVPAA-F-INS-055A RAW '!AS105/'Finalterm OVPAA-F-INS-055A RAW '!AS$17*100)</f>
        <v/>
      </c>
      <c r="AT105" s="126" t="str">
        <f>IF('Finalterm OVPAA-F-INS-055A RAW '!AT105="","",'Finalterm OVPAA-F-INS-055A RAW '!AT105/'Finalterm OVPAA-F-INS-055A RAW '!AT$17*100)</f>
        <v/>
      </c>
      <c r="AU105" s="126" t="str">
        <f>IF('Finalterm OVPAA-F-INS-055A RAW '!AU105="","",'Finalterm OVPAA-F-INS-055A RAW '!AU105/'Finalterm OVPAA-F-INS-055A RAW '!AU$17*100)</f>
        <v/>
      </c>
      <c r="AV105" s="126" t="str">
        <f>IF('Finalterm OVPAA-F-INS-055A RAW '!AV105="","",'Finalterm OVPAA-F-INS-055A RAW '!AV105/'Finalterm OVPAA-F-INS-055A RAW '!AV$17*100)</f>
        <v/>
      </c>
      <c r="AW105" s="126" t="str">
        <f>IF('Finalterm OVPAA-F-INS-055A RAW '!AW105="","",'Finalterm OVPAA-F-INS-055A RAW '!AW105/'Finalterm OVPAA-F-INS-055A RAW '!AW$17*100)</f>
        <v/>
      </c>
      <c r="AX105" s="126" t="str">
        <f>IF('Finalterm OVPAA-F-INS-055A RAW '!AX105="","",'Finalterm OVPAA-F-INS-055A RAW '!AX105/'Finalterm OVPAA-F-INS-055A RAW '!AX$17*100)</f>
        <v/>
      </c>
      <c r="AY105" s="126" t="str">
        <f>IF('Finalterm OVPAA-F-INS-055A RAW '!AY105="","",'Finalterm OVPAA-F-INS-055A RAW '!AY105/'Finalterm OVPAA-F-INS-055A RAW '!AY$17*100)</f>
        <v/>
      </c>
      <c r="AZ105" s="126" t="str">
        <f>IF('Finalterm OVPAA-F-INS-055A RAW '!AZ105="","",'Finalterm OVPAA-F-INS-055A RAW '!AZ105/'Finalterm OVPAA-F-INS-055A RAW '!AZ$17*100)</f>
        <v/>
      </c>
      <c r="BA105" s="126" t="str">
        <f>IF('Finalterm OVPAA-F-INS-055A RAW '!BA105="","",'Finalterm OVPAA-F-INS-055A RAW '!BA105/'Finalterm OVPAA-F-INS-055A RAW '!BA$17*100)</f>
        <v/>
      </c>
      <c r="BB105" s="126" t="str">
        <f>IF('Finalterm OVPAA-F-INS-055A RAW '!BB105="","",'Finalterm OVPAA-F-INS-055A RAW '!BB105/'Finalterm OVPAA-F-INS-055A RAW '!BB$17*100)</f>
        <v/>
      </c>
      <c r="BC105" s="126" t="str">
        <f>IF('Finalterm OVPAA-F-INS-055A RAW '!BC105="","",'Finalterm OVPAA-F-INS-055A RAW '!BC105/'Finalterm OVPAA-F-INS-055A RAW '!BC$17*100)</f>
        <v/>
      </c>
      <c r="BD105" s="126" t="str">
        <f>IF('Finalterm OVPAA-F-INS-055A RAW '!BD105="","",'Finalterm OVPAA-F-INS-055A RAW '!BD105/'Finalterm OVPAA-F-INS-055A RAW '!BD$17*100)</f>
        <v/>
      </c>
      <c r="BE105" s="126" t="str">
        <f>IF('Finalterm OVPAA-F-INS-055A RAW '!BE105="","",'Finalterm OVPAA-F-INS-055A RAW '!BE105/'Finalterm OVPAA-F-INS-055A RAW '!BE$17*100)</f>
        <v/>
      </c>
      <c r="BF105" s="126" t="str">
        <f>IF('Finalterm OVPAA-F-INS-055A RAW '!BF105="","",'Finalterm OVPAA-F-INS-055A RAW '!BF105/'Finalterm OVPAA-F-INS-055A RAW '!BF$17*100)</f>
        <v/>
      </c>
      <c r="BG105" s="126" t="str">
        <f>IF('Finalterm OVPAA-F-INS-055A RAW '!BG105="","",'Finalterm OVPAA-F-INS-055A RAW '!BG105/'Finalterm OVPAA-F-INS-055A RAW '!BG$17*100)</f>
        <v/>
      </c>
      <c r="BH105" s="126" t="str">
        <f>IF('Finalterm OVPAA-F-INS-055A RAW '!BH105="","",'Finalterm OVPAA-F-INS-055A RAW '!BH105/'Finalterm OVPAA-F-INS-055A RAW '!BH$17*100)</f>
        <v/>
      </c>
      <c r="BI105" s="126" t="str">
        <f>IF('Finalterm OVPAA-F-INS-055A RAW '!BI105="","",'Finalterm OVPAA-F-INS-055A RAW '!BI105/'Finalterm OVPAA-F-INS-055A RAW '!BI$17*100)</f>
        <v/>
      </c>
      <c r="BJ105" s="126" t="str">
        <f>IF('Finalterm OVPAA-F-INS-055A RAW '!BJ105="","",'Finalterm OVPAA-F-INS-055A RAW '!BJ105/'Finalterm OVPAA-F-INS-055A RAW '!BJ$17*100)</f>
        <v/>
      </c>
      <c r="BK105" s="126" t="str">
        <f>IF('Finalterm OVPAA-F-INS-055A RAW '!BK105="","",'Finalterm OVPAA-F-INS-055A RAW '!BK105/'Finalterm OVPAA-F-INS-055A RAW '!BK$17*100)</f>
        <v/>
      </c>
      <c r="BL105" s="126" t="str">
        <f>IF('Finalterm OVPAA-F-INS-055A RAW '!BL105="","",'Finalterm OVPAA-F-INS-055A RAW '!BL105/'Finalterm OVPAA-F-INS-055A RAW '!BL$17*100)</f>
        <v/>
      </c>
      <c r="BM105" s="126" t="str">
        <f>IF('Finalterm OVPAA-F-INS-055A RAW '!BM105="","",'Finalterm OVPAA-F-INS-055A RAW '!BM105/'Finalterm OVPAA-F-INS-055A RAW '!BM$17*100)</f>
        <v/>
      </c>
      <c r="BN105" s="126" t="str">
        <f>IF('Finalterm OVPAA-F-INS-055A RAW '!BN105="","",'Finalterm OVPAA-F-INS-055A RAW '!BN105/'Finalterm OVPAA-F-INS-055A RAW '!BN$17*100)</f>
        <v/>
      </c>
      <c r="BO105" s="126" t="str">
        <f>IF('Finalterm OVPAA-F-INS-055A RAW '!BO105="","",'Finalterm OVPAA-F-INS-055A RAW '!BO105/'Finalterm OVPAA-F-INS-055A RAW '!BO$17*100)</f>
        <v/>
      </c>
      <c r="BP105" s="126" t="str">
        <f>IF('Finalterm OVPAA-F-INS-055A RAW '!BP105="","",'Finalterm OVPAA-F-INS-055A RAW '!BP105/'Finalterm OVPAA-F-INS-055A RAW '!BP$17*100)</f>
        <v/>
      </c>
      <c r="BQ105" s="126" t="str">
        <f>IF('Finalterm OVPAA-F-INS-055A RAW '!BQ105="","",'Finalterm OVPAA-F-INS-055A RAW '!BQ105/'Finalterm OVPAA-F-INS-055A RAW '!BQ$17*100)</f>
        <v/>
      </c>
      <c r="BR105" s="126" t="str">
        <f>IF('Finalterm OVPAA-F-INS-055A RAW '!BR105="","",'Finalterm OVPAA-F-INS-055A RAW '!BR105/'Finalterm OVPAA-F-INS-055A RAW '!BR$17*100)</f>
        <v/>
      </c>
      <c r="BS105" s="126" t="str">
        <f>IF('Finalterm OVPAA-F-INS-055A RAW '!BS105="","",'Finalterm OVPAA-F-INS-055A RAW '!BS105/'Finalterm OVPAA-F-INS-055A RAW '!BS$17*100)</f>
        <v/>
      </c>
      <c r="BT105" s="126" t="str">
        <f>IF('Finalterm OVPAA-F-INS-055A RAW '!BT105="","",'Finalterm OVPAA-F-INS-055A RAW '!BT105/'Finalterm OVPAA-F-INS-055A RAW '!BT$17*100)</f>
        <v/>
      </c>
      <c r="BU105" s="127" t="str">
        <f t="array" ref="BU105">IF('Finalterm OVPAA-F-INS-055A RAW '!$G105="","",IF((SUMPRODUCT(--ISBLANK('Finalterm OVPAA-F-INS-055A RAW '!H105:BT105))=COLUMNS('Finalterm OVPAA-F-INS-055A RAW '!H105:BT105))=TRUE,"",(((COUNTA('Finalterm OVPAA-F-INS-055A RAW '!$H$17:$BT$17)+COUNTBLANK('Finalterm OVPAA-F-INS-055A RAW '!H105:BT105))-COLUMNS('Finalterm OVPAA-F-INS-055A RAW '!H105:BT105))*5+SUM(H105:BT105))/COUNTA('Finalterm OVPAA-F-INS-055A RAW '!$H$17:$BT$17)))</f>
        <v/>
      </c>
      <c r="BV105" s="165" t="str">
        <f>IF(BU105="","",VLOOKUP(BU105,IF('Midterm OVPAA-F-INS-055A RAW SC'!$V$12=0.5,TRANSMUTATION!$C$4:$D$17,TRANSMUTATION!$G$4:$H$17),2,TRUE))</f>
        <v/>
      </c>
      <c r="BW105" s="129" t="str">
        <f>IF('Finalterm OVPAA-F-INS-055A RAW '!BU105="","",'Finalterm OVPAA-F-INS-055A RAW '!BU105/'Finalterm OVPAA-F-INS-055A RAW '!BU$17*100)</f>
        <v/>
      </c>
      <c r="BX105" s="130" t="str">
        <f>IF('Finalterm OVPAA-F-INS-055A RAW '!BV105="","",'Finalterm OVPAA-F-INS-055A RAW '!BV105/'Finalterm OVPAA-F-INS-055A RAW '!BV$17*100)</f>
        <v/>
      </c>
      <c r="BY105" s="130" t="str">
        <f>IF('Finalterm OVPAA-F-INS-055A RAW '!BW105="","",'Finalterm OVPAA-F-INS-055A RAW '!BW105/'Finalterm OVPAA-F-INS-055A RAW '!BW$17*100)</f>
        <v/>
      </c>
      <c r="BZ105" s="130" t="str">
        <f>IF('Finalterm OVPAA-F-INS-055A RAW '!BX105="","",'Finalterm OVPAA-F-INS-055A RAW '!BX105/'Finalterm OVPAA-F-INS-055A RAW '!BX$17*100)</f>
        <v/>
      </c>
      <c r="CA105" s="130" t="str">
        <f>IF('Finalterm OVPAA-F-INS-055A RAW '!BY105="","",'Finalterm OVPAA-F-INS-055A RAW '!BY105/'Finalterm OVPAA-F-INS-055A RAW '!BY$17*100)</f>
        <v/>
      </c>
      <c r="CB105" s="130" t="str">
        <f>IF('Finalterm OVPAA-F-INS-055A RAW '!BZ105="","",'Finalterm OVPAA-F-INS-055A RAW '!BZ105/'Finalterm OVPAA-F-INS-055A RAW '!BZ$17*100)</f>
        <v/>
      </c>
      <c r="CC105" s="130" t="str">
        <f>IF('Finalterm OVPAA-F-INS-055A RAW '!CA105="","",'Finalterm OVPAA-F-INS-055A RAW '!CA105/'Finalterm OVPAA-F-INS-055A RAW '!CA$17*100)</f>
        <v/>
      </c>
      <c r="CD105" s="130" t="str">
        <f>IF('Finalterm OVPAA-F-INS-055A RAW '!CB105="","",'Finalterm OVPAA-F-INS-055A RAW '!CB105/'Finalterm OVPAA-F-INS-055A RAW '!CB$17*100)</f>
        <v/>
      </c>
      <c r="CE105" s="130" t="str">
        <f>IF('Finalterm OVPAA-F-INS-055A RAW '!CC105="","",'Finalterm OVPAA-F-INS-055A RAW '!CC105/'Finalterm OVPAA-F-INS-055A RAW '!CC$17*100)</f>
        <v/>
      </c>
      <c r="CF105" s="130" t="str">
        <f>IF('Finalterm OVPAA-F-INS-055A RAW '!CD105="","",'Finalterm OVPAA-F-INS-055A RAW '!CD105/'Finalterm OVPAA-F-INS-055A RAW '!CD$17*100)</f>
        <v/>
      </c>
      <c r="CG105" s="130" t="str">
        <f>IF('Finalterm OVPAA-F-INS-055A RAW '!CE105="","",'Finalterm OVPAA-F-INS-055A RAW '!CE105/'Finalterm OVPAA-F-INS-055A RAW '!CE$17*100)</f>
        <v/>
      </c>
      <c r="CH105" s="130" t="str">
        <f>IF('Finalterm OVPAA-F-INS-055A RAW '!CF105="","",'Finalterm OVPAA-F-INS-055A RAW '!CF105/'Finalterm OVPAA-F-INS-055A RAW '!CF$17*100)</f>
        <v/>
      </c>
      <c r="CI105" s="130" t="str">
        <f>IF('Finalterm OVPAA-F-INS-055A RAW '!CG105="","",'Finalterm OVPAA-F-INS-055A RAW '!CG105/'Finalterm OVPAA-F-INS-055A RAW '!CG$17*100)</f>
        <v/>
      </c>
      <c r="CJ105" s="130" t="str">
        <f>IF('Finalterm OVPAA-F-INS-055A RAW '!CH105="","",'Finalterm OVPAA-F-INS-055A RAW '!CH105/'Finalterm OVPAA-F-INS-055A RAW '!CH$17*100)</f>
        <v/>
      </c>
      <c r="CK105" s="130" t="str">
        <f>IF('Finalterm OVPAA-F-INS-055A RAW '!CI105="","",'Finalterm OVPAA-F-INS-055A RAW '!CI105/'Finalterm OVPAA-F-INS-055A RAW '!CI$17*100)</f>
        <v/>
      </c>
      <c r="CL105" s="130" t="str">
        <f>IF('Finalterm OVPAA-F-INS-055A RAW '!CJ105="","",'Finalterm OVPAA-F-INS-055A RAW '!CJ105/'Finalterm OVPAA-F-INS-055A RAW '!CJ$17*100)</f>
        <v/>
      </c>
      <c r="CM105" s="130" t="str">
        <f>IF('Finalterm OVPAA-F-INS-055A RAW '!CK105="","",'Finalterm OVPAA-F-INS-055A RAW '!CK105/'Finalterm OVPAA-F-INS-055A RAW '!CK$17*100)</f>
        <v/>
      </c>
      <c r="CN105" s="130" t="str">
        <f>IF('Finalterm OVPAA-F-INS-055A RAW '!CL105="","",'Finalterm OVPAA-F-INS-055A RAW '!CL105/'Finalterm OVPAA-F-INS-055A RAW '!CL$17*100)</f>
        <v/>
      </c>
      <c r="CO105" s="130" t="str">
        <f>IF('Finalterm OVPAA-F-INS-055A RAW '!CM105="","",'Finalterm OVPAA-F-INS-055A RAW '!CM105/'Finalterm OVPAA-F-INS-055A RAW '!CM$17*100)</f>
        <v/>
      </c>
      <c r="CP105" s="130" t="str">
        <f>IF('Finalterm OVPAA-F-INS-055A RAW '!CN105="","",'Finalterm OVPAA-F-INS-055A RAW '!CN105/'Finalterm OVPAA-F-INS-055A RAW '!CN$17*100)</f>
        <v/>
      </c>
      <c r="CQ105" s="131" t="str">
        <f t="array" ref="CQ105">IF('Midterm OVPAA-F-INS-055A RAW SC'!G105="","",IF((SUMPRODUCT(--ISBLANK('Finalterm OVPAA-F-INS-055A RAW '!BU105:CN105))=COLUMNS('Finalterm OVPAA-F-INS-055A RAW '!BU105:CN105))=TRUE,"",(((COUNTA('Finalterm OVPAA-F-INS-055A RAW '!$BU$17:$CN$17)+COUNTBLANK('Finalterm OVPAA-F-INS-055A RAW '!BU105:CN105))-COLUMNS('Finalterm OVPAA-F-INS-055A RAW '!BU105:CN105))*5+SUM(BW105:CP105))/COUNTA('Finalterm OVPAA-F-INS-055A RAW '!$BU$17:$CN$17)))</f>
        <v/>
      </c>
      <c r="CR105" s="132" t="str">
        <f>IF(CQ105="","",VLOOKUP(CQ105,IF('Midterm OVPAA-F-INS-055A RAW SC'!$V$12=0.5,TRANSMUTATION!$C$4:$D$17,TRANSMUTATION!$G$4:$H$17),2,TRUE))</f>
        <v/>
      </c>
      <c r="CS105" s="133" t="str">
        <f>IF('Finalterm OVPAA-F-INS-055A RAW '!CO105="","",'Finalterm OVPAA-F-INS-055A RAW '!CO105/'Finalterm OVPAA-F-INS-055A RAW '!CO$17*100)</f>
        <v/>
      </c>
      <c r="CT105" s="133" t="str">
        <f>IF('Finalterm OVPAA-F-INS-055A RAW '!CP105="","",'Finalterm OVPAA-F-INS-055A RAW '!CP105/'Finalterm OVPAA-F-INS-055A RAW '!CP$17*100)</f>
        <v/>
      </c>
      <c r="CU105" s="133" t="str">
        <f>IF('Finalterm OVPAA-F-INS-055A RAW '!CQ105="","",'Finalterm OVPAA-F-INS-055A RAW '!CQ105/'Finalterm OVPAA-F-INS-055A RAW '!CQ$17*100)</f>
        <v/>
      </c>
      <c r="CV105" s="133" t="str">
        <f>IF('Finalterm OVPAA-F-INS-055A RAW '!CR105="","",'Finalterm OVPAA-F-INS-055A RAW '!CR105/'Finalterm OVPAA-F-INS-055A RAW '!CR$17*100)</f>
        <v/>
      </c>
      <c r="CW105" s="133" t="str">
        <f>IF('Finalterm OVPAA-F-INS-055A RAW '!CS105="","",'Finalterm OVPAA-F-INS-055A RAW '!CS105/'Finalterm OVPAA-F-INS-055A RAW '!CS$17*100)</f>
        <v/>
      </c>
      <c r="CX105" s="133" t="str">
        <f>IF('Finalterm OVPAA-F-INS-055A RAW '!CT105="","",'Finalterm OVPAA-F-INS-055A RAW '!CT105/'Finalterm OVPAA-F-INS-055A RAW '!CT$17*100)</f>
        <v/>
      </c>
      <c r="CY105" s="133" t="str">
        <f>IF('Finalterm OVPAA-F-INS-055A RAW '!CU105="","",'Finalterm OVPAA-F-INS-055A RAW '!CU105/'Finalterm OVPAA-F-INS-055A RAW '!CU$17*100)</f>
        <v/>
      </c>
      <c r="CZ105" s="133" t="str">
        <f>IF('Finalterm OVPAA-F-INS-055A RAW '!CV105="","",'Finalterm OVPAA-F-INS-055A RAW '!CV105/'Finalterm OVPAA-F-INS-055A RAW '!CV$17*100)</f>
        <v/>
      </c>
      <c r="DA105" s="133" t="str">
        <f>IF('Finalterm OVPAA-F-INS-055A RAW '!CW105="","",'Finalterm OVPAA-F-INS-055A RAW '!CW105/'Finalterm OVPAA-F-INS-055A RAW '!CW$17*100)</f>
        <v/>
      </c>
      <c r="DB105" s="133" t="str">
        <f>IF('Finalterm OVPAA-F-INS-055A RAW '!CX105="","",'Finalterm OVPAA-F-INS-055A RAW '!CX105/'Finalterm OVPAA-F-INS-055A RAW '!CX$17*100)</f>
        <v/>
      </c>
      <c r="DC105" s="134" t="str">
        <f t="array" ref="DC105">IF('Midterm OVPAA-F-INS-055A RAW SC'!$G105="","",IF((SUMPRODUCT(--ISBLANK('Finalterm OVPAA-F-INS-055A RAW '!CO105:CX105))=COLUMNS('Finalterm OVPAA-F-INS-055A RAW '!CO105:CX105))=TRUE,"",(((COUNTA('Finalterm OVPAA-F-INS-055A RAW '!$CO$17:$CX$17)+COUNTBLANK('Finalterm OVPAA-F-INS-055A RAW '!CO105:CX105))-COLUMNS('Finalterm OVPAA-F-INS-055A RAW '!CO105:CX105))*5+SUM(CS105:DB105))/COUNTA('Finalterm OVPAA-F-INS-055A RAW '!$CO$17:$CX$17)))</f>
        <v/>
      </c>
      <c r="DD105" s="135" t="str">
        <f>IF(DC105="","",VLOOKUP(DC105,IF('Midterm OVPAA-F-INS-055A RAW SC'!$V$12=0.5,TRANSMUTATION!$C$4:$D$17,TRANSMUTATION!$G$4:$H$17),2,TRUE))</f>
        <v/>
      </c>
      <c r="DE105" s="136" t="str">
        <f t="shared" si="1"/>
        <v/>
      </c>
      <c r="DF105" s="166" t="str">
        <f t="shared" si="2"/>
        <v/>
      </c>
      <c r="DG105" s="167" t="str">
        <f t="shared" si="3"/>
        <v/>
      </c>
      <c r="DH105" s="168" t="str">
        <f t="shared" si="4"/>
        <v/>
      </c>
      <c r="DI105" s="169" t="str">
        <f t="shared" si="5"/>
        <v/>
      </c>
    </row>
    <row r="106" spans="1:113" ht="15.75" hidden="1" customHeight="1">
      <c r="A106" s="5"/>
      <c r="B106" s="5"/>
      <c r="C106" s="5"/>
      <c r="D106" s="5"/>
      <c r="E106" s="59">
        <v>89</v>
      </c>
      <c r="F106" s="124" t="str">
        <f>IF(NOT(ISBLANK('Midterm OVPAA-F-INS-055A RAW SC'!F106)),'Midterm OVPAA-F-INS-055A RAW SC'!F106,"")</f>
        <v/>
      </c>
      <c r="G106" s="125" t="str">
        <f>IF(NOT(ISBLANK('Midterm OVPAA-F-INS-055A RAW SC'!G106)),'Midterm OVPAA-F-INS-055A RAW SC'!G106,"")</f>
        <v/>
      </c>
      <c r="H106" s="126" t="str">
        <f>IF('Finalterm OVPAA-F-INS-055A RAW '!H106="","",'Finalterm OVPAA-F-INS-055A RAW '!H106/'Finalterm OVPAA-F-INS-055A RAW '!H$17*100)</f>
        <v/>
      </c>
      <c r="I106" s="126" t="str">
        <f>IF('Finalterm OVPAA-F-INS-055A RAW '!I106="","",'Finalterm OVPAA-F-INS-055A RAW '!I106/'Finalterm OVPAA-F-INS-055A RAW '!I$17*100)</f>
        <v/>
      </c>
      <c r="J106" s="126" t="str">
        <f>IF('Finalterm OVPAA-F-INS-055A RAW '!J106="","",'Finalterm OVPAA-F-INS-055A RAW '!J106/'Finalterm OVPAA-F-INS-055A RAW '!J$17*100)</f>
        <v/>
      </c>
      <c r="K106" s="126" t="str">
        <f>IF('Finalterm OVPAA-F-INS-055A RAW '!K106="","",'Finalterm OVPAA-F-INS-055A RAW '!K106/'Finalterm OVPAA-F-INS-055A RAW '!K$17*100)</f>
        <v/>
      </c>
      <c r="L106" s="126" t="str">
        <f>IF('Finalterm OVPAA-F-INS-055A RAW '!L106="","",'Finalterm OVPAA-F-INS-055A RAW '!L106/'Finalterm OVPAA-F-INS-055A RAW '!L$17*100)</f>
        <v/>
      </c>
      <c r="M106" s="126" t="str">
        <f>IF('Finalterm OVPAA-F-INS-055A RAW '!M106="","",'Finalterm OVPAA-F-INS-055A RAW '!M106/'Finalterm OVPAA-F-INS-055A RAW '!M$17*100)</f>
        <v/>
      </c>
      <c r="N106" s="126" t="str">
        <f>IF('Finalterm OVPAA-F-INS-055A RAW '!N106="","",'Finalterm OVPAA-F-INS-055A RAW '!N106/'Finalterm OVPAA-F-INS-055A RAW '!N$17*100)</f>
        <v/>
      </c>
      <c r="O106" s="126" t="str">
        <f>IF('Finalterm OVPAA-F-INS-055A RAW '!O106="","",'Finalterm OVPAA-F-INS-055A RAW '!O106/'Finalterm OVPAA-F-INS-055A RAW '!O$17*100)</f>
        <v/>
      </c>
      <c r="P106" s="126" t="str">
        <f>IF('Finalterm OVPAA-F-INS-055A RAW '!P106="","",'Finalterm OVPAA-F-INS-055A RAW '!P106/'Finalterm OVPAA-F-INS-055A RAW '!P$17*100)</f>
        <v/>
      </c>
      <c r="Q106" s="126" t="str">
        <f>IF('Finalterm OVPAA-F-INS-055A RAW '!Q106="","",'Finalterm OVPAA-F-INS-055A RAW '!Q106/'Finalterm OVPAA-F-INS-055A RAW '!Q$17*100)</f>
        <v/>
      </c>
      <c r="R106" s="126" t="str">
        <f>IF('Finalterm OVPAA-F-INS-055A RAW '!R106="","",'Finalterm OVPAA-F-INS-055A RAW '!R106/'Finalterm OVPAA-F-INS-055A RAW '!R$17*100)</f>
        <v/>
      </c>
      <c r="S106" s="126" t="str">
        <f>IF('Finalterm OVPAA-F-INS-055A RAW '!S106="","",'Finalterm OVPAA-F-INS-055A RAW '!S106/'Finalterm OVPAA-F-INS-055A RAW '!S$17*100)</f>
        <v/>
      </c>
      <c r="T106" s="126" t="str">
        <f>IF('Finalterm OVPAA-F-INS-055A RAW '!T106="","",'Finalterm OVPAA-F-INS-055A RAW '!T106/'Finalterm OVPAA-F-INS-055A RAW '!T$17*100)</f>
        <v/>
      </c>
      <c r="U106" s="126" t="str">
        <f>IF('Finalterm OVPAA-F-INS-055A RAW '!U106="","",'Finalterm OVPAA-F-INS-055A RAW '!U106/'Finalterm OVPAA-F-INS-055A RAW '!U$17*100)</f>
        <v/>
      </c>
      <c r="V106" s="126" t="str">
        <f>IF('Finalterm OVPAA-F-INS-055A RAW '!V106="","",'Finalterm OVPAA-F-INS-055A RAW '!V106/'Finalterm OVPAA-F-INS-055A RAW '!V$17*100)</f>
        <v/>
      </c>
      <c r="W106" s="126" t="str">
        <f>IF('Finalterm OVPAA-F-INS-055A RAW '!W106="","",'Finalterm OVPAA-F-INS-055A RAW '!W106/'Finalterm OVPAA-F-INS-055A RAW '!W$17*100)</f>
        <v/>
      </c>
      <c r="X106" s="126" t="str">
        <f>IF('Finalterm OVPAA-F-INS-055A RAW '!X106="","",'Finalterm OVPAA-F-INS-055A RAW '!X106/'Finalterm OVPAA-F-INS-055A RAW '!X$17*100)</f>
        <v/>
      </c>
      <c r="Y106" s="126" t="str">
        <f>IF('Finalterm OVPAA-F-INS-055A RAW '!Y106="","",'Finalterm OVPAA-F-INS-055A RAW '!Y106/'Finalterm OVPAA-F-INS-055A RAW '!Y$17*100)</f>
        <v/>
      </c>
      <c r="Z106" s="126" t="str">
        <f>IF('Finalterm OVPAA-F-INS-055A RAW '!Z106="","",'Finalterm OVPAA-F-INS-055A RAW '!Z106/'Finalterm OVPAA-F-INS-055A RAW '!Z$17*100)</f>
        <v/>
      </c>
      <c r="AA106" s="126" t="str">
        <f>IF('Finalterm OVPAA-F-INS-055A RAW '!AA106="","",'Finalterm OVPAA-F-INS-055A RAW '!AA106/'Finalterm OVPAA-F-INS-055A RAW '!AA$17*100)</f>
        <v/>
      </c>
      <c r="AB106" s="126" t="str">
        <f>IF('Finalterm OVPAA-F-INS-055A RAW '!AB106="","",'Finalterm OVPAA-F-INS-055A RAW '!AB106/'Finalterm OVPAA-F-INS-055A RAW '!AB$17*100)</f>
        <v/>
      </c>
      <c r="AC106" s="126" t="str">
        <f>IF('Finalterm OVPAA-F-INS-055A RAW '!AC106="","",'Finalterm OVPAA-F-INS-055A RAW '!AC106/'Finalterm OVPAA-F-INS-055A RAW '!AC$17*100)</f>
        <v/>
      </c>
      <c r="AD106" s="126" t="str">
        <f>IF('Finalterm OVPAA-F-INS-055A RAW '!AD106="","",'Finalterm OVPAA-F-INS-055A RAW '!AD106/'Finalterm OVPAA-F-INS-055A RAW '!AD$17*100)</f>
        <v/>
      </c>
      <c r="AE106" s="126" t="str">
        <f>IF('Finalterm OVPAA-F-INS-055A RAW '!AE106="","",'Finalterm OVPAA-F-INS-055A RAW '!AE106/'Finalterm OVPAA-F-INS-055A RAW '!AE$17*100)</f>
        <v/>
      </c>
      <c r="AF106" s="126" t="str">
        <f>IF('Finalterm OVPAA-F-INS-055A RAW '!AF106="","",'Finalterm OVPAA-F-INS-055A RAW '!AF106/'Finalterm OVPAA-F-INS-055A RAW '!AF$17*100)</f>
        <v/>
      </c>
      <c r="AG106" s="126" t="str">
        <f>IF('Finalterm OVPAA-F-INS-055A RAW '!AG106="","",'Finalterm OVPAA-F-INS-055A RAW '!AG106/'Finalterm OVPAA-F-INS-055A RAW '!AG$17*100)</f>
        <v/>
      </c>
      <c r="AH106" s="126" t="str">
        <f>IF('Finalterm OVPAA-F-INS-055A RAW '!AH106="","",'Finalterm OVPAA-F-INS-055A RAW '!AH106/'Finalterm OVPAA-F-INS-055A RAW '!AH$17*100)</f>
        <v/>
      </c>
      <c r="AI106" s="126" t="str">
        <f>IF('Finalterm OVPAA-F-INS-055A RAW '!AI106="","",'Finalterm OVPAA-F-INS-055A RAW '!AI106/'Finalterm OVPAA-F-INS-055A RAW '!AI$17*100)</f>
        <v/>
      </c>
      <c r="AJ106" s="126" t="str">
        <f>IF('Finalterm OVPAA-F-INS-055A RAW '!AJ106="","",'Finalterm OVPAA-F-INS-055A RAW '!AJ106/'Finalterm OVPAA-F-INS-055A RAW '!AJ$17*100)</f>
        <v/>
      </c>
      <c r="AK106" s="126" t="str">
        <f>IF('Finalterm OVPAA-F-INS-055A RAW '!AK106="","",'Finalterm OVPAA-F-INS-055A RAW '!AK106/'Finalterm OVPAA-F-INS-055A RAW '!AK$17*100)</f>
        <v/>
      </c>
      <c r="AL106" s="126" t="str">
        <f>IF('Finalterm OVPAA-F-INS-055A RAW '!AL106="","",'Finalterm OVPAA-F-INS-055A RAW '!AL106/'Finalterm OVPAA-F-INS-055A RAW '!AL$17*100)</f>
        <v/>
      </c>
      <c r="AM106" s="126" t="str">
        <f>IF('Finalterm OVPAA-F-INS-055A RAW '!AM106="","",'Finalterm OVPAA-F-INS-055A RAW '!AM106/'Finalterm OVPAA-F-INS-055A RAW '!AM$17*100)</f>
        <v/>
      </c>
      <c r="AN106" s="126" t="str">
        <f>IF('Finalterm OVPAA-F-INS-055A RAW '!AN106="","",'Finalterm OVPAA-F-INS-055A RAW '!AN106/'Finalterm OVPAA-F-INS-055A RAW '!AN$17*100)</f>
        <v/>
      </c>
      <c r="AO106" s="126" t="str">
        <f>IF('Finalterm OVPAA-F-INS-055A RAW '!AO106="","",'Finalterm OVPAA-F-INS-055A RAW '!AO106/'Finalterm OVPAA-F-INS-055A RAW '!AO$17*100)</f>
        <v/>
      </c>
      <c r="AP106" s="126" t="str">
        <f>IF('Finalterm OVPAA-F-INS-055A RAW '!AP106="","",'Finalterm OVPAA-F-INS-055A RAW '!AP106/'Finalterm OVPAA-F-INS-055A RAW '!AP$17*100)</f>
        <v/>
      </c>
      <c r="AQ106" s="126" t="str">
        <f>IF('Finalterm OVPAA-F-INS-055A RAW '!AQ106="","",'Finalterm OVPAA-F-INS-055A RAW '!AQ106/'Finalterm OVPAA-F-INS-055A RAW '!AQ$17*100)</f>
        <v/>
      </c>
      <c r="AR106" s="126" t="str">
        <f>IF('Finalterm OVPAA-F-INS-055A RAW '!AR106="","",'Finalterm OVPAA-F-INS-055A RAW '!AR106/'Finalterm OVPAA-F-INS-055A RAW '!AR$17*100)</f>
        <v/>
      </c>
      <c r="AS106" s="126" t="str">
        <f>IF('Finalterm OVPAA-F-INS-055A RAW '!AS106="","",'Finalterm OVPAA-F-INS-055A RAW '!AS106/'Finalterm OVPAA-F-INS-055A RAW '!AS$17*100)</f>
        <v/>
      </c>
      <c r="AT106" s="126" t="str">
        <f>IF('Finalterm OVPAA-F-INS-055A RAW '!AT106="","",'Finalterm OVPAA-F-INS-055A RAW '!AT106/'Finalterm OVPAA-F-INS-055A RAW '!AT$17*100)</f>
        <v/>
      </c>
      <c r="AU106" s="126" t="str">
        <f>IF('Finalterm OVPAA-F-INS-055A RAW '!AU106="","",'Finalterm OVPAA-F-INS-055A RAW '!AU106/'Finalterm OVPAA-F-INS-055A RAW '!AU$17*100)</f>
        <v/>
      </c>
      <c r="AV106" s="126" t="str">
        <f>IF('Finalterm OVPAA-F-INS-055A RAW '!AV106="","",'Finalterm OVPAA-F-INS-055A RAW '!AV106/'Finalterm OVPAA-F-INS-055A RAW '!AV$17*100)</f>
        <v/>
      </c>
      <c r="AW106" s="126" t="str">
        <f>IF('Finalterm OVPAA-F-INS-055A RAW '!AW106="","",'Finalterm OVPAA-F-INS-055A RAW '!AW106/'Finalterm OVPAA-F-INS-055A RAW '!AW$17*100)</f>
        <v/>
      </c>
      <c r="AX106" s="126" t="str">
        <f>IF('Finalterm OVPAA-F-INS-055A RAW '!AX106="","",'Finalterm OVPAA-F-INS-055A RAW '!AX106/'Finalterm OVPAA-F-INS-055A RAW '!AX$17*100)</f>
        <v/>
      </c>
      <c r="AY106" s="126" t="str">
        <f>IF('Finalterm OVPAA-F-INS-055A RAW '!AY106="","",'Finalterm OVPAA-F-INS-055A RAW '!AY106/'Finalterm OVPAA-F-INS-055A RAW '!AY$17*100)</f>
        <v/>
      </c>
      <c r="AZ106" s="126" t="str">
        <f>IF('Finalterm OVPAA-F-INS-055A RAW '!AZ106="","",'Finalterm OVPAA-F-INS-055A RAW '!AZ106/'Finalterm OVPAA-F-INS-055A RAW '!AZ$17*100)</f>
        <v/>
      </c>
      <c r="BA106" s="126" t="str">
        <f>IF('Finalterm OVPAA-F-INS-055A RAW '!BA106="","",'Finalterm OVPAA-F-INS-055A RAW '!BA106/'Finalterm OVPAA-F-INS-055A RAW '!BA$17*100)</f>
        <v/>
      </c>
      <c r="BB106" s="126" t="str">
        <f>IF('Finalterm OVPAA-F-INS-055A RAW '!BB106="","",'Finalterm OVPAA-F-INS-055A RAW '!BB106/'Finalterm OVPAA-F-INS-055A RAW '!BB$17*100)</f>
        <v/>
      </c>
      <c r="BC106" s="126" t="str">
        <f>IF('Finalterm OVPAA-F-INS-055A RAW '!BC106="","",'Finalterm OVPAA-F-INS-055A RAW '!BC106/'Finalterm OVPAA-F-INS-055A RAW '!BC$17*100)</f>
        <v/>
      </c>
      <c r="BD106" s="126" t="str">
        <f>IF('Finalterm OVPAA-F-INS-055A RAW '!BD106="","",'Finalterm OVPAA-F-INS-055A RAW '!BD106/'Finalterm OVPAA-F-INS-055A RAW '!BD$17*100)</f>
        <v/>
      </c>
      <c r="BE106" s="126" t="str">
        <f>IF('Finalterm OVPAA-F-INS-055A RAW '!BE106="","",'Finalterm OVPAA-F-INS-055A RAW '!BE106/'Finalterm OVPAA-F-INS-055A RAW '!BE$17*100)</f>
        <v/>
      </c>
      <c r="BF106" s="126" t="str">
        <f>IF('Finalterm OVPAA-F-INS-055A RAW '!BF106="","",'Finalterm OVPAA-F-INS-055A RAW '!BF106/'Finalterm OVPAA-F-INS-055A RAW '!BF$17*100)</f>
        <v/>
      </c>
      <c r="BG106" s="126" t="str">
        <f>IF('Finalterm OVPAA-F-INS-055A RAW '!BG106="","",'Finalterm OVPAA-F-INS-055A RAW '!BG106/'Finalterm OVPAA-F-INS-055A RAW '!BG$17*100)</f>
        <v/>
      </c>
      <c r="BH106" s="126" t="str">
        <f>IF('Finalterm OVPAA-F-INS-055A RAW '!BH106="","",'Finalterm OVPAA-F-INS-055A RAW '!BH106/'Finalterm OVPAA-F-INS-055A RAW '!BH$17*100)</f>
        <v/>
      </c>
      <c r="BI106" s="126" t="str">
        <f>IF('Finalterm OVPAA-F-INS-055A RAW '!BI106="","",'Finalterm OVPAA-F-INS-055A RAW '!BI106/'Finalterm OVPAA-F-INS-055A RAW '!BI$17*100)</f>
        <v/>
      </c>
      <c r="BJ106" s="126" t="str">
        <f>IF('Finalterm OVPAA-F-INS-055A RAW '!BJ106="","",'Finalterm OVPAA-F-INS-055A RAW '!BJ106/'Finalterm OVPAA-F-INS-055A RAW '!BJ$17*100)</f>
        <v/>
      </c>
      <c r="BK106" s="126" t="str">
        <f>IF('Finalterm OVPAA-F-INS-055A RAW '!BK106="","",'Finalterm OVPAA-F-INS-055A RAW '!BK106/'Finalterm OVPAA-F-INS-055A RAW '!BK$17*100)</f>
        <v/>
      </c>
      <c r="BL106" s="126" t="str">
        <f>IF('Finalterm OVPAA-F-INS-055A RAW '!BL106="","",'Finalterm OVPAA-F-INS-055A RAW '!BL106/'Finalterm OVPAA-F-INS-055A RAW '!BL$17*100)</f>
        <v/>
      </c>
      <c r="BM106" s="126" t="str">
        <f>IF('Finalterm OVPAA-F-INS-055A RAW '!BM106="","",'Finalterm OVPAA-F-INS-055A RAW '!BM106/'Finalterm OVPAA-F-INS-055A RAW '!BM$17*100)</f>
        <v/>
      </c>
      <c r="BN106" s="126" t="str">
        <f>IF('Finalterm OVPAA-F-INS-055A RAW '!BN106="","",'Finalterm OVPAA-F-INS-055A RAW '!BN106/'Finalterm OVPAA-F-INS-055A RAW '!BN$17*100)</f>
        <v/>
      </c>
      <c r="BO106" s="126" t="str">
        <f>IF('Finalterm OVPAA-F-INS-055A RAW '!BO106="","",'Finalterm OVPAA-F-INS-055A RAW '!BO106/'Finalterm OVPAA-F-INS-055A RAW '!BO$17*100)</f>
        <v/>
      </c>
      <c r="BP106" s="126" t="str">
        <f>IF('Finalterm OVPAA-F-INS-055A RAW '!BP106="","",'Finalterm OVPAA-F-INS-055A RAW '!BP106/'Finalterm OVPAA-F-INS-055A RAW '!BP$17*100)</f>
        <v/>
      </c>
      <c r="BQ106" s="126" t="str">
        <f>IF('Finalterm OVPAA-F-INS-055A RAW '!BQ106="","",'Finalterm OVPAA-F-INS-055A RAW '!BQ106/'Finalterm OVPAA-F-INS-055A RAW '!BQ$17*100)</f>
        <v/>
      </c>
      <c r="BR106" s="126" t="str">
        <f>IF('Finalterm OVPAA-F-INS-055A RAW '!BR106="","",'Finalterm OVPAA-F-INS-055A RAW '!BR106/'Finalterm OVPAA-F-INS-055A RAW '!BR$17*100)</f>
        <v/>
      </c>
      <c r="BS106" s="126" t="str">
        <f>IF('Finalterm OVPAA-F-INS-055A RAW '!BS106="","",'Finalterm OVPAA-F-INS-055A RAW '!BS106/'Finalterm OVPAA-F-INS-055A RAW '!BS$17*100)</f>
        <v/>
      </c>
      <c r="BT106" s="126" t="str">
        <f>IF('Finalterm OVPAA-F-INS-055A RAW '!BT106="","",'Finalterm OVPAA-F-INS-055A RAW '!BT106/'Finalterm OVPAA-F-INS-055A RAW '!BT$17*100)</f>
        <v/>
      </c>
      <c r="BU106" s="127" t="str">
        <f t="array" ref="BU106">IF('Finalterm OVPAA-F-INS-055A RAW '!$G106="","",IF((SUMPRODUCT(--ISBLANK('Finalterm OVPAA-F-INS-055A RAW '!H106:BT106))=COLUMNS('Finalterm OVPAA-F-INS-055A RAW '!H106:BT106))=TRUE,"",(((COUNTA('Finalterm OVPAA-F-INS-055A RAW '!$H$17:$BT$17)+COUNTBLANK('Finalterm OVPAA-F-INS-055A RAW '!H106:BT106))-COLUMNS('Finalterm OVPAA-F-INS-055A RAW '!H106:BT106))*5+SUM(H106:BT106))/COUNTA('Finalterm OVPAA-F-INS-055A RAW '!$H$17:$BT$17)))</f>
        <v/>
      </c>
      <c r="BV106" s="165" t="str">
        <f>IF(BU106="","",VLOOKUP(BU106,IF('Midterm OVPAA-F-INS-055A RAW SC'!$V$12=0.5,TRANSMUTATION!$C$4:$D$17,TRANSMUTATION!$G$4:$H$17),2,TRUE))</f>
        <v/>
      </c>
      <c r="BW106" s="129" t="str">
        <f>IF('Finalterm OVPAA-F-INS-055A RAW '!BU106="","",'Finalterm OVPAA-F-INS-055A RAW '!BU106/'Finalterm OVPAA-F-INS-055A RAW '!BU$17*100)</f>
        <v/>
      </c>
      <c r="BX106" s="130" t="str">
        <f>IF('Finalterm OVPAA-F-INS-055A RAW '!BV106="","",'Finalterm OVPAA-F-INS-055A RAW '!BV106/'Finalterm OVPAA-F-INS-055A RAW '!BV$17*100)</f>
        <v/>
      </c>
      <c r="BY106" s="130" t="str">
        <f>IF('Finalterm OVPAA-F-INS-055A RAW '!BW106="","",'Finalterm OVPAA-F-INS-055A RAW '!BW106/'Finalterm OVPAA-F-INS-055A RAW '!BW$17*100)</f>
        <v/>
      </c>
      <c r="BZ106" s="130" t="str">
        <f>IF('Finalterm OVPAA-F-INS-055A RAW '!BX106="","",'Finalterm OVPAA-F-INS-055A RAW '!BX106/'Finalterm OVPAA-F-INS-055A RAW '!BX$17*100)</f>
        <v/>
      </c>
      <c r="CA106" s="130" t="str">
        <f>IF('Finalterm OVPAA-F-INS-055A RAW '!BY106="","",'Finalterm OVPAA-F-INS-055A RAW '!BY106/'Finalterm OVPAA-F-INS-055A RAW '!BY$17*100)</f>
        <v/>
      </c>
      <c r="CB106" s="130" t="str">
        <f>IF('Finalterm OVPAA-F-INS-055A RAW '!BZ106="","",'Finalterm OVPAA-F-INS-055A RAW '!BZ106/'Finalterm OVPAA-F-INS-055A RAW '!BZ$17*100)</f>
        <v/>
      </c>
      <c r="CC106" s="130" t="str">
        <f>IF('Finalterm OVPAA-F-INS-055A RAW '!CA106="","",'Finalterm OVPAA-F-INS-055A RAW '!CA106/'Finalterm OVPAA-F-INS-055A RAW '!CA$17*100)</f>
        <v/>
      </c>
      <c r="CD106" s="130" t="str">
        <f>IF('Finalterm OVPAA-F-INS-055A RAW '!CB106="","",'Finalterm OVPAA-F-INS-055A RAW '!CB106/'Finalterm OVPAA-F-INS-055A RAW '!CB$17*100)</f>
        <v/>
      </c>
      <c r="CE106" s="130" t="str">
        <f>IF('Finalterm OVPAA-F-INS-055A RAW '!CC106="","",'Finalterm OVPAA-F-INS-055A RAW '!CC106/'Finalterm OVPAA-F-INS-055A RAW '!CC$17*100)</f>
        <v/>
      </c>
      <c r="CF106" s="130" t="str">
        <f>IF('Finalterm OVPAA-F-INS-055A RAW '!CD106="","",'Finalterm OVPAA-F-INS-055A RAW '!CD106/'Finalterm OVPAA-F-INS-055A RAW '!CD$17*100)</f>
        <v/>
      </c>
      <c r="CG106" s="130" t="str">
        <f>IF('Finalterm OVPAA-F-INS-055A RAW '!CE106="","",'Finalterm OVPAA-F-INS-055A RAW '!CE106/'Finalterm OVPAA-F-INS-055A RAW '!CE$17*100)</f>
        <v/>
      </c>
      <c r="CH106" s="130" t="str">
        <f>IF('Finalterm OVPAA-F-INS-055A RAW '!CF106="","",'Finalterm OVPAA-F-INS-055A RAW '!CF106/'Finalterm OVPAA-F-INS-055A RAW '!CF$17*100)</f>
        <v/>
      </c>
      <c r="CI106" s="130" t="str">
        <f>IF('Finalterm OVPAA-F-INS-055A RAW '!CG106="","",'Finalterm OVPAA-F-INS-055A RAW '!CG106/'Finalterm OVPAA-F-INS-055A RAW '!CG$17*100)</f>
        <v/>
      </c>
      <c r="CJ106" s="130" t="str">
        <f>IF('Finalterm OVPAA-F-INS-055A RAW '!CH106="","",'Finalterm OVPAA-F-INS-055A RAW '!CH106/'Finalterm OVPAA-F-INS-055A RAW '!CH$17*100)</f>
        <v/>
      </c>
      <c r="CK106" s="130" t="str">
        <f>IF('Finalterm OVPAA-F-INS-055A RAW '!CI106="","",'Finalterm OVPAA-F-INS-055A RAW '!CI106/'Finalterm OVPAA-F-INS-055A RAW '!CI$17*100)</f>
        <v/>
      </c>
      <c r="CL106" s="130" t="str">
        <f>IF('Finalterm OVPAA-F-INS-055A RAW '!CJ106="","",'Finalterm OVPAA-F-INS-055A RAW '!CJ106/'Finalterm OVPAA-F-INS-055A RAW '!CJ$17*100)</f>
        <v/>
      </c>
      <c r="CM106" s="130" t="str">
        <f>IF('Finalterm OVPAA-F-INS-055A RAW '!CK106="","",'Finalterm OVPAA-F-INS-055A RAW '!CK106/'Finalterm OVPAA-F-INS-055A RAW '!CK$17*100)</f>
        <v/>
      </c>
      <c r="CN106" s="130" t="str">
        <f>IF('Finalterm OVPAA-F-INS-055A RAW '!CL106="","",'Finalterm OVPAA-F-INS-055A RAW '!CL106/'Finalterm OVPAA-F-INS-055A RAW '!CL$17*100)</f>
        <v/>
      </c>
      <c r="CO106" s="130" t="str">
        <f>IF('Finalterm OVPAA-F-INS-055A RAW '!CM106="","",'Finalterm OVPAA-F-INS-055A RAW '!CM106/'Finalterm OVPAA-F-INS-055A RAW '!CM$17*100)</f>
        <v/>
      </c>
      <c r="CP106" s="130" t="str">
        <f>IF('Finalterm OVPAA-F-INS-055A RAW '!CN106="","",'Finalterm OVPAA-F-INS-055A RAW '!CN106/'Finalterm OVPAA-F-INS-055A RAW '!CN$17*100)</f>
        <v/>
      </c>
      <c r="CQ106" s="131" t="str">
        <f t="array" ref="CQ106">IF('Midterm OVPAA-F-INS-055A RAW SC'!G106="","",IF((SUMPRODUCT(--ISBLANK('Finalterm OVPAA-F-INS-055A RAW '!BU106:CN106))=COLUMNS('Finalterm OVPAA-F-INS-055A RAW '!BU106:CN106))=TRUE,"",(((COUNTA('Finalterm OVPAA-F-INS-055A RAW '!$BU$17:$CN$17)+COUNTBLANK('Finalterm OVPAA-F-INS-055A RAW '!BU106:CN106))-COLUMNS('Finalterm OVPAA-F-INS-055A RAW '!BU106:CN106))*5+SUM(BW106:CP106))/COUNTA('Finalterm OVPAA-F-INS-055A RAW '!$BU$17:$CN$17)))</f>
        <v/>
      </c>
      <c r="CR106" s="132" t="str">
        <f>IF(CQ106="","",VLOOKUP(CQ106,IF('Midterm OVPAA-F-INS-055A RAW SC'!$V$12=0.5,TRANSMUTATION!$C$4:$D$17,TRANSMUTATION!$G$4:$H$17),2,TRUE))</f>
        <v/>
      </c>
      <c r="CS106" s="133" t="str">
        <f>IF('Finalterm OVPAA-F-INS-055A RAW '!CO106="","",'Finalterm OVPAA-F-INS-055A RAW '!CO106/'Finalterm OVPAA-F-INS-055A RAW '!CO$17*100)</f>
        <v/>
      </c>
      <c r="CT106" s="133" t="str">
        <f>IF('Finalterm OVPAA-F-INS-055A RAW '!CP106="","",'Finalterm OVPAA-F-INS-055A RAW '!CP106/'Finalterm OVPAA-F-INS-055A RAW '!CP$17*100)</f>
        <v/>
      </c>
      <c r="CU106" s="133" t="str">
        <f>IF('Finalterm OVPAA-F-INS-055A RAW '!CQ106="","",'Finalterm OVPAA-F-INS-055A RAW '!CQ106/'Finalterm OVPAA-F-INS-055A RAW '!CQ$17*100)</f>
        <v/>
      </c>
      <c r="CV106" s="133" t="str">
        <f>IF('Finalterm OVPAA-F-INS-055A RAW '!CR106="","",'Finalterm OVPAA-F-INS-055A RAW '!CR106/'Finalterm OVPAA-F-INS-055A RAW '!CR$17*100)</f>
        <v/>
      </c>
      <c r="CW106" s="133" t="str">
        <f>IF('Finalterm OVPAA-F-INS-055A RAW '!CS106="","",'Finalterm OVPAA-F-INS-055A RAW '!CS106/'Finalterm OVPAA-F-INS-055A RAW '!CS$17*100)</f>
        <v/>
      </c>
      <c r="CX106" s="133" t="str">
        <f>IF('Finalterm OVPAA-F-INS-055A RAW '!CT106="","",'Finalterm OVPAA-F-INS-055A RAW '!CT106/'Finalterm OVPAA-F-INS-055A RAW '!CT$17*100)</f>
        <v/>
      </c>
      <c r="CY106" s="133" t="str">
        <f>IF('Finalterm OVPAA-F-INS-055A RAW '!CU106="","",'Finalterm OVPAA-F-INS-055A RAW '!CU106/'Finalterm OVPAA-F-INS-055A RAW '!CU$17*100)</f>
        <v/>
      </c>
      <c r="CZ106" s="133" t="str">
        <f>IF('Finalterm OVPAA-F-INS-055A RAW '!CV106="","",'Finalterm OVPAA-F-INS-055A RAW '!CV106/'Finalterm OVPAA-F-INS-055A RAW '!CV$17*100)</f>
        <v/>
      </c>
      <c r="DA106" s="133" t="str">
        <f>IF('Finalterm OVPAA-F-INS-055A RAW '!CW106="","",'Finalterm OVPAA-F-INS-055A RAW '!CW106/'Finalterm OVPAA-F-INS-055A RAW '!CW$17*100)</f>
        <v/>
      </c>
      <c r="DB106" s="133" t="str">
        <f>IF('Finalterm OVPAA-F-INS-055A RAW '!CX106="","",'Finalterm OVPAA-F-INS-055A RAW '!CX106/'Finalterm OVPAA-F-INS-055A RAW '!CX$17*100)</f>
        <v/>
      </c>
      <c r="DC106" s="134" t="str">
        <f t="array" ref="DC106">IF('Midterm OVPAA-F-INS-055A RAW SC'!$G106="","",IF((SUMPRODUCT(--ISBLANK('Finalterm OVPAA-F-INS-055A RAW '!CO106:CX106))=COLUMNS('Finalterm OVPAA-F-INS-055A RAW '!CO106:CX106))=TRUE,"",(((COUNTA('Finalterm OVPAA-F-INS-055A RAW '!$CO$17:$CX$17)+COUNTBLANK('Finalterm OVPAA-F-INS-055A RAW '!CO106:CX106))-COLUMNS('Finalterm OVPAA-F-INS-055A RAW '!CO106:CX106))*5+SUM(CS106:DB106))/COUNTA('Finalterm OVPAA-F-INS-055A RAW '!$CO$17:$CX$17)))</f>
        <v/>
      </c>
      <c r="DD106" s="135" t="str">
        <f>IF(DC106="","",VLOOKUP(DC106,IF('Midterm OVPAA-F-INS-055A RAW SC'!$V$12=0.5,TRANSMUTATION!$C$4:$D$17,TRANSMUTATION!$G$4:$H$17),2,TRUE))</f>
        <v/>
      </c>
      <c r="DE106" s="136" t="str">
        <f t="shared" si="1"/>
        <v/>
      </c>
      <c r="DF106" s="166" t="str">
        <f t="shared" si="2"/>
        <v/>
      </c>
      <c r="DG106" s="167" t="str">
        <f t="shared" si="3"/>
        <v/>
      </c>
      <c r="DH106" s="168" t="str">
        <f t="shared" si="4"/>
        <v/>
      </c>
      <c r="DI106" s="169" t="str">
        <f t="shared" si="5"/>
        <v/>
      </c>
    </row>
    <row r="107" spans="1:113" ht="15.75" hidden="1" customHeight="1">
      <c r="A107" s="5"/>
      <c r="B107" s="5"/>
      <c r="C107" s="5"/>
      <c r="D107" s="5"/>
      <c r="E107" s="59">
        <v>90</v>
      </c>
      <c r="F107" s="124" t="str">
        <f>IF(NOT(ISBLANK('Midterm OVPAA-F-INS-055A RAW SC'!F107)),'Midterm OVPAA-F-INS-055A RAW SC'!F107,"")</f>
        <v/>
      </c>
      <c r="G107" s="125" t="str">
        <f>IF(NOT(ISBLANK('Midterm OVPAA-F-INS-055A RAW SC'!G107)),'Midterm OVPAA-F-INS-055A RAW SC'!G107,"")</f>
        <v/>
      </c>
      <c r="H107" s="126" t="str">
        <f>IF('Finalterm OVPAA-F-INS-055A RAW '!H107="","",'Finalterm OVPAA-F-INS-055A RAW '!H107/'Finalterm OVPAA-F-INS-055A RAW '!H$17*100)</f>
        <v/>
      </c>
      <c r="I107" s="126" t="str">
        <f>IF('Finalterm OVPAA-F-INS-055A RAW '!I107="","",'Finalterm OVPAA-F-INS-055A RAW '!I107/'Finalterm OVPAA-F-INS-055A RAW '!I$17*100)</f>
        <v/>
      </c>
      <c r="J107" s="126" t="str">
        <f>IF('Finalterm OVPAA-F-INS-055A RAW '!J107="","",'Finalterm OVPAA-F-INS-055A RAW '!J107/'Finalterm OVPAA-F-INS-055A RAW '!J$17*100)</f>
        <v/>
      </c>
      <c r="K107" s="126" t="str">
        <f>IF('Finalterm OVPAA-F-INS-055A RAW '!K107="","",'Finalterm OVPAA-F-INS-055A RAW '!K107/'Finalterm OVPAA-F-INS-055A RAW '!K$17*100)</f>
        <v/>
      </c>
      <c r="L107" s="126" t="str">
        <f>IF('Finalterm OVPAA-F-INS-055A RAW '!L107="","",'Finalterm OVPAA-F-INS-055A RAW '!L107/'Finalterm OVPAA-F-INS-055A RAW '!L$17*100)</f>
        <v/>
      </c>
      <c r="M107" s="126" t="str">
        <f>IF('Finalterm OVPAA-F-INS-055A RAW '!M107="","",'Finalterm OVPAA-F-INS-055A RAW '!M107/'Finalterm OVPAA-F-INS-055A RAW '!M$17*100)</f>
        <v/>
      </c>
      <c r="N107" s="126" t="str">
        <f>IF('Finalterm OVPAA-F-INS-055A RAW '!N107="","",'Finalterm OVPAA-F-INS-055A RAW '!N107/'Finalterm OVPAA-F-INS-055A RAW '!N$17*100)</f>
        <v/>
      </c>
      <c r="O107" s="126" t="str">
        <f>IF('Finalterm OVPAA-F-INS-055A RAW '!O107="","",'Finalterm OVPAA-F-INS-055A RAW '!O107/'Finalterm OVPAA-F-INS-055A RAW '!O$17*100)</f>
        <v/>
      </c>
      <c r="P107" s="126" t="str">
        <f>IF('Finalterm OVPAA-F-INS-055A RAW '!P107="","",'Finalterm OVPAA-F-INS-055A RAW '!P107/'Finalterm OVPAA-F-INS-055A RAW '!P$17*100)</f>
        <v/>
      </c>
      <c r="Q107" s="126" t="str">
        <f>IF('Finalterm OVPAA-F-INS-055A RAW '!Q107="","",'Finalterm OVPAA-F-INS-055A RAW '!Q107/'Finalterm OVPAA-F-INS-055A RAW '!Q$17*100)</f>
        <v/>
      </c>
      <c r="R107" s="126" t="str">
        <f>IF('Finalterm OVPAA-F-INS-055A RAW '!R107="","",'Finalterm OVPAA-F-INS-055A RAW '!R107/'Finalterm OVPAA-F-INS-055A RAW '!R$17*100)</f>
        <v/>
      </c>
      <c r="S107" s="126" t="str">
        <f>IF('Finalterm OVPAA-F-INS-055A RAW '!S107="","",'Finalterm OVPAA-F-INS-055A RAW '!S107/'Finalterm OVPAA-F-INS-055A RAW '!S$17*100)</f>
        <v/>
      </c>
      <c r="T107" s="126" t="str">
        <f>IF('Finalterm OVPAA-F-INS-055A RAW '!T107="","",'Finalterm OVPAA-F-INS-055A RAW '!T107/'Finalterm OVPAA-F-INS-055A RAW '!T$17*100)</f>
        <v/>
      </c>
      <c r="U107" s="126" t="str">
        <f>IF('Finalterm OVPAA-F-INS-055A RAW '!U107="","",'Finalterm OVPAA-F-INS-055A RAW '!U107/'Finalterm OVPAA-F-INS-055A RAW '!U$17*100)</f>
        <v/>
      </c>
      <c r="V107" s="126" t="str">
        <f>IF('Finalterm OVPAA-F-INS-055A RAW '!V107="","",'Finalterm OVPAA-F-INS-055A RAW '!V107/'Finalterm OVPAA-F-INS-055A RAW '!V$17*100)</f>
        <v/>
      </c>
      <c r="W107" s="126" t="str">
        <f>IF('Finalterm OVPAA-F-INS-055A RAW '!W107="","",'Finalterm OVPAA-F-INS-055A RAW '!W107/'Finalterm OVPAA-F-INS-055A RAW '!W$17*100)</f>
        <v/>
      </c>
      <c r="X107" s="126" t="str">
        <f>IF('Finalterm OVPAA-F-INS-055A RAW '!X107="","",'Finalterm OVPAA-F-INS-055A RAW '!X107/'Finalterm OVPAA-F-INS-055A RAW '!X$17*100)</f>
        <v/>
      </c>
      <c r="Y107" s="126" t="str">
        <f>IF('Finalterm OVPAA-F-INS-055A RAW '!Y107="","",'Finalterm OVPAA-F-INS-055A RAW '!Y107/'Finalterm OVPAA-F-INS-055A RAW '!Y$17*100)</f>
        <v/>
      </c>
      <c r="Z107" s="126" t="str">
        <f>IF('Finalterm OVPAA-F-INS-055A RAW '!Z107="","",'Finalterm OVPAA-F-INS-055A RAW '!Z107/'Finalterm OVPAA-F-INS-055A RAW '!Z$17*100)</f>
        <v/>
      </c>
      <c r="AA107" s="126" t="str">
        <f>IF('Finalterm OVPAA-F-INS-055A RAW '!AA107="","",'Finalterm OVPAA-F-INS-055A RAW '!AA107/'Finalterm OVPAA-F-INS-055A RAW '!AA$17*100)</f>
        <v/>
      </c>
      <c r="AB107" s="126" t="str">
        <f>IF('Finalterm OVPAA-F-INS-055A RAW '!AB107="","",'Finalterm OVPAA-F-INS-055A RAW '!AB107/'Finalterm OVPAA-F-INS-055A RAW '!AB$17*100)</f>
        <v/>
      </c>
      <c r="AC107" s="126" t="str">
        <f>IF('Finalterm OVPAA-F-INS-055A RAW '!AC107="","",'Finalterm OVPAA-F-INS-055A RAW '!AC107/'Finalterm OVPAA-F-INS-055A RAW '!AC$17*100)</f>
        <v/>
      </c>
      <c r="AD107" s="126" t="str">
        <f>IF('Finalterm OVPAA-F-INS-055A RAW '!AD107="","",'Finalterm OVPAA-F-INS-055A RAW '!AD107/'Finalterm OVPAA-F-INS-055A RAW '!AD$17*100)</f>
        <v/>
      </c>
      <c r="AE107" s="126" t="str">
        <f>IF('Finalterm OVPAA-F-INS-055A RAW '!AE107="","",'Finalterm OVPAA-F-INS-055A RAW '!AE107/'Finalterm OVPAA-F-INS-055A RAW '!AE$17*100)</f>
        <v/>
      </c>
      <c r="AF107" s="126" t="str">
        <f>IF('Finalterm OVPAA-F-INS-055A RAW '!AF107="","",'Finalterm OVPAA-F-INS-055A RAW '!AF107/'Finalterm OVPAA-F-INS-055A RAW '!AF$17*100)</f>
        <v/>
      </c>
      <c r="AG107" s="126" t="str">
        <f>IF('Finalterm OVPAA-F-INS-055A RAW '!AG107="","",'Finalterm OVPAA-F-INS-055A RAW '!AG107/'Finalterm OVPAA-F-INS-055A RAW '!AG$17*100)</f>
        <v/>
      </c>
      <c r="AH107" s="126" t="str">
        <f>IF('Finalterm OVPAA-F-INS-055A RAW '!AH107="","",'Finalterm OVPAA-F-INS-055A RAW '!AH107/'Finalterm OVPAA-F-INS-055A RAW '!AH$17*100)</f>
        <v/>
      </c>
      <c r="AI107" s="126" t="str">
        <f>IF('Finalterm OVPAA-F-INS-055A RAW '!AI107="","",'Finalterm OVPAA-F-INS-055A RAW '!AI107/'Finalterm OVPAA-F-INS-055A RAW '!AI$17*100)</f>
        <v/>
      </c>
      <c r="AJ107" s="126" t="str">
        <f>IF('Finalterm OVPAA-F-INS-055A RAW '!AJ107="","",'Finalterm OVPAA-F-INS-055A RAW '!AJ107/'Finalterm OVPAA-F-INS-055A RAW '!AJ$17*100)</f>
        <v/>
      </c>
      <c r="AK107" s="126" t="str">
        <f>IF('Finalterm OVPAA-F-INS-055A RAW '!AK107="","",'Finalterm OVPAA-F-INS-055A RAW '!AK107/'Finalterm OVPAA-F-INS-055A RAW '!AK$17*100)</f>
        <v/>
      </c>
      <c r="AL107" s="126" t="str">
        <f>IF('Finalterm OVPAA-F-INS-055A RAW '!AL107="","",'Finalterm OVPAA-F-INS-055A RAW '!AL107/'Finalterm OVPAA-F-INS-055A RAW '!AL$17*100)</f>
        <v/>
      </c>
      <c r="AM107" s="126" t="str">
        <f>IF('Finalterm OVPAA-F-INS-055A RAW '!AM107="","",'Finalterm OVPAA-F-INS-055A RAW '!AM107/'Finalterm OVPAA-F-INS-055A RAW '!AM$17*100)</f>
        <v/>
      </c>
      <c r="AN107" s="126" t="str">
        <f>IF('Finalterm OVPAA-F-INS-055A RAW '!AN107="","",'Finalterm OVPAA-F-INS-055A RAW '!AN107/'Finalterm OVPAA-F-INS-055A RAW '!AN$17*100)</f>
        <v/>
      </c>
      <c r="AO107" s="126" t="str">
        <f>IF('Finalterm OVPAA-F-INS-055A RAW '!AO107="","",'Finalterm OVPAA-F-INS-055A RAW '!AO107/'Finalterm OVPAA-F-INS-055A RAW '!AO$17*100)</f>
        <v/>
      </c>
      <c r="AP107" s="126" t="str">
        <f>IF('Finalterm OVPAA-F-INS-055A RAW '!AP107="","",'Finalterm OVPAA-F-INS-055A RAW '!AP107/'Finalterm OVPAA-F-INS-055A RAW '!AP$17*100)</f>
        <v/>
      </c>
      <c r="AQ107" s="126" t="str">
        <f>IF('Finalterm OVPAA-F-INS-055A RAW '!AQ107="","",'Finalterm OVPAA-F-INS-055A RAW '!AQ107/'Finalterm OVPAA-F-INS-055A RAW '!AQ$17*100)</f>
        <v/>
      </c>
      <c r="AR107" s="126" t="str">
        <f>IF('Finalterm OVPAA-F-INS-055A RAW '!AR107="","",'Finalterm OVPAA-F-INS-055A RAW '!AR107/'Finalterm OVPAA-F-INS-055A RAW '!AR$17*100)</f>
        <v/>
      </c>
      <c r="AS107" s="126" t="str">
        <f>IF('Finalterm OVPAA-F-INS-055A RAW '!AS107="","",'Finalterm OVPAA-F-INS-055A RAW '!AS107/'Finalterm OVPAA-F-INS-055A RAW '!AS$17*100)</f>
        <v/>
      </c>
      <c r="AT107" s="126" t="str">
        <f>IF('Finalterm OVPAA-F-INS-055A RAW '!AT107="","",'Finalterm OVPAA-F-INS-055A RAW '!AT107/'Finalterm OVPAA-F-INS-055A RAW '!AT$17*100)</f>
        <v/>
      </c>
      <c r="AU107" s="126" t="str">
        <f>IF('Finalterm OVPAA-F-INS-055A RAW '!AU107="","",'Finalterm OVPAA-F-INS-055A RAW '!AU107/'Finalterm OVPAA-F-INS-055A RAW '!AU$17*100)</f>
        <v/>
      </c>
      <c r="AV107" s="126" t="str">
        <f>IF('Finalterm OVPAA-F-INS-055A RAW '!AV107="","",'Finalterm OVPAA-F-INS-055A RAW '!AV107/'Finalterm OVPAA-F-INS-055A RAW '!AV$17*100)</f>
        <v/>
      </c>
      <c r="AW107" s="126" t="str">
        <f>IF('Finalterm OVPAA-F-INS-055A RAW '!AW107="","",'Finalterm OVPAA-F-INS-055A RAW '!AW107/'Finalterm OVPAA-F-INS-055A RAW '!AW$17*100)</f>
        <v/>
      </c>
      <c r="AX107" s="126" t="str">
        <f>IF('Finalterm OVPAA-F-INS-055A RAW '!AX107="","",'Finalterm OVPAA-F-INS-055A RAW '!AX107/'Finalterm OVPAA-F-INS-055A RAW '!AX$17*100)</f>
        <v/>
      </c>
      <c r="AY107" s="126" t="str">
        <f>IF('Finalterm OVPAA-F-INS-055A RAW '!AY107="","",'Finalterm OVPAA-F-INS-055A RAW '!AY107/'Finalterm OVPAA-F-INS-055A RAW '!AY$17*100)</f>
        <v/>
      </c>
      <c r="AZ107" s="126" t="str">
        <f>IF('Finalterm OVPAA-F-INS-055A RAW '!AZ107="","",'Finalterm OVPAA-F-INS-055A RAW '!AZ107/'Finalterm OVPAA-F-INS-055A RAW '!AZ$17*100)</f>
        <v/>
      </c>
      <c r="BA107" s="126" t="str">
        <f>IF('Finalterm OVPAA-F-INS-055A RAW '!BA107="","",'Finalterm OVPAA-F-INS-055A RAW '!BA107/'Finalterm OVPAA-F-INS-055A RAW '!BA$17*100)</f>
        <v/>
      </c>
      <c r="BB107" s="126" t="str">
        <f>IF('Finalterm OVPAA-F-INS-055A RAW '!BB107="","",'Finalterm OVPAA-F-INS-055A RAW '!BB107/'Finalterm OVPAA-F-INS-055A RAW '!BB$17*100)</f>
        <v/>
      </c>
      <c r="BC107" s="126" t="str">
        <f>IF('Finalterm OVPAA-F-INS-055A RAW '!BC107="","",'Finalterm OVPAA-F-INS-055A RAW '!BC107/'Finalterm OVPAA-F-INS-055A RAW '!BC$17*100)</f>
        <v/>
      </c>
      <c r="BD107" s="126" t="str">
        <f>IF('Finalterm OVPAA-F-INS-055A RAW '!BD107="","",'Finalterm OVPAA-F-INS-055A RAW '!BD107/'Finalterm OVPAA-F-INS-055A RAW '!BD$17*100)</f>
        <v/>
      </c>
      <c r="BE107" s="126" t="str">
        <f>IF('Finalterm OVPAA-F-INS-055A RAW '!BE107="","",'Finalterm OVPAA-F-INS-055A RAW '!BE107/'Finalterm OVPAA-F-INS-055A RAW '!BE$17*100)</f>
        <v/>
      </c>
      <c r="BF107" s="126" t="str">
        <f>IF('Finalterm OVPAA-F-INS-055A RAW '!BF107="","",'Finalterm OVPAA-F-INS-055A RAW '!BF107/'Finalterm OVPAA-F-INS-055A RAW '!BF$17*100)</f>
        <v/>
      </c>
      <c r="BG107" s="126" t="str">
        <f>IF('Finalterm OVPAA-F-INS-055A RAW '!BG107="","",'Finalterm OVPAA-F-INS-055A RAW '!BG107/'Finalterm OVPAA-F-INS-055A RAW '!BG$17*100)</f>
        <v/>
      </c>
      <c r="BH107" s="126" t="str">
        <f>IF('Finalterm OVPAA-F-INS-055A RAW '!BH107="","",'Finalterm OVPAA-F-INS-055A RAW '!BH107/'Finalterm OVPAA-F-INS-055A RAW '!BH$17*100)</f>
        <v/>
      </c>
      <c r="BI107" s="126" t="str">
        <f>IF('Finalterm OVPAA-F-INS-055A RAW '!BI107="","",'Finalterm OVPAA-F-INS-055A RAW '!BI107/'Finalterm OVPAA-F-INS-055A RAW '!BI$17*100)</f>
        <v/>
      </c>
      <c r="BJ107" s="126" t="str">
        <f>IF('Finalterm OVPAA-F-INS-055A RAW '!BJ107="","",'Finalterm OVPAA-F-INS-055A RAW '!BJ107/'Finalterm OVPAA-F-INS-055A RAW '!BJ$17*100)</f>
        <v/>
      </c>
      <c r="BK107" s="126" t="str">
        <f>IF('Finalterm OVPAA-F-INS-055A RAW '!BK107="","",'Finalterm OVPAA-F-INS-055A RAW '!BK107/'Finalterm OVPAA-F-INS-055A RAW '!BK$17*100)</f>
        <v/>
      </c>
      <c r="BL107" s="126" t="str">
        <f>IF('Finalterm OVPAA-F-INS-055A RAW '!BL107="","",'Finalterm OVPAA-F-INS-055A RAW '!BL107/'Finalterm OVPAA-F-INS-055A RAW '!BL$17*100)</f>
        <v/>
      </c>
      <c r="BM107" s="126" t="str">
        <f>IF('Finalterm OVPAA-F-INS-055A RAW '!BM107="","",'Finalterm OVPAA-F-INS-055A RAW '!BM107/'Finalterm OVPAA-F-INS-055A RAW '!BM$17*100)</f>
        <v/>
      </c>
      <c r="BN107" s="126" t="str">
        <f>IF('Finalterm OVPAA-F-INS-055A RAW '!BN107="","",'Finalterm OVPAA-F-INS-055A RAW '!BN107/'Finalterm OVPAA-F-INS-055A RAW '!BN$17*100)</f>
        <v/>
      </c>
      <c r="BO107" s="126" t="str">
        <f>IF('Finalterm OVPAA-F-INS-055A RAW '!BO107="","",'Finalterm OVPAA-F-INS-055A RAW '!BO107/'Finalterm OVPAA-F-INS-055A RAW '!BO$17*100)</f>
        <v/>
      </c>
      <c r="BP107" s="126" t="str">
        <f>IF('Finalterm OVPAA-F-INS-055A RAW '!BP107="","",'Finalterm OVPAA-F-INS-055A RAW '!BP107/'Finalterm OVPAA-F-INS-055A RAW '!BP$17*100)</f>
        <v/>
      </c>
      <c r="BQ107" s="126" t="str">
        <f>IF('Finalterm OVPAA-F-INS-055A RAW '!BQ107="","",'Finalterm OVPAA-F-INS-055A RAW '!BQ107/'Finalterm OVPAA-F-INS-055A RAW '!BQ$17*100)</f>
        <v/>
      </c>
      <c r="BR107" s="126" t="str">
        <f>IF('Finalterm OVPAA-F-INS-055A RAW '!BR107="","",'Finalterm OVPAA-F-INS-055A RAW '!BR107/'Finalterm OVPAA-F-INS-055A RAW '!BR$17*100)</f>
        <v/>
      </c>
      <c r="BS107" s="126" t="str">
        <f>IF('Finalterm OVPAA-F-INS-055A RAW '!BS107="","",'Finalterm OVPAA-F-INS-055A RAW '!BS107/'Finalterm OVPAA-F-INS-055A RAW '!BS$17*100)</f>
        <v/>
      </c>
      <c r="BT107" s="126" t="str">
        <f>IF('Finalterm OVPAA-F-INS-055A RAW '!BT107="","",'Finalterm OVPAA-F-INS-055A RAW '!BT107/'Finalterm OVPAA-F-INS-055A RAW '!BT$17*100)</f>
        <v/>
      </c>
      <c r="BU107" s="127" t="str">
        <f t="array" ref="BU107">IF('Finalterm OVPAA-F-INS-055A RAW '!$G107="","",IF((SUMPRODUCT(--ISBLANK('Finalterm OVPAA-F-INS-055A RAW '!H107:BT107))=COLUMNS('Finalterm OVPAA-F-INS-055A RAW '!H107:BT107))=TRUE,"",(((COUNTA('Finalterm OVPAA-F-INS-055A RAW '!$H$17:$BT$17)+COUNTBLANK('Finalterm OVPAA-F-INS-055A RAW '!H107:BT107))-COLUMNS('Finalterm OVPAA-F-INS-055A RAW '!H107:BT107))*5+SUM(H107:BT107))/COUNTA('Finalterm OVPAA-F-INS-055A RAW '!$H$17:$BT$17)))</f>
        <v/>
      </c>
      <c r="BV107" s="165" t="str">
        <f>IF(BU107="","",VLOOKUP(BU107,IF('Midterm OVPAA-F-INS-055A RAW SC'!$V$12=0.5,TRANSMUTATION!$C$4:$D$17,TRANSMUTATION!$G$4:$H$17),2,TRUE))</f>
        <v/>
      </c>
      <c r="BW107" s="129" t="str">
        <f>IF('Finalterm OVPAA-F-INS-055A RAW '!BU107="","",'Finalterm OVPAA-F-INS-055A RAW '!BU107/'Finalterm OVPAA-F-INS-055A RAW '!BU$17*100)</f>
        <v/>
      </c>
      <c r="BX107" s="130" t="str">
        <f>IF('Finalterm OVPAA-F-INS-055A RAW '!BV107="","",'Finalterm OVPAA-F-INS-055A RAW '!BV107/'Finalterm OVPAA-F-INS-055A RAW '!BV$17*100)</f>
        <v/>
      </c>
      <c r="BY107" s="130" t="str">
        <f>IF('Finalterm OVPAA-F-INS-055A RAW '!BW107="","",'Finalterm OVPAA-F-INS-055A RAW '!BW107/'Finalterm OVPAA-F-INS-055A RAW '!BW$17*100)</f>
        <v/>
      </c>
      <c r="BZ107" s="130" t="str">
        <f>IF('Finalterm OVPAA-F-INS-055A RAW '!BX107="","",'Finalterm OVPAA-F-INS-055A RAW '!BX107/'Finalterm OVPAA-F-INS-055A RAW '!BX$17*100)</f>
        <v/>
      </c>
      <c r="CA107" s="130" t="str">
        <f>IF('Finalterm OVPAA-F-INS-055A RAW '!BY107="","",'Finalterm OVPAA-F-INS-055A RAW '!BY107/'Finalterm OVPAA-F-INS-055A RAW '!BY$17*100)</f>
        <v/>
      </c>
      <c r="CB107" s="130" t="str">
        <f>IF('Finalterm OVPAA-F-INS-055A RAW '!BZ107="","",'Finalterm OVPAA-F-INS-055A RAW '!BZ107/'Finalterm OVPAA-F-INS-055A RAW '!BZ$17*100)</f>
        <v/>
      </c>
      <c r="CC107" s="130" t="str">
        <f>IF('Finalterm OVPAA-F-INS-055A RAW '!CA107="","",'Finalterm OVPAA-F-INS-055A RAW '!CA107/'Finalterm OVPAA-F-INS-055A RAW '!CA$17*100)</f>
        <v/>
      </c>
      <c r="CD107" s="130" t="str">
        <f>IF('Finalterm OVPAA-F-INS-055A RAW '!CB107="","",'Finalterm OVPAA-F-INS-055A RAW '!CB107/'Finalterm OVPAA-F-INS-055A RAW '!CB$17*100)</f>
        <v/>
      </c>
      <c r="CE107" s="130" t="str">
        <f>IF('Finalterm OVPAA-F-INS-055A RAW '!CC107="","",'Finalterm OVPAA-F-INS-055A RAW '!CC107/'Finalterm OVPAA-F-INS-055A RAW '!CC$17*100)</f>
        <v/>
      </c>
      <c r="CF107" s="130" t="str">
        <f>IF('Finalterm OVPAA-F-INS-055A RAW '!CD107="","",'Finalterm OVPAA-F-INS-055A RAW '!CD107/'Finalterm OVPAA-F-INS-055A RAW '!CD$17*100)</f>
        <v/>
      </c>
      <c r="CG107" s="130" t="str">
        <f>IF('Finalterm OVPAA-F-INS-055A RAW '!CE107="","",'Finalterm OVPAA-F-INS-055A RAW '!CE107/'Finalterm OVPAA-F-INS-055A RAW '!CE$17*100)</f>
        <v/>
      </c>
      <c r="CH107" s="130" t="str">
        <f>IF('Finalterm OVPAA-F-INS-055A RAW '!CF107="","",'Finalterm OVPAA-F-INS-055A RAW '!CF107/'Finalterm OVPAA-F-INS-055A RAW '!CF$17*100)</f>
        <v/>
      </c>
      <c r="CI107" s="130" t="str">
        <f>IF('Finalterm OVPAA-F-INS-055A RAW '!CG107="","",'Finalterm OVPAA-F-INS-055A RAW '!CG107/'Finalterm OVPAA-F-INS-055A RAW '!CG$17*100)</f>
        <v/>
      </c>
      <c r="CJ107" s="130" t="str">
        <f>IF('Finalterm OVPAA-F-INS-055A RAW '!CH107="","",'Finalterm OVPAA-F-INS-055A RAW '!CH107/'Finalterm OVPAA-F-INS-055A RAW '!CH$17*100)</f>
        <v/>
      </c>
      <c r="CK107" s="130" t="str">
        <f>IF('Finalterm OVPAA-F-INS-055A RAW '!CI107="","",'Finalterm OVPAA-F-INS-055A RAW '!CI107/'Finalterm OVPAA-F-INS-055A RAW '!CI$17*100)</f>
        <v/>
      </c>
      <c r="CL107" s="130" t="str">
        <f>IF('Finalterm OVPAA-F-INS-055A RAW '!CJ107="","",'Finalterm OVPAA-F-INS-055A RAW '!CJ107/'Finalterm OVPAA-F-INS-055A RAW '!CJ$17*100)</f>
        <v/>
      </c>
      <c r="CM107" s="130" t="str">
        <f>IF('Finalterm OVPAA-F-INS-055A RAW '!CK107="","",'Finalterm OVPAA-F-INS-055A RAW '!CK107/'Finalterm OVPAA-F-INS-055A RAW '!CK$17*100)</f>
        <v/>
      </c>
      <c r="CN107" s="130" t="str">
        <f>IF('Finalterm OVPAA-F-INS-055A RAW '!CL107="","",'Finalterm OVPAA-F-INS-055A RAW '!CL107/'Finalterm OVPAA-F-INS-055A RAW '!CL$17*100)</f>
        <v/>
      </c>
      <c r="CO107" s="130" t="str">
        <f>IF('Finalterm OVPAA-F-INS-055A RAW '!CM107="","",'Finalterm OVPAA-F-INS-055A RAW '!CM107/'Finalterm OVPAA-F-INS-055A RAW '!CM$17*100)</f>
        <v/>
      </c>
      <c r="CP107" s="130" t="str">
        <f>IF('Finalterm OVPAA-F-INS-055A RAW '!CN107="","",'Finalterm OVPAA-F-INS-055A RAW '!CN107/'Finalterm OVPAA-F-INS-055A RAW '!CN$17*100)</f>
        <v/>
      </c>
      <c r="CQ107" s="131" t="str">
        <f t="array" ref="CQ107">IF('Midterm OVPAA-F-INS-055A RAW SC'!G107="","",IF((SUMPRODUCT(--ISBLANK('Finalterm OVPAA-F-INS-055A RAW '!BU107:CN107))=COLUMNS('Finalterm OVPAA-F-INS-055A RAW '!BU107:CN107))=TRUE,"",(((COUNTA('Finalterm OVPAA-F-INS-055A RAW '!$BU$17:$CN$17)+COUNTBLANK('Finalterm OVPAA-F-INS-055A RAW '!BU107:CN107))-COLUMNS('Finalterm OVPAA-F-INS-055A RAW '!BU107:CN107))*5+SUM(BW107:CP107))/COUNTA('Finalterm OVPAA-F-INS-055A RAW '!$BU$17:$CN$17)))</f>
        <v/>
      </c>
      <c r="CR107" s="132" t="str">
        <f>IF(CQ107="","",VLOOKUP(CQ107,IF('Midterm OVPAA-F-INS-055A RAW SC'!$V$12=0.5,TRANSMUTATION!$C$4:$D$17,TRANSMUTATION!$G$4:$H$17),2,TRUE))</f>
        <v/>
      </c>
      <c r="CS107" s="133" t="str">
        <f>IF('Finalterm OVPAA-F-INS-055A RAW '!CO107="","",'Finalterm OVPAA-F-INS-055A RAW '!CO107/'Finalterm OVPAA-F-INS-055A RAW '!CO$17*100)</f>
        <v/>
      </c>
      <c r="CT107" s="133" t="str">
        <f>IF('Finalterm OVPAA-F-INS-055A RAW '!CP107="","",'Finalterm OVPAA-F-INS-055A RAW '!CP107/'Finalterm OVPAA-F-INS-055A RAW '!CP$17*100)</f>
        <v/>
      </c>
      <c r="CU107" s="133" t="str">
        <f>IF('Finalterm OVPAA-F-INS-055A RAW '!CQ107="","",'Finalterm OVPAA-F-INS-055A RAW '!CQ107/'Finalterm OVPAA-F-INS-055A RAW '!CQ$17*100)</f>
        <v/>
      </c>
      <c r="CV107" s="133" t="str">
        <f>IF('Finalterm OVPAA-F-INS-055A RAW '!CR107="","",'Finalterm OVPAA-F-INS-055A RAW '!CR107/'Finalterm OVPAA-F-INS-055A RAW '!CR$17*100)</f>
        <v/>
      </c>
      <c r="CW107" s="133" t="str">
        <f>IF('Finalterm OVPAA-F-INS-055A RAW '!CS107="","",'Finalterm OVPAA-F-INS-055A RAW '!CS107/'Finalterm OVPAA-F-INS-055A RAW '!CS$17*100)</f>
        <v/>
      </c>
      <c r="CX107" s="133" t="str">
        <f>IF('Finalterm OVPAA-F-INS-055A RAW '!CT107="","",'Finalterm OVPAA-F-INS-055A RAW '!CT107/'Finalterm OVPAA-F-INS-055A RAW '!CT$17*100)</f>
        <v/>
      </c>
      <c r="CY107" s="133" t="str">
        <f>IF('Finalterm OVPAA-F-INS-055A RAW '!CU107="","",'Finalterm OVPAA-F-INS-055A RAW '!CU107/'Finalterm OVPAA-F-INS-055A RAW '!CU$17*100)</f>
        <v/>
      </c>
      <c r="CZ107" s="133" t="str">
        <f>IF('Finalterm OVPAA-F-INS-055A RAW '!CV107="","",'Finalterm OVPAA-F-INS-055A RAW '!CV107/'Finalterm OVPAA-F-INS-055A RAW '!CV$17*100)</f>
        <v/>
      </c>
      <c r="DA107" s="133" t="str">
        <f>IF('Finalterm OVPAA-F-INS-055A RAW '!CW107="","",'Finalterm OVPAA-F-INS-055A RAW '!CW107/'Finalterm OVPAA-F-INS-055A RAW '!CW$17*100)</f>
        <v/>
      </c>
      <c r="DB107" s="133" t="str">
        <f>IF('Finalterm OVPAA-F-INS-055A RAW '!CX107="","",'Finalterm OVPAA-F-INS-055A RAW '!CX107/'Finalterm OVPAA-F-INS-055A RAW '!CX$17*100)</f>
        <v/>
      </c>
      <c r="DC107" s="134" t="str">
        <f t="array" ref="DC107">IF('Midterm OVPAA-F-INS-055A RAW SC'!$G107="","",IF((SUMPRODUCT(--ISBLANK('Finalterm OVPAA-F-INS-055A RAW '!CO107:CX107))=COLUMNS('Finalterm OVPAA-F-INS-055A RAW '!CO107:CX107))=TRUE,"",(((COUNTA('Finalterm OVPAA-F-INS-055A RAW '!$CO$17:$CX$17)+COUNTBLANK('Finalterm OVPAA-F-INS-055A RAW '!CO107:CX107))-COLUMNS('Finalterm OVPAA-F-INS-055A RAW '!CO107:CX107))*5+SUM(CS107:DB107))/COUNTA('Finalterm OVPAA-F-INS-055A RAW '!$CO$17:$CX$17)))</f>
        <v/>
      </c>
      <c r="DD107" s="135" t="str">
        <f>IF(DC107="","",VLOOKUP(DC107,IF('Midterm OVPAA-F-INS-055A RAW SC'!$V$12=0.5,TRANSMUTATION!$C$4:$D$17,TRANSMUTATION!$G$4:$H$17),2,TRUE))</f>
        <v/>
      </c>
      <c r="DE107" s="136" t="str">
        <f t="shared" si="1"/>
        <v/>
      </c>
      <c r="DF107" s="166" t="str">
        <f t="shared" si="2"/>
        <v/>
      </c>
      <c r="DG107" s="167" t="str">
        <f t="shared" si="3"/>
        <v/>
      </c>
      <c r="DH107" s="168" t="str">
        <f t="shared" si="4"/>
        <v/>
      </c>
      <c r="DI107" s="169" t="str">
        <f t="shared" si="5"/>
        <v/>
      </c>
    </row>
    <row r="108" spans="1:113" ht="15.75" hidden="1" customHeight="1">
      <c r="A108" s="5"/>
      <c r="B108" s="5"/>
      <c r="C108" s="5"/>
      <c r="D108" s="5"/>
      <c r="E108" s="59">
        <v>91</v>
      </c>
      <c r="F108" s="124" t="str">
        <f>IF(NOT(ISBLANK('Midterm OVPAA-F-INS-055A RAW SC'!F108)),'Midterm OVPAA-F-INS-055A RAW SC'!F108,"")</f>
        <v/>
      </c>
      <c r="G108" s="125" t="str">
        <f>IF(NOT(ISBLANK('Midterm OVPAA-F-INS-055A RAW SC'!G108)),'Midterm OVPAA-F-INS-055A RAW SC'!G108,"")</f>
        <v/>
      </c>
      <c r="H108" s="126" t="str">
        <f>IF('Finalterm OVPAA-F-INS-055A RAW '!H108="","",'Finalterm OVPAA-F-INS-055A RAW '!H108/'Finalterm OVPAA-F-INS-055A RAW '!H$17*100)</f>
        <v/>
      </c>
      <c r="I108" s="126" t="str">
        <f>IF('Finalterm OVPAA-F-INS-055A RAW '!I108="","",'Finalterm OVPAA-F-INS-055A RAW '!I108/'Finalterm OVPAA-F-INS-055A RAW '!I$17*100)</f>
        <v/>
      </c>
      <c r="J108" s="126" t="str">
        <f>IF('Finalterm OVPAA-F-INS-055A RAW '!J108="","",'Finalterm OVPAA-F-INS-055A RAW '!J108/'Finalterm OVPAA-F-INS-055A RAW '!J$17*100)</f>
        <v/>
      </c>
      <c r="K108" s="126" t="str">
        <f>IF('Finalterm OVPAA-F-INS-055A RAW '!K108="","",'Finalterm OVPAA-F-INS-055A RAW '!K108/'Finalterm OVPAA-F-INS-055A RAW '!K$17*100)</f>
        <v/>
      </c>
      <c r="L108" s="126" t="str">
        <f>IF('Finalterm OVPAA-F-INS-055A RAW '!L108="","",'Finalterm OVPAA-F-INS-055A RAW '!L108/'Finalterm OVPAA-F-INS-055A RAW '!L$17*100)</f>
        <v/>
      </c>
      <c r="M108" s="126" t="str">
        <f>IF('Finalterm OVPAA-F-INS-055A RAW '!M108="","",'Finalterm OVPAA-F-INS-055A RAW '!M108/'Finalterm OVPAA-F-INS-055A RAW '!M$17*100)</f>
        <v/>
      </c>
      <c r="N108" s="126" t="str">
        <f>IF('Finalterm OVPAA-F-INS-055A RAW '!N108="","",'Finalterm OVPAA-F-INS-055A RAW '!N108/'Finalterm OVPAA-F-INS-055A RAW '!N$17*100)</f>
        <v/>
      </c>
      <c r="O108" s="126" t="str">
        <f>IF('Finalterm OVPAA-F-INS-055A RAW '!O108="","",'Finalterm OVPAA-F-INS-055A RAW '!O108/'Finalterm OVPAA-F-INS-055A RAW '!O$17*100)</f>
        <v/>
      </c>
      <c r="P108" s="126" t="str">
        <f>IF('Finalterm OVPAA-F-INS-055A RAW '!P108="","",'Finalterm OVPAA-F-INS-055A RAW '!P108/'Finalterm OVPAA-F-INS-055A RAW '!P$17*100)</f>
        <v/>
      </c>
      <c r="Q108" s="126" t="str">
        <f>IF('Finalterm OVPAA-F-INS-055A RAW '!Q108="","",'Finalterm OVPAA-F-INS-055A RAW '!Q108/'Finalterm OVPAA-F-INS-055A RAW '!Q$17*100)</f>
        <v/>
      </c>
      <c r="R108" s="126" t="str">
        <f>IF('Finalterm OVPAA-F-INS-055A RAW '!R108="","",'Finalterm OVPAA-F-INS-055A RAW '!R108/'Finalterm OVPAA-F-INS-055A RAW '!R$17*100)</f>
        <v/>
      </c>
      <c r="S108" s="126" t="str">
        <f>IF('Finalterm OVPAA-F-INS-055A RAW '!S108="","",'Finalterm OVPAA-F-INS-055A RAW '!S108/'Finalterm OVPAA-F-INS-055A RAW '!S$17*100)</f>
        <v/>
      </c>
      <c r="T108" s="126" t="str">
        <f>IF('Finalterm OVPAA-F-INS-055A RAW '!T108="","",'Finalterm OVPAA-F-INS-055A RAW '!T108/'Finalterm OVPAA-F-INS-055A RAW '!T$17*100)</f>
        <v/>
      </c>
      <c r="U108" s="126" t="str">
        <f>IF('Finalterm OVPAA-F-INS-055A RAW '!U108="","",'Finalterm OVPAA-F-INS-055A RAW '!U108/'Finalterm OVPAA-F-INS-055A RAW '!U$17*100)</f>
        <v/>
      </c>
      <c r="V108" s="126" t="str">
        <f>IF('Finalterm OVPAA-F-INS-055A RAW '!V108="","",'Finalterm OVPAA-F-INS-055A RAW '!V108/'Finalterm OVPAA-F-INS-055A RAW '!V$17*100)</f>
        <v/>
      </c>
      <c r="W108" s="126" t="str">
        <f>IF('Finalterm OVPAA-F-INS-055A RAW '!W108="","",'Finalterm OVPAA-F-INS-055A RAW '!W108/'Finalterm OVPAA-F-INS-055A RAW '!W$17*100)</f>
        <v/>
      </c>
      <c r="X108" s="126" t="str">
        <f>IF('Finalterm OVPAA-F-INS-055A RAW '!X108="","",'Finalterm OVPAA-F-INS-055A RAW '!X108/'Finalterm OVPAA-F-INS-055A RAW '!X$17*100)</f>
        <v/>
      </c>
      <c r="Y108" s="126" t="str">
        <f>IF('Finalterm OVPAA-F-INS-055A RAW '!Y108="","",'Finalterm OVPAA-F-INS-055A RAW '!Y108/'Finalterm OVPAA-F-INS-055A RAW '!Y$17*100)</f>
        <v/>
      </c>
      <c r="Z108" s="126" t="str">
        <f>IF('Finalterm OVPAA-F-INS-055A RAW '!Z108="","",'Finalterm OVPAA-F-INS-055A RAW '!Z108/'Finalterm OVPAA-F-INS-055A RAW '!Z$17*100)</f>
        <v/>
      </c>
      <c r="AA108" s="126" t="str">
        <f>IF('Finalterm OVPAA-F-INS-055A RAW '!AA108="","",'Finalterm OVPAA-F-INS-055A RAW '!AA108/'Finalterm OVPAA-F-INS-055A RAW '!AA$17*100)</f>
        <v/>
      </c>
      <c r="AB108" s="126" t="str">
        <f>IF('Finalterm OVPAA-F-INS-055A RAW '!AB108="","",'Finalterm OVPAA-F-INS-055A RAW '!AB108/'Finalterm OVPAA-F-INS-055A RAW '!AB$17*100)</f>
        <v/>
      </c>
      <c r="AC108" s="126" t="str">
        <f>IF('Finalterm OVPAA-F-INS-055A RAW '!AC108="","",'Finalterm OVPAA-F-INS-055A RAW '!AC108/'Finalterm OVPAA-F-INS-055A RAW '!AC$17*100)</f>
        <v/>
      </c>
      <c r="AD108" s="126" t="str">
        <f>IF('Finalterm OVPAA-F-INS-055A RAW '!AD108="","",'Finalterm OVPAA-F-INS-055A RAW '!AD108/'Finalterm OVPAA-F-INS-055A RAW '!AD$17*100)</f>
        <v/>
      </c>
      <c r="AE108" s="126" t="str">
        <f>IF('Finalterm OVPAA-F-INS-055A RAW '!AE108="","",'Finalterm OVPAA-F-INS-055A RAW '!AE108/'Finalterm OVPAA-F-INS-055A RAW '!AE$17*100)</f>
        <v/>
      </c>
      <c r="AF108" s="126" t="str">
        <f>IF('Finalterm OVPAA-F-INS-055A RAW '!AF108="","",'Finalterm OVPAA-F-INS-055A RAW '!AF108/'Finalterm OVPAA-F-INS-055A RAW '!AF$17*100)</f>
        <v/>
      </c>
      <c r="AG108" s="126" t="str">
        <f>IF('Finalterm OVPAA-F-INS-055A RAW '!AG108="","",'Finalterm OVPAA-F-INS-055A RAW '!AG108/'Finalterm OVPAA-F-INS-055A RAW '!AG$17*100)</f>
        <v/>
      </c>
      <c r="AH108" s="126" t="str">
        <f>IF('Finalterm OVPAA-F-INS-055A RAW '!AH108="","",'Finalterm OVPAA-F-INS-055A RAW '!AH108/'Finalterm OVPAA-F-INS-055A RAW '!AH$17*100)</f>
        <v/>
      </c>
      <c r="AI108" s="126" t="str">
        <f>IF('Finalterm OVPAA-F-INS-055A RAW '!AI108="","",'Finalterm OVPAA-F-INS-055A RAW '!AI108/'Finalterm OVPAA-F-INS-055A RAW '!AI$17*100)</f>
        <v/>
      </c>
      <c r="AJ108" s="126" t="str">
        <f>IF('Finalterm OVPAA-F-INS-055A RAW '!AJ108="","",'Finalterm OVPAA-F-INS-055A RAW '!AJ108/'Finalterm OVPAA-F-INS-055A RAW '!AJ$17*100)</f>
        <v/>
      </c>
      <c r="AK108" s="126" t="str">
        <f>IF('Finalterm OVPAA-F-INS-055A RAW '!AK108="","",'Finalterm OVPAA-F-INS-055A RAW '!AK108/'Finalterm OVPAA-F-INS-055A RAW '!AK$17*100)</f>
        <v/>
      </c>
      <c r="AL108" s="126" t="str">
        <f>IF('Finalterm OVPAA-F-INS-055A RAW '!AL108="","",'Finalterm OVPAA-F-INS-055A RAW '!AL108/'Finalterm OVPAA-F-INS-055A RAW '!AL$17*100)</f>
        <v/>
      </c>
      <c r="AM108" s="126" t="str">
        <f>IF('Finalterm OVPAA-F-INS-055A RAW '!AM108="","",'Finalterm OVPAA-F-INS-055A RAW '!AM108/'Finalterm OVPAA-F-INS-055A RAW '!AM$17*100)</f>
        <v/>
      </c>
      <c r="AN108" s="126" t="str">
        <f>IF('Finalterm OVPAA-F-INS-055A RAW '!AN108="","",'Finalterm OVPAA-F-INS-055A RAW '!AN108/'Finalterm OVPAA-F-INS-055A RAW '!AN$17*100)</f>
        <v/>
      </c>
      <c r="AO108" s="126" t="str">
        <f>IF('Finalterm OVPAA-F-INS-055A RAW '!AO108="","",'Finalterm OVPAA-F-INS-055A RAW '!AO108/'Finalterm OVPAA-F-INS-055A RAW '!AO$17*100)</f>
        <v/>
      </c>
      <c r="AP108" s="126" t="str">
        <f>IF('Finalterm OVPAA-F-INS-055A RAW '!AP108="","",'Finalterm OVPAA-F-INS-055A RAW '!AP108/'Finalterm OVPAA-F-INS-055A RAW '!AP$17*100)</f>
        <v/>
      </c>
      <c r="AQ108" s="126" t="str">
        <f>IF('Finalterm OVPAA-F-INS-055A RAW '!AQ108="","",'Finalterm OVPAA-F-INS-055A RAW '!AQ108/'Finalterm OVPAA-F-INS-055A RAW '!AQ$17*100)</f>
        <v/>
      </c>
      <c r="AR108" s="126" t="str">
        <f>IF('Finalterm OVPAA-F-INS-055A RAW '!AR108="","",'Finalterm OVPAA-F-INS-055A RAW '!AR108/'Finalterm OVPAA-F-INS-055A RAW '!AR$17*100)</f>
        <v/>
      </c>
      <c r="AS108" s="126" t="str">
        <f>IF('Finalterm OVPAA-F-INS-055A RAW '!AS108="","",'Finalterm OVPAA-F-INS-055A RAW '!AS108/'Finalterm OVPAA-F-INS-055A RAW '!AS$17*100)</f>
        <v/>
      </c>
      <c r="AT108" s="126" t="str">
        <f>IF('Finalterm OVPAA-F-INS-055A RAW '!AT108="","",'Finalterm OVPAA-F-INS-055A RAW '!AT108/'Finalterm OVPAA-F-INS-055A RAW '!AT$17*100)</f>
        <v/>
      </c>
      <c r="AU108" s="126" t="str">
        <f>IF('Finalterm OVPAA-F-INS-055A RAW '!AU108="","",'Finalterm OVPAA-F-INS-055A RAW '!AU108/'Finalterm OVPAA-F-INS-055A RAW '!AU$17*100)</f>
        <v/>
      </c>
      <c r="AV108" s="126" t="str">
        <f>IF('Finalterm OVPAA-F-INS-055A RAW '!AV108="","",'Finalterm OVPAA-F-INS-055A RAW '!AV108/'Finalterm OVPAA-F-INS-055A RAW '!AV$17*100)</f>
        <v/>
      </c>
      <c r="AW108" s="126" t="str">
        <f>IF('Finalterm OVPAA-F-INS-055A RAW '!AW108="","",'Finalterm OVPAA-F-INS-055A RAW '!AW108/'Finalterm OVPAA-F-INS-055A RAW '!AW$17*100)</f>
        <v/>
      </c>
      <c r="AX108" s="126" t="str">
        <f>IF('Finalterm OVPAA-F-INS-055A RAW '!AX108="","",'Finalterm OVPAA-F-INS-055A RAW '!AX108/'Finalterm OVPAA-F-INS-055A RAW '!AX$17*100)</f>
        <v/>
      </c>
      <c r="AY108" s="126" t="str">
        <f>IF('Finalterm OVPAA-F-INS-055A RAW '!AY108="","",'Finalterm OVPAA-F-INS-055A RAW '!AY108/'Finalterm OVPAA-F-INS-055A RAW '!AY$17*100)</f>
        <v/>
      </c>
      <c r="AZ108" s="126" t="str">
        <f>IF('Finalterm OVPAA-F-INS-055A RAW '!AZ108="","",'Finalterm OVPAA-F-INS-055A RAW '!AZ108/'Finalterm OVPAA-F-INS-055A RAW '!AZ$17*100)</f>
        <v/>
      </c>
      <c r="BA108" s="126" t="str">
        <f>IF('Finalterm OVPAA-F-INS-055A RAW '!BA108="","",'Finalterm OVPAA-F-INS-055A RAW '!BA108/'Finalterm OVPAA-F-INS-055A RAW '!BA$17*100)</f>
        <v/>
      </c>
      <c r="BB108" s="126" t="str">
        <f>IF('Finalterm OVPAA-F-INS-055A RAW '!BB108="","",'Finalterm OVPAA-F-INS-055A RAW '!BB108/'Finalterm OVPAA-F-INS-055A RAW '!BB$17*100)</f>
        <v/>
      </c>
      <c r="BC108" s="126" t="str">
        <f>IF('Finalterm OVPAA-F-INS-055A RAW '!BC108="","",'Finalterm OVPAA-F-INS-055A RAW '!BC108/'Finalterm OVPAA-F-INS-055A RAW '!BC$17*100)</f>
        <v/>
      </c>
      <c r="BD108" s="126" t="str">
        <f>IF('Finalterm OVPAA-F-INS-055A RAW '!BD108="","",'Finalterm OVPAA-F-INS-055A RAW '!BD108/'Finalterm OVPAA-F-INS-055A RAW '!BD$17*100)</f>
        <v/>
      </c>
      <c r="BE108" s="126" t="str">
        <f>IF('Finalterm OVPAA-F-INS-055A RAW '!BE108="","",'Finalterm OVPAA-F-INS-055A RAW '!BE108/'Finalterm OVPAA-F-INS-055A RAW '!BE$17*100)</f>
        <v/>
      </c>
      <c r="BF108" s="126" t="str">
        <f>IF('Finalterm OVPAA-F-INS-055A RAW '!BF108="","",'Finalterm OVPAA-F-INS-055A RAW '!BF108/'Finalterm OVPAA-F-INS-055A RAW '!BF$17*100)</f>
        <v/>
      </c>
      <c r="BG108" s="126" t="str">
        <f>IF('Finalterm OVPAA-F-INS-055A RAW '!BG108="","",'Finalterm OVPAA-F-INS-055A RAW '!BG108/'Finalterm OVPAA-F-INS-055A RAW '!BG$17*100)</f>
        <v/>
      </c>
      <c r="BH108" s="126" t="str">
        <f>IF('Finalterm OVPAA-F-INS-055A RAW '!BH108="","",'Finalterm OVPAA-F-INS-055A RAW '!BH108/'Finalterm OVPAA-F-INS-055A RAW '!BH$17*100)</f>
        <v/>
      </c>
      <c r="BI108" s="126" t="str">
        <f>IF('Finalterm OVPAA-F-INS-055A RAW '!BI108="","",'Finalterm OVPAA-F-INS-055A RAW '!BI108/'Finalterm OVPAA-F-INS-055A RAW '!BI$17*100)</f>
        <v/>
      </c>
      <c r="BJ108" s="126" t="str">
        <f>IF('Finalterm OVPAA-F-INS-055A RAW '!BJ108="","",'Finalterm OVPAA-F-INS-055A RAW '!BJ108/'Finalterm OVPAA-F-INS-055A RAW '!BJ$17*100)</f>
        <v/>
      </c>
      <c r="BK108" s="126" t="str">
        <f>IF('Finalterm OVPAA-F-INS-055A RAW '!BK108="","",'Finalterm OVPAA-F-INS-055A RAW '!BK108/'Finalterm OVPAA-F-INS-055A RAW '!BK$17*100)</f>
        <v/>
      </c>
      <c r="BL108" s="126" t="str">
        <f>IF('Finalterm OVPAA-F-INS-055A RAW '!BL108="","",'Finalterm OVPAA-F-INS-055A RAW '!BL108/'Finalterm OVPAA-F-INS-055A RAW '!BL$17*100)</f>
        <v/>
      </c>
      <c r="BM108" s="126" t="str">
        <f>IF('Finalterm OVPAA-F-INS-055A RAW '!BM108="","",'Finalterm OVPAA-F-INS-055A RAW '!BM108/'Finalterm OVPAA-F-INS-055A RAW '!BM$17*100)</f>
        <v/>
      </c>
      <c r="BN108" s="126" t="str">
        <f>IF('Finalterm OVPAA-F-INS-055A RAW '!BN108="","",'Finalterm OVPAA-F-INS-055A RAW '!BN108/'Finalterm OVPAA-F-INS-055A RAW '!BN$17*100)</f>
        <v/>
      </c>
      <c r="BO108" s="126" t="str">
        <f>IF('Finalterm OVPAA-F-INS-055A RAW '!BO108="","",'Finalterm OVPAA-F-INS-055A RAW '!BO108/'Finalterm OVPAA-F-INS-055A RAW '!BO$17*100)</f>
        <v/>
      </c>
      <c r="BP108" s="126" t="str">
        <f>IF('Finalterm OVPAA-F-INS-055A RAW '!BP108="","",'Finalterm OVPAA-F-INS-055A RAW '!BP108/'Finalterm OVPAA-F-INS-055A RAW '!BP$17*100)</f>
        <v/>
      </c>
      <c r="BQ108" s="126" t="str">
        <f>IF('Finalterm OVPAA-F-INS-055A RAW '!BQ108="","",'Finalterm OVPAA-F-INS-055A RAW '!BQ108/'Finalterm OVPAA-F-INS-055A RAW '!BQ$17*100)</f>
        <v/>
      </c>
      <c r="BR108" s="126" t="str">
        <f>IF('Finalterm OVPAA-F-INS-055A RAW '!BR108="","",'Finalterm OVPAA-F-INS-055A RAW '!BR108/'Finalterm OVPAA-F-INS-055A RAW '!BR$17*100)</f>
        <v/>
      </c>
      <c r="BS108" s="126" t="str">
        <f>IF('Finalterm OVPAA-F-INS-055A RAW '!BS108="","",'Finalterm OVPAA-F-INS-055A RAW '!BS108/'Finalterm OVPAA-F-INS-055A RAW '!BS$17*100)</f>
        <v/>
      </c>
      <c r="BT108" s="126" t="str">
        <f>IF('Finalterm OVPAA-F-INS-055A RAW '!BT108="","",'Finalterm OVPAA-F-INS-055A RAW '!BT108/'Finalterm OVPAA-F-INS-055A RAW '!BT$17*100)</f>
        <v/>
      </c>
      <c r="BU108" s="127" t="str">
        <f t="array" ref="BU108">IF('Finalterm OVPAA-F-INS-055A RAW '!$G108="","",IF((SUMPRODUCT(--ISBLANK('Finalterm OVPAA-F-INS-055A RAW '!H108:BT108))=COLUMNS('Finalterm OVPAA-F-INS-055A RAW '!H108:BT108))=TRUE,"",(((COUNTA('Finalterm OVPAA-F-INS-055A RAW '!$H$17:$BT$17)+COUNTBLANK('Finalterm OVPAA-F-INS-055A RAW '!H108:BT108))-COLUMNS('Finalterm OVPAA-F-INS-055A RAW '!H108:BT108))*5+SUM(H108:BT108))/COUNTA('Finalterm OVPAA-F-INS-055A RAW '!$H$17:$BT$17)))</f>
        <v/>
      </c>
      <c r="BV108" s="165" t="str">
        <f>IF(BU108="","",VLOOKUP(BU108,IF('Midterm OVPAA-F-INS-055A RAW SC'!$V$12=0.5,TRANSMUTATION!$C$4:$D$17,TRANSMUTATION!$G$4:$H$17),2,TRUE))</f>
        <v/>
      </c>
      <c r="BW108" s="129" t="str">
        <f>IF('Finalterm OVPAA-F-INS-055A RAW '!BU108="","",'Finalterm OVPAA-F-INS-055A RAW '!BU108/'Finalterm OVPAA-F-INS-055A RAW '!BU$17*100)</f>
        <v/>
      </c>
      <c r="BX108" s="130" t="str">
        <f>IF('Finalterm OVPAA-F-INS-055A RAW '!BV108="","",'Finalterm OVPAA-F-INS-055A RAW '!BV108/'Finalterm OVPAA-F-INS-055A RAW '!BV$17*100)</f>
        <v/>
      </c>
      <c r="BY108" s="130" t="str">
        <f>IF('Finalterm OVPAA-F-INS-055A RAW '!BW108="","",'Finalterm OVPAA-F-INS-055A RAW '!BW108/'Finalterm OVPAA-F-INS-055A RAW '!BW$17*100)</f>
        <v/>
      </c>
      <c r="BZ108" s="130" t="str">
        <f>IF('Finalterm OVPAA-F-INS-055A RAW '!BX108="","",'Finalterm OVPAA-F-INS-055A RAW '!BX108/'Finalterm OVPAA-F-INS-055A RAW '!BX$17*100)</f>
        <v/>
      </c>
      <c r="CA108" s="130" t="str">
        <f>IF('Finalterm OVPAA-F-INS-055A RAW '!BY108="","",'Finalterm OVPAA-F-INS-055A RAW '!BY108/'Finalterm OVPAA-F-INS-055A RAW '!BY$17*100)</f>
        <v/>
      </c>
      <c r="CB108" s="130" t="str">
        <f>IF('Finalterm OVPAA-F-INS-055A RAW '!BZ108="","",'Finalterm OVPAA-F-INS-055A RAW '!BZ108/'Finalterm OVPAA-F-INS-055A RAW '!BZ$17*100)</f>
        <v/>
      </c>
      <c r="CC108" s="130" t="str">
        <f>IF('Finalterm OVPAA-F-INS-055A RAW '!CA108="","",'Finalterm OVPAA-F-INS-055A RAW '!CA108/'Finalterm OVPAA-F-INS-055A RAW '!CA$17*100)</f>
        <v/>
      </c>
      <c r="CD108" s="130" t="str">
        <f>IF('Finalterm OVPAA-F-INS-055A RAW '!CB108="","",'Finalterm OVPAA-F-INS-055A RAW '!CB108/'Finalterm OVPAA-F-INS-055A RAW '!CB$17*100)</f>
        <v/>
      </c>
      <c r="CE108" s="130" t="str">
        <f>IF('Finalterm OVPAA-F-INS-055A RAW '!CC108="","",'Finalterm OVPAA-F-INS-055A RAW '!CC108/'Finalterm OVPAA-F-INS-055A RAW '!CC$17*100)</f>
        <v/>
      </c>
      <c r="CF108" s="130" t="str">
        <f>IF('Finalterm OVPAA-F-INS-055A RAW '!CD108="","",'Finalterm OVPAA-F-INS-055A RAW '!CD108/'Finalterm OVPAA-F-INS-055A RAW '!CD$17*100)</f>
        <v/>
      </c>
      <c r="CG108" s="130" t="str">
        <f>IF('Finalterm OVPAA-F-INS-055A RAW '!CE108="","",'Finalterm OVPAA-F-INS-055A RAW '!CE108/'Finalterm OVPAA-F-INS-055A RAW '!CE$17*100)</f>
        <v/>
      </c>
      <c r="CH108" s="130" t="str">
        <f>IF('Finalterm OVPAA-F-INS-055A RAW '!CF108="","",'Finalterm OVPAA-F-INS-055A RAW '!CF108/'Finalterm OVPAA-F-INS-055A RAW '!CF$17*100)</f>
        <v/>
      </c>
      <c r="CI108" s="130" t="str">
        <f>IF('Finalterm OVPAA-F-INS-055A RAW '!CG108="","",'Finalterm OVPAA-F-INS-055A RAW '!CG108/'Finalterm OVPAA-F-INS-055A RAW '!CG$17*100)</f>
        <v/>
      </c>
      <c r="CJ108" s="130" t="str">
        <f>IF('Finalterm OVPAA-F-INS-055A RAW '!CH108="","",'Finalterm OVPAA-F-INS-055A RAW '!CH108/'Finalterm OVPAA-F-INS-055A RAW '!CH$17*100)</f>
        <v/>
      </c>
      <c r="CK108" s="130" t="str">
        <f>IF('Finalterm OVPAA-F-INS-055A RAW '!CI108="","",'Finalterm OVPAA-F-INS-055A RAW '!CI108/'Finalterm OVPAA-F-INS-055A RAW '!CI$17*100)</f>
        <v/>
      </c>
      <c r="CL108" s="130" t="str">
        <f>IF('Finalterm OVPAA-F-INS-055A RAW '!CJ108="","",'Finalterm OVPAA-F-INS-055A RAW '!CJ108/'Finalterm OVPAA-F-INS-055A RAW '!CJ$17*100)</f>
        <v/>
      </c>
      <c r="CM108" s="130" t="str">
        <f>IF('Finalterm OVPAA-F-INS-055A RAW '!CK108="","",'Finalterm OVPAA-F-INS-055A RAW '!CK108/'Finalterm OVPAA-F-INS-055A RAW '!CK$17*100)</f>
        <v/>
      </c>
      <c r="CN108" s="130" t="str">
        <f>IF('Finalterm OVPAA-F-INS-055A RAW '!CL108="","",'Finalterm OVPAA-F-INS-055A RAW '!CL108/'Finalterm OVPAA-F-INS-055A RAW '!CL$17*100)</f>
        <v/>
      </c>
      <c r="CO108" s="130" t="str">
        <f>IF('Finalterm OVPAA-F-INS-055A RAW '!CM108="","",'Finalterm OVPAA-F-INS-055A RAW '!CM108/'Finalterm OVPAA-F-INS-055A RAW '!CM$17*100)</f>
        <v/>
      </c>
      <c r="CP108" s="130" t="str">
        <f>IF('Finalterm OVPAA-F-INS-055A RAW '!CN108="","",'Finalterm OVPAA-F-INS-055A RAW '!CN108/'Finalterm OVPAA-F-INS-055A RAW '!CN$17*100)</f>
        <v/>
      </c>
      <c r="CQ108" s="131" t="str">
        <f t="array" ref="CQ108">IF('Midterm OVPAA-F-INS-055A RAW SC'!G108="","",IF((SUMPRODUCT(--ISBLANK('Finalterm OVPAA-F-INS-055A RAW '!BU108:CN108))=COLUMNS('Finalterm OVPAA-F-INS-055A RAW '!BU108:CN108))=TRUE,"",(((COUNTA('Finalterm OVPAA-F-INS-055A RAW '!$BU$17:$CN$17)+COUNTBLANK('Finalterm OVPAA-F-INS-055A RAW '!BU108:CN108))-COLUMNS('Finalterm OVPAA-F-INS-055A RAW '!BU108:CN108))*5+SUM(BW108:CP108))/COUNTA('Finalterm OVPAA-F-INS-055A RAW '!$BU$17:$CN$17)))</f>
        <v/>
      </c>
      <c r="CR108" s="132" t="str">
        <f>IF(CQ108="","",VLOOKUP(CQ108,IF('Midterm OVPAA-F-INS-055A RAW SC'!$V$12=0.5,TRANSMUTATION!$C$4:$D$17,TRANSMUTATION!$G$4:$H$17),2,TRUE))</f>
        <v/>
      </c>
      <c r="CS108" s="133" t="str">
        <f>IF('Finalterm OVPAA-F-INS-055A RAW '!CO108="","",'Finalterm OVPAA-F-INS-055A RAW '!CO108/'Finalterm OVPAA-F-INS-055A RAW '!CO$17*100)</f>
        <v/>
      </c>
      <c r="CT108" s="133" t="str">
        <f>IF('Finalterm OVPAA-F-INS-055A RAW '!CP108="","",'Finalterm OVPAA-F-INS-055A RAW '!CP108/'Finalterm OVPAA-F-INS-055A RAW '!CP$17*100)</f>
        <v/>
      </c>
      <c r="CU108" s="133" t="str">
        <f>IF('Finalterm OVPAA-F-INS-055A RAW '!CQ108="","",'Finalterm OVPAA-F-INS-055A RAW '!CQ108/'Finalterm OVPAA-F-INS-055A RAW '!CQ$17*100)</f>
        <v/>
      </c>
      <c r="CV108" s="133" t="str">
        <f>IF('Finalterm OVPAA-F-INS-055A RAW '!CR108="","",'Finalterm OVPAA-F-INS-055A RAW '!CR108/'Finalterm OVPAA-F-INS-055A RAW '!CR$17*100)</f>
        <v/>
      </c>
      <c r="CW108" s="133" t="str">
        <f>IF('Finalterm OVPAA-F-INS-055A RAW '!CS108="","",'Finalterm OVPAA-F-INS-055A RAW '!CS108/'Finalterm OVPAA-F-INS-055A RAW '!CS$17*100)</f>
        <v/>
      </c>
      <c r="CX108" s="133" t="str">
        <f>IF('Finalterm OVPAA-F-INS-055A RAW '!CT108="","",'Finalterm OVPAA-F-INS-055A RAW '!CT108/'Finalterm OVPAA-F-INS-055A RAW '!CT$17*100)</f>
        <v/>
      </c>
      <c r="CY108" s="133" t="str">
        <f>IF('Finalterm OVPAA-F-INS-055A RAW '!CU108="","",'Finalterm OVPAA-F-INS-055A RAW '!CU108/'Finalterm OVPAA-F-INS-055A RAW '!CU$17*100)</f>
        <v/>
      </c>
      <c r="CZ108" s="133" t="str">
        <f>IF('Finalterm OVPAA-F-INS-055A RAW '!CV108="","",'Finalterm OVPAA-F-INS-055A RAW '!CV108/'Finalterm OVPAA-F-INS-055A RAW '!CV$17*100)</f>
        <v/>
      </c>
      <c r="DA108" s="133" t="str">
        <f>IF('Finalterm OVPAA-F-INS-055A RAW '!CW108="","",'Finalterm OVPAA-F-INS-055A RAW '!CW108/'Finalterm OVPAA-F-INS-055A RAW '!CW$17*100)</f>
        <v/>
      </c>
      <c r="DB108" s="133" t="str">
        <f>IF('Finalterm OVPAA-F-INS-055A RAW '!CX108="","",'Finalterm OVPAA-F-INS-055A RAW '!CX108/'Finalterm OVPAA-F-INS-055A RAW '!CX$17*100)</f>
        <v/>
      </c>
      <c r="DC108" s="134" t="str">
        <f t="array" ref="DC108">IF('Midterm OVPAA-F-INS-055A RAW SC'!$G108="","",IF((SUMPRODUCT(--ISBLANK('Finalterm OVPAA-F-INS-055A RAW '!CO108:CX108))=COLUMNS('Finalterm OVPAA-F-INS-055A RAW '!CO108:CX108))=TRUE,"",(((COUNTA('Finalterm OVPAA-F-INS-055A RAW '!$CO$17:$CX$17)+COUNTBLANK('Finalterm OVPAA-F-INS-055A RAW '!CO108:CX108))-COLUMNS('Finalterm OVPAA-F-INS-055A RAW '!CO108:CX108))*5+SUM(CS108:DB108))/COUNTA('Finalterm OVPAA-F-INS-055A RAW '!$CO$17:$CX$17)))</f>
        <v/>
      </c>
      <c r="DD108" s="135" t="str">
        <f>IF(DC108="","",VLOOKUP(DC108,IF('Midterm OVPAA-F-INS-055A RAW SC'!$V$12=0.5,TRANSMUTATION!$C$4:$D$17,TRANSMUTATION!$G$4:$H$17),2,TRUE))</f>
        <v/>
      </c>
      <c r="DE108" s="136" t="str">
        <f t="shared" si="1"/>
        <v/>
      </c>
      <c r="DF108" s="166" t="str">
        <f t="shared" si="2"/>
        <v/>
      </c>
      <c r="DG108" s="167" t="str">
        <f t="shared" si="3"/>
        <v/>
      </c>
      <c r="DH108" s="168" t="str">
        <f t="shared" si="4"/>
        <v/>
      </c>
      <c r="DI108" s="169" t="str">
        <f t="shared" si="5"/>
        <v/>
      </c>
    </row>
    <row r="109" spans="1:113" ht="15.75" hidden="1" customHeight="1">
      <c r="A109" s="5"/>
      <c r="B109" s="5"/>
      <c r="C109" s="5"/>
      <c r="D109" s="5"/>
      <c r="E109" s="59">
        <v>92</v>
      </c>
      <c r="F109" s="124" t="str">
        <f>IF(NOT(ISBLANK('Midterm OVPAA-F-INS-055A RAW SC'!F109)),'Midterm OVPAA-F-INS-055A RAW SC'!F109,"")</f>
        <v/>
      </c>
      <c r="G109" s="125" t="str">
        <f>IF(NOT(ISBLANK('Midterm OVPAA-F-INS-055A RAW SC'!G109)),'Midterm OVPAA-F-INS-055A RAW SC'!G109,"")</f>
        <v/>
      </c>
      <c r="H109" s="126" t="str">
        <f>IF('Finalterm OVPAA-F-INS-055A RAW '!H109="","",'Finalterm OVPAA-F-INS-055A RAW '!H109/'Finalterm OVPAA-F-INS-055A RAW '!H$17*100)</f>
        <v/>
      </c>
      <c r="I109" s="126" t="str">
        <f>IF('Finalterm OVPAA-F-INS-055A RAW '!I109="","",'Finalterm OVPAA-F-INS-055A RAW '!I109/'Finalterm OVPAA-F-INS-055A RAW '!I$17*100)</f>
        <v/>
      </c>
      <c r="J109" s="126" t="str">
        <f>IF('Finalterm OVPAA-F-INS-055A RAW '!J109="","",'Finalterm OVPAA-F-INS-055A RAW '!J109/'Finalterm OVPAA-F-INS-055A RAW '!J$17*100)</f>
        <v/>
      </c>
      <c r="K109" s="126" t="str">
        <f>IF('Finalterm OVPAA-F-INS-055A RAW '!K109="","",'Finalterm OVPAA-F-INS-055A RAW '!K109/'Finalterm OVPAA-F-INS-055A RAW '!K$17*100)</f>
        <v/>
      </c>
      <c r="L109" s="126" t="str">
        <f>IF('Finalterm OVPAA-F-INS-055A RAW '!L109="","",'Finalterm OVPAA-F-INS-055A RAW '!L109/'Finalterm OVPAA-F-INS-055A RAW '!L$17*100)</f>
        <v/>
      </c>
      <c r="M109" s="126" t="str">
        <f>IF('Finalterm OVPAA-F-INS-055A RAW '!M109="","",'Finalterm OVPAA-F-INS-055A RAW '!M109/'Finalterm OVPAA-F-INS-055A RAW '!M$17*100)</f>
        <v/>
      </c>
      <c r="N109" s="126" t="str">
        <f>IF('Finalterm OVPAA-F-INS-055A RAW '!N109="","",'Finalterm OVPAA-F-INS-055A RAW '!N109/'Finalterm OVPAA-F-INS-055A RAW '!N$17*100)</f>
        <v/>
      </c>
      <c r="O109" s="126" t="str">
        <f>IF('Finalterm OVPAA-F-INS-055A RAW '!O109="","",'Finalterm OVPAA-F-INS-055A RAW '!O109/'Finalterm OVPAA-F-INS-055A RAW '!O$17*100)</f>
        <v/>
      </c>
      <c r="P109" s="126" t="str">
        <f>IF('Finalterm OVPAA-F-INS-055A RAW '!P109="","",'Finalterm OVPAA-F-INS-055A RAW '!P109/'Finalterm OVPAA-F-INS-055A RAW '!P$17*100)</f>
        <v/>
      </c>
      <c r="Q109" s="126" t="str">
        <f>IF('Finalterm OVPAA-F-INS-055A RAW '!Q109="","",'Finalterm OVPAA-F-INS-055A RAW '!Q109/'Finalterm OVPAA-F-INS-055A RAW '!Q$17*100)</f>
        <v/>
      </c>
      <c r="R109" s="126" t="str">
        <f>IF('Finalterm OVPAA-F-INS-055A RAW '!R109="","",'Finalterm OVPAA-F-INS-055A RAW '!R109/'Finalterm OVPAA-F-INS-055A RAW '!R$17*100)</f>
        <v/>
      </c>
      <c r="S109" s="126" t="str">
        <f>IF('Finalterm OVPAA-F-INS-055A RAW '!S109="","",'Finalterm OVPAA-F-INS-055A RAW '!S109/'Finalterm OVPAA-F-INS-055A RAW '!S$17*100)</f>
        <v/>
      </c>
      <c r="T109" s="126" t="str">
        <f>IF('Finalterm OVPAA-F-INS-055A RAW '!T109="","",'Finalterm OVPAA-F-INS-055A RAW '!T109/'Finalterm OVPAA-F-INS-055A RAW '!T$17*100)</f>
        <v/>
      </c>
      <c r="U109" s="126" t="str">
        <f>IF('Finalterm OVPAA-F-INS-055A RAW '!U109="","",'Finalterm OVPAA-F-INS-055A RAW '!U109/'Finalterm OVPAA-F-INS-055A RAW '!U$17*100)</f>
        <v/>
      </c>
      <c r="V109" s="126" t="str">
        <f>IF('Finalterm OVPAA-F-INS-055A RAW '!V109="","",'Finalterm OVPAA-F-INS-055A RAW '!V109/'Finalterm OVPAA-F-INS-055A RAW '!V$17*100)</f>
        <v/>
      </c>
      <c r="W109" s="126" t="str">
        <f>IF('Finalterm OVPAA-F-INS-055A RAW '!W109="","",'Finalterm OVPAA-F-INS-055A RAW '!W109/'Finalterm OVPAA-F-INS-055A RAW '!W$17*100)</f>
        <v/>
      </c>
      <c r="X109" s="126" t="str">
        <f>IF('Finalterm OVPAA-F-INS-055A RAW '!X109="","",'Finalterm OVPAA-F-INS-055A RAW '!X109/'Finalterm OVPAA-F-INS-055A RAW '!X$17*100)</f>
        <v/>
      </c>
      <c r="Y109" s="126" t="str">
        <f>IF('Finalterm OVPAA-F-INS-055A RAW '!Y109="","",'Finalterm OVPAA-F-INS-055A RAW '!Y109/'Finalterm OVPAA-F-INS-055A RAW '!Y$17*100)</f>
        <v/>
      </c>
      <c r="Z109" s="126" t="str">
        <f>IF('Finalterm OVPAA-F-INS-055A RAW '!Z109="","",'Finalterm OVPAA-F-INS-055A RAW '!Z109/'Finalterm OVPAA-F-INS-055A RAW '!Z$17*100)</f>
        <v/>
      </c>
      <c r="AA109" s="126" t="str">
        <f>IF('Finalterm OVPAA-F-INS-055A RAW '!AA109="","",'Finalterm OVPAA-F-INS-055A RAW '!AA109/'Finalterm OVPAA-F-INS-055A RAW '!AA$17*100)</f>
        <v/>
      </c>
      <c r="AB109" s="126" t="str">
        <f>IF('Finalterm OVPAA-F-INS-055A RAW '!AB109="","",'Finalterm OVPAA-F-INS-055A RAW '!AB109/'Finalterm OVPAA-F-INS-055A RAW '!AB$17*100)</f>
        <v/>
      </c>
      <c r="AC109" s="126" t="str">
        <f>IF('Finalterm OVPAA-F-INS-055A RAW '!AC109="","",'Finalterm OVPAA-F-INS-055A RAW '!AC109/'Finalterm OVPAA-F-INS-055A RAW '!AC$17*100)</f>
        <v/>
      </c>
      <c r="AD109" s="126" t="str">
        <f>IF('Finalterm OVPAA-F-INS-055A RAW '!AD109="","",'Finalterm OVPAA-F-INS-055A RAW '!AD109/'Finalterm OVPAA-F-INS-055A RAW '!AD$17*100)</f>
        <v/>
      </c>
      <c r="AE109" s="126" t="str">
        <f>IF('Finalterm OVPAA-F-INS-055A RAW '!AE109="","",'Finalterm OVPAA-F-INS-055A RAW '!AE109/'Finalterm OVPAA-F-INS-055A RAW '!AE$17*100)</f>
        <v/>
      </c>
      <c r="AF109" s="126" t="str">
        <f>IF('Finalterm OVPAA-F-INS-055A RAW '!AF109="","",'Finalterm OVPAA-F-INS-055A RAW '!AF109/'Finalterm OVPAA-F-INS-055A RAW '!AF$17*100)</f>
        <v/>
      </c>
      <c r="AG109" s="126" t="str">
        <f>IF('Finalterm OVPAA-F-INS-055A RAW '!AG109="","",'Finalterm OVPAA-F-INS-055A RAW '!AG109/'Finalterm OVPAA-F-INS-055A RAW '!AG$17*100)</f>
        <v/>
      </c>
      <c r="AH109" s="126" t="str">
        <f>IF('Finalterm OVPAA-F-INS-055A RAW '!AH109="","",'Finalterm OVPAA-F-INS-055A RAW '!AH109/'Finalterm OVPAA-F-INS-055A RAW '!AH$17*100)</f>
        <v/>
      </c>
      <c r="AI109" s="126" t="str">
        <f>IF('Finalterm OVPAA-F-INS-055A RAW '!AI109="","",'Finalterm OVPAA-F-INS-055A RAW '!AI109/'Finalterm OVPAA-F-INS-055A RAW '!AI$17*100)</f>
        <v/>
      </c>
      <c r="AJ109" s="126" t="str">
        <f>IF('Finalterm OVPAA-F-INS-055A RAW '!AJ109="","",'Finalterm OVPAA-F-INS-055A RAW '!AJ109/'Finalterm OVPAA-F-INS-055A RAW '!AJ$17*100)</f>
        <v/>
      </c>
      <c r="AK109" s="126" t="str">
        <f>IF('Finalterm OVPAA-F-INS-055A RAW '!AK109="","",'Finalterm OVPAA-F-INS-055A RAW '!AK109/'Finalterm OVPAA-F-INS-055A RAW '!AK$17*100)</f>
        <v/>
      </c>
      <c r="AL109" s="126" t="str">
        <f>IF('Finalterm OVPAA-F-INS-055A RAW '!AL109="","",'Finalterm OVPAA-F-INS-055A RAW '!AL109/'Finalterm OVPAA-F-INS-055A RAW '!AL$17*100)</f>
        <v/>
      </c>
      <c r="AM109" s="126" t="str">
        <f>IF('Finalterm OVPAA-F-INS-055A RAW '!AM109="","",'Finalterm OVPAA-F-INS-055A RAW '!AM109/'Finalterm OVPAA-F-INS-055A RAW '!AM$17*100)</f>
        <v/>
      </c>
      <c r="AN109" s="126" t="str">
        <f>IF('Finalterm OVPAA-F-INS-055A RAW '!AN109="","",'Finalterm OVPAA-F-INS-055A RAW '!AN109/'Finalterm OVPAA-F-INS-055A RAW '!AN$17*100)</f>
        <v/>
      </c>
      <c r="AO109" s="126" t="str">
        <f>IF('Finalterm OVPAA-F-INS-055A RAW '!AO109="","",'Finalterm OVPAA-F-INS-055A RAW '!AO109/'Finalterm OVPAA-F-INS-055A RAW '!AO$17*100)</f>
        <v/>
      </c>
      <c r="AP109" s="126" t="str">
        <f>IF('Finalterm OVPAA-F-INS-055A RAW '!AP109="","",'Finalterm OVPAA-F-INS-055A RAW '!AP109/'Finalterm OVPAA-F-INS-055A RAW '!AP$17*100)</f>
        <v/>
      </c>
      <c r="AQ109" s="126" t="str">
        <f>IF('Finalterm OVPAA-F-INS-055A RAW '!AQ109="","",'Finalterm OVPAA-F-INS-055A RAW '!AQ109/'Finalterm OVPAA-F-INS-055A RAW '!AQ$17*100)</f>
        <v/>
      </c>
      <c r="AR109" s="126" t="str">
        <f>IF('Finalterm OVPAA-F-INS-055A RAW '!AR109="","",'Finalterm OVPAA-F-INS-055A RAW '!AR109/'Finalterm OVPAA-F-INS-055A RAW '!AR$17*100)</f>
        <v/>
      </c>
      <c r="AS109" s="126" t="str">
        <f>IF('Finalterm OVPAA-F-INS-055A RAW '!AS109="","",'Finalterm OVPAA-F-INS-055A RAW '!AS109/'Finalterm OVPAA-F-INS-055A RAW '!AS$17*100)</f>
        <v/>
      </c>
      <c r="AT109" s="126" t="str">
        <f>IF('Finalterm OVPAA-F-INS-055A RAW '!AT109="","",'Finalterm OVPAA-F-INS-055A RAW '!AT109/'Finalterm OVPAA-F-INS-055A RAW '!AT$17*100)</f>
        <v/>
      </c>
      <c r="AU109" s="126" t="str">
        <f>IF('Finalterm OVPAA-F-INS-055A RAW '!AU109="","",'Finalterm OVPAA-F-INS-055A RAW '!AU109/'Finalterm OVPAA-F-INS-055A RAW '!AU$17*100)</f>
        <v/>
      </c>
      <c r="AV109" s="126" t="str">
        <f>IF('Finalterm OVPAA-F-INS-055A RAW '!AV109="","",'Finalterm OVPAA-F-INS-055A RAW '!AV109/'Finalterm OVPAA-F-INS-055A RAW '!AV$17*100)</f>
        <v/>
      </c>
      <c r="AW109" s="126" t="str">
        <f>IF('Finalterm OVPAA-F-INS-055A RAW '!AW109="","",'Finalterm OVPAA-F-INS-055A RAW '!AW109/'Finalterm OVPAA-F-INS-055A RAW '!AW$17*100)</f>
        <v/>
      </c>
      <c r="AX109" s="126" t="str">
        <f>IF('Finalterm OVPAA-F-INS-055A RAW '!AX109="","",'Finalterm OVPAA-F-INS-055A RAW '!AX109/'Finalterm OVPAA-F-INS-055A RAW '!AX$17*100)</f>
        <v/>
      </c>
      <c r="AY109" s="126" t="str">
        <f>IF('Finalterm OVPAA-F-INS-055A RAW '!AY109="","",'Finalterm OVPAA-F-INS-055A RAW '!AY109/'Finalterm OVPAA-F-INS-055A RAW '!AY$17*100)</f>
        <v/>
      </c>
      <c r="AZ109" s="126" t="str">
        <f>IF('Finalterm OVPAA-F-INS-055A RAW '!AZ109="","",'Finalterm OVPAA-F-INS-055A RAW '!AZ109/'Finalterm OVPAA-F-INS-055A RAW '!AZ$17*100)</f>
        <v/>
      </c>
      <c r="BA109" s="126" t="str">
        <f>IF('Finalterm OVPAA-F-INS-055A RAW '!BA109="","",'Finalterm OVPAA-F-INS-055A RAW '!BA109/'Finalterm OVPAA-F-INS-055A RAW '!BA$17*100)</f>
        <v/>
      </c>
      <c r="BB109" s="126" t="str">
        <f>IF('Finalterm OVPAA-F-INS-055A RAW '!BB109="","",'Finalterm OVPAA-F-INS-055A RAW '!BB109/'Finalterm OVPAA-F-INS-055A RAW '!BB$17*100)</f>
        <v/>
      </c>
      <c r="BC109" s="126" t="str">
        <f>IF('Finalterm OVPAA-F-INS-055A RAW '!BC109="","",'Finalterm OVPAA-F-INS-055A RAW '!BC109/'Finalterm OVPAA-F-INS-055A RAW '!BC$17*100)</f>
        <v/>
      </c>
      <c r="BD109" s="126" t="str">
        <f>IF('Finalterm OVPAA-F-INS-055A RAW '!BD109="","",'Finalterm OVPAA-F-INS-055A RAW '!BD109/'Finalterm OVPAA-F-INS-055A RAW '!BD$17*100)</f>
        <v/>
      </c>
      <c r="BE109" s="126" t="str">
        <f>IF('Finalterm OVPAA-F-INS-055A RAW '!BE109="","",'Finalterm OVPAA-F-INS-055A RAW '!BE109/'Finalterm OVPAA-F-INS-055A RAW '!BE$17*100)</f>
        <v/>
      </c>
      <c r="BF109" s="126" t="str">
        <f>IF('Finalterm OVPAA-F-INS-055A RAW '!BF109="","",'Finalterm OVPAA-F-INS-055A RAW '!BF109/'Finalterm OVPAA-F-INS-055A RAW '!BF$17*100)</f>
        <v/>
      </c>
      <c r="BG109" s="126" t="str">
        <f>IF('Finalterm OVPAA-F-INS-055A RAW '!BG109="","",'Finalterm OVPAA-F-INS-055A RAW '!BG109/'Finalterm OVPAA-F-INS-055A RAW '!BG$17*100)</f>
        <v/>
      </c>
      <c r="BH109" s="126" t="str">
        <f>IF('Finalterm OVPAA-F-INS-055A RAW '!BH109="","",'Finalterm OVPAA-F-INS-055A RAW '!BH109/'Finalterm OVPAA-F-INS-055A RAW '!BH$17*100)</f>
        <v/>
      </c>
      <c r="BI109" s="126" t="str">
        <f>IF('Finalterm OVPAA-F-INS-055A RAW '!BI109="","",'Finalterm OVPAA-F-INS-055A RAW '!BI109/'Finalterm OVPAA-F-INS-055A RAW '!BI$17*100)</f>
        <v/>
      </c>
      <c r="BJ109" s="126" t="str">
        <f>IF('Finalterm OVPAA-F-INS-055A RAW '!BJ109="","",'Finalterm OVPAA-F-INS-055A RAW '!BJ109/'Finalterm OVPAA-F-INS-055A RAW '!BJ$17*100)</f>
        <v/>
      </c>
      <c r="BK109" s="126" t="str">
        <f>IF('Finalterm OVPAA-F-INS-055A RAW '!BK109="","",'Finalterm OVPAA-F-INS-055A RAW '!BK109/'Finalterm OVPAA-F-INS-055A RAW '!BK$17*100)</f>
        <v/>
      </c>
      <c r="BL109" s="126" t="str">
        <f>IF('Finalterm OVPAA-F-INS-055A RAW '!BL109="","",'Finalterm OVPAA-F-INS-055A RAW '!BL109/'Finalterm OVPAA-F-INS-055A RAW '!BL$17*100)</f>
        <v/>
      </c>
      <c r="BM109" s="126" t="str">
        <f>IF('Finalterm OVPAA-F-INS-055A RAW '!BM109="","",'Finalterm OVPAA-F-INS-055A RAW '!BM109/'Finalterm OVPAA-F-INS-055A RAW '!BM$17*100)</f>
        <v/>
      </c>
      <c r="BN109" s="126" t="str">
        <f>IF('Finalterm OVPAA-F-INS-055A RAW '!BN109="","",'Finalterm OVPAA-F-INS-055A RAW '!BN109/'Finalterm OVPAA-F-INS-055A RAW '!BN$17*100)</f>
        <v/>
      </c>
      <c r="BO109" s="126" t="str">
        <f>IF('Finalterm OVPAA-F-INS-055A RAW '!BO109="","",'Finalterm OVPAA-F-INS-055A RAW '!BO109/'Finalterm OVPAA-F-INS-055A RAW '!BO$17*100)</f>
        <v/>
      </c>
      <c r="BP109" s="126" t="str">
        <f>IF('Finalterm OVPAA-F-INS-055A RAW '!BP109="","",'Finalterm OVPAA-F-INS-055A RAW '!BP109/'Finalterm OVPAA-F-INS-055A RAW '!BP$17*100)</f>
        <v/>
      </c>
      <c r="BQ109" s="126" t="str">
        <f>IF('Finalterm OVPAA-F-INS-055A RAW '!BQ109="","",'Finalterm OVPAA-F-INS-055A RAW '!BQ109/'Finalterm OVPAA-F-INS-055A RAW '!BQ$17*100)</f>
        <v/>
      </c>
      <c r="BR109" s="126" t="str">
        <f>IF('Finalterm OVPAA-F-INS-055A RAW '!BR109="","",'Finalterm OVPAA-F-INS-055A RAW '!BR109/'Finalterm OVPAA-F-INS-055A RAW '!BR$17*100)</f>
        <v/>
      </c>
      <c r="BS109" s="126" t="str">
        <f>IF('Finalterm OVPAA-F-INS-055A RAW '!BS109="","",'Finalterm OVPAA-F-INS-055A RAW '!BS109/'Finalterm OVPAA-F-INS-055A RAW '!BS$17*100)</f>
        <v/>
      </c>
      <c r="BT109" s="126" t="str">
        <f>IF('Finalterm OVPAA-F-INS-055A RAW '!BT109="","",'Finalterm OVPAA-F-INS-055A RAW '!BT109/'Finalterm OVPAA-F-INS-055A RAW '!BT$17*100)</f>
        <v/>
      </c>
      <c r="BU109" s="127" t="str">
        <f t="array" ref="BU109">IF('Finalterm OVPAA-F-INS-055A RAW '!$G109="","",IF((SUMPRODUCT(--ISBLANK('Finalterm OVPAA-F-INS-055A RAW '!H109:BT109))=COLUMNS('Finalterm OVPAA-F-INS-055A RAW '!H109:BT109))=TRUE,"",(((COUNTA('Finalterm OVPAA-F-INS-055A RAW '!$H$17:$BT$17)+COUNTBLANK('Finalterm OVPAA-F-INS-055A RAW '!H109:BT109))-COLUMNS('Finalterm OVPAA-F-INS-055A RAW '!H109:BT109))*5+SUM(H109:BT109))/COUNTA('Finalterm OVPAA-F-INS-055A RAW '!$H$17:$BT$17)))</f>
        <v/>
      </c>
      <c r="BV109" s="165" t="str">
        <f>IF(BU109="","",VLOOKUP(BU109,IF('Midterm OVPAA-F-INS-055A RAW SC'!$V$12=0.5,TRANSMUTATION!$C$4:$D$17,TRANSMUTATION!$G$4:$H$17),2,TRUE))</f>
        <v/>
      </c>
      <c r="BW109" s="129" t="str">
        <f>IF('Finalterm OVPAA-F-INS-055A RAW '!BU109="","",'Finalterm OVPAA-F-INS-055A RAW '!BU109/'Finalterm OVPAA-F-INS-055A RAW '!BU$17*100)</f>
        <v/>
      </c>
      <c r="BX109" s="130" t="str">
        <f>IF('Finalterm OVPAA-F-INS-055A RAW '!BV109="","",'Finalterm OVPAA-F-INS-055A RAW '!BV109/'Finalterm OVPAA-F-INS-055A RAW '!BV$17*100)</f>
        <v/>
      </c>
      <c r="BY109" s="130" t="str">
        <f>IF('Finalterm OVPAA-F-INS-055A RAW '!BW109="","",'Finalterm OVPAA-F-INS-055A RAW '!BW109/'Finalterm OVPAA-F-INS-055A RAW '!BW$17*100)</f>
        <v/>
      </c>
      <c r="BZ109" s="130" t="str">
        <f>IF('Finalterm OVPAA-F-INS-055A RAW '!BX109="","",'Finalterm OVPAA-F-INS-055A RAW '!BX109/'Finalterm OVPAA-F-INS-055A RAW '!BX$17*100)</f>
        <v/>
      </c>
      <c r="CA109" s="130" t="str">
        <f>IF('Finalterm OVPAA-F-INS-055A RAW '!BY109="","",'Finalterm OVPAA-F-INS-055A RAW '!BY109/'Finalterm OVPAA-F-INS-055A RAW '!BY$17*100)</f>
        <v/>
      </c>
      <c r="CB109" s="130" t="str">
        <f>IF('Finalterm OVPAA-F-INS-055A RAW '!BZ109="","",'Finalterm OVPAA-F-INS-055A RAW '!BZ109/'Finalterm OVPAA-F-INS-055A RAW '!BZ$17*100)</f>
        <v/>
      </c>
      <c r="CC109" s="130" t="str">
        <f>IF('Finalterm OVPAA-F-INS-055A RAW '!CA109="","",'Finalterm OVPAA-F-INS-055A RAW '!CA109/'Finalterm OVPAA-F-INS-055A RAW '!CA$17*100)</f>
        <v/>
      </c>
      <c r="CD109" s="130" t="str">
        <f>IF('Finalterm OVPAA-F-INS-055A RAW '!CB109="","",'Finalterm OVPAA-F-INS-055A RAW '!CB109/'Finalterm OVPAA-F-INS-055A RAW '!CB$17*100)</f>
        <v/>
      </c>
      <c r="CE109" s="130" t="str">
        <f>IF('Finalterm OVPAA-F-INS-055A RAW '!CC109="","",'Finalterm OVPAA-F-INS-055A RAW '!CC109/'Finalterm OVPAA-F-INS-055A RAW '!CC$17*100)</f>
        <v/>
      </c>
      <c r="CF109" s="130" t="str">
        <f>IF('Finalterm OVPAA-F-INS-055A RAW '!CD109="","",'Finalterm OVPAA-F-INS-055A RAW '!CD109/'Finalterm OVPAA-F-INS-055A RAW '!CD$17*100)</f>
        <v/>
      </c>
      <c r="CG109" s="130" t="str">
        <f>IF('Finalterm OVPAA-F-INS-055A RAW '!CE109="","",'Finalterm OVPAA-F-INS-055A RAW '!CE109/'Finalterm OVPAA-F-INS-055A RAW '!CE$17*100)</f>
        <v/>
      </c>
      <c r="CH109" s="130" t="str">
        <f>IF('Finalterm OVPAA-F-INS-055A RAW '!CF109="","",'Finalterm OVPAA-F-INS-055A RAW '!CF109/'Finalterm OVPAA-F-INS-055A RAW '!CF$17*100)</f>
        <v/>
      </c>
      <c r="CI109" s="130" t="str">
        <f>IF('Finalterm OVPAA-F-INS-055A RAW '!CG109="","",'Finalterm OVPAA-F-INS-055A RAW '!CG109/'Finalterm OVPAA-F-INS-055A RAW '!CG$17*100)</f>
        <v/>
      </c>
      <c r="CJ109" s="130" t="str">
        <f>IF('Finalterm OVPAA-F-INS-055A RAW '!CH109="","",'Finalterm OVPAA-F-INS-055A RAW '!CH109/'Finalterm OVPAA-F-INS-055A RAW '!CH$17*100)</f>
        <v/>
      </c>
      <c r="CK109" s="130" t="str">
        <f>IF('Finalterm OVPAA-F-INS-055A RAW '!CI109="","",'Finalterm OVPAA-F-INS-055A RAW '!CI109/'Finalterm OVPAA-F-INS-055A RAW '!CI$17*100)</f>
        <v/>
      </c>
      <c r="CL109" s="130" t="str">
        <f>IF('Finalterm OVPAA-F-INS-055A RAW '!CJ109="","",'Finalterm OVPAA-F-INS-055A RAW '!CJ109/'Finalterm OVPAA-F-INS-055A RAW '!CJ$17*100)</f>
        <v/>
      </c>
      <c r="CM109" s="130" t="str">
        <f>IF('Finalterm OVPAA-F-INS-055A RAW '!CK109="","",'Finalterm OVPAA-F-INS-055A RAW '!CK109/'Finalterm OVPAA-F-INS-055A RAW '!CK$17*100)</f>
        <v/>
      </c>
      <c r="CN109" s="130" t="str">
        <f>IF('Finalterm OVPAA-F-INS-055A RAW '!CL109="","",'Finalterm OVPAA-F-INS-055A RAW '!CL109/'Finalterm OVPAA-F-INS-055A RAW '!CL$17*100)</f>
        <v/>
      </c>
      <c r="CO109" s="130" t="str">
        <f>IF('Finalterm OVPAA-F-INS-055A RAW '!CM109="","",'Finalterm OVPAA-F-INS-055A RAW '!CM109/'Finalterm OVPAA-F-INS-055A RAW '!CM$17*100)</f>
        <v/>
      </c>
      <c r="CP109" s="130" t="str">
        <f>IF('Finalterm OVPAA-F-INS-055A RAW '!CN109="","",'Finalterm OVPAA-F-INS-055A RAW '!CN109/'Finalterm OVPAA-F-INS-055A RAW '!CN$17*100)</f>
        <v/>
      </c>
      <c r="CQ109" s="131" t="str">
        <f t="array" ref="CQ109">IF('Midterm OVPAA-F-INS-055A RAW SC'!G109="","",IF((SUMPRODUCT(--ISBLANK('Finalterm OVPAA-F-INS-055A RAW '!BU109:CN109))=COLUMNS('Finalterm OVPAA-F-INS-055A RAW '!BU109:CN109))=TRUE,"",(((COUNTA('Finalterm OVPAA-F-INS-055A RAW '!$BU$17:$CN$17)+COUNTBLANK('Finalterm OVPAA-F-INS-055A RAW '!BU109:CN109))-COLUMNS('Finalterm OVPAA-F-INS-055A RAW '!BU109:CN109))*5+SUM(BW109:CP109))/COUNTA('Finalterm OVPAA-F-INS-055A RAW '!$BU$17:$CN$17)))</f>
        <v/>
      </c>
      <c r="CR109" s="132" t="str">
        <f>IF(CQ109="","",VLOOKUP(CQ109,IF('Midterm OVPAA-F-INS-055A RAW SC'!$V$12=0.5,TRANSMUTATION!$C$4:$D$17,TRANSMUTATION!$G$4:$H$17),2,TRUE))</f>
        <v/>
      </c>
      <c r="CS109" s="133" t="str">
        <f>IF('Finalterm OVPAA-F-INS-055A RAW '!CO109="","",'Finalterm OVPAA-F-INS-055A RAW '!CO109/'Finalterm OVPAA-F-INS-055A RAW '!CO$17*100)</f>
        <v/>
      </c>
      <c r="CT109" s="133" t="str">
        <f>IF('Finalterm OVPAA-F-INS-055A RAW '!CP109="","",'Finalterm OVPAA-F-INS-055A RAW '!CP109/'Finalterm OVPAA-F-INS-055A RAW '!CP$17*100)</f>
        <v/>
      </c>
      <c r="CU109" s="133" t="str">
        <f>IF('Finalterm OVPAA-F-INS-055A RAW '!CQ109="","",'Finalterm OVPAA-F-INS-055A RAW '!CQ109/'Finalterm OVPAA-F-INS-055A RAW '!CQ$17*100)</f>
        <v/>
      </c>
      <c r="CV109" s="133" t="str">
        <f>IF('Finalterm OVPAA-F-INS-055A RAW '!CR109="","",'Finalterm OVPAA-F-INS-055A RAW '!CR109/'Finalterm OVPAA-F-INS-055A RAW '!CR$17*100)</f>
        <v/>
      </c>
      <c r="CW109" s="133" t="str">
        <f>IF('Finalterm OVPAA-F-INS-055A RAW '!CS109="","",'Finalterm OVPAA-F-INS-055A RAW '!CS109/'Finalterm OVPAA-F-INS-055A RAW '!CS$17*100)</f>
        <v/>
      </c>
      <c r="CX109" s="133" t="str">
        <f>IF('Finalterm OVPAA-F-INS-055A RAW '!CT109="","",'Finalterm OVPAA-F-INS-055A RAW '!CT109/'Finalterm OVPAA-F-INS-055A RAW '!CT$17*100)</f>
        <v/>
      </c>
      <c r="CY109" s="133" t="str">
        <f>IF('Finalterm OVPAA-F-INS-055A RAW '!CU109="","",'Finalterm OVPAA-F-INS-055A RAW '!CU109/'Finalterm OVPAA-F-INS-055A RAW '!CU$17*100)</f>
        <v/>
      </c>
      <c r="CZ109" s="133" t="str">
        <f>IF('Finalterm OVPAA-F-INS-055A RAW '!CV109="","",'Finalterm OVPAA-F-INS-055A RAW '!CV109/'Finalterm OVPAA-F-INS-055A RAW '!CV$17*100)</f>
        <v/>
      </c>
      <c r="DA109" s="133" t="str">
        <f>IF('Finalterm OVPAA-F-INS-055A RAW '!CW109="","",'Finalterm OVPAA-F-INS-055A RAW '!CW109/'Finalterm OVPAA-F-INS-055A RAW '!CW$17*100)</f>
        <v/>
      </c>
      <c r="DB109" s="133" t="str">
        <f>IF('Finalterm OVPAA-F-INS-055A RAW '!CX109="","",'Finalterm OVPAA-F-INS-055A RAW '!CX109/'Finalterm OVPAA-F-INS-055A RAW '!CX$17*100)</f>
        <v/>
      </c>
      <c r="DC109" s="134" t="str">
        <f t="array" ref="DC109">IF('Midterm OVPAA-F-INS-055A RAW SC'!$G109="","",IF((SUMPRODUCT(--ISBLANK('Finalterm OVPAA-F-INS-055A RAW '!CO109:CX109))=COLUMNS('Finalterm OVPAA-F-INS-055A RAW '!CO109:CX109))=TRUE,"",(((COUNTA('Finalterm OVPAA-F-INS-055A RAW '!$CO$17:$CX$17)+COUNTBLANK('Finalterm OVPAA-F-INS-055A RAW '!CO109:CX109))-COLUMNS('Finalterm OVPAA-F-INS-055A RAW '!CO109:CX109))*5+SUM(CS109:DB109))/COUNTA('Finalterm OVPAA-F-INS-055A RAW '!$CO$17:$CX$17)))</f>
        <v/>
      </c>
      <c r="DD109" s="135" t="str">
        <f>IF(DC109="","",VLOOKUP(DC109,IF('Midterm OVPAA-F-INS-055A RAW SC'!$V$12=0.5,TRANSMUTATION!$C$4:$D$17,TRANSMUTATION!$G$4:$H$17),2,TRUE))</f>
        <v/>
      </c>
      <c r="DE109" s="136" t="str">
        <f t="shared" si="1"/>
        <v/>
      </c>
      <c r="DF109" s="166" t="str">
        <f t="shared" si="2"/>
        <v/>
      </c>
      <c r="DG109" s="167" t="str">
        <f t="shared" si="3"/>
        <v/>
      </c>
      <c r="DH109" s="168" t="str">
        <f t="shared" si="4"/>
        <v/>
      </c>
      <c r="DI109" s="169" t="str">
        <f t="shared" si="5"/>
        <v/>
      </c>
    </row>
    <row r="110" spans="1:113" ht="15.75" hidden="1" customHeight="1">
      <c r="A110" s="5"/>
      <c r="B110" s="5"/>
      <c r="C110" s="5"/>
      <c r="D110" s="5"/>
      <c r="E110" s="59">
        <v>93</v>
      </c>
      <c r="F110" s="124" t="str">
        <f>IF(NOT(ISBLANK('Midterm OVPAA-F-INS-055A RAW SC'!F110)),'Midterm OVPAA-F-INS-055A RAW SC'!F110,"")</f>
        <v/>
      </c>
      <c r="G110" s="125" t="str">
        <f>IF(NOT(ISBLANK('Midterm OVPAA-F-INS-055A RAW SC'!G110)),'Midterm OVPAA-F-INS-055A RAW SC'!G110,"")</f>
        <v/>
      </c>
      <c r="H110" s="126" t="str">
        <f>IF('Finalterm OVPAA-F-INS-055A RAW '!H110="","",'Finalterm OVPAA-F-INS-055A RAW '!H110/'Finalterm OVPAA-F-INS-055A RAW '!H$17*100)</f>
        <v/>
      </c>
      <c r="I110" s="126" t="str">
        <f>IF('Finalterm OVPAA-F-INS-055A RAW '!I110="","",'Finalterm OVPAA-F-INS-055A RAW '!I110/'Finalterm OVPAA-F-INS-055A RAW '!I$17*100)</f>
        <v/>
      </c>
      <c r="J110" s="126" t="str">
        <f>IF('Finalterm OVPAA-F-INS-055A RAW '!J110="","",'Finalterm OVPAA-F-INS-055A RAW '!J110/'Finalterm OVPAA-F-INS-055A RAW '!J$17*100)</f>
        <v/>
      </c>
      <c r="K110" s="126" t="str">
        <f>IF('Finalterm OVPAA-F-INS-055A RAW '!K110="","",'Finalterm OVPAA-F-INS-055A RAW '!K110/'Finalterm OVPAA-F-INS-055A RAW '!K$17*100)</f>
        <v/>
      </c>
      <c r="L110" s="126" t="str">
        <f>IF('Finalterm OVPAA-F-INS-055A RAW '!L110="","",'Finalterm OVPAA-F-INS-055A RAW '!L110/'Finalterm OVPAA-F-INS-055A RAW '!L$17*100)</f>
        <v/>
      </c>
      <c r="M110" s="126" t="str">
        <f>IF('Finalterm OVPAA-F-INS-055A RAW '!M110="","",'Finalterm OVPAA-F-INS-055A RAW '!M110/'Finalterm OVPAA-F-INS-055A RAW '!M$17*100)</f>
        <v/>
      </c>
      <c r="N110" s="126" t="str">
        <f>IF('Finalterm OVPAA-F-INS-055A RAW '!N110="","",'Finalterm OVPAA-F-INS-055A RAW '!N110/'Finalterm OVPAA-F-INS-055A RAW '!N$17*100)</f>
        <v/>
      </c>
      <c r="O110" s="126" t="str">
        <f>IF('Finalterm OVPAA-F-INS-055A RAW '!O110="","",'Finalterm OVPAA-F-INS-055A RAW '!O110/'Finalterm OVPAA-F-INS-055A RAW '!O$17*100)</f>
        <v/>
      </c>
      <c r="P110" s="126" t="str">
        <f>IF('Finalterm OVPAA-F-INS-055A RAW '!P110="","",'Finalterm OVPAA-F-INS-055A RAW '!P110/'Finalterm OVPAA-F-INS-055A RAW '!P$17*100)</f>
        <v/>
      </c>
      <c r="Q110" s="126" t="str">
        <f>IF('Finalterm OVPAA-F-INS-055A RAW '!Q110="","",'Finalterm OVPAA-F-INS-055A RAW '!Q110/'Finalterm OVPAA-F-INS-055A RAW '!Q$17*100)</f>
        <v/>
      </c>
      <c r="R110" s="126" t="str">
        <f>IF('Finalterm OVPAA-F-INS-055A RAW '!R110="","",'Finalterm OVPAA-F-INS-055A RAW '!R110/'Finalterm OVPAA-F-INS-055A RAW '!R$17*100)</f>
        <v/>
      </c>
      <c r="S110" s="126" t="str">
        <f>IF('Finalterm OVPAA-F-INS-055A RAW '!S110="","",'Finalterm OVPAA-F-INS-055A RAW '!S110/'Finalterm OVPAA-F-INS-055A RAW '!S$17*100)</f>
        <v/>
      </c>
      <c r="T110" s="126" t="str">
        <f>IF('Finalterm OVPAA-F-INS-055A RAW '!T110="","",'Finalterm OVPAA-F-INS-055A RAW '!T110/'Finalterm OVPAA-F-INS-055A RAW '!T$17*100)</f>
        <v/>
      </c>
      <c r="U110" s="126" t="str">
        <f>IF('Finalterm OVPAA-F-INS-055A RAW '!U110="","",'Finalterm OVPAA-F-INS-055A RAW '!U110/'Finalterm OVPAA-F-INS-055A RAW '!U$17*100)</f>
        <v/>
      </c>
      <c r="V110" s="126" t="str">
        <f>IF('Finalterm OVPAA-F-INS-055A RAW '!V110="","",'Finalterm OVPAA-F-INS-055A RAW '!V110/'Finalterm OVPAA-F-INS-055A RAW '!V$17*100)</f>
        <v/>
      </c>
      <c r="W110" s="126" t="str">
        <f>IF('Finalterm OVPAA-F-INS-055A RAW '!W110="","",'Finalterm OVPAA-F-INS-055A RAW '!W110/'Finalterm OVPAA-F-INS-055A RAW '!W$17*100)</f>
        <v/>
      </c>
      <c r="X110" s="126" t="str">
        <f>IF('Finalterm OVPAA-F-INS-055A RAW '!X110="","",'Finalterm OVPAA-F-INS-055A RAW '!X110/'Finalterm OVPAA-F-INS-055A RAW '!X$17*100)</f>
        <v/>
      </c>
      <c r="Y110" s="126" t="str">
        <f>IF('Finalterm OVPAA-F-INS-055A RAW '!Y110="","",'Finalterm OVPAA-F-INS-055A RAW '!Y110/'Finalterm OVPAA-F-INS-055A RAW '!Y$17*100)</f>
        <v/>
      </c>
      <c r="Z110" s="126" t="str">
        <f>IF('Finalterm OVPAA-F-INS-055A RAW '!Z110="","",'Finalterm OVPAA-F-INS-055A RAW '!Z110/'Finalterm OVPAA-F-INS-055A RAW '!Z$17*100)</f>
        <v/>
      </c>
      <c r="AA110" s="126" t="str">
        <f>IF('Finalterm OVPAA-F-INS-055A RAW '!AA110="","",'Finalterm OVPAA-F-INS-055A RAW '!AA110/'Finalterm OVPAA-F-INS-055A RAW '!AA$17*100)</f>
        <v/>
      </c>
      <c r="AB110" s="126" t="str">
        <f>IF('Finalterm OVPAA-F-INS-055A RAW '!AB110="","",'Finalterm OVPAA-F-INS-055A RAW '!AB110/'Finalterm OVPAA-F-INS-055A RAW '!AB$17*100)</f>
        <v/>
      </c>
      <c r="AC110" s="126" t="str">
        <f>IF('Finalterm OVPAA-F-INS-055A RAW '!AC110="","",'Finalterm OVPAA-F-INS-055A RAW '!AC110/'Finalterm OVPAA-F-INS-055A RAW '!AC$17*100)</f>
        <v/>
      </c>
      <c r="AD110" s="126" t="str">
        <f>IF('Finalterm OVPAA-F-INS-055A RAW '!AD110="","",'Finalterm OVPAA-F-INS-055A RAW '!AD110/'Finalterm OVPAA-F-INS-055A RAW '!AD$17*100)</f>
        <v/>
      </c>
      <c r="AE110" s="126" t="str">
        <f>IF('Finalterm OVPAA-F-INS-055A RAW '!AE110="","",'Finalterm OVPAA-F-INS-055A RAW '!AE110/'Finalterm OVPAA-F-INS-055A RAW '!AE$17*100)</f>
        <v/>
      </c>
      <c r="AF110" s="126" t="str">
        <f>IF('Finalterm OVPAA-F-INS-055A RAW '!AF110="","",'Finalterm OVPAA-F-INS-055A RAW '!AF110/'Finalterm OVPAA-F-INS-055A RAW '!AF$17*100)</f>
        <v/>
      </c>
      <c r="AG110" s="126" t="str">
        <f>IF('Finalterm OVPAA-F-INS-055A RAW '!AG110="","",'Finalterm OVPAA-F-INS-055A RAW '!AG110/'Finalterm OVPAA-F-INS-055A RAW '!AG$17*100)</f>
        <v/>
      </c>
      <c r="AH110" s="126" t="str">
        <f>IF('Finalterm OVPAA-F-INS-055A RAW '!AH110="","",'Finalterm OVPAA-F-INS-055A RAW '!AH110/'Finalterm OVPAA-F-INS-055A RAW '!AH$17*100)</f>
        <v/>
      </c>
      <c r="AI110" s="126" t="str">
        <f>IF('Finalterm OVPAA-F-INS-055A RAW '!AI110="","",'Finalterm OVPAA-F-INS-055A RAW '!AI110/'Finalterm OVPAA-F-INS-055A RAW '!AI$17*100)</f>
        <v/>
      </c>
      <c r="AJ110" s="126" t="str">
        <f>IF('Finalterm OVPAA-F-INS-055A RAW '!AJ110="","",'Finalterm OVPAA-F-INS-055A RAW '!AJ110/'Finalterm OVPAA-F-INS-055A RAW '!AJ$17*100)</f>
        <v/>
      </c>
      <c r="AK110" s="126" t="str">
        <f>IF('Finalterm OVPAA-F-INS-055A RAW '!AK110="","",'Finalterm OVPAA-F-INS-055A RAW '!AK110/'Finalterm OVPAA-F-INS-055A RAW '!AK$17*100)</f>
        <v/>
      </c>
      <c r="AL110" s="126" t="str">
        <f>IF('Finalterm OVPAA-F-INS-055A RAW '!AL110="","",'Finalterm OVPAA-F-INS-055A RAW '!AL110/'Finalterm OVPAA-F-INS-055A RAW '!AL$17*100)</f>
        <v/>
      </c>
      <c r="AM110" s="126" t="str">
        <f>IF('Finalterm OVPAA-F-INS-055A RAW '!AM110="","",'Finalterm OVPAA-F-INS-055A RAW '!AM110/'Finalterm OVPAA-F-INS-055A RAW '!AM$17*100)</f>
        <v/>
      </c>
      <c r="AN110" s="126" t="str">
        <f>IF('Finalterm OVPAA-F-INS-055A RAW '!AN110="","",'Finalterm OVPAA-F-INS-055A RAW '!AN110/'Finalterm OVPAA-F-INS-055A RAW '!AN$17*100)</f>
        <v/>
      </c>
      <c r="AO110" s="126" t="str">
        <f>IF('Finalterm OVPAA-F-INS-055A RAW '!AO110="","",'Finalterm OVPAA-F-INS-055A RAW '!AO110/'Finalterm OVPAA-F-INS-055A RAW '!AO$17*100)</f>
        <v/>
      </c>
      <c r="AP110" s="126" t="str">
        <f>IF('Finalterm OVPAA-F-INS-055A RAW '!AP110="","",'Finalterm OVPAA-F-INS-055A RAW '!AP110/'Finalterm OVPAA-F-INS-055A RAW '!AP$17*100)</f>
        <v/>
      </c>
      <c r="AQ110" s="126" t="str">
        <f>IF('Finalterm OVPAA-F-INS-055A RAW '!AQ110="","",'Finalterm OVPAA-F-INS-055A RAW '!AQ110/'Finalterm OVPAA-F-INS-055A RAW '!AQ$17*100)</f>
        <v/>
      </c>
      <c r="AR110" s="126" t="str">
        <f>IF('Finalterm OVPAA-F-INS-055A RAW '!AR110="","",'Finalterm OVPAA-F-INS-055A RAW '!AR110/'Finalterm OVPAA-F-INS-055A RAW '!AR$17*100)</f>
        <v/>
      </c>
      <c r="AS110" s="126" t="str">
        <f>IF('Finalterm OVPAA-F-INS-055A RAW '!AS110="","",'Finalterm OVPAA-F-INS-055A RAW '!AS110/'Finalterm OVPAA-F-INS-055A RAW '!AS$17*100)</f>
        <v/>
      </c>
      <c r="AT110" s="126" t="str">
        <f>IF('Finalterm OVPAA-F-INS-055A RAW '!AT110="","",'Finalterm OVPAA-F-INS-055A RAW '!AT110/'Finalterm OVPAA-F-INS-055A RAW '!AT$17*100)</f>
        <v/>
      </c>
      <c r="AU110" s="126" t="str">
        <f>IF('Finalterm OVPAA-F-INS-055A RAW '!AU110="","",'Finalterm OVPAA-F-INS-055A RAW '!AU110/'Finalterm OVPAA-F-INS-055A RAW '!AU$17*100)</f>
        <v/>
      </c>
      <c r="AV110" s="126" t="str">
        <f>IF('Finalterm OVPAA-F-INS-055A RAW '!AV110="","",'Finalterm OVPAA-F-INS-055A RAW '!AV110/'Finalterm OVPAA-F-INS-055A RAW '!AV$17*100)</f>
        <v/>
      </c>
      <c r="AW110" s="126" t="str">
        <f>IF('Finalterm OVPAA-F-INS-055A RAW '!AW110="","",'Finalterm OVPAA-F-INS-055A RAW '!AW110/'Finalterm OVPAA-F-INS-055A RAW '!AW$17*100)</f>
        <v/>
      </c>
      <c r="AX110" s="126" t="str">
        <f>IF('Finalterm OVPAA-F-INS-055A RAW '!AX110="","",'Finalterm OVPAA-F-INS-055A RAW '!AX110/'Finalterm OVPAA-F-INS-055A RAW '!AX$17*100)</f>
        <v/>
      </c>
      <c r="AY110" s="126" t="str">
        <f>IF('Finalterm OVPAA-F-INS-055A RAW '!AY110="","",'Finalterm OVPAA-F-INS-055A RAW '!AY110/'Finalterm OVPAA-F-INS-055A RAW '!AY$17*100)</f>
        <v/>
      </c>
      <c r="AZ110" s="126" t="str">
        <f>IF('Finalterm OVPAA-F-INS-055A RAW '!AZ110="","",'Finalterm OVPAA-F-INS-055A RAW '!AZ110/'Finalterm OVPAA-F-INS-055A RAW '!AZ$17*100)</f>
        <v/>
      </c>
      <c r="BA110" s="126" t="str">
        <f>IF('Finalterm OVPAA-F-INS-055A RAW '!BA110="","",'Finalterm OVPAA-F-INS-055A RAW '!BA110/'Finalterm OVPAA-F-INS-055A RAW '!BA$17*100)</f>
        <v/>
      </c>
      <c r="BB110" s="126" t="str">
        <f>IF('Finalterm OVPAA-F-INS-055A RAW '!BB110="","",'Finalterm OVPAA-F-INS-055A RAW '!BB110/'Finalterm OVPAA-F-INS-055A RAW '!BB$17*100)</f>
        <v/>
      </c>
      <c r="BC110" s="126" t="str">
        <f>IF('Finalterm OVPAA-F-INS-055A RAW '!BC110="","",'Finalterm OVPAA-F-INS-055A RAW '!BC110/'Finalterm OVPAA-F-INS-055A RAW '!BC$17*100)</f>
        <v/>
      </c>
      <c r="BD110" s="126" t="str">
        <f>IF('Finalterm OVPAA-F-INS-055A RAW '!BD110="","",'Finalterm OVPAA-F-INS-055A RAW '!BD110/'Finalterm OVPAA-F-INS-055A RAW '!BD$17*100)</f>
        <v/>
      </c>
      <c r="BE110" s="126" t="str">
        <f>IF('Finalterm OVPAA-F-INS-055A RAW '!BE110="","",'Finalterm OVPAA-F-INS-055A RAW '!BE110/'Finalterm OVPAA-F-INS-055A RAW '!BE$17*100)</f>
        <v/>
      </c>
      <c r="BF110" s="126" t="str">
        <f>IF('Finalterm OVPAA-F-INS-055A RAW '!BF110="","",'Finalterm OVPAA-F-INS-055A RAW '!BF110/'Finalterm OVPAA-F-INS-055A RAW '!BF$17*100)</f>
        <v/>
      </c>
      <c r="BG110" s="126" t="str">
        <f>IF('Finalterm OVPAA-F-INS-055A RAW '!BG110="","",'Finalterm OVPAA-F-INS-055A RAW '!BG110/'Finalterm OVPAA-F-INS-055A RAW '!BG$17*100)</f>
        <v/>
      </c>
      <c r="BH110" s="126" t="str">
        <f>IF('Finalterm OVPAA-F-INS-055A RAW '!BH110="","",'Finalterm OVPAA-F-INS-055A RAW '!BH110/'Finalterm OVPAA-F-INS-055A RAW '!BH$17*100)</f>
        <v/>
      </c>
      <c r="BI110" s="126" t="str">
        <f>IF('Finalterm OVPAA-F-INS-055A RAW '!BI110="","",'Finalterm OVPAA-F-INS-055A RAW '!BI110/'Finalterm OVPAA-F-INS-055A RAW '!BI$17*100)</f>
        <v/>
      </c>
      <c r="BJ110" s="126" t="str">
        <f>IF('Finalterm OVPAA-F-INS-055A RAW '!BJ110="","",'Finalterm OVPAA-F-INS-055A RAW '!BJ110/'Finalterm OVPAA-F-INS-055A RAW '!BJ$17*100)</f>
        <v/>
      </c>
      <c r="BK110" s="126" t="str">
        <f>IF('Finalterm OVPAA-F-INS-055A RAW '!BK110="","",'Finalterm OVPAA-F-INS-055A RAW '!BK110/'Finalterm OVPAA-F-INS-055A RAW '!BK$17*100)</f>
        <v/>
      </c>
      <c r="BL110" s="126" t="str">
        <f>IF('Finalterm OVPAA-F-INS-055A RAW '!BL110="","",'Finalterm OVPAA-F-INS-055A RAW '!BL110/'Finalterm OVPAA-F-INS-055A RAW '!BL$17*100)</f>
        <v/>
      </c>
      <c r="BM110" s="126" t="str">
        <f>IF('Finalterm OVPAA-F-INS-055A RAW '!BM110="","",'Finalterm OVPAA-F-INS-055A RAW '!BM110/'Finalterm OVPAA-F-INS-055A RAW '!BM$17*100)</f>
        <v/>
      </c>
      <c r="BN110" s="126" t="str">
        <f>IF('Finalterm OVPAA-F-INS-055A RAW '!BN110="","",'Finalterm OVPAA-F-INS-055A RAW '!BN110/'Finalterm OVPAA-F-INS-055A RAW '!BN$17*100)</f>
        <v/>
      </c>
      <c r="BO110" s="126" t="str">
        <f>IF('Finalterm OVPAA-F-INS-055A RAW '!BO110="","",'Finalterm OVPAA-F-INS-055A RAW '!BO110/'Finalterm OVPAA-F-INS-055A RAW '!BO$17*100)</f>
        <v/>
      </c>
      <c r="BP110" s="126" t="str">
        <f>IF('Finalterm OVPAA-F-INS-055A RAW '!BP110="","",'Finalterm OVPAA-F-INS-055A RAW '!BP110/'Finalterm OVPAA-F-INS-055A RAW '!BP$17*100)</f>
        <v/>
      </c>
      <c r="BQ110" s="126" t="str">
        <f>IF('Finalterm OVPAA-F-INS-055A RAW '!BQ110="","",'Finalterm OVPAA-F-INS-055A RAW '!BQ110/'Finalterm OVPAA-F-INS-055A RAW '!BQ$17*100)</f>
        <v/>
      </c>
      <c r="BR110" s="126" t="str">
        <f>IF('Finalterm OVPAA-F-INS-055A RAW '!BR110="","",'Finalterm OVPAA-F-INS-055A RAW '!BR110/'Finalterm OVPAA-F-INS-055A RAW '!BR$17*100)</f>
        <v/>
      </c>
      <c r="BS110" s="126" t="str">
        <f>IF('Finalterm OVPAA-F-INS-055A RAW '!BS110="","",'Finalterm OVPAA-F-INS-055A RAW '!BS110/'Finalterm OVPAA-F-INS-055A RAW '!BS$17*100)</f>
        <v/>
      </c>
      <c r="BT110" s="126" t="str">
        <f>IF('Finalterm OVPAA-F-INS-055A RAW '!BT110="","",'Finalterm OVPAA-F-INS-055A RAW '!BT110/'Finalterm OVPAA-F-INS-055A RAW '!BT$17*100)</f>
        <v/>
      </c>
      <c r="BU110" s="127" t="str">
        <f t="array" ref="BU110">IF('Finalterm OVPAA-F-INS-055A RAW '!$G110="","",IF((SUMPRODUCT(--ISBLANK('Finalterm OVPAA-F-INS-055A RAW '!H110:BT110))=COLUMNS('Finalterm OVPAA-F-INS-055A RAW '!H110:BT110))=TRUE,"",(((COUNTA('Finalterm OVPAA-F-INS-055A RAW '!$H$17:$BT$17)+COUNTBLANK('Finalterm OVPAA-F-INS-055A RAW '!H110:BT110))-COLUMNS('Finalterm OVPAA-F-INS-055A RAW '!H110:BT110))*5+SUM(H110:BT110))/COUNTA('Finalterm OVPAA-F-INS-055A RAW '!$H$17:$BT$17)))</f>
        <v/>
      </c>
      <c r="BV110" s="165" t="str">
        <f>IF(BU110="","",VLOOKUP(BU110,IF('Midterm OVPAA-F-INS-055A RAW SC'!$V$12=0.5,TRANSMUTATION!$C$4:$D$17,TRANSMUTATION!$G$4:$H$17),2,TRUE))</f>
        <v/>
      </c>
      <c r="BW110" s="129" t="str">
        <f>IF('Finalterm OVPAA-F-INS-055A RAW '!BU110="","",'Finalterm OVPAA-F-INS-055A RAW '!BU110/'Finalterm OVPAA-F-INS-055A RAW '!BU$17*100)</f>
        <v/>
      </c>
      <c r="BX110" s="130" t="str">
        <f>IF('Finalterm OVPAA-F-INS-055A RAW '!BV110="","",'Finalterm OVPAA-F-INS-055A RAW '!BV110/'Finalterm OVPAA-F-INS-055A RAW '!BV$17*100)</f>
        <v/>
      </c>
      <c r="BY110" s="130" t="str">
        <f>IF('Finalterm OVPAA-F-INS-055A RAW '!BW110="","",'Finalterm OVPAA-F-INS-055A RAW '!BW110/'Finalterm OVPAA-F-INS-055A RAW '!BW$17*100)</f>
        <v/>
      </c>
      <c r="BZ110" s="130" t="str">
        <f>IF('Finalterm OVPAA-F-INS-055A RAW '!BX110="","",'Finalterm OVPAA-F-INS-055A RAW '!BX110/'Finalterm OVPAA-F-INS-055A RAW '!BX$17*100)</f>
        <v/>
      </c>
      <c r="CA110" s="130" t="str">
        <f>IF('Finalterm OVPAA-F-INS-055A RAW '!BY110="","",'Finalterm OVPAA-F-INS-055A RAW '!BY110/'Finalterm OVPAA-F-INS-055A RAW '!BY$17*100)</f>
        <v/>
      </c>
      <c r="CB110" s="130" t="str">
        <f>IF('Finalterm OVPAA-F-INS-055A RAW '!BZ110="","",'Finalterm OVPAA-F-INS-055A RAW '!BZ110/'Finalterm OVPAA-F-INS-055A RAW '!BZ$17*100)</f>
        <v/>
      </c>
      <c r="CC110" s="130" t="str">
        <f>IF('Finalterm OVPAA-F-INS-055A RAW '!CA110="","",'Finalterm OVPAA-F-INS-055A RAW '!CA110/'Finalterm OVPAA-F-INS-055A RAW '!CA$17*100)</f>
        <v/>
      </c>
      <c r="CD110" s="130" t="str">
        <f>IF('Finalterm OVPAA-F-INS-055A RAW '!CB110="","",'Finalterm OVPAA-F-INS-055A RAW '!CB110/'Finalterm OVPAA-F-INS-055A RAW '!CB$17*100)</f>
        <v/>
      </c>
      <c r="CE110" s="130" t="str">
        <f>IF('Finalterm OVPAA-F-INS-055A RAW '!CC110="","",'Finalterm OVPAA-F-INS-055A RAW '!CC110/'Finalterm OVPAA-F-INS-055A RAW '!CC$17*100)</f>
        <v/>
      </c>
      <c r="CF110" s="130" t="str">
        <f>IF('Finalterm OVPAA-F-INS-055A RAW '!CD110="","",'Finalterm OVPAA-F-INS-055A RAW '!CD110/'Finalterm OVPAA-F-INS-055A RAW '!CD$17*100)</f>
        <v/>
      </c>
      <c r="CG110" s="130" t="str">
        <f>IF('Finalterm OVPAA-F-INS-055A RAW '!CE110="","",'Finalterm OVPAA-F-INS-055A RAW '!CE110/'Finalterm OVPAA-F-INS-055A RAW '!CE$17*100)</f>
        <v/>
      </c>
      <c r="CH110" s="130" t="str">
        <f>IF('Finalterm OVPAA-F-INS-055A RAW '!CF110="","",'Finalterm OVPAA-F-INS-055A RAW '!CF110/'Finalterm OVPAA-F-INS-055A RAW '!CF$17*100)</f>
        <v/>
      </c>
      <c r="CI110" s="130" t="str">
        <f>IF('Finalterm OVPAA-F-INS-055A RAW '!CG110="","",'Finalterm OVPAA-F-INS-055A RAW '!CG110/'Finalterm OVPAA-F-INS-055A RAW '!CG$17*100)</f>
        <v/>
      </c>
      <c r="CJ110" s="130" t="str">
        <f>IF('Finalterm OVPAA-F-INS-055A RAW '!CH110="","",'Finalterm OVPAA-F-INS-055A RAW '!CH110/'Finalterm OVPAA-F-INS-055A RAW '!CH$17*100)</f>
        <v/>
      </c>
      <c r="CK110" s="130" t="str">
        <f>IF('Finalterm OVPAA-F-INS-055A RAW '!CI110="","",'Finalterm OVPAA-F-INS-055A RAW '!CI110/'Finalterm OVPAA-F-INS-055A RAW '!CI$17*100)</f>
        <v/>
      </c>
      <c r="CL110" s="130" t="str">
        <f>IF('Finalterm OVPAA-F-INS-055A RAW '!CJ110="","",'Finalterm OVPAA-F-INS-055A RAW '!CJ110/'Finalterm OVPAA-F-INS-055A RAW '!CJ$17*100)</f>
        <v/>
      </c>
      <c r="CM110" s="130" t="str">
        <f>IF('Finalterm OVPAA-F-INS-055A RAW '!CK110="","",'Finalterm OVPAA-F-INS-055A RAW '!CK110/'Finalterm OVPAA-F-INS-055A RAW '!CK$17*100)</f>
        <v/>
      </c>
      <c r="CN110" s="130" t="str">
        <f>IF('Finalterm OVPAA-F-INS-055A RAW '!CL110="","",'Finalterm OVPAA-F-INS-055A RAW '!CL110/'Finalterm OVPAA-F-INS-055A RAW '!CL$17*100)</f>
        <v/>
      </c>
      <c r="CO110" s="130" t="str">
        <f>IF('Finalterm OVPAA-F-INS-055A RAW '!CM110="","",'Finalterm OVPAA-F-INS-055A RAW '!CM110/'Finalterm OVPAA-F-INS-055A RAW '!CM$17*100)</f>
        <v/>
      </c>
      <c r="CP110" s="130" t="str">
        <f>IF('Finalterm OVPAA-F-INS-055A RAW '!CN110="","",'Finalterm OVPAA-F-INS-055A RAW '!CN110/'Finalterm OVPAA-F-INS-055A RAW '!CN$17*100)</f>
        <v/>
      </c>
      <c r="CQ110" s="131" t="str">
        <f t="array" ref="CQ110">IF('Midterm OVPAA-F-INS-055A RAW SC'!G110="","",IF((SUMPRODUCT(--ISBLANK('Finalterm OVPAA-F-INS-055A RAW '!BU110:CN110))=COLUMNS('Finalterm OVPAA-F-INS-055A RAW '!BU110:CN110))=TRUE,"",(((COUNTA('Finalterm OVPAA-F-INS-055A RAW '!$BU$17:$CN$17)+COUNTBLANK('Finalterm OVPAA-F-INS-055A RAW '!BU110:CN110))-COLUMNS('Finalterm OVPAA-F-INS-055A RAW '!BU110:CN110))*5+SUM(BW110:CP110))/COUNTA('Finalterm OVPAA-F-INS-055A RAW '!$BU$17:$CN$17)))</f>
        <v/>
      </c>
      <c r="CR110" s="132" t="str">
        <f>IF(CQ110="","",VLOOKUP(CQ110,IF('Midterm OVPAA-F-INS-055A RAW SC'!$V$12=0.5,TRANSMUTATION!$C$4:$D$17,TRANSMUTATION!$G$4:$H$17),2,TRUE))</f>
        <v/>
      </c>
      <c r="CS110" s="133" t="str">
        <f>IF('Finalterm OVPAA-F-INS-055A RAW '!CO110="","",'Finalterm OVPAA-F-INS-055A RAW '!CO110/'Finalterm OVPAA-F-INS-055A RAW '!CO$17*100)</f>
        <v/>
      </c>
      <c r="CT110" s="133" t="str">
        <f>IF('Finalterm OVPAA-F-INS-055A RAW '!CP110="","",'Finalterm OVPAA-F-INS-055A RAW '!CP110/'Finalterm OVPAA-F-INS-055A RAW '!CP$17*100)</f>
        <v/>
      </c>
      <c r="CU110" s="133" t="str">
        <f>IF('Finalterm OVPAA-F-INS-055A RAW '!CQ110="","",'Finalterm OVPAA-F-INS-055A RAW '!CQ110/'Finalterm OVPAA-F-INS-055A RAW '!CQ$17*100)</f>
        <v/>
      </c>
      <c r="CV110" s="133" t="str">
        <f>IF('Finalterm OVPAA-F-INS-055A RAW '!CR110="","",'Finalterm OVPAA-F-INS-055A RAW '!CR110/'Finalterm OVPAA-F-INS-055A RAW '!CR$17*100)</f>
        <v/>
      </c>
      <c r="CW110" s="133" t="str">
        <f>IF('Finalterm OVPAA-F-INS-055A RAW '!CS110="","",'Finalterm OVPAA-F-INS-055A RAW '!CS110/'Finalterm OVPAA-F-INS-055A RAW '!CS$17*100)</f>
        <v/>
      </c>
      <c r="CX110" s="133" t="str">
        <f>IF('Finalterm OVPAA-F-INS-055A RAW '!CT110="","",'Finalterm OVPAA-F-INS-055A RAW '!CT110/'Finalterm OVPAA-F-INS-055A RAW '!CT$17*100)</f>
        <v/>
      </c>
      <c r="CY110" s="133" t="str">
        <f>IF('Finalterm OVPAA-F-INS-055A RAW '!CU110="","",'Finalterm OVPAA-F-INS-055A RAW '!CU110/'Finalterm OVPAA-F-INS-055A RAW '!CU$17*100)</f>
        <v/>
      </c>
      <c r="CZ110" s="133" t="str">
        <f>IF('Finalterm OVPAA-F-INS-055A RAW '!CV110="","",'Finalterm OVPAA-F-INS-055A RAW '!CV110/'Finalterm OVPAA-F-INS-055A RAW '!CV$17*100)</f>
        <v/>
      </c>
      <c r="DA110" s="133" t="str">
        <f>IF('Finalterm OVPAA-F-INS-055A RAW '!CW110="","",'Finalterm OVPAA-F-INS-055A RAW '!CW110/'Finalterm OVPAA-F-INS-055A RAW '!CW$17*100)</f>
        <v/>
      </c>
      <c r="DB110" s="133" t="str">
        <f>IF('Finalterm OVPAA-F-INS-055A RAW '!CX110="","",'Finalterm OVPAA-F-INS-055A RAW '!CX110/'Finalterm OVPAA-F-INS-055A RAW '!CX$17*100)</f>
        <v/>
      </c>
      <c r="DC110" s="134" t="str">
        <f t="array" ref="DC110">IF('Midterm OVPAA-F-INS-055A RAW SC'!$G110="","",IF((SUMPRODUCT(--ISBLANK('Finalterm OVPAA-F-INS-055A RAW '!CO110:CX110))=COLUMNS('Finalterm OVPAA-F-INS-055A RAW '!CO110:CX110))=TRUE,"",(((COUNTA('Finalterm OVPAA-F-INS-055A RAW '!$CO$17:$CX$17)+COUNTBLANK('Finalterm OVPAA-F-INS-055A RAW '!CO110:CX110))-COLUMNS('Finalterm OVPAA-F-INS-055A RAW '!CO110:CX110))*5+SUM(CS110:DB110))/COUNTA('Finalterm OVPAA-F-INS-055A RAW '!$CO$17:$CX$17)))</f>
        <v/>
      </c>
      <c r="DD110" s="135" t="str">
        <f>IF(DC110="","",VLOOKUP(DC110,IF('Midterm OVPAA-F-INS-055A RAW SC'!$V$12=0.5,TRANSMUTATION!$C$4:$D$17,TRANSMUTATION!$G$4:$H$17),2,TRUE))</f>
        <v/>
      </c>
      <c r="DE110" s="136" t="str">
        <f t="shared" si="1"/>
        <v/>
      </c>
      <c r="DF110" s="166" t="str">
        <f t="shared" si="2"/>
        <v/>
      </c>
      <c r="DG110" s="167" t="str">
        <f t="shared" si="3"/>
        <v/>
      </c>
      <c r="DH110" s="168" t="str">
        <f t="shared" si="4"/>
        <v/>
      </c>
      <c r="DI110" s="169" t="str">
        <f t="shared" si="5"/>
        <v/>
      </c>
    </row>
    <row r="111" spans="1:113" ht="15.75" hidden="1" customHeight="1">
      <c r="A111" s="5"/>
      <c r="B111" s="5"/>
      <c r="C111" s="5"/>
      <c r="D111" s="5"/>
      <c r="E111" s="59">
        <v>94</v>
      </c>
      <c r="F111" s="124" t="str">
        <f>IF(NOT(ISBLANK('Midterm OVPAA-F-INS-055A RAW SC'!F111)),'Midterm OVPAA-F-INS-055A RAW SC'!F111,"")</f>
        <v/>
      </c>
      <c r="G111" s="125" t="str">
        <f>IF(NOT(ISBLANK('Midterm OVPAA-F-INS-055A RAW SC'!G111)),'Midterm OVPAA-F-INS-055A RAW SC'!G111,"")</f>
        <v/>
      </c>
      <c r="H111" s="126" t="str">
        <f>IF('Finalterm OVPAA-F-INS-055A RAW '!H111="","",'Finalterm OVPAA-F-INS-055A RAW '!H111/'Finalterm OVPAA-F-INS-055A RAW '!H$17*100)</f>
        <v/>
      </c>
      <c r="I111" s="126" t="str">
        <f>IF('Finalterm OVPAA-F-INS-055A RAW '!I111="","",'Finalterm OVPAA-F-INS-055A RAW '!I111/'Finalterm OVPAA-F-INS-055A RAW '!I$17*100)</f>
        <v/>
      </c>
      <c r="J111" s="126" t="str">
        <f>IF('Finalterm OVPAA-F-INS-055A RAW '!J111="","",'Finalterm OVPAA-F-INS-055A RAW '!J111/'Finalterm OVPAA-F-INS-055A RAW '!J$17*100)</f>
        <v/>
      </c>
      <c r="K111" s="126" t="str">
        <f>IF('Finalterm OVPAA-F-INS-055A RAW '!K111="","",'Finalterm OVPAA-F-INS-055A RAW '!K111/'Finalterm OVPAA-F-INS-055A RAW '!K$17*100)</f>
        <v/>
      </c>
      <c r="L111" s="126" t="str">
        <f>IF('Finalterm OVPAA-F-INS-055A RAW '!L111="","",'Finalterm OVPAA-F-INS-055A RAW '!L111/'Finalterm OVPAA-F-INS-055A RAW '!L$17*100)</f>
        <v/>
      </c>
      <c r="M111" s="126" t="str">
        <f>IF('Finalterm OVPAA-F-INS-055A RAW '!M111="","",'Finalterm OVPAA-F-INS-055A RAW '!M111/'Finalterm OVPAA-F-INS-055A RAW '!M$17*100)</f>
        <v/>
      </c>
      <c r="N111" s="126" t="str">
        <f>IF('Finalterm OVPAA-F-INS-055A RAW '!N111="","",'Finalterm OVPAA-F-INS-055A RAW '!N111/'Finalterm OVPAA-F-INS-055A RAW '!N$17*100)</f>
        <v/>
      </c>
      <c r="O111" s="126" t="str">
        <f>IF('Finalterm OVPAA-F-INS-055A RAW '!O111="","",'Finalterm OVPAA-F-INS-055A RAW '!O111/'Finalterm OVPAA-F-INS-055A RAW '!O$17*100)</f>
        <v/>
      </c>
      <c r="P111" s="126" t="str">
        <f>IF('Finalterm OVPAA-F-INS-055A RAW '!P111="","",'Finalterm OVPAA-F-INS-055A RAW '!P111/'Finalterm OVPAA-F-INS-055A RAW '!P$17*100)</f>
        <v/>
      </c>
      <c r="Q111" s="126" t="str">
        <f>IF('Finalterm OVPAA-F-INS-055A RAW '!Q111="","",'Finalterm OVPAA-F-INS-055A RAW '!Q111/'Finalterm OVPAA-F-INS-055A RAW '!Q$17*100)</f>
        <v/>
      </c>
      <c r="R111" s="126" t="str">
        <f>IF('Finalterm OVPAA-F-INS-055A RAW '!R111="","",'Finalterm OVPAA-F-INS-055A RAW '!R111/'Finalterm OVPAA-F-INS-055A RAW '!R$17*100)</f>
        <v/>
      </c>
      <c r="S111" s="126" t="str">
        <f>IF('Finalterm OVPAA-F-INS-055A RAW '!S111="","",'Finalterm OVPAA-F-INS-055A RAW '!S111/'Finalterm OVPAA-F-INS-055A RAW '!S$17*100)</f>
        <v/>
      </c>
      <c r="T111" s="126" t="str">
        <f>IF('Finalterm OVPAA-F-INS-055A RAW '!T111="","",'Finalterm OVPAA-F-INS-055A RAW '!T111/'Finalterm OVPAA-F-INS-055A RAW '!T$17*100)</f>
        <v/>
      </c>
      <c r="U111" s="126" t="str">
        <f>IF('Finalterm OVPAA-F-INS-055A RAW '!U111="","",'Finalterm OVPAA-F-INS-055A RAW '!U111/'Finalterm OVPAA-F-INS-055A RAW '!U$17*100)</f>
        <v/>
      </c>
      <c r="V111" s="126" t="str">
        <f>IF('Finalterm OVPAA-F-INS-055A RAW '!V111="","",'Finalterm OVPAA-F-INS-055A RAW '!V111/'Finalterm OVPAA-F-INS-055A RAW '!V$17*100)</f>
        <v/>
      </c>
      <c r="W111" s="126" t="str">
        <f>IF('Finalterm OVPAA-F-INS-055A RAW '!W111="","",'Finalterm OVPAA-F-INS-055A RAW '!W111/'Finalterm OVPAA-F-INS-055A RAW '!W$17*100)</f>
        <v/>
      </c>
      <c r="X111" s="126" t="str">
        <f>IF('Finalterm OVPAA-F-INS-055A RAW '!X111="","",'Finalterm OVPAA-F-INS-055A RAW '!X111/'Finalterm OVPAA-F-INS-055A RAW '!X$17*100)</f>
        <v/>
      </c>
      <c r="Y111" s="126" t="str">
        <f>IF('Finalterm OVPAA-F-INS-055A RAW '!Y111="","",'Finalterm OVPAA-F-INS-055A RAW '!Y111/'Finalterm OVPAA-F-INS-055A RAW '!Y$17*100)</f>
        <v/>
      </c>
      <c r="Z111" s="126" t="str">
        <f>IF('Finalterm OVPAA-F-INS-055A RAW '!Z111="","",'Finalterm OVPAA-F-INS-055A RAW '!Z111/'Finalterm OVPAA-F-INS-055A RAW '!Z$17*100)</f>
        <v/>
      </c>
      <c r="AA111" s="126" t="str">
        <f>IF('Finalterm OVPAA-F-INS-055A RAW '!AA111="","",'Finalterm OVPAA-F-INS-055A RAW '!AA111/'Finalterm OVPAA-F-INS-055A RAW '!AA$17*100)</f>
        <v/>
      </c>
      <c r="AB111" s="126" t="str">
        <f>IF('Finalterm OVPAA-F-INS-055A RAW '!AB111="","",'Finalterm OVPAA-F-INS-055A RAW '!AB111/'Finalterm OVPAA-F-INS-055A RAW '!AB$17*100)</f>
        <v/>
      </c>
      <c r="AC111" s="126" t="str">
        <f>IF('Finalterm OVPAA-F-INS-055A RAW '!AC111="","",'Finalterm OVPAA-F-INS-055A RAW '!AC111/'Finalterm OVPAA-F-INS-055A RAW '!AC$17*100)</f>
        <v/>
      </c>
      <c r="AD111" s="126" t="str">
        <f>IF('Finalterm OVPAA-F-INS-055A RAW '!AD111="","",'Finalterm OVPAA-F-INS-055A RAW '!AD111/'Finalterm OVPAA-F-INS-055A RAW '!AD$17*100)</f>
        <v/>
      </c>
      <c r="AE111" s="126" t="str">
        <f>IF('Finalterm OVPAA-F-INS-055A RAW '!AE111="","",'Finalterm OVPAA-F-INS-055A RAW '!AE111/'Finalterm OVPAA-F-INS-055A RAW '!AE$17*100)</f>
        <v/>
      </c>
      <c r="AF111" s="126" t="str">
        <f>IF('Finalterm OVPAA-F-INS-055A RAW '!AF111="","",'Finalterm OVPAA-F-INS-055A RAW '!AF111/'Finalterm OVPAA-F-INS-055A RAW '!AF$17*100)</f>
        <v/>
      </c>
      <c r="AG111" s="126" t="str">
        <f>IF('Finalterm OVPAA-F-INS-055A RAW '!AG111="","",'Finalterm OVPAA-F-INS-055A RAW '!AG111/'Finalterm OVPAA-F-INS-055A RAW '!AG$17*100)</f>
        <v/>
      </c>
      <c r="AH111" s="126" t="str">
        <f>IF('Finalterm OVPAA-F-INS-055A RAW '!AH111="","",'Finalterm OVPAA-F-INS-055A RAW '!AH111/'Finalterm OVPAA-F-INS-055A RAW '!AH$17*100)</f>
        <v/>
      </c>
      <c r="AI111" s="126" t="str">
        <f>IF('Finalterm OVPAA-F-INS-055A RAW '!AI111="","",'Finalterm OVPAA-F-INS-055A RAW '!AI111/'Finalterm OVPAA-F-INS-055A RAW '!AI$17*100)</f>
        <v/>
      </c>
      <c r="AJ111" s="126" t="str">
        <f>IF('Finalterm OVPAA-F-INS-055A RAW '!AJ111="","",'Finalterm OVPAA-F-INS-055A RAW '!AJ111/'Finalterm OVPAA-F-INS-055A RAW '!AJ$17*100)</f>
        <v/>
      </c>
      <c r="AK111" s="126" t="str">
        <f>IF('Finalterm OVPAA-F-INS-055A RAW '!AK111="","",'Finalterm OVPAA-F-INS-055A RAW '!AK111/'Finalterm OVPAA-F-INS-055A RAW '!AK$17*100)</f>
        <v/>
      </c>
      <c r="AL111" s="126" t="str">
        <f>IF('Finalterm OVPAA-F-INS-055A RAW '!AL111="","",'Finalterm OVPAA-F-INS-055A RAW '!AL111/'Finalterm OVPAA-F-INS-055A RAW '!AL$17*100)</f>
        <v/>
      </c>
      <c r="AM111" s="126" t="str">
        <f>IF('Finalterm OVPAA-F-INS-055A RAW '!AM111="","",'Finalterm OVPAA-F-INS-055A RAW '!AM111/'Finalterm OVPAA-F-INS-055A RAW '!AM$17*100)</f>
        <v/>
      </c>
      <c r="AN111" s="126" t="str">
        <f>IF('Finalterm OVPAA-F-INS-055A RAW '!AN111="","",'Finalterm OVPAA-F-INS-055A RAW '!AN111/'Finalterm OVPAA-F-INS-055A RAW '!AN$17*100)</f>
        <v/>
      </c>
      <c r="AO111" s="126" t="str">
        <f>IF('Finalterm OVPAA-F-INS-055A RAW '!AO111="","",'Finalterm OVPAA-F-INS-055A RAW '!AO111/'Finalterm OVPAA-F-INS-055A RAW '!AO$17*100)</f>
        <v/>
      </c>
      <c r="AP111" s="126" t="str">
        <f>IF('Finalterm OVPAA-F-INS-055A RAW '!AP111="","",'Finalterm OVPAA-F-INS-055A RAW '!AP111/'Finalterm OVPAA-F-INS-055A RAW '!AP$17*100)</f>
        <v/>
      </c>
      <c r="AQ111" s="126" t="str">
        <f>IF('Finalterm OVPAA-F-INS-055A RAW '!AQ111="","",'Finalterm OVPAA-F-INS-055A RAW '!AQ111/'Finalterm OVPAA-F-INS-055A RAW '!AQ$17*100)</f>
        <v/>
      </c>
      <c r="AR111" s="126" t="str">
        <f>IF('Finalterm OVPAA-F-INS-055A RAW '!AR111="","",'Finalterm OVPAA-F-INS-055A RAW '!AR111/'Finalterm OVPAA-F-INS-055A RAW '!AR$17*100)</f>
        <v/>
      </c>
      <c r="AS111" s="126" t="str">
        <f>IF('Finalterm OVPAA-F-INS-055A RAW '!AS111="","",'Finalterm OVPAA-F-INS-055A RAW '!AS111/'Finalterm OVPAA-F-INS-055A RAW '!AS$17*100)</f>
        <v/>
      </c>
      <c r="AT111" s="126" t="str">
        <f>IF('Finalterm OVPAA-F-INS-055A RAW '!AT111="","",'Finalterm OVPAA-F-INS-055A RAW '!AT111/'Finalterm OVPAA-F-INS-055A RAW '!AT$17*100)</f>
        <v/>
      </c>
      <c r="AU111" s="126" t="str">
        <f>IF('Finalterm OVPAA-F-INS-055A RAW '!AU111="","",'Finalterm OVPAA-F-INS-055A RAW '!AU111/'Finalterm OVPAA-F-INS-055A RAW '!AU$17*100)</f>
        <v/>
      </c>
      <c r="AV111" s="126" t="str">
        <f>IF('Finalterm OVPAA-F-INS-055A RAW '!AV111="","",'Finalterm OVPAA-F-INS-055A RAW '!AV111/'Finalterm OVPAA-F-INS-055A RAW '!AV$17*100)</f>
        <v/>
      </c>
      <c r="AW111" s="126" t="str">
        <f>IF('Finalterm OVPAA-F-INS-055A RAW '!AW111="","",'Finalterm OVPAA-F-INS-055A RAW '!AW111/'Finalterm OVPAA-F-INS-055A RAW '!AW$17*100)</f>
        <v/>
      </c>
      <c r="AX111" s="126" t="str">
        <f>IF('Finalterm OVPAA-F-INS-055A RAW '!AX111="","",'Finalterm OVPAA-F-INS-055A RAW '!AX111/'Finalterm OVPAA-F-INS-055A RAW '!AX$17*100)</f>
        <v/>
      </c>
      <c r="AY111" s="126" t="str">
        <f>IF('Finalterm OVPAA-F-INS-055A RAW '!AY111="","",'Finalterm OVPAA-F-INS-055A RAW '!AY111/'Finalterm OVPAA-F-INS-055A RAW '!AY$17*100)</f>
        <v/>
      </c>
      <c r="AZ111" s="126" t="str">
        <f>IF('Finalterm OVPAA-F-INS-055A RAW '!AZ111="","",'Finalterm OVPAA-F-INS-055A RAW '!AZ111/'Finalterm OVPAA-F-INS-055A RAW '!AZ$17*100)</f>
        <v/>
      </c>
      <c r="BA111" s="126" t="str">
        <f>IF('Finalterm OVPAA-F-INS-055A RAW '!BA111="","",'Finalterm OVPAA-F-INS-055A RAW '!BA111/'Finalterm OVPAA-F-INS-055A RAW '!BA$17*100)</f>
        <v/>
      </c>
      <c r="BB111" s="126" t="str">
        <f>IF('Finalterm OVPAA-F-INS-055A RAW '!BB111="","",'Finalterm OVPAA-F-INS-055A RAW '!BB111/'Finalterm OVPAA-F-INS-055A RAW '!BB$17*100)</f>
        <v/>
      </c>
      <c r="BC111" s="126" t="str">
        <f>IF('Finalterm OVPAA-F-INS-055A RAW '!BC111="","",'Finalterm OVPAA-F-INS-055A RAW '!BC111/'Finalterm OVPAA-F-INS-055A RAW '!BC$17*100)</f>
        <v/>
      </c>
      <c r="BD111" s="126" t="str">
        <f>IF('Finalterm OVPAA-F-INS-055A RAW '!BD111="","",'Finalterm OVPAA-F-INS-055A RAW '!BD111/'Finalterm OVPAA-F-INS-055A RAW '!BD$17*100)</f>
        <v/>
      </c>
      <c r="BE111" s="126" t="str">
        <f>IF('Finalterm OVPAA-F-INS-055A RAW '!BE111="","",'Finalterm OVPAA-F-INS-055A RAW '!BE111/'Finalterm OVPAA-F-INS-055A RAW '!BE$17*100)</f>
        <v/>
      </c>
      <c r="BF111" s="126" t="str">
        <f>IF('Finalterm OVPAA-F-INS-055A RAW '!BF111="","",'Finalterm OVPAA-F-INS-055A RAW '!BF111/'Finalterm OVPAA-F-INS-055A RAW '!BF$17*100)</f>
        <v/>
      </c>
      <c r="BG111" s="126" t="str">
        <f>IF('Finalterm OVPAA-F-INS-055A RAW '!BG111="","",'Finalterm OVPAA-F-INS-055A RAW '!BG111/'Finalterm OVPAA-F-INS-055A RAW '!BG$17*100)</f>
        <v/>
      </c>
      <c r="BH111" s="126" t="str">
        <f>IF('Finalterm OVPAA-F-INS-055A RAW '!BH111="","",'Finalterm OVPAA-F-INS-055A RAW '!BH111/'Finalterm OVPAA-F-INS-055A RAW '!BH$17*100)</f>
        <v/>
      </c>
      <c r="BI111" s="126" t="str">
        <f>IF('Finalterm OVPAA-F-INS-055A RAW '!BI111="","",'Finalterm OVPAA-F-INS-055A RAW '!BI111/'Finalterm OVPAA-F-INS-055A RAW '!BI$17*100)</f>
        <v/>
      </c>
      <c r="BJ111" s="126" t="str">
        <f>IF('Finalterm OVPAA-F-INS-055A RAW '!BJ111="","",'Finalterm OVPAA-F-INS-055A RAW '!BJ111/'Finalterm OVPAA-F-INS-055A RAW '!BJ$17*100)</f>
        <v/>
      </c>
      <c r="BK111" s="126" t="str">
        <f>IF('Finalterm OVPAA-F-INS-055A RAW '!BK111="","",'Finalterm OVPAA-F-INS-055A RAW '!BK111/'Finalterm OVPAA-F-INS-055A RAW '!BK$17*100)</f>
        <v/>
      </c>
      <c r="BL111" s="126" t="str">
        <f>IF('Finalterm OVPAA-F-INS-055A RAW '!BL111="","",'Finalterm OVPAA-F-INS-055A RAW '!BL111/'Finalterm OVPAA-F-INS-055A RAW '!BL$17*100)</f>
        <v/>
      </c>
      <c r="BM111" s="126" t="str">
        <f>IF('Finalterm OVPAA-F-INS-055A RAW '!BM111="","",'Finalterm OVPAA-F-INS-055A RAW '!BM111/'Finalterm OVPAA-F-INS-055A RAW '!BM$17*100)</f>
        <v/>
      </c>
      <c r="BN111" s="126" t="str">
        <f>IF('Finalterm OVPAA-F-INS-055A RAW '!BN111="","",'Finalterm OVPAA-F-INS-055A RAW '!BN111/'Finalterm OVPAA-F-INS-055A RAW '!BN$17*100)</f>
        <v/>
      </c>
      <c r="BO111" s="126" t="str">
        <f>IF('Finalterm OVPAA-F-INS-055A RAW '!BO111="","",'Finalterm OVPAA-F-INS-055A RAW '!BO111/'Finalterm OVPAA-F-INS-055A RAW '!BO$17*100)</f>
        <v/>
      </c>
      <c r="BP111" s="126" t="str">
        <f>IF('Finalterm OVPAA-F-INS-055A RAW '!BP111="","",'Finalterm OVPAA-F-INS-055A RAW '!BP111/'Finalterm OVPAA-F-INS-055A RAW '!BP$17*100)</f>
        <v/>
      </c>
      <c r="BQ111" s="126" t="str">
        <f>IF('Finalterm OVPAA-F-INS-055A RAW '!BQ111="","",'Finalterm OVPAA-F-INS-055A RAW '!BQ111/'Finalterm OVPAA-F-INS-055A RAW '!BQ$17*100)</f>
        <v/>
      </c>
      <c r="BR111" s="126" t="str">
        <f>IF('Finalterm OVPAA-F-INS-055A RAW '!BR111="","",'Finalterm OVPAA-F-INS-055A RAW '!BR111/'Finalterm OVPAA-F-INS-055A RAW '!BR$17*100)</f>
        <v/>
      </c>
      <c r="BS111" s="126" t="str">
        <f>IF('Finalterm OVPAA-F-INS-055A RAW '!BS111="","",'Finalterm OVPAA-F-INS-055A RAW '!BS111/'Finalterm OVPAA-F-INS-055A RAW '!BS$17*100)</f>
        <v/>
      </c>
      <c r="BT111" s="126" t="str">
        <f>IF('Finalterm OVPAA-F-INS-055A RAW '!BT111="","",'Finalterm OVPAA-F-INS-055A RAW '!BT111/'Finalterm OVPAA-F-INS-055A RAW '!BT$17*100)</f>
        <v/>
      </c>
      <c r="BU111" s="127" t="str">
        <f t="array" ref="BU111">IF('Finalterm OVPAA-F-INS-055A RAW '!$G111="","",IF((SUMPRODUCT(--ISBLANK('Finalterm OVPAA-F-INS-055A RAW '!H111:BT111))=COLUMNS('Finalterm OVPAA-F-INS-055A RAW '!H111:BT111))=TRUE,"",(((COUNTA('Finalterm OVPAA-F-INS-055A RAW '!$H$17:$BT$17)+COUNTBLANK('Finalterm OVPAA-F-INS-055A RAW '!H111:BT111))-COLUMNS('Finalterm OVPAA-F-INS-055A RAW '!H111:BT111))*5+SUM(H111:BT111))/COUNTA('Finalterm OVPAA-F-INS-055A RAW '!$H$17:$BT$17)))</f>
        <v/>
      </c>
      <c r="BV111" s="165" t="str">
        <f>IF(BU111="","",VLOOKUP(BU111,IF('Midterm OVPAA-F-INS-055A RAW SC'!$V$12=0.5,TRANSMUTATION!$C$4:$D$17,TRANSMUTATION!$G$4:$H$17),2,TRUE))</f>
        <v/>
      </c>
      <c r="BW111" s="129" t="str">
        <f>IF('Finalterm OVPAA-F-INS-055A RAW '!BU111="","",'Finalterm OVPAA-F-INS-055A RAW '!BU111/'Finalterm OVPAA-F-INS-055A RAW '!BU$17*100)</f>
        <v/>
      </c>
      <c r="BX111" s="130" t="str">
        <f>IF('Finalterm OVPAA-F-INS-055A RAW '!BV111="","",'Finalterm OVPAA-F-INS-055A RAW '!BV111/'Finalterm OVPAA-F-INS-055A RAW '!BV$17*100)</f>
        <v/>
      </c>
      <c r="BY111" s="130" t="str">
        <f>IF('Finalterm OVPAA-F-INS-055A RAW '!BW111="","",'Finalterm OVPAA-F-INS-055A RAW '!BW111/'Finalterm OVPAA-F-INS-055A RAW '!BW$17*100)</f>
        <v/>
      </c>
      <c r="BZ111" s="130" t="str">
        <f>IF('Finalterm OVPAA-F-INS-055A RAW '!BX111="","",'Finalterm OVPAA-F-INS-055A RAW '!BX111/'Finalterm OVPAA-F-INS-055A RAW '!BX$17*100)</f>
        <v/>
      </c>
      <c r="CA111" s="130" t="str">
        <f>IF('Finalterm OVPAA-F-INS-055A RAW '!BY111="","",'Finalterm OVPAA-F-INS-055A RAW '!BY111/'Finalterm OVPAA-F-INS-055A RAW '!BY$17*100)</f>
        <v/>
      </c>
      <c r="CB111" s="130" t="str">
        <f>IF('Finalterm OVPAA-F-INS-055A RAW '!BZ111="","",'Finalterm OVPAA-F-INS-055A RAW '!BZ111/'Finalterm OVPAA-F-INS-055A RAW '!BZ$17*100)</f>
        <v/>
      </c>
      <c r="CC111" s="130" t="str">
        <f>IF('Finalterm OVPAA-F-INS-055A RAW '!CA111="","",'Finalterm OVPAA-F-INS-055A RAW '!CA111/'Finalterm OVPAA-F-INS-055A RAW '!CA$17*100)</f>
        <v/>
      </c>
      <c r="CD111" s="130" t="str">
        <f>IF('Finalterm OVPAA-F-INS-055A RAW '!CB111="","",'Finalterm OVPAA-F-INS-055A RAW '!CB111/'Finalterm OVPAA-F-INS-055A RAW '!CB$17*100)</f>
        <v/>
      </c>
      <c r="CE111" s="130" t="str">
        <f>IF('Finalterm OVPAA-F-INS-055A RAW '!CC111="","",'Finalterm OVPAA-F-INS-055A RAW '!CC111/'Finalterm OVPAA-F-INS-055A RAW '!CC$17*100)</f>
        <v/>
      </c>
      <c r="CF111" s="130" t="str">
        <f>IF('Finalterm OVPAA-F-INS-055A RAW '!CD111="","",'Finalterm OVPAA-F-INS-055A RAW '!CD111/'Finalterm OVPAA-F-INS-055A RAW '!CD$17*100)</f>
        <v/>
      </c>
      <c r="CG111" s="130" t="str">
        <f>IF('Finalterm OVPAA-F-INS-055A RAW '!CE111="","",'Finalterm OVPAA-F-INS-055A RAW '!CE111/'Finalterm OVPAA-F-INS-055A RAW '!CE$17*100)</f>
        <v/>
      </c>
      <c r="CH111" s="130" t="str">
        <f>IF('Finalterm OVPAA-F-INS-055A RAW '!CF111="","",'Finalterm OVPAA-F-INS-055A RAW '!CF111/'Finalterm OVPAA-F-INS-055A RAW '!CF$17*100)</f>
        <v/>
      </c>
      <c r="CI111" s="130" t="str">
        <f>IF('Finalterm OVPAA-F-INS-055A RAW '!CG111="","",'Finalterm OVPAA-F-INS-055A RAW '!CG111/'Finalterm OVPAA-F-INS-055A RAW '!CG$17*100)</f>
        <v/>
      </c>
      <c r="CJ111" s="130" t="str">
        <f>IF('Finalterm OVPAA-F-INS-055A RAW '!CH111="","",'Finalterm OVPAA-F-INS-055A RAW '!CH111/'Finalterm OVPAA-F-INS-055A RAW '!CH$17*100)</f>
        <v/>
      </c>
      <c r="CK111" s="130" t="str">
        <f>IF('Finalterm OVPAA-F-INS-055A RAW '!CI111="","",'Finalterm OVPAA-F-INS-055A RAW '!CI111/'Finalterm OVPAA-F-INS-055A RAW '!CI$17*100)</f>
        <v/>
      </c>
      <c r="CL111" s="130" t="str">
        <f>IF('Finalterm OVPAA-F-INS-055A RAW '!CJ111="","",'Finalterm OVPAA-F-INS-055A RAW '!CJ111/'Finalterm OVPAA-F-INS-055A RAW '!CJ$17*100)</f>
        <v/>
      </c>
      <c r="CM111" s="130" t="str">
        <f>IF('Finalterm OVPAA-F-INS-055A RAW '!CK111="","",'Finalterm OVPAA-F-INS-055A RAW '!CK111/'Finalterm OVPAA-F-INS-055A RAW '!CK$17*100)</f>
        <v/>
      </c>
      <c r="CN111" s="130" t="str">
        <f>IF('Finalterm OVPAA-F-INS-055A RAW '!CL111="","",'Finalterm OVPAA-F-INS-055A RAW '!CL111/'Finalterm OVPAA-F-INS-055A RAW '!CL$17*100)</f>
        <v/>
      </c>
      <c r="CO111" s="130" t="str">
        <f>IF('Finalterm OVPAA-F-INS-055A RAW '!CM111="","",'Finalterm OVPAA-F-INS-055A RAW '!CM111/'Finalterm OVPAA-F-INS-055A RAW '!CM$17*100)</f>
        <v/>
      </c>
      <c r="CP111" s="130" t="str">
        <f>IF('Finalterm OVPAA-F-INS-055A RAW '!CN111="","",'Finalterm OVPAA-F-INS-055A RAW '!CN111/'Finalterm OVPAA-F-INS-055A RAW '!CN$17*100)</f>
        <v/>
      </c>
      <c r="CQ111" s="131" t="str">
        <f t="array" ref="CQ111">IF('Midterm OVPAA-F-INS-055A RAW SC'!G111="","",IF((SUMPRODUCT(--ISBLANK('Finalterm OVPAA-F-INS-055A RAW '!BU111:CN111))=COLUMNS('Finalterm OVPAA-F-INS-055A RAW '!BU111:CN111))=TRUE,"",(((COUNTA('Finalterm OVPAA-F-INS-055A RAW '!$BU$17:$CN$17)+COUNTBLANK('Finalterm OVPAA-F-INS-055A RAW '!BU111:CN111))-COLUMNS('Finalterm OVPAA-F-INS-055A RAW '!BU111:CN111))*5+SUM(BW111:CP111))/COUNTA('Finalterm OVPAA-F-INS-055A RAW '!$BU$17:$CN$17)))</f>
        <v/>
      </c>
      <c r="CR111" s="132" t="str">
        <f>IF(CQ111="","",VLOOKUP(CQ111,IF('Midterm OVPAA-F-INS-055A RAW SC'!$V$12=0.5,TRANSMUTATION!$C$4:$D$17,TRANSMUTATION!$G$4:$H$17),2,TRUE))</f>
        <v/>
      </c>
      <c r="CS111" s="133" t="str">
        <f>IF('Finalterm OVPAA-F-INS-055A RAW '!CO111="","",'Finalterm OVPAA-F-INS-055A RAW '!CO111/'Finalterm OVPAA-F-INS-055A RAW '!CO$17*100)</f>
        <v/>
      </c>
      <c r="CT111" s="133" t="str">
        <f>IF('Finalterm OVPAA-F-INS-055A RAW '!CP111="","",'Finalterm OVPAA-F-INS-055A RAW '!CP111/'Finalterm OVPAA-F-INS-055A RAW '!CP$17*100)</f>
        <v/>
      </c>
      <c r="CU111" s="133" t="str">
        <f>IF('Finalterm OVPAA-F-INS-055A RAW '!CQ111="","",'Finalterm OVPAA-F-INS-055A RAW '!CQ111/'Finalterm OVPAA-F-INS-055A RAW '!CQ$17*100)</f>
        <v/>
      </c>
      <c r="CV111" s="133" t="str">
        <f>IF('Finalterm OVPAA-F-INS-055A RAW '!CR111="","",'Finalterm OVPAA-F-INS-055A RAW '!CR111/'Finalterm OVPAA-F-INS-055A RAW '!CR$17*100)</f>
        <v/>
      </c>
      <c r="CW111" s="133" t="str">
        <f>IF('Finalterm OVPAA-F-INS-055A RAW '!CS111="","",'Finalterm OVPAA-F-INS-055A RAW '!CS111/'Finalterm OVPAA-F-INS-055A RAW '!CS$17*100)</f>
        <v/>
      </c>
      <c r="CX111" s="133" t="str">
        <f>IF('Finalterm OVPAA-F-INS-055A RAW '!CT111="","",'Finalterm OVPAA-F-INS-055A RAW '!CT111/'Finalterm OVPAA-F-INS-055A RAW '!CT$17*100)</f>
        <v/>
      </c>
      <c r="CY111" s="133" t="str">
        <f>IF('Finalterm OVPAA-F-INS-055A RAW '!CU111="","",'Finalterm OVPAA-F-INS-055A RAW '!CU111/'Finalterm OVPAA-F-INS-055A RAW '!CU$17*100)</f>
        <v/>
      </c>
      <c r="CZ111" s="133" t="str">
        <f>IF('Finalterm OVPAA-F-INS-055A RAW '!CV111="","",'Finalterm OVPAA-F-INS-055A RAW '!CV111/'Finalterm OVPAA-F-INS-055A RAW '!CV$17*100)</f>
        <v/>
      </c>
      <c r="DA111" s="133" t="str">
        <f>IF('Finalterm OVPAA-F-INS-055A RAW '!CW111="","",'Finalterm OVPAA-F-INS-055A RAW '!CW111/'Finalterm OVPAA-F-INS-055A RAW '!CW$17*100)</f>
        <v/>
      </c>
      <c r="DB111" s="133" t="str">
        <f>IF('Finalterm OVPAA-F-INS-055A RAW '!CX111="","",'Finalterm OVPAA-F-INS-055A RAW '!CX111/'Finalterm OVPAA-F-INS-055A RAW '!CX$17*100)</f>
        <v/>
      </c>
      <c r="DC111" s="134" t="str">
        <f t="array" ref="DC111">IF('Midterm OVPAA-F-INS-055A RAW SC'!$G111="","",IF((SUMPRODUCT(--ISBLANK('Finalterm OVPAA-F-INS-055A RAW '!CO111:CX111))=COLUMNS('Finalterm OVPAA-F-INS-055A RAW '!CO111:CX111))=TRUE,"",(((COUNTA('Finalterm OVPAA-F-INS-055A RAW '!$CO$17:$CX$17)+COUNTBLANK('Finalterm OVPAA-F-INS-055A RAW '!CO111:CX111))-COLUMNS('Finalterm OVPAA-F-INS-055A RAW '!CO111:CX111))*5+SUM(CS111:DB111))/COUNTA('Finalterm OVPAA-F-INS-055A RAW '!$CO$17:$CX$17)))</f>
        <v/>
      </c>
      <c r="DD111" s="135" t="str">
        <f>IF(DC111="","",VLOOKUP(DC111,IF('Midterm OVPAA-F-INS-055A RAW SC'!$V$12=0.5,TRANSMUTATION!$C$4:$D$17,TRANSMUTATION!$G$4:$H$17),2,TRUE))</f>
        <v/>
      </c>
      <c r="DE111" s="136" t="str">
        <f t="shared" si="1"/>
        <v/>
      </c>
      <c r="DF111" s="166" t="str">
        <f t="shared" si="2"/>
        <v/>
      </c>
      <c r="DG111" s="167" t="str">
        <f t="shared" si="3"/>
        <v/>
      </c>
      <c r="DH111" s="168" t="str">
        <f t="shared" si="4"/>
        <v/>
      </c>
      <c r="DI111" s="169" t="str">
        <f t="shared" si="5"/>
        <v/>
      </c>
    </row>
    <row r="112" spans="1:113" ht="15.75" hidden="1" customHeight="1">
      <c r="A112" s="5"/>
      <c r="B112" s="5"/>
      <c r="C112" s="5"/>
      <c r="D112" s="5"/>
      <c r="E112" s="59">
        <v>95</v>
      </c>
      <c r="F112" s="124" t="str">
        <f>IF(NOT(ISBLANK('Midterm OVPAA-F-INS-055A RAW SC'!F112)),'Midterm OVPAA-F-INS-055A RAW SC'!F112,"")</f>
        <v/>
      </c>
      <c r="G112" s="125" t="str">
        <f>IF(NOT(ISBLANK('Midterm OVPAA-F-INS-055A RAW SC'!G112)),'Midterm OVPAA-F-INS-055A RAW SC'!G112,"")</f>
        <v/>
      </c>
      <c r="H112" s="126" t="str">
        <f>IF('Finalterm OVPAA-F-INS-055A RAW '!H112="","",'Finalterm OVPAA-F-INS-055A RAW '!H112/'Finalterm OVPAA-F-INS-055A RAW '!H$17*100)</f>
        <v/>
      </c>
      <c r="I112" s="126" t="str">
        <f>IF('Finalterm OVPAA-F-INS-055A RAW '!I112="","",'Finalterm OVPAA-F-INS-055A RAW '!I112/'Finalterm OVPAA-F-INS-055A RAW '!I$17*100)</f>
        <v/>
      </c>
      <c r="J112" s="126" t="str">
        <f>IF('Finalterm OVPAA-F-INS-055A RAW '!J112="","",'Finalterm OVPAA-F-INS-055A RAW '!J112/'Finalterm OVPAA-F-INS-055A RAW '!J$17*100)</f>
        <v/>
      </c>
      <c r="K112" s="126" t="str">
        <f>IF('Finalterm OVPAA-F-INS-055A RAW '!K112="","",'Finalterm OVPAA-F-INS-055A RAW '!K112/'Finalterm OVPAA-F-INS-055A RAW '!K$17*100)</f>
        <v/>
      </c>
      <c r="L112" s="126" t="str">
        <f>IF('Finalterm OVPAA-F-INS-055A RAW '!L112="","",'Finalterm OVPAA-F-INS-055A RAW '!L112/'Finalterm OVPAA-F-INS-055A RAW '!L$17*100)</f>
        <v/>
      </c>
      <c r="M112" s="126" t="str">
        <f>IF('Finalterm OVPAA-F-INS-055A RAW '!M112="","",'Finalterm OVPAA-F-INS-055A RAW '!M112/'Finalterm OVPAA-F-INS-055A RAW '!M$17*100)</f>
        <v/>
      </c>
      <c r="N112" s="126" t="str">
        <f>IF('Finalterm OVPAA-F-INS-055A RAW '!N112="","",'Finalterm OVPAA-F-INS-055A RAW '!N112/'Finalterm OVPAA-F-INS-055A RAW '!N$17*100)</f>
        <v/>
      </c>
      <c r="O112" s="126" t="str">
        <f>IF('Finalterm OVPAA-F-INS-055A RAW '!O112="","",'Finalterm OVPAA-F-INS-055A RAW '!O112/'Finalterm OVPAA-F-INS-055A RAW '!O$17*100)</f>
        <v/>
      </c>
      <c r="P112" s="126" t="str">
        <f>IF('Finalterm OVPAA-F-INS-055A RAW '!P112="","",'Finalterm OVPAA-F-INS-055A RAW '!P112/'Finalterm OVPAA-F-INS-055A RAW '!P$17*100)</f>
        <v/>
      </c>
      <c r="Q112" s="126" t="str">
        <f>IF('Finalterm OVPAA-F-INS-055A RAW '!Q112="","",'Finalterm OVPAA-F-INS-055A RAW '!Q112/'Finalterm OVPAA-F-INS-055A RAW '!Q$17*100)</f>
        <v/>
      </c>
      <c r="R112" s="126" t="str">
        <f>IF('Finalterm OVPAA-F-INS-055A RAW '!R112="","",'Finalterm OVPAA-F-INS-055A RAW '!R112/'Finalterm OVPAA-F-INS-055A RAW '!R$17*100)</f>
        <v/>
      </c>
      <c r="S112" s="126" t="str">
        <f>IF('Finalterm OVPAA-F-INS-055A RAW '!S112="","",'Finalterm OVPAA-F-INS-055A RAW '!S112/'Finalterm OVPAA-F-INS-055A RAW '!S$17*100)</f>
        <v/>
      </c>
      <c r="T112" s="126" t="str">
        <f>IF('Finalterm OVPAA-F-INS-055A RAW '!T112="","",'Finalterm OVPAA-F-INS-055A RAW '!T112/'Finalterm OVPAA-F-INS-055A RAW '!T$17*100)</f>
        <v/>
      </c>
      <c r="U112" s="126" t="str">
        <f>IF('Finalterm OVPAA-F-INS-055A RAW '!U112="","",'Finalterm OVPAA-F-INS-055A RAW '!U112/'Finalterm OVPAA-F-INS-055A RAW '!U$17*100)</f>
        <v/>
      </c>
      <c r="V112" s="126" t="str">
        <f>IF('Finalterm OVPAA-F-INS-055A RAW '!V112="","",'Finalterm OVPAA-F-INS-055A RAW '!V112/'Finalterm OVPAA-F-INS-055A RAW '!V$17*100)</f>
        <v/>
      </c>
      <c r="W112" s="126" t="str">
        <f>IF('Finalterm OVPAA-F-INS-055A RAW '!W112="","",'Finalterm OVPAA-F-INS-055A RAW '!W112/'Finalterm OVPAA-F-INS-055A RAW '!W$17*100)</f>
        <v/>
      </c>
      <c r="X112" s="126" t="str">
        <f>IF('Finalterm OVPAA-F-INS-055A RAW '!X112="","",'Finalterm OVPAA-F-INS-055A RAW '!X112/'Finalterm OVPAA-F-INS-055A RAW '!X$17*100)</f>
        <v/>
      </c>
      <c r="Y112" s="126" t="str">
        <f>IF('Finalterm OVPAA-F-INS-055A RAW '!Y112="","",'Finalterm OVPAA-F-INS-055A RAW '!Y112/'Finalterm OVPAA-F-INS-055A RAW '!Y$17*100)</f>
        <v/>
      </c>
      <c r="Z112" s="126" t="str">
        <f>IF('Finalterm OVPAA-F-INS-055A RAW '!Z112="","",'Finalterm OVPAA-F-INS-055A RAW '!Z112/'Finalterm OVPAA-F-INS-055A RAW '!Z$17*100)</f>
        <v/>
      </c>
      <c r="AA112" s="126" t="str">
        <f>IF('Finalterm OVPAA-F-INS-055A RAW '!AA112="","",'Finalterm OVPAA-F-INS-055A RAW '!AA112/'Finalterm OVPAA-F-INS-055A RAW '!AA$17*100)</f>
        <v/>
      </c>
      <c r="AB112" s="126" t="str">
        <f>IF('Finalterm OVPAA-F-INS-055A RAW '!AB112="","",'Finalterm OVPAA-F-INS-055A RAW '!AB112/'Finalterm OVPAA-F-INS-055A RAW '!AB$17*100)</f>
        <v/>
      </c>
      <c r="AC112" s="126" t="str">
        <f>IF('Finalterm OVPAA-F-INS-055A RAW '!AC112="","",'Finalterm OVPAA-F-INS-055A RAW '!AC112/'Finalterm OVPAA-F-INS-055A RAW '!AC$17*100)</f>
        <v/>
      </c>
      <c r="AD112" s="126" t="str">
        <f>IF('Finalterm OVPAA-F-INS-055A RAW '!AD112="","",'Finalterm OVPAA-F-INS-055A RAW '!AD112/'Finalterm OVPAA-F-INS-055A RAW '!AD$17*100)</f>
        <v/>
      </c>
      <c r="AE112" s="126" t="str">
        <f>IF('Finalterm OVPAA-F-INS-055A RAW '!AE112="","",'Finalterm OVPAA-F-INS-055A RAW '!AE112/'Finalterm OVPAA-F-INS-055A RAW '!AE$17*100)</f>
        <v/>
      </c>
      <c r="AF112" s="126" t="str">
        <f>IF('Finalterm OVPAA-F-INS-055A RAW '!AF112="","",'Finalterm OVPAA-F-INS-055A RAW '!AF112/'Finalterm OVPAA-F-INS-055A RAW '!AF$17*100)</f>
        <v/>
      </c>
      <c r="AG112" s="126" t="str">
        <f>IF('Finalterm OVPAA-F-INS-055A RAW '!AG112="","",'Finalterm OVPAA-F-INS-055A RAW '!AG112/'Finalterm OVPAA-F-INS-055A RAW '!AG$17*100)</f>
        <v/>
      </c>
      <c r="AH112" s="126" t="str">
        <f>IF('Finalterm OVPAA-F-INS-055A RAW '!AH112="","",'Finalterm OVPAA-F-INS-055A RAW '!AH112/'Finalterm OVPAA-F-INS-055A RAW '!AH$17*100)</f>
        <v/>
      </c>
      <c r="AI112" s="126" t="str">
        <f>IF('Finalterm OVPAA-F-INS-055A RAW '!AI112="","",'Finalterm OVPAA-F-INS-055A RAW '!AI112/'Finalterm OVPAA-F-INS-055A RAW '!AI$17*100)</f>
        <v/>
      </c>
      <c r="AJ112" s="126" t="str">
        <f>IF('Finalterm OVPAA-F-INS-055A RAW '!AJ112="","",'Finalterm OVPAA-F-INS-055A RAW '!AJ112/'Finalterm OVPAA-F-INS-055A RAW '!AJ$17*100)</f>
        <v/>
      </c>
      <c r="AK112" s="126" t="str">
        <f>IF('Finalterm OVPAA-F-INS-055A RAW '!AK112="","",'Finalterm OVPAA-F-INS-055A RAW '!AK112/'Finalterm OVPAA-F-INS-055A RAW '!AK$17*100)</f>
        <v/>
      </c>
      <c r="AL112" s="126" t="str">
        <f>IF('Finalterm OVPAA-F-INS-055A RAW '!AL112="","",'Finalterm OVPAA-F-INS-055A RAW '!AL112/'Finalterm OVPAA-F-INS-055A RAW '!AL$17*100)</f>
        <v/>
      </c>
      <c r="AM112" s="126" t="str">
        <f>IF('Finalterm OVPAA-F-INS-055A RAW '!AM112="","",'Finalterm OVPAA-F-INS-055A RAW '!AM112/'Finalterm OVPAA-F-INS-055A RAW '!AM$17*100)</f>
        <v/>
      </c>
      <c r="AN112" s="126" t="str">
        <f>IF('Finalterm OVPAA-F-INS-055A RAW '!AN112="","",'Finalterm OVPAA-F-INS-055A RAW '!AN112/'Finalterm OVPAA-F-INS-055A RAW '!AN$17*100)</f>
        <v/>
      </c>
      <c r="AO112" s="126" t="str">
        <f>IF('Finalterm OVPAA-F-INS-055A RAW '!AO112="","",'Finalterm OVPAA-F-INS-055A RAW '!AO112/'Finalterm OVPAA-F-INS-055A RAW '!AO$17*100)</f>
        <v/>
      </c>
      <c r="AP112" s="126" t="str">
        <f>IF('Finalterm OVPAA-F-INS-055A RAW '!AP112="","",'Finalterm OVPAA-F-INS-055A RAW '!AP112/'Finalterm OVPAA-F-INS-055A RAW '!AP$17*100)</f>
        <v/>
      </c>
      <c r="AQ112" s="126" t="str">
        <f>IF('Finalterm OVPAA-F-INS-055A RAW '!AQ112="","",'Finalterm OVPAA-F-INS-055A RAW '!AQ112/'Finalterm OVPAA-F-INS-055A RAW '!AQ$17*100)</f>
        <v/>
      </c>
      <c r="AR112" s="126" t="str">
        <f>IF('Finalterm OVPAA-F-INS-055A RAW '!AR112="","",'Finalterm OVPAA-F-INS-055A RAW '!AR112/'Finalterm OVPAA-F-INS-055A RAW '!AR$17*100)</f>
        <v/>
      </c>
      <c r="AS112" s="126" t="str">
        <f>IF('Finalterm OVPAA-F-INS-055A RAW '!AS112="","",'Finalterm OVPAA-F-INS-055A RAW '!AS112/'Finalterm OVPAA-F-INS-055A RAW '!AS$17*100)</f>
        <v/>
      </c>
      <c r="AT112" s="126" t="str">
        <f>IF('Finalterm OVPAA-F-INS-055A RAW '!AT112="","",'Finalterm OVPAA-F-INS-055A RAW '!AT112/'Finalterm OVPAA-F-INS-055A RAW '!AT$17*100)</f>
        <v/>
      </c>
      <c r="AU112" s="126" t="str">
        <f>IF('Finalterm OVPAA-F-INS-055A RAW '!AU112="","",'Finalterm OVPAA-F-INS-055A RAW '!AU112/'Finalterm OVPAA-F-INS-055A RAW '!AU$17*100)</f>
        <v/>
      </c>
      <c r="AV112" s="126" t="str">
        <f>IF('Finalterm OVPAA-F-INS-055A RAW '!AV112="","",'Finalterm OVPAA-F-INS-055A RAW '!AV112/'Finalterm OVPAA-F-INS-055A RAW '!AV$17*100)</f>
        <v/>
      </c>
      <c r="AW112" s="126" t="str">
        <f>IF('Finalterm OVPAA-F-INS-055A RAW '!AW112="","",'Finalterm OVPAA-F-INS-055A RAW '!AW112/'Finalterm OVPAA-F-INS-055A RAW '!AW$17*100)</f>
        <v/>
      </c>
      <c r="AX112" s="126" t="str">
        <f>IF('Finalterm OVPAA-F-INS-055A RAW '!AX112="","",'Finalterm OVPAA-F-INS-055A RAW '!AX112/'Finalterm OVPAA-F-INS-055A RAW '!AX$17*100)</f>
        <v/>
      </c>
      <c r="AY112" s="126" t="str">
        <f>IF('Finalterm OVPAA-F-INS-055A RAW '!AY112="","",'Finalterm OVPAA-F-INS-055A RAW '!AY112/'Finalterm OVPAA-F-INS-055A RAW '!AY$17*100)</f>
        <v/>
      </c>
      <c r="AZ112" s="126" t="str">
        <f>IF('Finalterm OVPAA-F-INS-055A RAW '!AZ112="","",'Finalterm OVPAA-F-INS-055A RAW '!AZ112/'Finalterm OVPAA-F-INS-055A RAW '!AZ$17*100)</f>
        <v/>
      </c>
      <c r="BA112" s="126" t="str">
        <f>IF('Finalterm OVPAA-F-INS-055A RAW '!BA112="","",'Finalterm OVPAA-F-INS-055A RAW '!BA112/'Finalterm OVPAA-F-INS-055A RAW '!BA$17*100)</f>
        <v/>
      </c>
      <c r="BB112" s="126" t="str">
        <f>IF('Finalterm OVPAA-F-INS-055A RAW '!BB112="","",'Finalterm OVPAA-F-INS-055A RAW '!BB112/'Finalterm OVPAA-F-INS-055A RAW '!BB$17*100)</f>
        <v/>
      </c>
      <c r="BC112" s="126" t="str">
        <f>IF('Finalterm OVPAA-F-INS-055A RAW '!BC112="","",'Finalterm OVPAA-F-INS-055A RAW '!BC112/'Finalterm OVPAA-F-INS-055A RAW '!BC$17*100)</f>
        <v/>
      </c>
      <c r="BD112" s="126" t="str">
        <f>IF('Finalterm OVPAA-F-INS-055A RAW '!BD112="","",'Finalterm OVPAA-F-INS-055A RAW '!BD112/'Finalterm OVPAA-F-INS-055A RAW '!BD$17*100)</f>
        <v/>
      </c>
      <c r="BE112" s="126" t="str">
        <f>IF('Finalterm OVPAA-F-INS-055A RAW '!BE112="","",'Finalterm OVPAA-F-INS-055A RAW '!BE112/'Finalterm OVPAA-F-INS-055A RAW '!BE$17*100)</f>
        <v/>
      </c>
      <c r="BF112" s="126" t="str">
        <f>IF('Finalterm OVPAA-F-INS-055A RAW '!BF112="","",'Finalterm OVPAA-F-INS-055A RAW '!BF112/'Finalterm OVPAA-F-INS-055A RAW '!BF$17*100)</f>
        <v/>
      </c>
      <c r="BG112" s="126" t="str">
        <f>IF('Finalterm OVPAA-F-INS-055A RAW '!BG112="","",'Finalterm OVPAA-F-INS-055A RAW '!BG112/'Finalterm OVPAA-F-INS-055A RAW '!BG$17*100)</f>
        <v/>
      </c>
      <c r="BH112" s="126" t="str">
        <f>IF('Finalterm OVPAA-F-INS-055A RAW '!BH112="","",'Finalterm OVPAA-F-INS-055A RAW '!BH112/'Finalterm OVPAA-F-INS-055A RAW '!BH$17*100)</f>
        <v/>
      </c>
      <c r="BI112" s="126" t="str">
        <f>IF('Finalterm OVPAA-F-INS-055A RAW '!BI112="","",'Finalterm OVPAA-F-INS-055A RAW '!BI112/'Finalterm OVPAA-F-INS-055A RAW '!BI$17*100)</f>
        <v/>
      </c>
      <c r="BJ112" s="126" t="str">
        <f>IF('Finalterm OVPAA-F-INS-055A RAW '!BJ112="","",'Finalterm OVPAA-F-INS-055A RAW '!BJ112/'Finalterm OVPAA-F-INS-055A RAW '!BJ$17*100)</f>
        <v/>
      </c>
      <c r="BK112" s="126" t="str">
        <f>IF('Finalterm OVPAA-F-INS-055A RAW '!BK112="","",'Finalterm OVPAA-F-INS-055A RAW '!BK112/'Finalterm OVPAA-F-INS-055A RAW '!BK$17*100)</f>
        <v/>
      </c>
      <c r="BL112" s="126" t="str">
        <f>IF('Finalterm OVPAA-F-INS-055A RAW '!BL112="","",'Finalterm OVPAA-F-INS-055A RAW '!BL112/'Finalterm OVPAA-F-INS-055A RAW '!BL$17*100)</f>
        <v/>
      </c>
      <c r="BM112" s="126" t="str">
        <f>IF('Finalterm OVPAA-F-INS-055A RAW '!BM112="","",'Finalterm OVPAA-F-INS-055A RAW '!BM112/'Finalterm OVPAA-F-INS-055A RAW '!BM$17*100)</f>
        <v/>
      </c>
      <c r="BN112" s="126" t="str">
        <f>IF('Finalterm OVPAA-F-INS-055A RAW '!BN112="","",'Finalterm OVPAA-F-INS-055A RAW '!BN112/'Finalterm OVPAA-F-INS-055A RAW '!BN$17*100)</f>
        <v/>
      </c>
      <c r="BO112" s="126" t="str">
        <f>IF('Finalterm OVPAA-F-INS-055A RAW '!BO112="","",'Finalterm OVPAA-F-INS-055A RAW '!BO112/'Finalterm OVPAA-F-INS-055A RAW '!BO$17*100)</f>
        <v/>
      </c>
      <c r="BP112" s="126" t="str">
        <f>IF('Finalterm OVPAA-F-INS-055A RAW '!BP112="","",'Finalterm OVPAA-F-INS-055A RAW '!BP112/'Finalterm OVPAA-F-INS-055A RAW '!BP$17*100)</f>
        <v/>
      </c>
      <c r="BQ112" s="126" t="str">
        <f>IF('Finalterm OVPAA-F-INS-055A RAW '!BQ112="","",'Finalterm OVPAA-F-INS-055A RAW '!BQ112/'Finalterm OVPAA-F-INS-055A RAW '!BQ$17*100)</f>
        <v/>
      </c>
      <c r="BR112" s="126" t="str">
        <f>IF('Finalterm OVPAA-F-INS-055A RAW '!BR112="","",'Finalterm OVPAA-F-INS-055A RAW '!BR112/'Finalterm OVPAA-F-INS-055A RAW '!BR$17*100)</f>
        <v/>
      </c>
      <c r="BS112" s="126" t="str">
        <f>IF('Finalterm OVPAA-F-INS-055A RAW '!BS112="","",'Finalterm OVPAA-F-INS-055A RAW '!BS112/'Finalterm OVPAA-F-INS-055A RAW '!BS$17*100)</f>
        <v/>
      </c>
      <c r="BT112" s="126" t="str">
        <f>IF('Finalterm OVPAA-F-INS-055A RAW '!BT112="","",'Finalterm OVPAA-F-INS-055A RAW '!BT112/'Finalterm OVPAA-F-INS-055A RAW '!BT$17*100)</f>
        <v/>
      </c>
      <c r="BU112" s="127" t="str">
        <f t="array" ref="BU112">IF('Finalterm OVPAA-F-INS-055A RAW '!$G112="","",IF((SUMPRODUCT(--ISBLANK('Finalterm OVPAA-F-INS-055A RAW '!H112:BT112))=COLUMNS('Finalterm OVPAA-F-INS-055A RAW '!H112:BT112))=TRUE,"",(((COUNTA('Finalterm OVPAA-F-INS-055A RAW '!$H$17:$BT$17)+COUNTBLANK('Finalterm OVPAA-F-INS-055A RAW '!H112:BT112))-COLUMNS('Finalterm OVPAA-F-INS-055A RAW '!H112:BT112))*5+SUM(H112:BT112))/COUNTA('Finalterm OVPAA-F-INS-055A RAW '!$H$17:$BT$17)))</f>
        <v/>
      </c>
      <c r="BV112" s="165" t="str">
        <f>IF(BU112="","",VLOOKUP(BU112,IF('Midterm OVPAA-F-INS-055A RAW SC'!$V$12=0.5,TRANSMUTATION!$C$4:$D$17,TRANSMUTATION!$G$4:$H$17),2,TRUE))</f>
        <v/>
      </c>
      <c r="BW112" s="129" t="str">
        <f>IF('Finalterm OVPAA-F-INS-055A RAW '!BU112="","",'Finalterm OVPAA-F-INS-055A RAW '!BU112/'Finalterm OVPAA-F-INS-055A RAW '!BU$17*100)</f>
        <v/>
      </c>
      <c r="BX112" s="130" t="str">
        <f>IF('Finalterm OVPAA-F-INS-055A RAW '!BV112="","",'Finalterm OVPAA-F-INS-055A RAW '!BV112/'Finalterm OVPAA-F-INS-055A RAW '!BV$17*100)</f>
        <v/>
      </c>
      <c r="BY112" s="130" t="str">
        <f>IF('Finalterm OVPAA-F-INS-055A RAW '!BW112="","",'Finalterm OVPAA-F-INS-055A RAW '!BW112/'Finalterm OVPAA-F-INS-055A RAW '!BW$17*100)</f>
        <v/>
      </c>
      <c r="BZ112" s="130" t="str">
        <f>IF('Finalterm OVPAA-F-INS-055A RAW '!BX112="","",'Finalterm OVPAA-F-INS-055A RAW '!BX112/'Finalterm OVPAA-F-INS-055A RAW '!BX$17*100)</f>
        <v/>
      </c>
      <c r="CA112" s="130" t="str">
        <f>IF('Finalterm OVPAA-F-INS-055A RAW '!BY112="","",'Finalterm OVPAA-F-INS-055A RAW '!BY112/'Finalterm OVPAA-F-INS-055A RAW '!BY$17*100)</f>
        <v/>
      </c>
      <c r="CB112" s="130" t="str">
        <f>IF('Finalterm OVPAA-F-INS-055A RAW '!BZ112="","",'Finalterm OVPAA-F-INS-055A RAW '!BZ112/'Finalterm OVPAA-F-INS-055A RAW '!BZ$17*100)</f>
        <v/>
      </c>
      <c r="CC112" s="130" t="str">
        <f>IF('Finalterm OVPAA-F-INS-055A RAW '!CA112="","",'Finalterm OVPAA-F-INS-055A RAW '!CA112/'Finalterm OVPAA-F-INS-055A RAW '!CA$17*100)</f>
        <v/>
      </c>
      <c r="CD112" s="130" t="str">
        <f>IF('Finalterm OVPAA-F-INS-055A RAW '!CB112="","",'Finalterm OVPAA-F-INS-055A RAW '!CB112/'Finalterm OVPAA-F-INS-055A RAW '!CB$17*100)</f>
        <v/>
      </c>
      <c r="CE112" s="130" t="str">
        <f>IF('Finalterm OVPAA-F-INS-055A RAW '!CC112="","",'Finalterm OVPAA-F-INS-055A RAW '!CC112/'Finalterm OVPAA-F-INS-055A RAW '!CC$17*100)</f>
        <v/>
      </c>
      <c r="CF112" s="130" t="str">
        <f>IF('Finalterm OVPAA-F-INS-055A RAW '!CD112="","",'Finalterm OVPAA-F-INS-055A RAW '!CD112/'Finalterm OVPAA-F-INS-055A RAW '!CD$17*100)</f>
        <v/>
      </c>
      <c r="CG112" s="130" t="str">
        <f>IF('Finalterm OVPAA-F-INS-055A RAW '!CE112="","",'Finalterm OVPAA-F-INS-055A RAW '!CE112/'Finalterm OVPAA-F-INS-055A RAW '!CE$17*100)</f>
        <v/>
      </c>
      <c r="CH112" s="130" t="str">
        <f>IF('Finalterm OVPAA-F-INS-055A RAW '!CF112="","",'Finalterm OVPAA-F-INS-055A RAW '!CF112/'Finalterm OVPAA-F-INS-055A RAW '!CF$17*100)</f>
        <v/>
      </c>
      <c r="CI112" s="130" t="str">
        <f>IF('Finalterm OVPAA-F-INS-055A RAW '!CG112="","",'Finalterm OVPAA-F-INS-055A RAW '!CG112/'Finalterm OVPAA-F-INS-055A RAW '!CG$17*100)</f>
        <v/>
      </c>
      <c r="CJ112" s="130" t="str">
        <f>IF('Finalterm OVPAA-F-INS-055A RAW '!CH112="","",'Finalterm OVPAA-F-INS-055A RAW '!CH112/'Finalterm OVPAA-F-INS-055A RAW '!CH$17*100)</f>
        <v/>
      </c>
      <c r="CK112" s="130" t="str">
        <f>IF('Finalterm OVPAA-F-INS-055A RAW '!CI112="","",'Finalterm OVPAA-F-INS-055A RAW '!CI112/'Finalterm OVPAA-F-INS-055A RAW '!CI$17*100)</f>
        <v/>
      </c>
      <c r="CL112" s="130" t="str">
        <f>IF('Finalterm OVPAA-F-INS-055A RAW '!CJ112="","",'Finalterm OVPAA-F-INS-055A RAW '!CJ112/'Finalterm OVPAA-F-INS-055A RAW '!CJ$17*100)</f>
        <v/>
      </c>
      <c r="CM112" s="130" t="str">
        <f>IF('Finalterm OVPAA-F-INS-055A RAW '!CK112="","",'Finalterm OVPAA-F-INS-055A RAW '!CK112/'Finalterm OVPAA-F-INS-055A RAW '!CK$17*100)</f>
        <v/>
      </c>
      <c r="CN112" s="130" t="str">
        <f>IF('Finalterm OVPAA-F-INS-055A RAW '!CL112="","",'Finalterm OVPAA-F-INS-055A RAW '!CL112/'Finalterm OVPAA-F-INS-055A RAW '!CL$17*100)</f>
        <v/>
      </c>
      <c r="CO112" s="130" t="str">
        <f>IF('Finalterm OVPAA-F-INS-055A RAW '!CM112="","",'Finalterm OVPAA-F-INS-055A RAW '!CM112/'Finalterm OVPAA-F-INS-055A RAW '!CM$17*100)</f>
        <v/>
      </c>
      <c r="CP112" s="130" t="str">
        <f>IF('Finalterm OVPAA-F-INS-055A RAW '!CN112="","",'Finalterm OVPAA-F-INS-055A RAW '!CN112/'Finalterm OVPAA-F-INS-055A RAW '!CN$17*100)</f>
        <v/>
      </c>
      <c r="CQ112" s="131" t="str">
        <f t="array" ref="CQ112">IF('Midterm OVPAA-F-INS-055A RAW SC'!G112="","",IF((SUMPRODUCT(--ISBLANK('Finalterm OVPAA-F-INS-055A RAW '!BU112:CN112))=COLUMNS('Finalterm OVPAA-F-INS-055A RAW '!BU112:CN112))=TRUE,"",(((COUNTA('Finalterm OVPAA-F-INS-055A RAW '!$BU$17:$CN$17)+COUNTBLANK('Finalterm OVPAA-F-INS-055A RAW '!BU112:CN112))-COLUMNS('Finalterm OVPAA-F-INS-055A RAW '!BU112:CN112))*5+SUM(BW112:CP112))/COUNTA('Finalterm OVPAA-F-INS-055A RAW '!$BU$17:$CN$17)))</f>
        <v/>
      </c>
      <c r="CR112" s="132" t="str">
        <f>IF(CQ112="","",VLOOKUP(CQ112,IF('Midterm OVPAA-F-INS-055A RAW SC'!$V$12=0.5,TRANSMUTATION!$C$4:$D$17,TRANSMUTATION!$G$4:$H$17),2,TRUE))</f>
        <v/>
      </c>
      <c r="CS112" s="133" t="str">
        <f>IF('Finalterm OVPAA-F-INS-055A RAW '!CO112="","",'Finalterm OVPAA-F-INS-055A RAW '!CO112/'Finalterm OVPAA-F-INS-055A RAW '!CO$17*100)</f>
        <v/>
      </c>
      <c r="CT112" s="133" t="str">
        <f>IF('Finalterm OVPAA-F-INS-055A RAW '!CP112="","",'Finalterm OVPAA-F-INS-055A RAW '!CP112/'Finalterm OVPAA-F-INS-055A RAW '!CP$17*100)</f>
        <v/>
      </c>
      <c r="CU112" s="133" t="str">
        <f>IF('Finalterm OVPAA-F-INS-055A RAW '!CQ112="","",'Finalterm OVPAA-F-INS-055A RAW '!CQ112/'Finalterm OVPAA-F-INS-055A RAW '!CQ$17*100)</f>
        <v/>
      </c>
      <c r="CV112" s="133" t="str">
        <f>IF('Finalterm OVPAA-F-INS-055A RAW '!CR112="","",'Finalterm OVPAA-F-INS-055A RAW '!CR112/'Finalterm OVPAA-F-INS-055A RAW '!CR$17*100)</f>
        <v/>
      </c>
      <c r="CW112" s="133" t="str">
        <f>IF('Finalterm OVPAA-F-INS-055A RAW '!CS112="","",'Finalterm OVPAA-F-INS-055A RAW '!CS112/'Finalterm OVPAA-F-INS-055A RAW '!CS$17*100)</f>
        <v/>
      </c>
      <c r="CX112" s="133" t="str">
        <f>IF('Finalterm OVPAA-F-INS-055A RAW '!CT112="","",'Finalterm OVPAA-F-INS-055A RAW '!CT112/'Finalterm OVPAA-F-INS-055A RAW '!CT$17*100)</f>
        <v/>
      </c>
      <c r="CY112" s="133" t="str">
        <f>IF('Finalterm OVPAA-F-INS-055A RAW '!CU112="","",'Finalterm OVPAA-F-INS-055A RAW '!CU112/'Finalterm OVPAA-F-INS-055A RAW '!CU$17*100)</f>
        <v/>
      </c>
      <c r="CZ112" s="133" t="str">
        <f>IF('Finalterm OVPAA-F-INS-055A RAW '!CV112="","",'Finalterm OVPAA-F-INS-055A RAW '!CV112/'Finalterm OVPAA-F-INS-055A RAW '!CV$17*100)</f>
        <v/>
      </c>
      <c r="DA112" s="133" t="str">
        <f>IF('Finalterm OVPAA-F-INS-055A RAW '!CW112="","",'Finalterm OVPAA-F-INS-055A RAW '!CW112/'Finalterm OVPAA-F-INS-055A RAW '!CW$17*100)</f>
        <v/>
      </c>
      <c r="DB112" s="133" t="str">
        <f>IF('Finalterm OVPAA-F-INS-055A RAW '!CX112="","",'Finalterm OVPAA-F-INS-055A RAW '!CX112/'Finalterm OVPAA-F-INS-055A RAW '!CX$17*100)</f>
        <v/>
      </c>
      <c r="DC112" s="134" t="str">
        <f t="array" ref="DC112">IF('Midterm OVPAA-F-INS-055A RAW SC'!$G112="","",IF((SUMPRODUCT(--ISBLANK('Finalterm OVPAA-F-INS-055A RAW '!CO112:CX112))=COLUMNS('Finalterm OVPAA-F-INS-055A RAW '!CO112:CX112))=TRUE,"",(((COUNTA('Finalterm OVPAA-F-INS-055A RAW '!$CO$17:$CX$17)+COUNTBLANK('Finalterm OVPAA-F-INS-055A RAW '!CO112:CX112))-COLUMNS('Finalterm OVPAA-F-INS-055A RAW '!CO112:CX112))*5+SUM(CS112:DB112))/COUNTA('Finalterm OVPAA-F-INS-055A RAW '!$CO$17:$CX$17)))</f>
        <v/>
      </c>
      <c r="DD112" s="135" t="str">
        <f>IF(DC112="","",VLOOKUP(DC112,IF('Midterm OVPAA-F-INS-055A RAW SC'!$V$12=0.5,TRANSMUTATION!$C$4:$D$17,TRANSMUTATION!$G$4:$H$17),2,TRUE))</f>
        <v/>
      </c>
      <c r="DE112" s="136" t="str">
        <f t="shared" si="1"/>
        <v/>
      </c>
      <c r="DF112" s="166" t="str">
        <f t="shared" si="2"/>
        <v/>
      </c>
      <c r="DG112" s="167" t="str">
        <f t="shared" si="3"/>
        <v/>
      </c>
      <c r="DH112" s="168" t="str">
        <f t="shared" si="4"/>
        <v/>
      </c>
      <c r="DI112" s="169" t="str">
        <f t="shared" si="5"/>
        <v/>
      </c>
    </row>
    <row r="113" spans="1:113" ht="15.75" hidden="1" customHeight="1">
      <c r="A113" s="5"/>
      <c r="B113" s="5"/>
      <c r="C113" s="5"/>
      <c r="D113" s="5"/>
      <c r="E113" s="59">
        <v>96</v>
      </c>
      <c r="F113" s="124" t="str">
        <f>IF(NOT(ISBLANK('Midterm OVPAA-F-INS-055A RAW SC'!F113)),'Midterm OVPAA-F-INS-055A RAW SC'!F113,"")</f>
        <v/>
      </c>
      <c r="G113" s="125" t="str">
        <f>IF(NOT(ISBLANK('Midterm OVPAA-F-INS-055A RAW SC'!G113)),'Midterm OVPAA-F-INS-055A RAW SC'!G113,"")</f>
        <v/>
      </c>
      <c r="H113" s="126" t="str">
        <f>IF('Finalterm OVPAA-F-INS-055A RAW '!H113="","",'Finalterm OVPAA-F-INS-055A RAW '!H113/'Finalterm OVPAA-F-INS-055A RAW '!H$17*100)</f>
        <v/>
      </c>
      <c r="I113" s="126" t="str">
        <f>IF('Finalterm OVPAA-F-INS-055A RAW '!I113="","",'Finalterm OVPAA-F-INS-055A RAW '!I113/'Finalterm OVPAA-F-INS-055A RAW '!I$17*100)</f>
        <v/>
      </c>
      <c r="J113" s="126" t="str">
        <f>IF('Finalterm OVPAA-F-INS-055A RAW '!J113="","",'Finalterm OVPAA-F-INS-055A RAW '!J113/'Finalterm OVPAA-F-INS-055A RAW '!J$17*100)</f>
        <v/>
      </c>
      <c r="K113" s="126" t="str">
        <f>IF('Finalterm OVPAA-F-INS-055A RAW '!K113="","",'Finalterm OVPAA-F-INS-055A RAW '!K113/'Finalterm OVPAA-F-INS-055A RAW '!K$17*100)</f>
        <v/>
      </c>
      <c r="L113" s="126" t="str">
        <f>IF('Finalterm OVPAA-F-INS-055A RAW '!L113="","",'Finalterm OVPAA-F-INS-055A RAW '!L113/'Finalterm OVPAA-F-INS-055A RAW '!L$17*100)</f>
        <v/>
      </c>
      <c r="M113" s="126" t="str">
        <f>IF('Finalterm OVPAA-F-INS-055A RAW '!M113="","",'Finalterm OVPAA-F-INS-055A RAW '!M113/'Finalterm OVPAA-F-INS-055A RAW '!M$17*100)</f>
        <v/>
      </c>
      <c r="N113" s="126" t="str">
        <f>IF('Finalterm OVPAA-F-INS-055A RAW '!N113="","",'Finalterm OVPAA-F-INS-055A RAW '!N113/'Finalterm OVPAA-F-INS-055A RAW '!N$17*100)</f>
        <v/>
      </c>
      <c r="O113" s="126" t="str">
        <f>IF('Finalterm OVPAA-F-INS-055A RAW '!O113="","",'Finalterm OVPAA-F-INS-055A RAW '!O113/'Finalterm OVPAA-F-INS-055A RAW '!O$17*100)</f>
        <v/>
      </c>
      <c r="P113" s="126" t="str">
        <f>IF('Finalterm OVPAA-F-INS-055A RAW '!P113="","",'Finalterm OVPAA-F-INS-055A RAW '!P113/'Finalterm OVPAA-F-INS-055A RAW '!P$17*100)</f>
        <v/>
      </c>
      <c r="Q113" s="126" t="str">
        <f>IF('Finalterm OVPAA-F-INS-055A RAW '!Q113="","",'Finalterm OVPAA-F-INS-055A RAW '!Q113/'Finalterm OVPAA-F-INS-055A RAW '!Q$17*100)</f>
        <v/>
      </c>
      <c r="R113" s="126" t="str">
        <f>IF('Finalterm OVPAA-F-INS-055A RAW '!R113="","",'Finalterm OVPAA-F-INS-055A RAW '!R113/'Finalterm OVPAA-F-INS-055A RAW '!R$17*100)</f>
        <v/>
      </c>
      <c r="S113" s="126" t="str">
        <f>IF('Finalterm OVPAA-F-INS-055A RAW '!S113="","",'Finalterm OVPAA-F-INS-055A RAW '!S113/'Finalterm OVPAA-F-INS-055A RAW '!S$17*100)</f>
        <v/>
      </c>
      <c r="T113" s="126" t="str">
        <f>IF('Finalterm OVPAA-F-INS-055A RAW '!T113="","",'Finalterm OVPAA-F-INS-055A RAW '!T113/'Finalterm OVPAA-F-INS-055A RAW '!T$17*100)</f>
        <v/>
      </c>
      <c r="U113" s="126" t="str">
        <f>IF('Finalterm OVPAA-F-INS-055A RAW '!U113="","",'Finalterm OVPAA-F-INS-055A RAW '!U113/'Finalterm OVPAA-F-INS-055A RAW '!U$17*100)</f>
        <v/>
      </c>
      <c r="V113" s="126" t="str">
        <f>IF('Finalterm OVPAA-F-INS-055A RAW '!V113="","",'Finalterm OVPAA-F-INS-055A RAW '!V113/'Finalterm OVPAA-F-INS-055A RAW '!V$17*100)</f>
        <v/>
      </c>
      <c r="W113" s="126" t="str">
        <f>IF('Finalterm OVPAA-F-INS-055A RAW '!W113="","",'Finalterm OVPAA-F-INS-055A RAW '!W113/'Finalterm OVPAA-F-INS-055A RAW '!W$17*100)</f>
        <v/>
      </c>
      <c r="X113" s="126" t="str">
        <f>IF('Finalterm OVPAA-F-INS-055A RAW '!X113="","",'Finalterm OVPAA-F-INS-055A RAW '!X113/'Finalterm OVPAA-F-INS-055A RAW '!X$17*100)</f>
        <v/>
      </c>
      <c r="Y113" s="126" t="str">
        <f>IF('Finalterm OVPAA-F-INS-055A RAW '!Y113="","",'Finalterm OVPAA-F-INS-055A RAW '!Y113/'Finalterm OVPAA-F-INS-055A RAW '!Y$17*100)</f>
        <v/>
      </c>
      <c r="Z113" s="126" t="str">
        <f>IF('Finalterm OVPAA-F-INS-055A RAW '!Z113="","",'Finalterm OVPAA-F-INS-055A RAW '!Z113/'Finalterm OVPAA-F-INS-055A RAW '!Z$17*100)</f>
        <v/>
      </c>
      <c r="AA113" s="126" t="str">
        <f>IF('Finalterm OVPAA-F-INS-055A RAW '!AA113="","",'Finalterm OVPAA-F-INS-055A RAW '!AA113/'Finalterm OVPAA-F-INS-055A RAW '!AA$17*100)</f>
        <v/>
      </c>
      <c r="AB113" s="126" t="str">
        <f>IF('Finalterm OVPAA-F-INS-055A RAW '!AB113="","",'Finalterm OVPAA-F-INS-055A RAW '!AB113/'Finalterm OVPAA-F-INS-055A RAW '!AB$17*100)</f>
        <v/>
      </c>
      <c r="AC113" s="126" t="str">
        <f>IF('Finalterm OVPAA-F-INS-055A RAW '!AC113="","",'Finalterm OVPAA-F-INS-055A RAW '!AC113/'Finalterm OVPAA-F-INS-055A RAW '!AC$17*100)</f>
        <v/>
      </c>
      <c r="AD113" s="126" t="str">
        <f>IF('Finalterm OVPAA-F-INS-055A RAW '!AD113="","",'Finalterm OVPAA-F-INS-055A RAW '!AD113/'Finalterm OVPAA-F-INS-055A RAW '!AD$17*100)</f>
        <v/>
      </c>
      <c r="AE113" s="126" t="str">
        <f>IF('Finalterm OVPAA-F-INS-055A RAW '!AE113="","",'Finalterm OVPAA-F-INS-055A RAW '!AE113/'Finalterm OVPAA-F-INS-055A RAW '!AE$17*100)</f>
        <v/>
      </c>
      <c r="AF113" s="126" t="str">
        <f>IF('Finalterm OVPAA-F-INS-055A RAW '!AF113="","",'Finalterm OVPAA-F-INS-055A RAW '!AF113/'Finalterm OVPAA-F-INS-055A RAW '!AF$17*100)</f>
        <v/>
      </c>
      <c r="AG113" s="126" t="str">
        <f>IF('Finalterm OVPAA-F-INS-055A RAW '!AG113="","",'Finalterm OVPAA-F-INS-055A RAW '!AG113/'Finalterm OVPAA-F-INS-055A RAW '!AG$17*100)</f>
        <v/>
      </c>
      <c r="AH113" s="126" t="str">
        <f>IF('Finalterm OVPAA-F-INS-055A RAW '!AH113="","",'Finalterm OVPAA-F-INS-055A RAW '!AH113/'Finalterm OVPAA-F-INS-055A RAW '!AH$17*100)</f>
        <v/>
      </c>
      <c r="AI113" s="126" t="str">
        <f>IF('Finalterm OVPAA-F-INS-055A RAW '!AI113="","",'Finalterm OVPAA-F-INS-055A RAW '!AI113/'Finalterm OVPAA-F-INS-055A RAW '!AI$17*100)</f>
        <v/>
      </c>
      <c r="AJ113" s="126" t="str">
        <f>IF('Finalterm OVPAA-F-INS-055A RAW '!AJ113="","",'Finalterm OVPAA-F-INS-055A RAW '!AJ113/'Finalterm OVPAA-F-INS-055A RAW '!AJ$17*100)</f>
        <v/>
      </c>
      <c r="AK113" s="126" t="str">
        <f>IF('Finalterm OVPAA-F-INS-055A RAW '!AK113="","",'Finalterm OVPAA-F-INS-055A RAW '!AK113/'Finalterm OVPAA-F-INS-055A RAW '!AK$17*100)</f>
        <v/>
      </c>
      <c r="AL113" s="126" t="str">
        <f>IF('Finalterm OVPAA-F-INS-055A RAW '!AL113="","",'Finalterm OVPAA-F-INS-055A RAW '!AL113/'Finalterm OVPAA-F-INS-055A RAW '!AL$17*100)</f>
        <v/>
      </c>
      <c r="AM113" s="126" t="str">
        <f>IF('Finalterm OVPAA-F-INS-055A RAW '!AM113="","",'Finalterm OVPAA-F-INS-055A RAW '!AM113/'Finalterm OVPAA-F-INS-055A RAW '!AM$17*100)</f>
        <v/>
      </c>
      <c r="AN113" s="126" t="str">
        <f>IF('Finalterm OVPAA-F-INS-055A RAW '!AN113="","",'Finalterm OVPAA-F-INS-055A RAW '!AN113/'Finalterm OVPAA-F-INS-055A RAW '!AN$17*100)</f>
        <v/>
      </c>
      <c r="AO113" s="126" t="str">
        <f>IF('Finalterm OVPAA-F-INS-055A RAW '!AO113="","",'Finalterm OVPAA-F-INS-055A RAW '!AO113/'Finalterm OVPAA-F-INS-055A RAW '!AO$17*100)</f>
        <v/>
      </c>
      <c r="AP113" s="126" t="str">
        <f>IF('Finalterm OVPAA-F-INS-055A RAW '!AP113="","",'Finalterm OVPAA-F-INS-055A RAW '!AP113/'Finalterm OVPAA-F-INS-055A RAW '!AP$17*100)</f>
        <v/>
      </c>
      <c r="AQ113" s="126" t="str">
        <f>IF('Finalterm OVPAA-F-INS-055A RAW '!AQ113="","",'Finalterm OVPAA-F-INS-055A RAW '!AQ113/'Finalterm OVPAA-F-INS-055A RAW '!AQ$17*100)</f>
        <v/>
      </c>
      <c r="AR113" s="126" t="str">
        <f>IF('Finalterm OVPAA-F-INS-055A RAW '!AR113="","",'Finalterm OVPAA-F-INS-055A RAW '!AR113/'Finalterm OVPAA-F-INS-055A RAW '!AR$17*100)</f>
        <v/>
      </c>
      <c r="AS113" s="126" t="str">
        <f>IF('Finalterm OVPAA-F-INS-055A RAW '!AS113="","",'Finalterm OVPAA-F-INS-055A RAW '!AS113/'Finalterm OVPAA-F-INS-055A RAW '!AS$17*100)</f>
        <v/>
      </c>
      <c r="AT113" s="126" t="str">
        <f>IF('Finalterm OVPAA-F-INS-055A RAW '!AT113="","",'Finalterm OVPAA-F-INS-055A RAW '!AT113/'Finalterm OVPAA-F-INS-055A RAW '!AT$17*100)</f>
        <v/>
      </c>
      <c r="AU113" s="126" t="str">
        <f>IF('Finalterm OVPAA-F-INS-055A RAW '!AU113="","",'Finalterm OVPAA-F-INS-055A RAW '!AU113/'Finalterm OVPAA-F-INS-055A RAW '!AU$17*100)</f>
        <v/>
      </c>
      <c r="AV113" s="126" t="str">
        <f>IF('Finalterm OVPAA-F-INS-055A RAW '!AV113="","",'Finalterm OVPAA-F-INS-055A RAW '!AV113/'Finalterm OVPAA-F-INS-055A RAW '!AV$17*100)</f>
        <v/>
      </c>
      <c r="AW113" s="126" t="str">
        <f>IF('Finalterm OVPAA-F-INS-055A RAW '!AW113="","",'Finalterm OVPAA-F-INS-055A RAW '!AW113/'Finalterm OVPAA-F-INS-055A RAW '!AW$17*100)</f>
        <v/>
      </c>
      <c r="AX113" s="126" t="str">
        <f>IF('Finalterm OVPAA-F-INS-055A RAW '!AX113="","",'Finalterm OVPAA-F-INS-055A RAW '!AX113/'Finalterm OVPAA-F-INS-055A RAW '!AX$17*100)</f>
        <v/>
      </c>
      <c r="AY113" s="126" t="str">
        <f>IF('Finalterm OVPAA-F-INS-055A RAW '!AY113="","",'Finalterm OVPAA-F-INS-055A RAW '!AY113/'Finalterm OVPAA-F-INS-055A RAW '!AY$17*100)</f>
        <v/>
      </c>
      <c r="AZ113" s="126" t="str">
        <f>IF('Finalterm OVPAA-F-INS-055A RAW '!AZ113="","",'Finalterm OVPAA-F-INS-055A RAW '!AZ113/'Finalterm OVPAA-F-INS-055A RAW '!AZ$17*100)</f>
        <v/>
      </c>
      <c r="BA113" s="126" t="str">
        <f>IF('Finalterm OVPAA-F-INS-055A RAW '!BA113="","",'Finalterm OVPAA-F-INS-055A RAW '!BA113/'Finalterm OVPAA-F-INS-055A RAW '!BA$17*100)</f>
        <v/>
      </c>
      <c r="BB113" s="126" t="str">
        <f>IF('Finalterm OVPAA-F-INS-055A RAW '!BB113="","",'Finalterm OVPAA-F-INS-055A RAW '!BB113/'Finalterm OVPAA-F-INS-055A RAW '!BB$17*100)</f>
        <v/>
      </c>
      <c r="BC113" s="126" t="str">
        <f>IF('Finalterm OVPAA-F-INS-055A RAW '!BC113="","",'Finalterm OVPAA-F-INS-055A RAW '!BC113/'Finalterm OVPAA-F-INS-055A RAW '!BC$17*100)</f>
        <v/>
      </c>
      <c r="BD113" s="126" t="str">
        <f>IF('Finalterm OVPAA-F-INS-055A RAW '!BD113="","",'Finalterm OVPAA-F-INS-055A RAW '!BD113/'Finalterm OVPAA-F-INS-055A RAW '!BD$17*100)</f>
        <v/>
      </c>
      <c r="BE113" s="126" t="str">
        <f>IF('Finalterm OVPAA-F-INS-055A RAW '!BE113="","",'Finalterm OVPAA-F-INS-055A RAW '!BE113/'Finalterm OVPAA-F-INS-055A RAW '!BE$17*100)</f>
        <v/>
      </c>
      <c r="BF113" s="126" t="str">
        <f>IF('Finalterm OVPAA-F-INS-055A RAW '!BF113="","",'Finalterm OVPAA-F-INS-055A RAW '!BF113/'Finalterm OVPAA-F-INS-055A RAW '!BF$17*100)</f>
        <v/>
      </c>
      <c r="BG113" s="126" t="str">
        <f>IF('Finalterm OVPAA-F-INS-055A RAW '!BG113="","",'Finalterm OVPAA-F-INS-055A RAW '!BG113/'Finalterm OVPAA-F-INS-055A RAW '!BG$17*100)</f>
        <v/>
      </c>
      <c r="BH113" s="126" t="str">
        <f>IF('Finalterm OVPAA-F-INS-055A RAW '!BH113="","",'Finalterm OVPAA-F-INS-055A RAW '!BH113/'Finalterm OVPAA-F-INS-055A RAW '!BH$17*100)</f>
        <v/>
      </c>
      <c r="BI113" s="126" t="str">
        <f>IF('Finalterm OVPAA-F-INS-055A RAW '!BI113="","",'Finalterm OVPAA-F-INS-055A RAW '!BI113/'Finalterm OVPAA-F-INS-055A RAW '!BI$17*100)</f>
        <v/>
      </c>
      <c r="BJ113" s="126" t="str">
        <f>IF('Finalterm OVPAA-F-INS-055A RAW '!BJ113="","",'Finalterm OVPAA-F-INS-055A RAW '!BJ113/'Finalterm OVPAA-F-INS-055A RAW '!BJ$17*100)</f>
        <v/>
      </c>
      <c r="BK113" s="126" t="str">
        <f>IF('Finalterm OVPAA-F-INS-055A RAW '!BK113="","",'Finalterm OVPAA-F-INS-055A RAW '!BK113/'Finalterm OVPAA-F-INS-055A RAW '!BK$17*100)</f>
        <v/>
      </c>
      <c r="BL113" s="126" t="str">
        <f>IF('Finalterm OVPAA-F-INS-055A RAW '!BL113="","",'Finalterm OVPAA-F-INS-055A RAW '!BL113/'Finalterm OVPAA-F-INS-055A RAW '!BL$17*100)</f>
        <v/>
      </c>
      <c r="BM113" s="126" t="str">
        <f>IF('Finalterm OVPAA-F-INS-055A RAW '!BM113="","",'Finalterm OVPAA-F-INS-055A RAW '!BM113/'Finalterm OVPAA-F-INS-055A RAW '!BM$17*100)</f>
        <v/>
      </c>
      <c r="BN113" s="126" t="str">
        <f>IF('Finalterm OVPAA-F-INS-055A RAW '!BN113="","",'Finalterm OVPAA-F-INS-055A RAW '!BN113/'Finalterm OVPAA-F-INS-055A RAW '!BN$17*100)</f>
        <v/>
      </c>
      <c r="BO113" s="126" t="str">
        <f>IF('Finalterm OVPAA-F-INS-055A RAW '!BO113="","",'Finalterm OVPAA-F-INS-055A RAW '!BO113/'Finalterm OVPAA-F-INS-055A RAW '!BO$17*100)</f>
        <v/>
      </c>
      <c r="BP113" s="126" t="str">
        <f>IF('Finalterm OVPAA-F-INS-055A RAW '!BP113="","",'Finalterm OVPAA-F-INS-055A RAW '!BP113/'Finalterm OVPAA-F-INS-055A RAW '!BP$17*100)</f>
        <v/>
      </c>
      <c r="BQ113" s="126" t="str">
        <f>IF('Finalterm OVPAA-F-INS-055A RAW '!BQ113="","",'Finalterm OVPAA-F-INS-055A RAW '!BQ113/'Finalterm OVPAA-F-INS-055A RAW '!BQ$17*100)</f>
        <v/>
      </c>
      <c r="BR113" s="126" t="str">
        <f>IF('Finalterm OVPAA-F-INS-055A RAW '!BR113="","",'Finalterm OVPAA-F-INS-055A RAW '!BR113/'Finalterm OVPAA-F-INS-055A RAW '!BR$17*100)</f>
        <v/>
      </c>
      <c r="BS113" s="126" t="str">
        <f>IF('Finalterm OVPAA-F-INS-055A RAW '!BS113="","",'Finalterm OVPAA-F-INS-055A RAW '!BS113/'Finalterm OVPAA-F-INS-055A RAW '!BS$17*100)</f>
        <v/>
      </c>
      <c r="BT113" s="126" t="str">
        <f>IF('Finalterm OVPAA-F-INS-055A RAW '!BT113="","",'Finalterm OVPAA-F-INS-055A RAW '!BT113/'Finalterm OVPAA-F-INS-055A RAW '!BT$17*100)</f>
        <v/>
      </c>
      <c r="BU113" s="127" t="str">
        <f t="array" ref="BU113">IF('Finalterm OVPAA-F-INS-055A RAW '!$G113="","",IF((SUMPRODUCT(--ISBLANK('Finalterm OVPAA-F-INS-055A RAW '!H113:BT113))=COLUMNS('Finalterm OVPAA-F-INS-055A RAW '!H113:BT113))=TRUE,"",(((COUNTA('Finalterm OVPAA-F-INS-055A RAW '!$H$17:$BT$17)+COUNTBLANK('Finalterm OVPAA-F-INS-055A RAW '!H113:BT113))-COLUMNS('Finalterm OVPAA-F-INS-055A RAW '!H113:BT113))*5+SUM(H113:BT113))/COUNTA('Finalterm OVPAA-F-INS-055A RAW '!$H$17:$BT$17)))</f>
        <v/>
      </c>
      <c r="BV113" s="165" t="str">
        <f>IF(BU113="","",VLOOKUP(BU113,IF('Midterm OVPAA-F-INS-055A RAW SC'!$V$12=0.5,TRANSMUTATION!$C$4:$D$17,TRANSMUTATION!$G$4:$H$17),2,TRUE))</f>
        <v/>
      </c>
      <c r="BW113" s="129" t="str">
        <f>IF('Finalterm OVPAA-F-INS-055A RAW '!BU113="","",'Finalterm OVPAA-F-INS-055A RAW '!BU113/'Finalterm OVPAA-F-INS-055A RAW '!BU$17*100)</f>
        <v/>
      </c>
      <c r="BX113" s="130" t="str">
        <f>IF('Finalterm OVPAA-F-INS-055A RAW '!BV113="","",'Finalterm OVPAA-F-INS-055A RAW '!BV113/'Finalterm OVPAA-F-INS-055A RAW '!BV$17*100)</f>
        <v/>
      </c>
      <c r="BY113" s="130" t="str">
        <f>IF('Finalterm OVPAA-F-INS-055A RAW '!BW113="","",'Finalterm OVPAA-F-INS-055A RAW '!BW113/'Finalterm OVPAA-F-INS-055A RAW '!BW$17*100)</f>
        <v/>
      </c>
      <c r="BZ113" s="130" t="str">
        <f>IF('Finalterm OVPAA-F-INS-055A RAW '!BX113="","",'Finalterm OVPAA-F-INS-055A RAW '!BX113/'Finalterm OVPAA-F-INS-055A RAW '!BX$17*100)</f>
        <v/>
      </c>
      <c r="CA113" s="130" t="str">
        <f>IF('Finalterm OVPAA-F-INS-055A RAW '!BY113="","",'Finalterm OVPAA-F-INS-055A RAW '!BY113/'Finalterm OVPAA-F-INS-055A RAW '!BY$17*100)</f>
        <v/>
      </c>
      <c r="CB113" s="130" t="str">
        <f>IF('Finalterm OVPAA-F-INS-055A RAW '!BZ113="","",'Finalterm OVPAA-F-INS-055A RAW '!BZ113/'Finalterm OVPAA-F-INS-055A RAW '!BZ$17*100)</f>
        <v/>
      </c>
      <c r="CC113" s="130" t="str">
        <f>IF('Finalterm OVPAA-F-INS-055A RAW '!CA113="","",'Finalterm OVPAA-F-INS-055A RAW '!CA113/'Finalterm OVPAA-F-INS-055A RAW '!CA$17*100)</f>
        <v/>
      </c>
      <c r="CD113" s="130" t="str">
        <f>IF('Finalterm OVPAA-F-INS-055A RAW '!CB113="","",'Finalterm OVPAA-F-INS-055A RAW '!CB113/'Finalterm OVPAA-F-INS-055A RAW '!CB$17*100)</f>
        <v/>
      </c>
      <c r="CE113" s="130" t="str">
        <f>IF('Finalterm OVPAA-F-INS-055A RAW '!CC113="","",'Finalterm OVPAA-F-INS-055A RAW '!CC113/'Finalterm OVPAA-F-INS-055A RAW '!CC$17*100)</f>
        <v/>
      </c>
      <c r="CF113" s="130" t="str">
        <f>IF('Finalterm OVPAA-F-INS-055A RAW '!CD113="","",'Finalterm OVPAA-F-INS-055A RAW '!CD113/'Finalterm OVPAA-F-INS-055A RAW '!CD$17*100)</f>
        <v/>
      </c>
      <c r="CG113" s="130" t="str">
        <f>IF('Finalterm OVPAA-F-INS-055A RAW '!CE113="","",'Finalterm OVPAA-F-INS-055A RAW '!CE113/'Finalterm OVPAA-F-INS-055A RAW '!CE$17*100)</f>
        <v/>
      </c>
      <c r="CH113" s="130" t="str">
        <f>IF('Finalterm OVPAA-F-INS-055A RAW '!CF113="","",'Finalterm OVPAA-F-INS-055A RAW '!CF113/'Finalterm OVPAA-F-INS-055A RAW '!CF$17*100)</f>
        <v/>
      </c>
      <c r="CI113" s="130" t="str">
        <f>IF('Finalterm OVPAA-F-INS-055A RAW '!CG113="","",'Finalterm OVPAA-F-INS-055A RAW '!CG113/'Finalterm OVPAA-F-INS-055A RAW '!CG$17*100)</f>
        <v/>
      </c>
      <c r="CJ113" s="130" t="str">
        <f>IF('Finalterm OVPAA-F-INS-055A RAW '!CH113="","",'Finalterm OVPAA-F-INS-055A RAW '!CH113/'Finalterm OVPAA-F-INS-055A RAW '!CH$17*100)</f>
        <v/>
      </c>
      <c r="CK113" s="130" t="str">
        <f>IF('Finalterm OVPAA-F-INS-055A RAW '!CI113="","",'Finalterm OVPAA-F-INS-055A RAW '!CI113/'Finalterm OVPAA-F-INS-055A RAW '!CI$17*100)</f>
        <v/>
      </c>
      <c r="CL113" s="130" t="str">
        <f>IF('Finalterm OVPAA-F-INS-055A RAW '!CJ113="","",'Finalterm OVPAA-F-INS-055A RAW '!CJ113/'Finalterm OVPAA-F-INS-055A RAW '!CJ$17*100)</f>
        <v/>
      </c>
      <c r="CM113" s="130" t="str">
        <f>IF('Finalterm OVPAA-F-INS-055A RAW '!CK113="","",'Finalterm OVPAA-F-INS-055A RAW '!CK113/'Finalterm OVPAA-F-INS-055A RAW '!CK$17*100)</f>
        <v/>
      </c>
      <c r="CN113" s="130" t="str">
        <f>IF('Finalterm OVPAA-F-INS-055A RAW '!CL113="","",'Finalterm OVPAA-F-INS-055A RAW '!CL113/'Finalterm OVPAA-F-INS-055A RAW '!CL$17*100)</f>
        <v/>
      </c>
      <c r="CO113" s="130" t="str">
        <f>IF('Finalterm OVPAA-F-INS-055A RAW '!CM113="","",'Finalterm OVPAA-F-INS-055A RAW '!CM113/'Finalterm OVPAA-F-INS-055A RAW '!CM$17*100)</f>
        <v/>
      </c>
      <c r="CP113" s="130" t="str">
        <f>IF('Finalterm OVPAA-F-INS-055A RAW '!CN113="","",'Finalterm OVPAA-F-INS-055A RAW '!CN113/'Finalterm OVPAA-F-INS-055A RAW '!CN$17*100)</f>
        <v/>
      </c>
      <c r="CQ113" s="131" t="str">
        <f t="array" ref="CQ113">IF('Midterm OVPAA-F-INS-055A RAW SC'!G113="","",IF((SUMPRODUCT(--ISBLANK('Finalterm OVPAA-F-INS-055A RAW '!BU113:CN113))=COLUMNS('Finalterm OVPAA-F-INS-055A RAW '!BU113:CN113))=TRUE,"",(((COUNTA('Finalterm OVPAA-F-INS-055A RAW '!$BU$17:$CN$17)+COUNTBLANK('Finalterm OVPAA-F-INS-055A RAW '!BU113:CN113))-COLUMNS('Finalterm OVPAA-F-INS-055A RAW '!BU113:CN113))*5+SUM(BW113:CP113))/COUNTA('Finalterm OVPAA-F-INS-055A RAW '!$BU$17:$CN$17)))</f>
        <v/>
      </c>
      <c r="CR113" s="132" t="str">
        <f>IF(CQ113="","",VLOOKUP(CQ113,IF('Midterm OVPAA-F-INS-055A RAW SC'!$V$12=0.5,TRANSMUTATION!$C$4:$D$17,TRANSMUTATION!$G$4:$H$17),2,TRUE))</f>
        <v/>
      </c>
      <c r="CS113" s="133" t="str">
        <f>IF('Finalterm OVPAA-F-INS-055A RAW '!CO113="","",'Finalterm OVPAA-F-INS-055A RAW '!CO113/'Finalterm OVPAA-F-INS-055A RAW '!CO$17*100)</f>
        <v/>
      </c>
      <c r="CT113" s="133" t="str">
        <f>IF('Finalterm OVPAA-F-INS-055A RAW '!CP113="","",'Finalterm OVPAA-F-INS-055A RAW '!CP113/'Finalterm OVPAA-F-INS-055A RAW '!CP$17*100)</f>
        <v/>
      </c>
      <c r="CU113" s="133" t="str">
        <f>IF('Finalterm OVPAA-F-INS-055A RAW '!CQ113="","",'Finalterm OVPAA-F-INS-055A RAW '!CQ113/'Finalterm OVPAA-F-INS-055A RAW '!CQ$17*100)</f>
        <v/>
      </c>
      <c r="CV113" s="133" t="str">
        <f>IF('Finalterm OVPAA-F-INS-055A RAW '!CR113="","",'Finalterm OVPAA-F-INS-055A RAW '!CR113/'Finalterm OVPAA-F-INS-055A RAW '!CR$17*100)</f>
        <v/>
      </c>
      <c r="CW113" s="133" t="str">
        <f>IF('Finalterm OVPAA-F-INS-055A RAW '!CS113="","",'Finalterm OVPAA-F-INS-055A RAW '!CS113/'Finalterm OVPAA-F-INS-055A RAW '!CS$17*100)</f>
        <v/>
      </c>
      <c r="CX113" s="133" t="str">
        <f>IF('Finalterm OVPAA-F-INS-055A RAW '!CT113="","",'Finalterm OVPAA-F-INS-055A RAW '!CT113/'Finalterm OVPAA-F-INS-055A RAW '!CT$17*100)</f>
        <v/>
      </c>
      <c r="CY113" s="133" t="str">
        <f>IF('Finalterm OVPAA-F-INS-055A RAW '!CU113="","",'Finalterm OVPAA-F-INS-055A RAW '!CU113/'Finalterm OVPAA-F-INS-055A RAW '!CU$17*100)</f>
        <v/>
      </c>
      <c r="CZ113" s="133" t="str">
        <f>IF('Finalterm OVPAA-F-INS-055A RAW '!CV113="","",'Finalterm OVPAA-F-INS-055A RAW '!CV113/'Finalterm OVPAA-F-INS-055A RAW '!CV$17*100)</f>
        <v/>
      </c>
      <c r="DA113" s="133" t="str">
        <f>IF('Finalterm OVPAA-F-INS-055A RAW '!CW113="","",'Finalterm OVPAA-F-INS-055A RAW '!CW113/'Finalterm OVPAA-F-INS-055A RAW '!CW$17*100)</f>
        <v/>
      </c>
      <c r="DB113" s="133" t="str">
        <f>IF('Finalterm OVPAA-F-INS-055A RAW '!CX113="","",'Finalterm OVPAA-F-INS-055A RAW '!CX113/'Finalterm OVPAA-F-INS-055A RAW '!CX$17*100)</f>
        <v/>
      </c>
      <c r="DC113" s="134" t="str">
        <f t="array" ref="DC113">IF('Midterm OVPAA-F-INS-055A RAW SC'!$G113="","",IF((SUMPRODUCT(--ISBLANK('Finalterm OVPAA-F-INS-055A RAW '!CO113:CX113))=COLUMNS('Finalterm OVPAA-F-INS-055A RAW '!CO113:CX113))=TRUE,"",(((COUNTA('Finalterm OVPAA-F-INS-055A RAW '!$CO$17:$CX$17)+COUNTBLANK('Finalterm OVPAA-F-INS-055A RAW '!CO113:CX113))-COLUMNS('Finalterm OVPAA-F-INS-055A RAW '!CO113:CX113))*5+SUM(CS113:DB113))/COUNTA('Finalterm OVPAA-F-INS-055A RAW '!$CO$17:$CX$17)))</f>
        <v/>
      </c>
      <c r="DD113" s="135" t="str">
        <f>IF(DC113="","",VLOOKUP(DC113,IF('Midterm OVPAA-F-INS-055A RAW SC'!$V$12=0.5,TRANSMUTATION!$C$4:$D$17,TRANSMUTATION!$G$4:$H$17),2,TRUE))</f>
        <v/>
      </c>
      <c r="DE113" s="136" t="str">
        <f t="shared" si="1"/>
        <v/>
      </c>
      <c r="DF113" s="166" t="str">
        <f t="shared" si="2"/>
        <v/>
      </c>
      <c r="DG113" s="167" t="str">
        <f t="shared" si="3"/>
        <v/>
      </c>
      <c r="DH113" s="168" t="str">
        <f t="shared" si="4"/>
        <v/>
      </c>
      <c r="DI113" s="169" t="str">
        <f t="shared" si="5"/>
        <v/>
      </c>
    </row>
    <row r="114" spans="1:113" ht="15.75" hidden="1" customHeight="1">
      <c r="A114" s="5"/>
      <c r="B114" s="5"/>
      <c r="C114" s="5"/>
      <c r="D114" s="5"/>
      <c r="E114" s="59">
        <v>97</v>
      </c>
      <c r="F114" s="124" t="str">
        <f>IF(NOT(ISBLANK('Midterm OVPAA-F-INS-055A RAW SC'!F114)),'Midterm OVPAA-F-INS-055A RAW SC'!F114,"")</f>
        <v/>
      </c>
      <c r="G114" s="125" t="str">
        <f>IF(NOT(ISBLANK('Midterm OVPAA-F-INS-055A RAW SC'!G114)),'Midterm OVPAA-F-INS-055A RAW SC'!G114,"")</f>
        <v/>
      </c>
      <c r="H114" s="126" t="str">
        <f>IF('Finalterm OVPAA-F-INS-055A RAW '!H114="","",'Finalterm OVPAA-F-INS-055A RAW '!H114/'Finalterm OVPAA-F-INS-055A RAW '!H$17*100)</f>
        <v/>
      </c>
      <c r="I114" s="126" t="str">
        <f>IF('Finalterm OVPAA-F-INS-055A RAW '!I114="","",'Finalterm OVPAA-F-INS-055A RAW '!I114/'Finalterm OVPAA-F-INS-055A RAW '!I$17*100)</f>
        <v/>
      </c>
      <c r="J114" s="126" t="str">
        <f>IF('Finalterm OVPAA-F-INS-055A RAW '!J114="","",'Finalterm OVPAA-F-INS-055A RAW '!J114/'Finalterm OVPAA-F-INS-055A RAW '!J$17*100)</f>
        <v/>
      </c>
      <c r="K114" s="126" t="str">
        <f>IF('Finalterm OVPAA-F-INS-055A RAW '!K114="","",'Finalterm OVPAA-F-INS-055A RAW '!K114/'Finalterm OVPAA-F-INS-055A RAW '!K$17*100)</f>
        <v/>
      </c>
      <c r="L114" s="126" t="str">
        <f>IF('Finalterm OVPAA-F-INS-055A RAW '!L114="","",'Finalterm OVPAA-F-INS-055A RAW '!L114/'Finalterm OVPAA-F-INS-055A RAW '!L$17*100)</f>
        <v/>
      </c>
      <c r="M114" s="126" t="str">
        <f>IF('Finalterm OVPAA-F-INS-055A RAW '!M114="","",'Finalterm OVPAA-F-INS-055A RAW '!M114/'Finalterm OVPAA-F-INS-055A RAW '!M$17*100)</f>
        <v/>
      </c>
      <c r="N114" s="126" t="str">
        <f>IF('Finalterm OVPAA-F-INS-055A RAW '!N114="","",'Finalterm OVPAA-F-INS-055A RAW '!N114/'Finalterm OVPAA-F-INS-055A RAW '!N$17*100)</f>
        <v/>
      </c>
      <c r="O114" s="126" t="str">
        <f>IF('Finalterm OVPAA-F-INS-055A RAW '!O114="","",'Finalterm OVPAA-F-INS-055A RAW '!O114/'Finalterm OVPAA-F-INS-055A RAW '!O$17*100)</f>
        <v/>
      </c>
      <c r="P114" s="126" t="str">
        <f>IF('Finalterm OVPAA-F-INS-055A RAW '!P114="","",'Finalterm OVPAA-F-INS-055A RAW '!P114/'Finalterm OVPAA-F-INS-055A RAW '!P$17*100)</f>
        <v/>
      </c>
      <c r="Q114" s="126" t="str">
        <f>IF('Finalterm OVPAA-F-INS-055A RAW '!Q114="","",'Finalterm OVPAA-F-INS-055A RAW '!Q114/'Finalterm OVPAA-F-INS-055A RAW '!Q$17*100)</f>
        <v/>
      </c>
      <c r="R114" s="126" t="str">
        <f>IF('Finalterm OVPAA-F-INS-055A RAW '!R114="","",'Finalterm OVPAA-F-INS-055A RAW '!R114/'Finalterm OVPAA-F-INS-055A RAW '!R$17*100)</f>
        <v/>
      </c>
      <c r="S114" s="126" t="str">
        <f>IF('Finalterm OVPAA-F-INS-055A RAW '!S114="","",'Finalterm OVPAA-F-INS-055A RAW '!S114/'Finalterm OVPAA-F-INS-055A RAW '!S$17*100)</f>
        <v/>
      </c>
      <c r="T114" s="126" t="str">
        <f>IF('Finalterm OVPAA-F-INS-055A RAW '!T114="","",'Finalterm OVPAA-F-INS-055A RAW '!T114/'Finalterm OVPAA-F-INS-055A RAW '!T$17*100)</f>
        <v/>
      </c>
      <c r="U114" s="126" t="str">
        <f>IF('Finalterm OVPAA-F-INS-055A RAW '!U114="","",'Finalterm OVPAA-F-INS-055A RAW '!U114/'Finalterm OVPAA-F-INS-055A RAW '!U$17*100)</f>
        <v/>
      </c>
      <c r="V114" s="126" t="str">
        <f>IF('Finalterm OVPAA-F-INS-055A RAW '!V114="","",'Finalterm OVPAA-F-INS-055A RAW '!V114/'Finalterm OVPAA-F-INS-055A RAW '!V$17*100)</f>
        <v/>
      </c>
      <c r="W114" s="126" t="str">
        <f>IF('Finalterm OVPAA-F-INS-055A RAW '!W114="","",'Finalterm OVPAA-F-INS-055A RAW '!W114/'Finalterm OVPAA-F-INS-055A RAW '!W$17*100)</f>
        <v/>
      </c>
      <c r="X114" s="126" t="str">
        <f>IF('Finalterm OVPAA-F-INS-055A RAW '!X114="","",'Finalterm OVPAA-F-INS-055A RAW '!X114/'Finalterm OVPAA-F-INS-055A RAW '!X$17*100)</f>
        <v/>
      </c>
      <c r="Y114" s="126" t="str">
        <f>IF('Finalterm OVPAA-F-INS-055A RAW '!Y114="","",'Finalterm OVPAA-F-INS-055A RAW '!Y114/'Finalterm OVPAA-F-INS-055A RAW '!Y$17*100)</f>
        <v/>
      </c>
      <c r="Z114" s="126" t="str">
        <f>IF('Finalterm OVPAA-F-INS-055A RAW '!Z114="","",'Finalterm OVPAA-F-INS-055A RAW '!Z114/'Finalterm OVPAA-F-INS-055A RAW '!Z$17*100)</f>
        <v/>
      </c>
      <c r="AA114" s="126" t="str">
        <f>IF('Finalterm OVPAA-F-INS-055A RAW '!AA114="","",'Finalterm OVPAA-F-INS-055A RAW '!AA114/'Finalterm OVPAA-F-INS-055A RAW '!AA$17*100)</f>
        <v/>
      </c>
      <c r="AB114" s="126" t="str">
        <f>IF('Finalterm OVPAA-F-INS-055A RAW '!AB114="","",'Finalterm OVPAA-F-INS-055A RAW '!AB114/'Finalterm OVPAA-F-INS-055A RAW '!AB$17*100)</f>
        <v/>
      </c>
      <c r="AC114" s="126" t="str">
        <f>IF('Finalterm OVPAA-F-INS-055A RAW '!AC114="","",'Finalterm OVPAA-F-INS-055A RAW '!AC114/'Finalterm OVPAA-F-INS-055A RAW '!AC$17*100)</f>
        <v/>
      </c>
      <c r="AD114" s="126" t="str">
        <f>IF('Finalterm OVPAA-F-INS-055A RAW '!AD114="","",'Finalterm OVPAA-F-INS-055A RAW '!AD114/'Finalterm OVPAA-F-INS-055A RAW '!AD$17*100)</f>
        <v/>
      </c>
      <c r="AE114" s="126" t="str">
        <f>IF('Finalterm OVPAA-F-INS-055A RAW '!AE114="","",'Finalterm OVPAA-F-INS-055A RAW '!AE114/'Finalterm OVPAA-F-INS-055A RAW '!AE$17*100)</f>
        <v/>
      </c>
      <c r="AF114" s="126" t="str">
        <f>IF('Finalterm OVPAA-F-INS-055A RAW '!AF114="","",'Finalterm OVPAA-F-INS-055A RAW '!AF114/'Finalterm OVPAA-F-INS-055A RAW '!AF$17*100)</f>
        <v/>
      </c>
      <c r="AG114" s="126" t="str">
        <f>IF('Finalterm OVPAA-F-INS-055A RAW '!AG114="","",'Finalterm OVPAA-F-INS-055A RAW '!AG114/'Finalterm OVPAA-F-INS-055A RAW '!AG$17*100)</f>
        <v/>
      </c>
      <c r="AH114" s="126" t="str">
        <f>IF('Finalterm OVPAA-F-INS-055A RAW '!AH114="","",'Finalterm OVPAA-F-INS-055A RAW '!AH114/'Finalterm OVPAA-F-INS-055A RAW '!AH$17*100)</f>
        <v/>
      </c>
      <c r="AI114" s="126" t="str">
        <f>IF('Finalterm OVPAA-F-INS-055A RAW '!AI114="","",'Finalterm OVPAA-F-INS-055A RAW '!AI114/'Finalterm OVPAA-F-INS-055A RAW '!AI$17*100)</f>
        <v/>
      </c>
      <c r="AJ114" s="126" t="str">
        <f>IF('Finalterm OVPAA-F-INS-055A RAW '!AJ114="","",'Finalterm OVPAA-F-INS-055A RAW '!AJ114/'Finalterm OVPAA-F-INS-055A RAW '!AJ$17*100)</f>
        <v/>
      </c>
      <c r="AK114" s="126" t="str">
        <f>IF('Finalterm OVPAA-F-INS-055A RAW '!AK114="","",'Finalterm OVPAA-F-INS-055A RAW '!AK114/'Finalterm OVPAA-F-INS-055A RAW '!AK$17*100)</f>
        <v/>
      </c>
      <c r="AL114" s="126" t="str">
        <f>IF('Finalterm OVPAA-F-INS-055A RAW '!AL114="","",'Finalterm OVPAA-F-INS-055A RAW '!AL114/'Finalterm OVPAA-F-INS-055A RAW '!AL$17*100)</f>
        <v/>
      </c>
      <c r="AM114" s="126" t="str">
        <f>IF('Finalterm OVPAA-F-INS-055A RAW '!AM114="","",'Finalterm OVPAA-F-INS-055A RAW '!AM114/'Finalterm OVPAA-F-INS-055A RAW '!AM$17*100)</f>
        <v/>
      </c>
      <c r="AN114" s="126" t="str">
        <f>IF('Finalterm OVPAA-F-INS-055A RAW '!AN114="","",'Finalterm OVPAA-F-INS-055A RAW '!AN114/'Finalterm OVPAA-F-INS-055A RAW '!AN$17*100)</f>
        <v/>
      </c>
      <c r="AO114" s="126" t="str">
        <f>IF('Finalterm OVPAA-F-INS-055A RAW '!AO114="","",'Finalterm OVPAA-F-INS-055A RAW '!AO114/'Finalterm OVPAA-F-INS-055A RAW '!AO$17*100)</f>
        <v/>
      </c>
      <c r="AP114" s="126" t="str">
        <f>IF('Finalterm OVPAA-F-INS-055A RAW '!AP114="","",'Finalterm OVPAA-F-INS-055A RAW '!AP114/'Finalterm OVPAA-F-INS-055A RAW '!AP$17*100)</f>
        <v/>
      </c>
      <c r="AQ114" s="126" t="str">
        <f>IF('Finalterm OVPAA-F-INS-055A RAW '!AQ114="","",'Finalterm OVPAA-F-INS-055A RAW '!AQ114/'Finalterm OVPAA-F-INS-055A RAW '!AQ$17*100)</f>
        <v/>
      </c>
      <c r="AR114" s="126" t="str">
        <f>IF('Finalterm OVPAA-F-INS-055A RAW '!AR114="","",'Finalterm OVPAA-F-INS-055A RAW '!AR114/'Finalterm OVPAA-F-INS-055A RAW '!AR$17*100)</f>
        <v/>
      </c>
      <c r="AS114" s="126" t="str">
        <f>IF('Finalterm OVPAA-F-INS-055A RAW '!AS114="","",'Finalterm OVPAA-F-INS-055A RAW '!AS114/'Finalterm OVPAA-F-INS-055A RAW '!AS$17*100)</f>
        <v/>
      </c>
      <c r="AT114" s="126" t="str">
        <f>IF('Finalterm OVPAA-F-INS-055A RAW '!AT114="","",'Finalterm OVPAA-F-INS-055A RAW '!AT114/'Finalterm OVPAA-F-INS-055A RAW '!AT$17*100)</f>
        <v/>
      </c>
      <c r="AU114" s="126" t="str">
        <f>IF('Finalterm OVPAA-F-INS-055A RAW '!AU114="","",'Finalterm OVPAA-F-INS-055A RAW '!AU114/'Finalterm OVPAA-F-INS-055A RAW '!AU$17*100)</f>
        <v/>
      </c>
      <c r="AV114" s="126" t="str">
        <f>IF('Finalterm OVPAA-F-INS-055A RAW '!AV114="","",'Finalterm OVPAA-F-INS-055A RAW '!AV114/'Finalterm OVPAA-F-INS-055A RAW '!AV$17*100)</f>
        <v/>
      </c>
      <c r="AW114" s="126" t="str">
        <f>IF('Finalterm OVPAA-F-INS-055A RAW '!AW114="","",'Finalterm OVPAA-F-INS-055A RAW '!AW114/'Finalterm OVPAA-F-INS-055A RAW '!AW$17*100)</f>
        <v/>
      </c>
      <c r="AX114" s="126" t="str">
        <f>IF('Finalterm OVPAA-F-INS-055A RAW '!AX114="","",'Finalterm OVPAA-F-INS-055A RAW '!AX114/'Finalterm OVPAA-F-INS-055A RAW '!AX$17*100)</f>
        <v/>
      </c>
      <c r="AY114" s="126" t="str">
        <f>IF('Finalterm OVPAA-F-INS-055A RAW '!AY114="","",'Finalterm OVPAA-F-INS-055A RAW '!AY114/'Finalterm OVPAA-F-INS-055A RAW '!AY$17*100)</f>
        <v/>
      </c>
      <c r="AZ114" s="126" t="str">
        <f>IF('Finalterm OVPAA-F-INS-055A RAW '!AZ114="","",'Finalterm OVPAA-F-INS-055A RAW '!AZ114/'Finalterm OVPAA-F-INS-055A RAW '!AZ$17*100)</f>
        <v/>
      </c>
      <c r="BA114" s="126" t="str">
        <f>IF('Finalterm OVPAA-F-INS-055A RAW '!BA114="","",'Finalterm OVPAA-F-INS-055A RAW '!BA114/'Finalterm OVPAA-F-INS-055A RAW '!BA$17*100)</f>
        <v/>
      </c>
      <c r="BB114" s="126" t="str">
        <f>IF('Finalterm OVPAA-F-INS-055A RAW '!BB114="","",'Finalterm OVPAA-F-INS-055A RAW '!BB114/'Finalterm OVPAA-F-INS-055A RAW '!BB$17*100)</f>
        <v/>
      </c>
      <c r="BC114" s="126" t="str">
        <f>IF('Finalterm OVPAA-F-INS-055A RAW '!BC114="","",'Finalterm OVPAA-F-INS-055A RAW '!BC114/'Finalterm OVPAA-F-INS-055A RAW '!BC$17*100)</f>
        <v/>
      </c>
      <c r="BD114" s="126" t="str">
        <f>IF('Finalterm OVPAA-F-INS-055A RAW '!BD114="","",'Finalterm OVPAA-F-INS-055A RAW '!BD114/'Finalterm OVPAA-F-INS-055A RAW '!BD$17*100)</f>
        <v/>
      </c>
      <c r="BE114" s="126" t="str">
        <f>IF('Finalterm OVPAA-F-INS-055A RAW '!BE114="","",'Finalterm OVPAA-F-INS-055A RAW '!BE114/'Finalterm OVPAA-F-INS-055A RAW '!BE$17*100)</f>
        <v/>
      </c>
      <c r="BF114" s="126" t="str">
        <f>IF('Finalterm OVPAA-F-INS-055A RAW '!BF114="","",'Finalterm OVPAA-F-INS-055A RAW '!BF114/'Finalterm OVPAA-F-INS-055A RAW '!BF$17*100)</f>
        <v/>
      </c>
      <c r="BG114" s="126" t="str">
        <f>IF('Finalterm OVPAA-F-INS-055A RAW '!BG114="","",'Finalterm OVPAA-F-INS-055A RAW '!BG114/'Finalterm OVPAA-F-INS-055A RAW '!BG$17*100)</f>
        <v/>
      </c>
      <c r="BH114" s="126" t="str">
        <f>IF('Finalterm OVPAA-F-INS-055A RAW '!BH114="","",'Finalterm OVPAA-F-INS-055A RAW '!BH114/'Finalterm OVPAA-F-INS-055A RAW '!BH$17*100)</f>
        <v/>
      </c>
      <c r="BI114" s="126" t="str">
        <f>IF('Finalterm OVPAA-F-INS-055A RAW '!BI114="","",'Finalterm OVPAA-F-INS-055A RAW '!BI114/'Finalterm OVPAA-F-INS-055A RAW '!BI$17*100)</f>
        <v/>
      </c>
      <c r="BJ114" s="126" t="str">
        <f>IF('Finalterm OVPAA-F-INS-055A RAW '!BJ114="","",'Finalterm OVPAA-F-INS-055A RAW '!BJ114/'Finalterm OVPAA-F-INS-055A RAW '!BJ$17*100)</f>
        <v/>
      </c>
      <c r="BK114" s="126" t="str">
        <f>IF('Finalterm OVPAA-F-INS-055A RAW '!BK114="","",'Finalterm OVPAA-F-INS-055A RAW '!BK114/'Finalterm OVPAA-F-INS-055A RAW '!BK$17*100)</f>
        <v/>
      </c>
      <c r="BL114" s="126" t="str">
        <f>IF('Finalterm OVPAA-F-INS-055A RAW '!BL114="","",'Finalterm OVPAA-F-INS-055A RAW '!BL114/'Finalterm OVPAA-F-INS-055A RAW '!BL$17*100)</f>
        <v/>
      </c>
      <c r="BM114" s="126" t="str">
        <f>IF('Finalterm OVPAA-F-INS-055A RAW '!BM114="","",'Finalterm OVPAA-F-INS-055A RAW '!BM114/'Finalterm OVPAA-F-INS-055A RAW '!BM$17*100)</f>
        <v/>
      </c>
      <c r="BN114" s="126" t="str">
        <f>IF('Finalterm OVPAA-F-INS-055A RAW '!BN114="","",'Finalterm OVPAA-F-INS-055A RAW '!BN114/'Finalterm OVPAA-F-INS-055A RAW '!BN$17*100)</f>
        <v/>
      </c>
      <c r="BO114" s="126" t="str">
        <f>IF('Finalterm OVPAA-F-INS-055A RAW '!BO114="","",'Finalterm OVPAA-F-INS-055A RAW '!BO114/'Finalterm OVPAA-F-INS-055A RAW '!BO$17*100)</f>
        <v/>
      </c>
      <c r="BP114" s="126" t="str">
        <f>IF('Finalterm OVPAA-F-INS-055A RAW '!BP114="","",'Finalterm OVPAA-F-INS-055A RAW '!BP114/'Finalterm OVPAA-F-INS-055A RAW '!BP$17*100)</f>
        <v/>
      </c>
      <c r="BQ114" s="126" t="str">
        <f>IF('Finalterm OVPAA-F-INS-055A RAW '!BQ114="","",'Finalterm OVPAA-F-INS-055A RAW '!BQ114/'Finalterm OVPAA-F-INS-055A RAW '!BQ$17*100)</f>
        <v/>
      </c>
      <c r="BR114" s="126" t="str">
        <f>IF('Finalterm OVPAA-F-INS-055A RAW '!BR114="","",'Finalterm OVPAA-F-INS-055A RAW '!BR114/'Finalterm OVPAA-F-INS-055A RAW '!BR$17*100)</f>
        <v/>
      </c>
      <c r="BS114" s="126" t="str">
        <f>IF('Finalterm OVPAA-F-INS-055A RAW '!BS114="","",'Finalterm OVPAA-F-INS-055A RAW '!BS114/'Finalterm OVPAA-F-INS-055A RAW '!BS$17*100)</f>
        <v/>
      </c>
      <c r="BT114" s="126" t="str">
        <f>IF('Finalterm OVPAA-F-INS-055A RAW '!BT114="","",'Finalterm OVPAA-F-INS-055A RAW '!BT114/'Finalterm OVPAA-F-INS-055A RAW '!BT$17*100)</f>
        <v/>
      </c>
      <c r="BU114" s="127" t="str">
        <f t="array" ref="BU114">IF('Finalterm OVPAA-F-INS-055A RAW '!$G114="","",IF((SUMPRODUCT(--ISBLANK('Finalterm OVPAA-F-INS-055A RAW '!H114:BT114))=COLUMNS('Finalterm OVPAA-F-INS-055A RAW '!H114:BT114))=TRUE,"",(((COUNTA('Finalterm OVPAA-F-INS-055A RAW '!$H$17:$BT$17)+COUNTBLANK('Finalterm OVPAA-F-INS-055A RAW '!H114:BT114))-COLUMNS('Finalterm OVPAA-F-INS-055A RAW '!H114:BT114))*5+SUM(H114:BT114))/COUNTA('Finalterm OVPAA-F-INS-055A RAW '!$H$17:$BT$17)))</f>
        <v/>
      </c>
      <c r="BV114" s="165" t="str">
        <f>IF(BU114="","",VLOOKUP(BU114,IF('Midterm OVPAA-F-INS-055A RAW SC'!$V$12=0.5,TRANSMUTATION!$C$4:$D$17,TRANSMUTATION!$G$4:$H$17),2,TRUE))</f>
        <v/>
      </c>
      <c r="BW114" s="129" t="str">
        <f>IF('Finalterm OVPAA-F-INS-055A RAW '!BU114="","",'Finalterm OVPAA-F-INS-055A RAW '!BU114/'Finalterm OVPAA-F-INS-055A RAW '!BU$17*100)</f>
        <v/>
      </c>
      <c r="BX114" s="130" t="str">
        <f>IF('Finalterm OVPAA-F-INS-055A RAW '!BV114="","",'Finalterm OVPAA-F-INS-055A RAW '!BV114/'Finalterm OVPAA-F-INS-055A RAW '!BV$17*100)</f>
        <v/>
      </c>
      <c r="BY114" s="130" t="str">
        <f>IF('Finalterm OVPAA-F-INS-055A RAW '!BW114="","",'Finalterm OVPAA-F-INS-055A RAW '!BW114/'Finalterm OVPAA-F-INS-055A RAW '!BW$17*100)</f>
        <v/>
      </c>
      <c r="BZ114" s="130" t="str">
        <f>IF('Finalterm OVPAA-F-INS-055A RAW '!BX114="","",'Finalterm OVPAA-F-INS-055A RAW '!BX114/'Finalterm OVPAA-F-INS-055A RAW '!BX$17*100)</f>
        <v/>
      </c>
      <c r="CA114" s="130" t="str">
        <f>IF('Finalterm OVPAA-F-INS-055A RAW '!BY114="","",'Finalterm OVPAA-F-INS-055A RAW '!BY114/'Finalterm OVPAA-F-INS-055A RAW '!BY$17*100)</f>
        <v/>
      </c>
      <c r="CB114" s="130" t="str">
        <f>IF('Finalterm OVPAA-F-INS-055A RAW '!BZ114="","",'Finalterm OVPAA-F-INS-055A RAW '!BZ114/'Finalterm OVPAA-F-INS-055A RAW '!BZ$17*100)</f>
        <v/>
      </c>
      <c r="CC114" s="130" t="str">
        <f>IF('Finalterm OVPAA-F-INS-055A RAW '!CA114="","",'Finalterm OVPAA-F-INS-055A RAW '!CA114/'Finalterm OVPAA-F-INS-055A RAW '!CA$17*100)</f>
        <v/>
      </c>
      <c r="CD114" s="130" t="str">
        <f>IF('Finalterm OVPAA-F-INS-055A RAW '!CB114="","",'Finalterm OVPAA-F-INS-055A RAW '!CB114/'Finalterm OVPAA-F-INS-055A RAW '!CB$17*100)</f>
        <v/>
      </c>
      <c r="CE114" s="130" t="str">
        <f>IF('Finalterm OVPAA-F-INS-055A RAW '!CC114="","",'Finalterm OVPAA-F-INS-055A RAW '!CC114/'Finalterm OVPAA-F-INS-055A RAW '!CC$17*100)</f>
        <v/>
      </c>
      <c r="CF114" s="130" t="str">
        <f>IF('Finalterm OVPAA-F-INS-055A RAW '!CD114="","",'Finalterm OVPAA-F-INS-055A RAW '!CD114/'Finalterm OVPAA-F-INS-055A RAW '!CD$17*100)</f>
        <v/>
      </c>
      <c r="CG114" s="130" t="str">
        <f>IF('Finalterm OVPAA-F-INS-055A RAW '!CE114="","",'Finalterm OVPAA-F-INS-055A RAW '!CE114/'Finalterm OVPAA-F-INS-055A RAW '!CE$17*100)</f>
        <v/>
      </c>
      <c r="CH114" s="130" t="str">
        <f>IF('Finalterm OVPAA-F-INS-055A RAW '!CF114="","",'Finalterm OVPAA-F-INS-055A RAW '!CF114/'Finalterm OVPAA-F-INS-055A RAW '!CF$17*100)</f>
        <v/>
      </c>
      <c r="CI114" s="130" t="str">
        <f>IF('Finalterm OVPAA-F-INS-055A RAW '!CG114="","",'Finalterm OVPAA-F-INS-055A RAW '!CG114/'Finalterm OVPAA-F-INS-055A RAW '!CG$17*100)</f>
        <v/>
      </c>
      <c r="CJ114" s="130" t="str">
        <f>IF('Finalterm OVPAA-F-INS-055A RAW '!CH114="","",'Finalterm OVPAA-F-INS-055A RAW '!CH114/'Finalterm OVPAA-F-INS-055A RAW '!CH$17*100)</f>
        <v/>
      </c>
      <c r="CK114" s="130" t="str">
        <f>IF('Finalterm OVPAA-F-INS-055A RAW '!CI114="","",'Finalterm OVPAA-F-INS-055A RAW '!CI114/'Finalterm OVPAA-F-INS-055A RAW '!CI$17*100)</f>
        <v/>
      </c>
      <c r="CL114" s="130" t="str">
        <f>IF('Finalterm OVPAA-F-INS-055A RAW '!CJ114="","",'Finalterm OVPAA-F-INS-055A RAW '!CJ114/'Finalterm OVPAA-F-INS-055A RAW '!CJ$17*100)</f>
        <v/>
      </c>
      <c r="CM114" s="130" t="str">
        <f>IF('Finalterm OVPAA-F-INS-055A RAW '!CK114="","",'Finalterm OVPAA-F-INS-055A RAW '!CK114/'Finalterm OVPAA-F-INS-055A RAW '!CK$17*100)</f>
        <v/>
      </c>
      <c r="CN114" s="130" t="str">
        <f>IF('Finalterm OVPAA-F-INS-055A RAW '!CL114="","",'Finalterm OVPAA-F-INS-055A RAW '!CL114/'Finalterm OVPAA-F-INS-055A RAW '!CL$17*100)</f>
        <v/>
      </c>
      <c r="CO114" s="130" t="str">
        <f>IF('Finalterm OVPAA-F-INS-055A RAW '!CM114="","",'Finalterm OVPAA-F-INS-055A RAW '!CM114/'Finalterm OVPAA-F-INS-055A RAW '!CM$17*100)</f>
        <v/>
      </c>
      <c r="CP114" s="130" t="str">
        <f>IF('Finalterm OVPAA-F-INS-055A RAW '!CN114="","",'Finalterm OVPAA-F-INS-055A RAW '!CN114/'Finalterm OVPAA-F-INS-055A RAW '!CN$17*100)</f>
        <v/>
      </c>
      <c r="CQ114" s="131" t="str">
        <f t="array" ref="CQ114">IF('Midterm OVPAA-F-INS-055A RAW SC'!G114="","",IF((SUMPRODUCT(--ISBLANK('Finalterm OVPAA-F-INS-055A RAW '!BU114:CN114))=COLUMNS('Finalterm OVPAA-F-INS-055A RAW '!BU114:CN114))=TRUE,"",(((COUNTA('Finalterm OVPAA-F-INS-055A RAW '!$BU$17:$CN$17)+COUNTBLANK('Finalterm OVPAA-F-INS-055A RAW '!BU114:CN114))-COLUMNS('Finalterm OVPAA-F-INS-055A RAW '!BU114:CN114))*5+SUM(BW114:CP114))/COUNTA('Finalterm OVPAA-F-INS-055A RAW '!$BU$17:$CN$17)))</f>
        <v/>
      </c>
      <c r="CR114" s="132" t="str">
        <f>IF(CQ114="","",VLOOKUP(CQ114,IF('Midterm OVPAA-F-INS-055A RAW SC'!$V$12=0.5,TRANSMUTATION!$C$4:$D$17,TRANSMUTATION!$G$4:$H$17),2,TRUE))</f>
        <v/>
      </c>
      <c r="CS114" s="133" t="str">
        <f>IF('Finalterm OVPAA-F-INS-055A RAW '!CO114="","",'Finalterm OVPAA-F-INS-055A RAW '!CO114/'Finalterm OVPAA-F-INS-055A RAW '!CO$17*100)</f>
        <v/>
      </c>
      <c r="CT114" s="133" t="str">
        <f>IF('Finalterm OVPAA-F-INS-055A RAW '!CP114="","",'Finalterm OVPAA-F-INS-055A RAW '!CP114/'Finalterm OVPAA-F-INS-055A RAW '!CP$17*100)</f>
        <v/>
      </c>
      <c r="CU114" s="133" t="str">
        <f>IF('Finalterm OVPAA-F-INS-055A RAW '!CQ114="","",'Finalterm OVPAA-F-INS-055A RAW '!CQ114/'Finalterm OVPAA-F-INS-055A RAW '!CQ$17*100)</f>
        <v/>
      </c>
      <c r="CV114" s="133" t="str">
        <f>IF('Finalterm OVPAA-F-INS-055A RAW '!CR114="","",'Finalterm OVPAA-F-INS-055A RAW '!CR114/'Finalterm OVPAA-F-INS-055A RAW '!CR$17*100)</f>
        <v/>
      </c>
      <c r="CW114" s="133" t="str">
        <f>IF('Finalterm OVPAA-F-INS-055A RAW '!CS114="","",'Finalterm OVPAA-F-INS-055A RAW '!CS114/'Finalterm OVPAA-F-INS-055A RAW '!CS$17*100)</f>
        <v/>
      </c>
      <c r="CX114" s="133" t="str">
        <f>IF('Finalterm OVPAA-F-INS-055A RAW '!CT114="","",'Finalterm OVPAA-F-INS-055A RAW '!CT114/'Finalterm OVPAA-F-INS-055A RAW '!CT$17*100)</f>
        <v/>
      </c>
      <c r="CY114" s="133" t="str">
        <f>IF('Finalterm OVPAA-F-INS-055A RAW '!CU114="","",'Finalterm OVPAA-F-INS-055A RAW '!CU114/'Finalterm OVPAA-F-INS-055A RAW '!CU$17*100)</f>
        <v/>
      </c>
      <c r="CZ114" s="133" t="str">
        <f>IF('Finalterm OVPAA-F-INS-055A RAW '!CV114="","",'Finalterm OVPAA-F-INS-055A RAW '!CV114/'Finalterm OVPAA-F-INS-055A RAW '!CV$17*100)</f>
        <v/>
      </c>
      <c r="DA114" s="133" t="str">
        <f>IF('Finalterm OVPAA-F-INS-055A RAW '!CW114="","",'Finalterm OVPAA-F-INS-055A RAW '!CW114/'Finalterm OVPAA-F-INS-055A RAW '!CW$17*100)</f>
        <v/>
      </c>
      <c r="DB114" s="133" t="str">
        <f>IF('Finalterm OVPAA-F-INS-055A RAW '!CX114="","",'Finalterm OVPAA-F-INS-055A RAW '!CX114/'Finalterm OVPAA-F-INS-055A RAW '!CX$17*100)</f>
        <v/>
      </c>
      <c r="DC114" s="134" t="str">
        <f t="array" ref="DC114">IF('Midterm OVPAA-F-INS-055A RAW SC'!$G114="","",IF((SUMPRODUCT(--ISBLANK('Finalterm OVPAA-F-INS-055A RAW '!CO114:CX114))=COLUMNS('Finalterm OVPAA-F-INS-055A RAW '!CO114:CX114))=TRUE,"",(((COUNTA('Finalterm OVPAA-F-INS-055A RAW '!$CO$17:$CX$17)+COUNTBLANK('Finalterm OVPAA-F-INS-055A RAW '!CO114:CX114))-COLUMNS('Finalterm OVPAA-F-INS-055A RAW '!CO114:CX114))*5+SUM(CS114:DB114))/COUNTA('Finalterm OVPAA-F-INS-055A RAW '!$CO$17:$CX$17)))</f>
        <v/>
      </c>
      <c r="DD114" s="135" t="str">
        <f>IF(DC114="","",VLOOKUP(DC114,IF('Midterm OVPAA-F-INS-055A RAW SC'!$V$12=0.5,TRANSMUTATION!$C$4:$D$17,TRANSMUTATION!$G$4:$H$17),2,TRUE))</f>
        <v/>
      </c>
      <c r="DE114" s="136" t="str">
        <f t="shared" si="1"/>
        <v/>
      </c>
      <c r="DF114" s="166" t="str">
        <f t="shared" si="2"/>
        <v/>
      </c>
      <c r="DG114" s="167" t="str">
        <f t="shared" si="3"/>
        <v/>
      </c>
      <c r="DH114" s="168" t="str">
        <f t="shared" si="4"/>
        <v/>
      </c>
      <c r="DI114" s="169" t="str">
        <f t="shared" si="5"/>
        <v/>
      </c>
    </row>
    <row r="115" spans="1:113" ht="15.75" hidden="1" customHeight="1">
      <c r="A115" s="5"/>
      <c r="B115" s="5"/>
      <c r="C115" s="5"/>
      <c r="D115" s="5"/>
      <c r="E115" s="59">
        <v>98</v>
      </c>
      <c r="F115" s="124" t="str">
        <f>IF(NOT(ISBLANK('Midterm OVPAA-F-INS-055A RAW SC'!F115)),'Midterm OVPAA-F-INS-055A RAW SC'!F115,"")</f>
        <v/>
      </c>
      <c r="G115" s="125" t="str">
        <f>IF(NOT(ISBLANK('Midterm OVPAA-F-INS-055A RAW SC'!G115)),'Midterm OVPAA-F-INS-055A RAW SC'!G115,"")</f>
        <v/>
      </c>
      <c r="H115" s="126" t="str">
        <f>IF('Finalterm OVPAA-F-INS-055A RAW '!H115="","",'Finalterm OVPAA-F-INS-055A RAW '!H115/'Finalterm OVPAA-F-INS-055A RAW '!H$17*100)</f>
        <v/>
      </c>
      <c r="I115" s="126" t="str">
        <f>IF('Finalterm OVPAA-F-INS-055A RAW '!I115="","",'Finalterm OVPAA-F-INS-055A RAW '!I115/'Finalterm OVPAA-F-INS-055A RAW '!I$17*100)</f>
        <v/>
      </c>
      <c r="J115" s="126" t="str">
        <f>IF('Finalterm OVPAA-F-INS-055A RAW '!J115="","",'Finalterm OVPAA-F-INS-055A RAW '!J115/'Finalterm OVPAA-F-INS-055A RAW '!J$17*100)</f>
        <v/>
      </c>
      <c r="K115" s="126" t="str">
        <f>IF('Finalterm OVPAA-F-INS-055A RAW '!K115="","",'Finalterm OVPAA-F-INS-055A RAW '!K115/'Finalterm OVPAA-F-INS-055A RAW '!K$17*100)</f>
        <v/>
      </c>
      <c r="L115" s="126" t="str">
        <f>IF('Finalterm OVPAA-F-INS-055A RAW '!L115="","",'Finalterm OVPAA-F-INS-055A RAW '!L115/'Finalterm OVPAA-F-INS-055A RAW '!L$17*100)</f>
        <v/>
      </c>
      <c r="M115" s="126" t="str">
        <f>IF('Finalterm OVPAA-F-INS-055A RAW '!M115="","",'Finalterm OVPAA-F-INS-055A RAW '!M115/'Finalterm OVPAA-F-INS-055A RAW '!M$17*100)</f>
        <v/>
      </c>
      <c r="N115" s="126" t="str">
        <f>IF('Finalterm OVPAA-F-INS-055A RAW '!N115="","",'Finalterm OVPAA-F-INS-055A RAW '!N115/'Finalterm OVPAA-F-INS-055A RAW '!N$17*100)</f>
        <v/>
      </c>
      <c r="O115" s="126" t="str">
        <f>IF('Finalterm OVPAA-F-INS-055A RAW '!O115="","",'Finalterm OVPAA-F-INS-055A RAW '!O115/'Finalterm OVPAA-F-INS-055A RAW '!O$17*100)</f>
        <v/>
      </c>
      <c r="P115" s="126" t="str">
        <f>IF('Finalterm OVPAA-F-INS-055A RAW '!P115="","",'Finalterm OVPAA-F-INS-055A RAW '!P115/'Finalterm OVPAA-F-INS-055A RAW '!P$17*100)</f>
        <v/>
      </c>
      <c r="Q115" s="126" t="str">
        <f>IF('Finalterm OVPAA-F-INS-055A RAW '!Q115="","",'Finalterm OVPAA-F-INS-055A RAW '!Q115/'Finalterm OVPAA-F-INS-055A RAW '!Q$17*100)</f>
        <v/>
      </c>
      <c r="R115" s="126" t="str">
        <f>IF('Finalterm OVPAA-F-INS-055A RAW '!R115="","",'Finalterm OVPAA-F-INS-055A RAW '!R115/'Finalterm OVPAA-F-INS-055A RAW '!R$17*100)</f>
        <v/>
      </c>
      <c r="S115" s="126" t="str">
        <f>IF('Finalterm OVPAA-F-INS-055A RAW '!S115="","",'Finalterm OVPAA-F-INS-055A RAW '!S115/'Finalterm OVPAA-F-INS-055A RAW '!S$17*100)</f>
        <v/>
      </c>
      <c r="T115" s="126" t="str">
        <f>IF('Finalterm OVPAA-F-INS-055A RAW '!T115="","",'Finalterm OVPAA-F-INS-055A RAW '!T115/'Finalterm OVPAA-F-INS-055A RAW '!T$17*100)</f>
        <v/>
      </c>
      <c r="U115" s="126" t="str">
        <f>IF('Finalterm OVPAA-F-INS-055A RAW '!U115="","",'Finalterm OVPAA-F-INS-055A RAW '!U115/'Finalterm OVPAA-F-INS-055A RAW '!U$17*100)</f>
        <v/>
      </c>
      <c r="V115" s="126" t="str">
        <f>IF('Finalterm OVPAA-F-INS-055A RAW '!V115="","",'Finalterm OVPAA-F-INS-055A RAW '!V115/'Finalterm OVPAA-F-INS-055A RAW '!V$17*100)</f>
        <v/>
      </c>
      <c r="W115" s="126" t="str">
        <f>IF('Finalterm OVPAA-F-INS-055A RAW '!W115="","",'Finalterm OVPAA-F-INS-055A RAW '!W115/'Finalterm OVPAA-F-INS-055A RAW '!W$17*100)</f>
        <v/>
      </c>
      <c r="X115" s="126" t="str">
        <f>IF('Finalterm OVPAA-F-INS-055A RAW '!X115="","",'Finalterm OVPAA-F-INS-055A RAW '!X115/'Finalterm OVPAA-F-INS-055A RAW '!X$17*100)</f>
        <v/>
      </c>
      <c r="Y115" s="126" t="str">
        <f>IF('Finalterm OVPAA-F-INS-055A RAW '!Y115="","",'Finalterm OVPAA-F-INS-055A RAW '!Y115/'Finalterm OVPAA-F-INS-055A RAW '!Y$17*100)</f>
        <v/>
      </c>
      <c r="Z115" s="126" t="str">
        <f>IF('Finalterm OVPAA-F-INS-055A RAW '!Z115="","",'Finalterm OVPAA-F-INS-055A RAW '!Z115/'Finalterm OVPAA-F-INS-055A RAW '!Z$17*100)</f>
        <v/>
      </c>
      <c r="AA115" s="126" t="str">
        <f>IF('Finalterm OVPAA-F-INS-055A RAW '!AA115="","",'Finalterm OVPAA-F-INS-055A RAW '!AA115/'Finalterm OVPAA-F-INS-055A RAW '!AA$17*100)</f>
        <v/>
      </c>
      <c r="AB115" s="126" t="str">
        <f>IF('Finalterm OVPAA-F-INS-055A RAW '!AB115="","",'Finalterm OVPAA-F-INS-055A RAW '!AB115/'Finalterm OVPAA-F-INS-055A RAW '!AB$17*100)</f>
        <v/>
      </c>
      <c r="AC115" s="126" t="str">
        <f>IF('Finalterm OVPAA-F-INS-055A RAW '!AC115="","",'Finalterm OVPAA-F-INS-055A RAW '!AC115/'Finalterm OVPAA-F-INS-055A RAW '!AC$17*100)</f>
        <v/>
      </c>
      <c r="AD115" s="126" t="str">
        <f>IF('Finalterm OVPAA-F-INS-055A RAW '!AD115="","",'Finalterm OVPAA-F-INS-055A RAW '!AD115/'Finalterm OVPAA-F-INS-055A RAW '!AD$17*100)</f>
        <v/>
      </c>
      <c r="AE115" s="126" t="str">
        <f>IF('Finalterm OVPAA-F-INS-055A RAW '!AE115="","",'Finalterm OVPAA-F-INS-055A RAW '!AE115/'Finalterm OVPAA-F-INS-055A RAW '!AE$17*100)</f>
        <v/>
      </c>
      <c r="AF115" s="126" t="str">
        <f>IF('Finalterm OVPAA-F-INS-055A RAW '!AF115="","",'Finalterm OVPAA-F-INS-055A RAW '!AF115/'Finalterm OVPAA-F-INS-055A RAW '!AF$17*100)</f>
        <v/>
      </c>
      <c r="AG115" s="126" t="str">
        <f>IF('Finalterm OVPAA-F-INS-055A RAW '!AG115="","",'Finalterm OVPAA-F-INS-055A RAW '!AG115/'Finalterm OVPAA-F-INS-055A RAW '!AG$17*100)</f>
        <v/>
      </c>
      <c r="AH115" s="126" t="str">
        <f>IF('Finalterm OVPAA-F-INS-055A RAW '!AH115="","",'Finalterm OVPAA-F-INS-055A RAW '!AH115/'Finalterm OVPAA-F-INS-055A RAW '!AH$17*100)</f>
        <v/>
      </c>
      <c r="AI115" s="126" t="str">
        <f>IF('Finalterm OVPAA-F-INS-055A RAW '!AI115="","",'Finalterm OVPAA-F-INS-055A RAW '!AI115/'Finalterm OVPAA-F-INS-055A RAW '!AI$17*100)</f>
        <v/>
      </c>
      <c r="AJ115" s="126" t="str">
        <f>IF('Finalterm OVPAA-F-INS-055A RAW '!AJ115="","",'Finalterm OVPAA-F-INS-055A RAW '!AJ115/'Finalterm OVPAA-F-INS-055A RAW '!AJ$17*100)</f>
        <v/>
      </c>
      <c r="AK115" s="126" t="str">
        <f>IF('Finalterm OVPAA-F-INS-055A RAW '!AK115="","",'Finalterm OVPAA-F-INS-055A RAW '!AK115/'Finalterm OVPAA-F-INS-055A RAW '!AK$17*100)</f>
        <v/>
      </c>
      <c r="AL115" s="126" t="str">
        <f>IF('Finalterm OVPAA-F-INS-055A RAW '!AL115="","",'Finalterm OVPAA-F-INS-055A RAW '!AL115/'Finalterm OVPAA-F-INS-055A RAW '!AL$17*100)</f>
        <v/>
      </c>
      <c r="AM115" s="126" t="str">
        <f>IF('Finalterm OVPAA-F-INS-055A RAW '!AM115="","",'Finalterm OVPAA-F-INS-055A RAW '!AM115/'Finalterm OVPAA-F-INS-055A RAW '!AM$17*100)</f>
        <v/>
      </c>
      <c r="AN115" s="126" t="str">
        <f>IF('Finalterm OVPAA-F-INS-055A RAW '!AN115="","",'Finalterm OVPAA-F-INS-055A RAW '!AN115/'Finalterm OVPAA-F-INS-055A RAW '!AN$17*100)</f>
        <v/>
      </c>
      <c r="AO115" s="126" t="str">
        <f>IF('Finalterm OVPAA-F-INS-055A RAW '!AO115="","",'Finalterm OVPAA-F-INS-055A RAW '!AO115/'Finalterm OVPAA-F-INS-055A RAW '!AO$17*100)</f>
        <v/>
      </c>
      <c r="AP115" s="126" t="str">
        <f>IF('Finalterm OVPAA-F-INS-055A RAW '!AP115="","",'Finalterm OVPAA-F-INS-055A RAW '!AP115/'Finalterm OVPAA-F-INS-055A RAW '!AP$17*100)</f>
        <v/>
      </c>
      <c r="AQ115" s="126" t="str">
        <f>IF('Finalterm OVPAA-F-INS-055A RAW '!AQ115="","",'Finalterm OVPAA-F-INS-055A RAW '!AQ115/'Finalterm OVPAA-F-INS-055A RAW '!AQ$17*100)</f>
        <v/>
      </c>
      <c r="AR115" s="126" t="str">
        <f>IF('Finalterm OVPAA-F-INS-055A RAW '!AR115="","",'Finalterm OVPAA-F-INS-055A RAW '!AR115/'Finalterm OVPAA-F-INS-055A RAW '!AR$17*100)</f>
        <v/>
      </c>
      <c r="AS115" s="126" t="str">
        <f>IF('Finalterm OVPAA-F-INS-055A RAW '!AS115="","",'Finalterm OVPAA-F-INS-055A RAW '!AS115/'Finalterm OVPAA-F-INS-055A RAW '!AS$17*100)</f>
        <v/>
      </c>
      <c r="AT115" s="126" t="str">
        <f>IF('Finalterm OVPAA-F-INS-055A RAW '!AT115="","",'Finalterm OVPAA-F-INS-055A RAW '!AT115/'Finalterm OVPAA-F-INS-055A RAW '!AT$17*100)</f>
        <v/>
      </c>
      <c r="AU115" s="126" t="str">
        <f>IF('Finalterm OVPAA-F-INS-055A RAW '!AU115="","",'Finalterm OVPAA-F-INS-055A RAW '!AU115/'Finalterm OVPAA-F-INS-055A RAW '!AU$17*100)</f>
        <v/>
      </c>
      <c r="AV115" s="126" t="str">
        <f>IF('Finalterm OVPAA-F-INS-055A RAW '!AV115="","",'Finalterm OVPAA-F-INS-055A RAW '!AV115/'Finalterm OVPAA-F-INS-055A RAW '!AV$17*100)</f>
        <v/>
      </c>
      <c r="AW115" s="126" t="str">
        <f>IF('Finalterm OVPAA-F-INS-055A RAW '!AW115="","",'Finalterm OVPAA-F-INS-055A RAW '!AW115/'Finalterm OVPAA-F-INS-055A RAW '!AW$17*100)</f>
        <v/>
      </c>
      <c r="AX115" s="126" t="str">
        <f>IF('Finalterm OVPAA-F-INS-055A RAW '!AX115="","",'Finalterm OVPAA-F-INS-055A RAW '!AX115/'Finalterm OVPAA-F-INS-055A RAW '!AX$17*100)</f>
        <v/>
      </c>
      <c r="AY115" s="126" t="str">
        <f>IF('Finalterm OVPAA-F-INS-055A RAW '!AY115="","",'Finalterm OVPAA-F-INS-055A RAW '!AY115/'Finalterm OVPAA-F-INS-055A RAW '!AY$17*100)</f>
        <v/>
      </c>
      <c r="AZ115" s="126" t="str">
        <f>IF('Finalterm OVPAA-F-INS-055A RAW '!AZ115="","",'Finalterm OVPAA-F-INS-055A RAW '!AZ115/'Finalterm OVPAA-F-INS-055A RAW '!AZ$17*100)</f>
        <v/>
      </c>
      <c r="BA115" s="126" t="str">
        <f>IF('Finalterm OVPAA-F-INS-055A RAW '!BA115="","",'Finalterm OVPAA-F-INS-055A RAW '!BA115/'Finalterm OVPAA-F-INS-055A RAW '!BA$17*100)</f>
        <v/>
      </c>
      <c r="BB115" s="126" t="str">
        <f>IF('Finalterm OVPAA-F-INS-055A RAW '!BB115="","",'Finalterm OVPAA-F-INS-055A RAW '!BB115/'Finalterm OVPAA-F-INS-055A RAW '!BB$17*100)</f>
        <v/>
      </c>
      <c r="BC115" s="126" t="str">
        <f>IF('Finalterm OVPAA-F-INS-055A RAW '!BC115="","",'Finalterm OVPAA-F-INS-055A RAW '!BC115/'Finalterm OVPAA-F-INS-055A RAW '!BC$17*100)</f>
        <v/>
      </c>
      <c r="BD115" s="126" t="str">
        <f>IF('Finalterm OVPAA-F-INS-055A RAW '!BD115="","",'Finalterm OVPAA-F-INS-055A RAW '!BD115/'Finalterm OVPAA-F-INS-055A RAW '!BD$17*100)</f>
        <v/>
      </c>
      <c r="BE115" s="126" t="str">
        <f>IF('Finalterm OVPAA-F-INS-055A RAW '!BE115="","",'Finalterm OVPAA-F-INS-055A RAW '!BE115/'Finalterm OVPAA-F-INS-055A RAW '!BE$17*100)</f>
        <v/>
      </c>
      <c r="BF115" s="126" t="str">
        <f>IF('Finalterm OVPAA-F-INS-055A RAW '!BF115="","",'Finalterm OVPAA-F-INS-055A RAW '!BF115/'Finalterm OVPAA-F-INS-055A RAW '!BF$17*100)</f>
        <v/>
      </c>
      <c r="BG115" s="126" t="str">
        <f>IF('Finalterm OVPAA-F-INS-055A RAW '!BG115="","",'Finalterm OVPAA-F-INS-055A RAW '!BG115/'Finalterm OVPAA-F-INS-055A RAW '!BG$17*100)</f>
        <v/>
      </c>
      <c r="BH115" s="126" t="str">
        <f>IF('Finalterm OVPAA-F-INS-055A RAW '!BH115="","",'Finalterm OVPAA-F-INS-055A RAW '!BH115/'Finalterm OVPAA-F-INS-055A RAW '!BH$17*100)</f>
        <v/>
      </c>
      <c r="BI115" s="126" t="str">
        <f>IF('Finalterm OVPAA-F-INS-055A RAW '!BI115="","",'Finalterm OVPAA-F-INS-055A RAW '!BI115/'Finalterm OVPAA-F-INS-055A RAW '!BI$17*100)</f>
        <v/>
      </c>
      <c r="BJ115" s="126" t="str">
        <f>IF('Finalterm OVPAA-F-INS-055A RAW '!BJ115="","",'Finalterm OVPAA-F-INS-055A RAW '!BJ115/'Finalterm OVPAA-F-INS-055A RAW '!BJ$17*100)</f>
        <v/>
      </c>
      <c r="BK115" s="126" t="str">
        <f>IF('Finalterm OVPAA-F-INS-055A RAW '!BK115="","",'Finalterm OVPAA-F-INS-055A RAW '!BK115/'Finalterm OVPAA-F-INS-055A RAW '!BK$17*100)</f>
        <v/>
      </c>
      <c r="BL115" s="126" t="str">
        <f>IF('Finalterm OVPAA-F-INS-055A RAW '!BL115="","",'Finalterm OVPAA-F-INS-055A RAW '!BL115/'Finalterm OVPAA-F-INS-055A RAW '!BL$17*100)</f>
        <v/>
      </c>
      <c r="BM115" s="126" t="str">
        <f>IF('Finalterm OVPAA-F-INS-055A RAW '!BM115="","",'Finalterm OVPAA-F-INS-055A RAW '!BM115/'Finalterm OVPAA-F-INS-055A RAW '!BM$17*100)</f>
        <v/>
      </c>
      <c r="BN115" s="126" t="str">
        <f>IF('Finalterm OVPAA-F-INS-055A RAW '!BN115="","",'Finalterm OVPAA-F-INS-055A RAW '!BN115/'Finalterm OVPAA-F-INS-055A RAW '!BN$17*100)</f>
        <v/>
      </c>
      <c r="BO115" s="126" t="str">
        <f>IF('Finalterm OVPAA-F-INS-055A RAW '!BO115="","",'Finalterm OVPAA-F-INS-055A RAW '!BO115/'Finalterm OVPAA-F-INS-055A RAW '!BO$17*100)</f>
        <v/>
      </c>
      <c r="BP115" s="126" t="str">
        <f>IF('Finalterm OVPAA-F-INS-055A RAW '!BP115="","",'Finalterm OVPAA-F-INS-055A RAW '!BP115/'Finalterm OVPAA-F-INS-055A RAW '!BP$17*100)</f>
        <v/>
      </c>
      <c r="BQ115" s="126" t="str">
        <f>IF('Finalterm OVPAA-F-INS-055A RAW '!BQ115="","",'Finalterm OVPAA-F-INS-055A RAW '!BQ115/'Finalterm OVPAA-F-INS-055A RAW '!BQ$17*100)</f>
        <v/>
      </c>
      <c r="BR115" s="126" t="str">
        <f>IF('Finalterm OVPAA-F-INS-055A RAW '!BR115="","",'Finalterm OVPAA-F-INS-055A RAW '!BR115/'Finalterm OVPAA-F-INS-055A RAW '!BR$17*100)</f>
        <v/>
      </c>
      <c r="BS115" s="126" t="str">
        <f>IF('Finalterm OVPAA-F-INS-055A RAW '!BS115="","",'Finalterm OVPAA-F-INS-055A RAW '!BS115/'Finalterm OVPAA-F-INS-055A RAW '!BS$17*100)</f>
        <v/>
      </c>
      <c r="BT115" s="126" t="str">
        <f>IF('Finalterm OVPAA-F-INS-055A RAW '!BT115="","",'Finalterm OVPAA-F-INS-055A RAW '!BT115/'Finalterm OVPAA-F-INS-055A RAW '!BT$17*100)</f>
        <v/>
      </c>
      <c r="BU115" s="127" t="str">
        <f t="array" ref="BU115">IF('Finalterm OVPAA-F-INS-055A RAW '!$G115="","",IF((SUMPRODUCT(--ISBLANK('Finalterm OVPAA-F-INS-055A RAW '!H115:BT115))=COLUMNS('Finalterm OVPAA-F-INS-055A RAW '!H115:BT115))=TRUE,"",(((COUNTA('Finalterm OVPAA-F-INS-055A RAW '!$H$17:$BT$17)+COUNTBLANK('Finalterm OVPAA-F-INS-055A RAW '!H115:BT115))-COLUMNS('Finalterm OVPAA-F-INS-055A RAW '!H115:BT115))*5+SUM(H115:BT115))/COUNTA('Finalterm OVPAA-F-INS-055A RAW '!$H$17:$BT$17)))</f>
        <v/>
      </c>
      <c r="BV115" s="165" t="str">
        <f>IF(BU115="","",VLOOKUP(BU115,IF('Midterm OVPAA-F-INS-055A RAW SC'!$V$12=0.5,TRANSMUTATION!$C$4:$D$17,TRANSMUTATION!$G$4:$H$17),2,TRUE))</f>
        <v/>
      </c>
      <c r="BW115" s="129" t="str">
        <f>IF('Finalterm OVPAA-F-INS-055A RAW '!BU115="","",'Finalterm OVPAA-F-INS-055A RAW '!BU115/'Finalterm OVPAA-F-INS-055A RAW '!BU$17*100)</f>
        <v/>
      </c>
      <c r="BX115" s="130" t="str">
        <f>IF('Finalterm OVPAA-F-INS-055A RAW '!BV115="","",'Finalterm OVPAA-F-INS-055A RAW '!BV115/'Finalterm OVPAA-F-INS-055A RAW '!BV$17*100)</f>
        <v/>
      </c>
      <c r="BY115" s="130" t="str">
        <f>IF('Finalterm OVPAA-F-INS-055A RAW '!BW115="","",'Finalterm OVPAA-F-INS-055A RAW '!BW115/'Finalterm OVPAA-F-INS-055A RAW '!BW$17*100)</f>
        <v/>
      </c>
      <c r="BZ115" s="130" t="str">
        <f>IF('Finalterm OVPAA-F-INS-055A RAW '!BX115="","",'Finalterm OVPAA-F-INS-055A RAW '!BX115/'Finalterm OVPAA-F-INS-055A RAW '!BX$17*100)</f>
        <v/>
      </c>
      <c r="CA115" s="130" t="str">
        <f>IF('Finalterm OVPAA-F-INS-055A RAW '!BY115="","",'Finalterm OVPAA-F-INS-055A RAW '!BY115/'Finalterm OVPAA-F-INS-055A RAW '!BY$17*100)</f>
        <v/>
      </c>
      <c r="CB115" s="130" t="str">
        <f>IF('Finalterm OVPAA-F-INS-055A RAW '!BZ115="","",'Finalterm OVPAA-F-INS-055A RAW '!BZ115/'Finalterm OVPAA-F-INS-055A RAW '!BZ$17*100)</f>
        <v/>
      </c>
      <c r="CC115" s="130" t="str">
        <f>IF('Finalterm OVPAA-F-INS-055A RAW '!CA115="","",'Finalterm OVPAA-F-INS-055A RAW '!CA115/'Finalterm OVPAA-F-INS-055A RAW '!CA$17*100)</f>
        <v/>
      </c>
      <c r="CD115" s="130" t="str">
        <f>IF('Finalterm OVPAA-F-INS-055A RAW '!CB115="","",'Finalterm OVPAA-F-INS-055A RAW '!CB115/'Finalterm OVPAA-F-INS-055A RAW '!CB$17*100)</f>
        <v/>
      </c>
      <c r="CE115" s="130" t="str">
        <f>IF('Finalterm OVPAA-F-INS-055A RAW '!CC115="","",'Finalterm OVPAA-F-INS-055A RAW '!CC115/'Finalterm OVPAA-F-INS-055A RAW '!CC$17*100)</f>
        <v/>
      </c>
      <c r="CF115" s="130" t="str">
        <f>IF('Finalterm OVPAA-F-INS-055A RAW '!CD115="","",'Finalterm OVPAA-F-INS-055A RAW '!CD115/'Finalterm OVPAA-F-INS-055A RAW '!CD$17*100)</f>
        <v/>
      </c>
      <c r="CG115" s="130" t="str">
        <f>IF('Finalterm OVPAA-F-INS-055A RAW '!CE115="","",'Finalterm OVPAA-F-INS-055A RAW '!CE115/'Finalterm OVPAA-F-INS-055A RAW '!CE$17*100)</f>
        <v/>
      </c>
      <c r="CH115" s="130" t="str">
        <f>IF('Finalterm OVPAA-F-INS-055A RAW '!CF115="","",'Finalterm OVPAA-F-INS-055A RAW '!CF115/'Finalterm OVPAA-F-INS-055A RAW '!CF$17*100)</f>
        <v/>
      </c>
      <c r="CI115" s="130" t="str">
        <f>IF('Finalterm OVPAA-F-INS-055A RAW '!CG115="","",'Finalterm OVPAA-F-INS-055A RAW '!CG115/'Finalterm OVPAA-F-INS-055A RAW '!CG$17*100)</f>
        <v/>
      </c>
      <c r="CJ115" s="130" t="str">
        <f>IF('Finalterm OVPAA-F-INS-055A RAW '!CH115="","",'Finalterm OVPAA-F-INS-055A RAW '!CH115/'Finalterm OVPAA-F-INS-055A RAW '!CH$17*100)</f>
        <v/>
      </c>
      <c r="CK115" s="130" t="str">
        <f>IF('Finalterm OVPAA-F-INS-055A RAW '!CI115="","",'Finalterm OVPAA-F-INS-055A RAW '!CI115/'Finalterm OVPAA-F-INS-055A RAW '!CI$17*100)</f>
        <v/>
      </c>
      <c r="CL115" s="130" t="str">
        <f>IF('Finalterm OVPAA-F-INS-055A RAW '!CJ115="","",'Finalterm OVPAA-F-INS-055A RAW '!CJ115/'Finalterm OVPAA-F-INS-055A RAW '!CJ$17*100)</f>
        <v/>
      </c>
      <c r="CM115" s="130" t="str">
        <f>IF('Finalterm OVPAA-F-INS-055A RAW '!CK115="","",'Finalterm OVPAA-F-INS-055A RAW '!CK115/'Finalterm OVPAA-F-INS-055A RAW '!CK$17*100)</f>
        <v/>
      </c>
      <c r="CN115" s="130" t="str">
        <f>IF('Finalterm OVPAA-F-INS-055A RAW '!CL115="","",'Finalterm OVPAA-F-INS-055A RAW '!CL115/'Finalterm OVPAA-F-INS-055A RAW '!CL$17*100)</f>
        <v/>
      </c>
      <c r="CO115" s="130" t="str">
        <f>IF('Finalterm OVPAA-F-INS-055A RAW '!CM115="","",'Finalterm OVPAA-F-INS-055A RAW '!CM115/'Finalterm OVPAA-F-INS-055A RAW '!CM$17*100)</f>
        <v/>
      </c>
      <c r="CP115" s="130" t="str">
        <f>IF('Finalterm OVPAA-F-INS-055A RAW '!CN115="","",'Finalterm OVPAA-F-INS-055A RAW '!CN115/'Finalterm OVPAA-F-INS-055A RAW '!CN$17*100)</f>
        <v/>
      </c>
      <c r="CQ115" s="131" t="str">
        <f t="array" ref="CQ115">IF('Midterm OVPAA-F-INS-055A RAW SC'!G115="","",IF((SUMPRODUCT(--ISBLANK('Finalterm OVPAA-F-INS-055A RAW '!BU115:CN115))=COLUMNS('Finalterm OVPAA-F-INS-055A RAW '!BU115:CN115))=TRUE,"",(((COUNTA('Finalterm OVPAA-F-INS-055A RAW '!$BU$17:$CN$17)+COUNTBLANK('Finalterm OVPAA-F-INS-055A RAW '!BU115:CN115))-COLUMNS('Finalterm OVPAA-F-INS-055A RAW '!BU115:CN115))*5+SUM(BW115:CP115))/COUNTA('Finalterm OVPAA-F-INS-055A RAW '!$BU$17:$CN$17)))</f>
        <v/>
      </c>
      <c r="CR115" s="132" t="str">
        <f>IF(CQ115="","",VLOOKUP(CQ115,IF('Midterm OVPAA-F-INS-055A RAW SC'!$V$12=0.5,TRANSMUTATION!$C$4:$D$17,TRANSMUTATION!$G$4:$H$17),2,TRUE))</f>
        <v/>
      </c>
      <c r="CS115" s="133" t="str">
        <f>IF('Finalterm OVPAA-F-INS-055A RAW '!CO115="","",'Finalterm OVPAA-F-INS-055A RAW '!CO115/'Finalterm OVPAA-F-INS-055A RAW '!CO$17*100)</f>
        <v/>
      </c>
      <c r="CT115" s="133" t="str">
        <f>IF('Finalterm OVPAA-F-INS-055A RAW '!CP115="","",'Finalterm OVPAA-F-INS-055A RAW '!CP115/'Finalterm OVPAA-F-INS-055A RAW '!CP$17*100)</f>
        <v/>
      </c>
      <c r="CU115" s="133" t="str">
        <f>IF('Finalterm OVPAA-F-INS-055A RAW '!CQ115="","",'Finalterm OVPAA-F-INS-055A RAW '!CQ115/'Finalterm OVPAA-F-INS-055A RAW '!CQ$17*100)</f>
        <v/>
      </c>
      <c r="CV115" s="133" t="str">
        <f>IF('Finalterm OVPAA-F-INS-055A RAW '!CR115="","",'Finalterm OVPAA-F-INS-055A RAW '!CR115/'Finalterm OVPAA-F-INS-055A RAW '!CR$17*100)</f>
        <v/>
      </c>
      <c r="CW115" s="133" t="str">
        <f>IF('Finalterm OVPAA-F-INS-055A RAW '!CS115="","",'Finalterm OVPAA-F-INS-055A RAW '!CS115/'Finalterm OVPAA-F-INS-055A RAW '!CS$17*100)</f>
        <v/>
      </c>
      <c r="CX115" s="133" t="str">
        <f>IF('Finalterm OVPAA-F-INS-055A RAW '!CT115="","",'Finalterm OVPAA-F-INS-055A RAW '!CT115/'Finalterm OVPAA-F-INS-055A RAW '!CT$17*100)</f>
        <v/>
      </c>
      <c r="CY115" s="133" t="str">
        <f>IF('Finalterm OVPAA-F-INS-055A RAW '!CU115="","",'Finalterm OVPAA-F-INS-055A RAW '!CU115/'Finalterm OVPAA-F-INS-055A RAW '!CU$17*100)</f>
        <v/>
      </c>
      <c r="CZ115" s="133" t="str">
        <f>IF('Finalterm OVPAA-F-INS-055A RAW '!CV115="","",'Finalterm OVPAA-F-INS-055A RAW '!CV115/'Finalterm OVPAA-F-INS-055A RAW '!CV$17*100)</f>
        <v/>
      </c>
      <c r="DA115" s="133" t="str">
        <f>IF('Finalterm OVPAA-F-INS-055A RAW '!CW115="","",'Finalterm OVPAA-F-INS-055A RAW '!CW115/'Finalterm OVPAA-F-INS-055A RAW '!CW$17*100)</f>
        <v/>
      </c>
      <c r="DB115" s="133" t="str">
        <f>IF('Finalterm OVPAA-F-INS-055A RAW '!CX115="","",'Finalterm OVPAA-F-INS-055A RAW '!CX115/'Finalterm OVPAA-F-INS-055A RAW '!CX$17*100)</f>
        <v/>
      </c>
      <c r="DC115" s="134" t="str">
        <f t="array" ref="DC115">IF('Midterm OVPAA-F-INS-055A RAW SC'!$G115="","",IF((SUMPRODUCT(--ISBLANK('Finalterm OVPAA-F-INS-055A RAW '!CO115:CX115))=COLUMNS('Finalterm OVPAA-F-INS-055A RAW '!CO115:CX115))=TRUE,"",(((COUNTA('Finalterm OVPAA-F-INS-055A RAW '!$CO$17:$CX$17)+COUNTBLANK('Finalterm OVPAA-F-INS-055A RAW '!CO115:CX115))-COLUMNS('Finalterm OVPAA-F-INS-055A RAW '!CO115:CX115))*5+SUM(CS115:DB115))/COUNTA('Finalterm OVPAA-F-INS-055A RAW '!$CO$17:$CX$17)))</f>
        <v/>
      </c>
      <c r="DD115" s="135" t="str">
        <f>IF(DC115="","",VLOOKUP(DC115,IF('Midterm OVPAA-F-INS-055A RAW SC'!$V$12=0.5,TRANSMUTATION!$C$4:$D$17,TRANSMUTATION!$G$4:$H$17),2,TRUE))</f>
        <v/>
      </c>
      <c r="DE115" s="136" t="str">
        <f t="shared" si="1"/>
        <v/>
      </c>
      <c r="DF115" s="166" t="str">
        <f t="shared" si="2"/>
        <v/>
      </c>
      <c r="DG115" s="167" t="str">
        <f t="shared" si="3"/>
        <v/>
      </c>
      <c r="DH115" s="168" t="str">
        <f t="shared" si="4"/>
        <v/>
      </c>
      <c r="DI115" s="169" t="str">
        <f t="shared" si="5"/>
        <v/>
      </c>
    </row>
    <row r="116" spans="1:113" ht="15.75" hidden="1" customHeight="1">
      <c r="A116" s="5"/>
      <c r="B116" s="5"/>
      <c r="C116" s="5"/>
      <c r="D116" s="5"/>
      <c r="E116" s="59">
        <v>99</v>
      </c>
      <c r="F116" s="124" t="str">
        <f>IF(NOT(ISBLANK('Midterm OVPAA-F-INS-055A RAW SC'!F116)),'Midterm OVPAA-F-INS-055A RAW SC'!F116,"")</f>
        <v/>
      </c>
      <c r="G116" s="125" t="str">
        <f>IF(NOT(ISBLANK('Midterm OVPAA-F-INS-055A RAW SC'!G116)),'Midterm OVPAA-F-INS-055A RAW SC'!G116,"")</f>
        <v/>
      </c>
      <c r="H116" s="126" t="str">
        <f>IF('Finalterm OVPAA-F-INS-055A RAW '!H116="","",'Finalterm OVPAA-F-INS-055A RAW '!H116/'Finalterm OVPAA-F-INS-055A RAW '!H$17*100)</f>
        <v/>
      </c>
      <c r="I116" s="126" t="str">
        <f>IF('Finalterm OVPAA-F-INS-055A RAW '!I116="","",'Finalterm OVPAA-F-INS-055A RAW '!I116/'Finalterm OVPAA-F-INS-055A RAW '!I$17*100)</f>
        <v/>
      </c>
      <c r="J116" s="126" t="str">
        <f>IF('Finalterm OVPAA-F-INS-055A RAW '!J116="","",'Finalterm OVPAA-F-INS-055A RAW '!J116/'Finalterm OVPAA-F-INS-055A RAW '!J$17*100)</f>
        <v/>
      </c>
      <c r="K116" s="126" t="str">
        <f>IF('Finalterm OVPAA-F-INS-055A RAW '!K116="","",'Finalterm OVPAA-F-INS-055A RAW '!K116/'Finalterm OVPAA-F-INS-055A RAW '!K$17*100)</f>
        <v/>
      </c>
      <c r="L116" s="126" t="str">
        <f>IF('Finalterm OVPAA-F-INS-055A RAW '!L116="","",'Finalterm OVPAA-F-INS-055A RAW '!L116/'Finalterm OVPAA-F-INS-055A RAW '!L$17*100)</f>
        <v/>
      </c>
      <c r="M116" s="126" t="str">
        <f>IF('Finalterm OVPAA-F-INS-055A RAW '!M116="","",'Finalterm OVPAA-F-INS-055A RAW '!M116/'Finalterm OVPAA-F-INS-055A RAW '!M$17*100)</f>
        <v/>
      </c>
      <c r="N116" s="126" t="str">
        <f>IF('Finalterm OVPAA-F-INS-055A RAW '!N116="","",'Finalterm OVPAA-F-INS-055A RAW '!N116/'Finalterm OVPAA-F-INS-055A RAW '!N$17*100)</f>
        <v/>
      </c>
      <c r="O116" s="126" t="str">
        <f>IF('Finalterm OVPAA-F-INS-055A RAW '!O116="","",'Finalterm OVPAA-F-INS-055A RAW '!O116/'Finalterm OVPAA-F-INS-055A RAW '!O$17*100)</f>
        <v/>
      </c>
      <c r="P116" s="126" t="str">
        <f>IF('Finalterm OVPAA-F-INS-055A RAW '!P116="","",'Finalterm OVPAA-F-INS-055A RAW '!P116/'Finalterm OVPAA-F-INS-055A RAW '!P$17*100)</f>
        <v/>
      </c>
      <c r="Q116" s="126" t="str">
        <f>IF('Finalterm OVPAA-F-INS-055A RAW '!Q116="","",'Finalterm OVPAA-F-INS-055A RAW '!Q116/'Finalterm OVPAA-F-INS-055A RAW '!Q$17*100)</f>
        <v/>
      </c>
      <c r="R116" s="126" t="str">
        <f>IF('Finalterm OVPAA-F-INS-055A RAW '!R116="","",'Finalterm OVPAA-F-INS-055A RAW '!R116/'Finalterm OVPAA-F-INS-055A RAW '!R$17*100)</f>
        <v/>
      </c>
      <c r="S116" s="126" t="str">
        <f>IF('Finalterm OVPAA-F-INS-055A RAW '!S116="","",'Finalterm OVPAA-F-INS-055A RAW '!S116/'Finalterm OVPAA-F-INS-055A RAW '!S$17*100)</f>
        <v/>
      </c>
      <c r="T116" s="126" t="str">
        <f>IF('Finalterm OVPAA-F-INS-055A RAW '!T116="","",'Finalterm OVPAA-F-INS-055A RAW '!T116/'Finalterm OVPAA-F-INS-055A RAW '!T$17*100)</f>
        <v/>
      </c>
      <c r="U116" s="126" t="str">
        <f>IF('Finalterm OVPAA-F-INS-055A RAW '!U116="","",'Finalterm OVPAA-F-INS-055A RAW '!U116/'Finalterm OVPAA-F-INS-055A RAW '!U$17*100)</f>
        <v/>
      </c>
      <c r="V116" s="126" t="str">
        <f>IF('Finalterm OVPAA-F-INS-055A RAW '!V116="","",'Finalterm OVPAA-F-INS-055A RAW '!V116/'Finalterm OVPAA-F-INS-055A RAW '!V$17*100)</f>
        <v/>
      </c>
      <c r="W116" s="126" t="str">
        <f>IF('Finalterm OVPAA-F-INS-055A RAW '!W116="","",'Finalterm OVPAA-F-INS-055A RAW '!W116/'Finalterm OVPAA-F-INS-055A RAW '!W$17*100)</f>
        <v/>
      </c>
      <c r="X116" s="126" t="str">
        <f>IF('Finalterm OVPAA-F-INS-055A RAW '!X116="","",'Finalterm OVPAA-F-INS-055A RAW '!X116/'Finalterm OVPAA-F-INS-055A RAW '!X$17*100)</f>
        <v/>
      </c>
      <c r="Y116" s="126" t="str">
        <f>IF('Finalterm OVPAA-F-INS-055A RAW '!Y116="","",'Finalterm OVPAA-F-INS-055A RAW '!Y116/'Finalterm OVPAA-F-INS-055A RAW '!Y$17*100)</f>
        <v/>
      </c>
      <c r="Z116" s="126" t="str">
        <f>IF('Finalterm OVPAA-F-INS-055A RAW '!Z116="","",'Finalterm OVPAA-F-INS-055A RAW '!Z116/'Finalterm OVPAA-F-INS-055A RAW '!Z$17*100)</f>
        <v/>
      </c>
      <c r="AA116" s="126" t="str">
        <f>IF('Finalterm OVPAA-F-INS-055A RAW '!AA116="","",'Finalterm OVPAA-F-INS-055A RAW '!AA116/'Finalterm OVPAA-F-INS-055A RAW '!AA$17*100)</f>
        <v/>
      </c>
      <c r="AB116" s="126" t="str">
        <f>IF('Finalterm OVPAA-F-INS-055A RAW '!AB116="","",'Finalterm OVPAA-F-INS-055A RAW '!AB116/'Finalterm OVPAA-F-INS-055A RAW '!AB$17*100)</f>
        <v/>
      </c>
      <c r="AC116" s="126" t="str">
        <f>IF('Finalterm OVPAA-F-INS-055A RAW '!AC116="","",'Finalterm OVPAA-F-INS-055A RAW '!AC116/'Finalterm OVPAA-F-INS-055A RAW '!AC$17*100)</f>
        <v/>
      </c>
      <c r="AD116" s="126" t="str">
        <f>IF('Finalterm OVPAA-F-INS-055A RAW '!AD116="","",'Finalterm OVPAA-F-INS-055A RAW '!AD116/'Finalterm OVPAA-F-INS-055A RAW '!AD$17*100)</f>
        <v/>
      </c>
      <c r="AE116" s="126" t="str">
        <f>IF('Finalterm OVPAA-F-INS-055A RAW '!AE116="","",'Finalterm OVPAA-F-INS-055A RAW '!AE116/'Finalterm OVPAA-F-INS-055A RAW '!AE$17*100)</f>
        <v/>
      </c>
      <c r="AF116" s="126" t="str">
        <f>IF('Finalterm OVPAA-F-INS-055A RAW '!AF116="","",'Finalterm OVPAA-F-INS-055A RAW '!AF116/'Finalterm OVPAA-F-INS-055A RAW '!AF$17*100)</f>
        <v/>
      </c>
      <c r="AG116" s="126" t="str">
        <f>IF('Finalterm OVPAA-F-INS-055A RAW '!AG116="","",'Finalterm OVPAA-F-INS-055A RAW '!AG116/'Finalterm OVPAA-F-INS-055A RAW '!AG$17*100)</f>
        <v/>
      </c>
      <c r="AH116" s="126" t="str">
        <f>IF('Finalterm OVPAA-F-INS-055A RAW '!AH116="","",'Finalterm OVPAA-F-INS-055A RAW '!AH116/'Finalterm OVPAA-F-INS-055A RAW '!AH$17*100)</f>
        <v/>
      </c>
      <c r="AI116" s="126" t="str">
        <f>IF('Finalterm OVPAA-F-INS-055A RAW '!AI116="","",'Finalterm OVPAA-F-INS-055A RAW '!AI116/'Finalterm OVPAA-F-INS-055A RAW '!AI$17*100)</f>
        <v/>
      </c>
      <c r="AJ116" s="126" t="str">
        <f>IF('Finalterm OVPAA-F-INS-055A RAW '!AJ116="","",'Finalterm OVPAA-F-INS-055A RAW '!AJ116/'Finalterm OVPAA-F-INS-055A RAW '!AJ$17*100)</f>
        <v/>
      </c>
      <c r="AK116" s="126" t="str">
        <f>IF('Finalterm OVPAA-F-INS-055A RAW '!AK116="","",'Finalterm OVPAA-F-INS-055A RAW '!AK116/'Finalterm OVPAA-F-INS-055A RAW '!AK$17*100)</f>
        <v/>
      </c>
      <c r="AL116" s="126" t="str">
        <f>IF('Finalterm OVPAA-F-INS-055A RAW '!AL116="","",'Finalterm OVPAA-F-INS-055A RAW '!AL116/'Finalterm OVPAA-F-INS-055A RAW '!AL$17*100)</f>
        <v/>
      </c>
      <c r="AM116" s="126" t="str">
        <f>IF('Finalterm OVPAA-F-INS-055A RAW '!AM116="","",'Finalterm OVPAA-F-INS-055A RAW '!AM116/'Finalterm OVPAA-F-INS-055A RAW '!AM$17*100)</f>
        <v/>
      </c>
      <c r="AN116" s="126" t="str">
        <f>IF('Finalterm OVPAA-F-INS-055A RAW '!AN116="","",'Finalterm OVPAA-F-INS-055A RAW '!AN116/'Finalterm OVPAA-F-INS-055A RAW '!AN$17*100)</f>
        <v/>
      </c>
      <c r="AO116" s="126" t="str">
        <f>IF('Finalterm OVPAA-F-INS-055A RAW '!AO116="","",'Finalterm OVPAA-F-INS-055A RAW '!AO116/'Finalterm OVPAA-F-INS-055A RAW '!AO$17*100)</f>
        <v/>
      </c>
      <c r="AP116" s="126" t="str">
        <f>IF('Finalterm OVPAA-F-INS-055A RAW '!AP116="","",'Finalterm OVPAA-F-INS-055A RAW '!AP116/'Finalterm OVPAA-F-INS-055A RAW '!AP$17*100)</f>
        <v/>
      </c>
      <c r="AQ116" s="126" t="str">
        <f>IF('Finalterm OVPAA-F-INS-055A RAW '!AQ116="","",'Finalterm OVPAA-F-INS-055A RAW '!AQ116/'Finalterm OVPAA-F-INS-055A RAW '!AQ$17*100)</f>
        <v/>
      </c>
      <c r="AR116" s="126" t="str">
        <f>IF('Finalterm OVPAA-F-INS-055A RAW '!AR116="","",'Finalterm OVPAA-F-INS-055A RAW '!AR116/'Finalterm OVPAA-F-INS-055A RAW '!AR$17*100)</f>
        <v/>
      </c>
      <c r="AS116" s="126" t="str">
        <f>IF('Finalterm OVPAA-F-INS-055A RAW '!AS116="","",'Finalterm OVPAA-F-INS-055A RAW '!AS116/'Finalterm OVPAA-F-INS-055A RAW '!AS$17*100)</f>
        <v/>
      </c>
      <c r="AT116" s="126" t="str">
        <f>IF('Finalterm OVPAA-F-INS-055A RAW '!AT116="","",'Finalterm OVPAA-F-INS-055A RAW '!AT116/'Finalterm OVPAA-F-INS-055A RAW '!AT$17*100)</f>
        <v/>
      </c>
      <c r="AU116" s="126" t="str">
        <f>IF('Finalterm OVPAA-F-INS-055A RAW '!AU116="","",'Finalterm OVPAA-F-INS-055A RAW '!AU116/'Finalterm OVPAA-F-INS-055A RAW '!AU$17*100)</f>
        <v/>
      </c>
      <c r="AV116" s="126" t="str">
        <f>IF('Finalterm OVPAA-F-INS-055A RAW '!AV116="","",'Finalterm OVPAA-F-INS-055A RAW '!AV116/'Finalterm OVPAA-F-INS-055A RAW '!AV$17*100)</f>
        <v/>
      </c>
      <c r="AW116" s="126" t="str">
        <f>IF('Finalterm OVPAA-F-INS-055A RAW '!AW116="","",'Finalterm OVPAA-F-INS-055A RAW '!AW116/'Finalterm OVPAA-F-INS-055A RAW '!AW$17*100)</f>
        <v/>
      </c>
      <c r="AX116" s="126" t="str">
        <f>IF('Finalterm OVPAA-F-INS-055A RAW '!AX116="","",'Finalterm OVPAA-F-INS-055A RAW '!AX116/'Finalterm OVPAA-F-INS-055A RAW '!AX$17*100)</f>
        <v/>
      </c>
      <c r="AY116" s="126" t="str">
        <f>IF('Finalterm OVPAA-F-INS-055A RAW '!AY116="","",'Finalterm OVPAA-F-INS-055A RAW '!AY116/'Finalterm OVPAA-F-INS-055A RAW '!AY$17*100)</f>
        <v/>
      </c>
      <c r="AZ116" s="126" t="str">
        <f>IF('Finalterm OVPAA-F-INS-055A RAW '!AZ116="","",'Finalterm OVPAA-F-INS-055A RAW '!AZ116/'Finalterm OVPAA-F-INS-055A RAW '!AZ$17*100)</f>
        <v/>
      </c>
      <c r="BA116" s="126" t="str">
        <f>IF('Finalterm OVPAA-F-INS-055A RAW '!BA116="","",'Finalterm OVPAA-F-INS-055A RAW '!BA116/'Finalterm OVPAA-F-INS-055A RAW '!BA$17*100)</f>
        <v/>
      </c>
      <c r="BB116" s="126" t="str">
        <f>IF('Finalterm OVPAA-F-INS-055A RAW '!BB116="","",'Finalterm OVPAA-F-INS-055A RAW '!BB116/'Finalterm OVPAA-F-INS-055A RAW '!BB$17*100)</f>
        <v/>
      </c>
      <c r="BC116" s="126" t="str">
        <f>IF('Finalterm OVPAA-F-INS-055A RAW '!BC116="","",'Finalterm OVPAA-F-INS-055A RAW '!BC116/'Finalterm OVPAA-F-INS-055A RAW '!BC$17*100)</f>
        <v/>
      </c>
      <c r="BD116" s="126" t="str">
        <f>IF('Finalterm OVPAA-F-INS-055A RAW '!BD116="","",'Finalterm OVPAA-F-INS-055A RAW '!BD116/'Finalterm OVPAA-F-INS-055A RAW '!BD$17*100)</f>
        <v/>
      </c>
      <c r="BE116" s="126" t="str">
        <f>IF('Finalterm OVPAA-F-INS-055A RAW '!BE116="","",'Finalterm OVPAA-F-INS-055A RAW '!BE116/'Finalterm OVPAA-F-INS-055A RAW '!BE$17*100)</f>
        <v/>
      </c>
      <c r="BF116" s="126" t="str">
        <f>IF('Finalterm OVPAA-F-INS-055A RAW '!BF116="","",'Finalterm OVPAA-F-INS-055A RAW '!BF116/'Finalterm OVPAA-F-INS-055A RAW '!BF$17*100)</f>
        <v/>
      </c>
      <c r="BG116" s="126" t="str">
        <f>IF('Finalterm OVPAA-F-INS-055A RAW '!BG116="","",'Finalterm OVPAA-F-INS-055A RAW '!BG116/'Finalterm OVPAA-F-INS-055A RAW '!BG$17*100)</f>
        <v/>
      </c>
      <c r="BH116" s="126" t="str">
        <f>IF('Finalterm OVPAA-F-INS-055A RAW '!BH116="","",'Finalterm OVPAA-F-INS-055A RAW '!BH116/'Finalterm OVPAA-F-INS-055A RAW '!BH$17*100)</f>
        <v/>
      </c>
      <c r="BI116" s="126" t="str">
        <f>IF('Finalterm OVPAA-F-INS-055A RAW '!BI116="","",'Finalterm OVPAA-F-INS-055A RAW '!BI116/'Finalterm OVPAA-F-INS-055A RAW '!BI$17*100)</f>
        <v/>
      </c>
      <c r="BJ116" s="126" t="str">
        <f>IF('Finalterm OVPAA-F-INS-055A RAW '!BJ116="","",'Finalterm OVPAA-F-INS-055A RAW '!BJ116/'Finalterm OVPAA-F-INS-055A RAW '!BJ$17*100)</f>
        <v/>
      </c>
      <c r="BK116" s="126" t="str">
        <f>IF('Finalterm OVPAA-F-INS-055A RAW '!BK116="","",'Finalterm OVPAA-F-INS-055A RAW '!BK116/'Finalterm OVPAA-F-INS-055A RAW '!BK$17*100)</f>
        <v/>
      </c>
      <c r="BL116" s="126" t="str">
        <f>IF('Finalterm OVPAA-F-INS-055A RAW '!BL116="","",'Finalterm OVPAA-F-INS-055A RAW '!BL116/'Finalterm OVPAA-F-INS-055A RAW '!BL$17*100)</f>
        <v/>
      </c>
      <c r="BM116" s="126" t="str">
        <f>IF('Finalterm OVPAA-F-INS-055A RAW '!BM116="","",'Finalterm OVPAA-F-INS-055A RAW '!BM116/'Finalterm OVPAA-F-INS-055A RAW '!BM$17*100)</f>
        <v/>
      </c>
      <c r="BN116" s="126" t="str">
        <f>IF('Finalterm OVPAA-F-INS-055A RAW '!BN116="","",'Finalterm OVPAA-F-INS-055A RAW '!BN116/'Finalterm OVPAA-F-INS-055A RAW '!BN$17*100)</f>
        <v/>
      </c>
      <c r="BO116" s="126" t="str">
        <f>IF('Finalterm OVPAA-F-INS-055A RAW '!BO116="","",'Finalterm OVPAA-F-INS-055A RAW '!BO116/'Finalterm OVPAA-F-INS-055A RAW '!BO$17*100)</f>
        <v/>
      </c>
      <c r="BP116" s="126" t="str">
        <f>IF('Finalterm OVPAA-F-INS-055A RAW '!BP116="","",'Finalterm OVPAA-F-INS-055A RAW '!BP116/'Finalterm OVPAA-F-INS-055A RAW '!BP$17*100)</f>
        <v/>
      </c>
      <c r="BQ116" s="126" t="str">
        <f>IF('Finalterm OVPAA-F-INS-055A RAW '!BQ116="","",'Finalterm OVPAA-F-INS-055A RAW '!BQ116/'Finalterm OVPAA-F-INS-055A RAW '!BQ$17*100)</f>
        <v/>
      </c>
      <c r="BR116" s="126" t="str">
        <f>IF('Finalterm OVPAA-F-INS-055A RAW '!BR116="","",'Finalterm OVPAA-F-INS-055A RAW '!BR116/'Finalterm OVPAA-F-INS-055A RAW '!BR$17*100)</f>
        <v/>
      </c>
      <c r="BS116" s="126" t="str">
        <f>IF('Finalterm OVPAA-F-INS-055A RAW '!BS116="","",'Finalterm OVPAA-F-INS-055A RAW '!BS116/'Finalterm OVPAA-F-INS-055A RAW '!BS$17*100)</f>
        <v/>
      </c>
      <c r="BT116" s="126" t="str">
        <f>IF('Finalterm OVPAA-F-INS-055A RAW '!BT116="","",'Finalterm OVPAA-F-INS-055A RAW '!BT116/'Finalterm OVPAA-F-INS-055A RAW '!BT$17*100)</f>
        <v/>
      </c>
      <c r="BU116" s="127" t="str">
        <f t="array" ref="BU116">IF('Finalterm OVPAA-F-INS-055A RAW '!$G116="","",IF((SUMPRODUCT(--ISBLANK('Finalterm OVPAA-F-INS-055A RAW '!H116:BT116))=COLUMNS('Finalterm OVPAA-F-INS-055A RAW '!H116:BT116))=TRUE,"",(((COUNTA('Finalterm OVPAA-F-INS-055A RAW '!$H$17:$BT$17)+COUNTBLANK('Finalterm OVPAA-F-INS-055A RAW '!H116:BT116))-COLUMNS('Finalterm OVPAA-F-INS-055A RAW '!H116:BT116))*5+SUM(H116:BT116))/COUNTA('Finalterm OVPAA-F-INS-055A RAW '!$H$17:$BT$17)))</f>
        <v/>
      </c>
      <c r="BV116" s="165" t="str">
        <f>IF(BU116="","",VLOOKUP(BU116,IF('Midterm OVPAA-F-INS-055A RAW SC'!$V$12=0.5,TRANSMUTATION!$C$4:$D$17,TRANSMUTATION!$G$4:$H$17),2,TRUE))</f>
        <v/>
      </c>
      <c r="BW116" s="129" t="str">
        <f>IF('Finalterm OVPAA-F-INS-055A RAW '!BU116="","",'Finalterm OVPAA-F-INS-055A RAW '!BU116/'Finalterm OVPAA-F-INS-055A RAW '!BU$17*100)</f>
        <v/>
      </c>
      <c r="BX116" s="130" t="str">
        <f>IF('Finalterm OVPAA-F-INS-055A RAW '!BV116="","",'Finalterm OVPAA-F-INS-055A RAW '!BV116/'Finalterm OVPAA-F-INS-055A RAW '!BV$17*100)</f>
        <v/>
      </c>
      <c r="BY116" s="130" t="str">
        <f>IF('Finalterm OVPAA-F-INS-055A RAW '!BW116="","",'Finalterm OVPAA-F-INS-055A RAW '!BW116/'Finalterm OVPAA-F-INS-055A RAW '!BW$17*100)</f>
        <v/>
      </c>
      <c r="BZ116" s="130" t="str">
        <f>IF('Finalterm OVPAA-F-INS-055A RAW '!BX116="","",'Finalterm OVPAA-F-INS-055A RAW '!BX116/'Finalterm OVPAA-F-INS-055A RAW '!BX$17*100)</f>
        <v/>
      </c>
      <c r="CA116" s="130" t="str">
        <f>IF('Finalterm OVPAA-F-INS-055A RAW '!BY116="","",'Finalterm OVPAA-F-INS-055A RAW '!BY116/'Finalterm OVPAA-F-INS-055A RAW '!BY$17*100)</f>
        <v/>
      </c>
      <c r="CB116" s="130" t="str">
        <f>IF('Finalterm OVPAA-F-INS-055A RAW '!BZ116="","",'Finalterm OVPAA-F-INS-055A RAW '!BZ116/'Finalterm OVPAA-F-INS-055A RAW '!BZ$17*100)</f>
        <v/>
      </c>
      <c r="CC116" s="130" t="str">
        <f>IF('Finalterm OVPAA-F-INS-055A RAW '!CA116="","",'Finalterm OVPAA-F-INS-055A RAW '!CA116/'Finalterm OVPAA-F-INS-055A RAW '!CA$17*100)</f>
        <v/>
      </c>
      <c r="CD116" s="130" t="str">
        <f>IF('Finalterm OVPAA-F-INS-055A RAW '!CB116="","",'Finalterm OVPAA-F-INS-055A RAW '!CB116/'Finalterm OVPAA-F-INS-055A RAW '!CB$17*100)</f>
        <v/>
      </c>
      <c r="CE116" s="130" t="str">
        <f>IF('Finalterm OVPAA-F-INS-055A RAW '!CC116="","",'Finalterm OVPAA-F-INS-055A RAW '!CC116/'Finalterm OVPAA-F-INS-055A RAW '!CC$17*100)</f>
        <v/>
      </c>
      <c r="CF116" s="130" t="str">
        <f>IF('Finalterm OVPAA-F-INS-055A RAW '!CD116="","",'Finalterm OVPAA-F-INS-055A RAW '!CD116/'Finalterm OVPAA-F-INS-055A RAW '!CD$17*100)</f>
        <v/>
      </c>
      <c r="CG116" s="130" t="str">
        <f>IF('Finalterm OVPAA-F-INS-055A RAW '!CE116="","",'Finalterm OVPAA-F-INS-055A RAW '!CE116/'Finalterm OVPAA-F-INS-055A RAW '!CE$17*100)</f>
        <v/>
      </c>
      <c r="CH116" s="130" t="str">
        <f>IF('Finalterm OVPAA-F-INS-055A RAW '!CF116="","",'Finalterm OVPAA-F-INS-055A RAW '!CF116/'Finalterm OVPAA-F-INS-055A RAW '!CF$17*100)</f>
        <v/>
      </c>
      <c r="CI116" s="130" t="str">
        <f>IF('Finalterm OVPAA-F-INS-055A RAW '!CG116="","",'Finalterm OVPAA-F-INS-055A RAW '!CG116/'Finalterm OVPAA-F-INS-055A RAW '!CG$17*100)</f>
        <v/>
      </c>
      <c r="CJ116" s="130" t="str">
        <f>IF('Finalterm OVPAA-F-INS-055A RAW '!CH116="","",'Finalterm OVPAA-F-INS-055A RAW '!CH116/'Finalterm OVPAA-F-INS-055A RAW '!CH$17*100)</f>
        <v/>
      </c>
      <c r="CK116" s="130" t="str">
        <f>IF('Finalterm OVPAA-F-INS-055A RAW '!CI116="","",'Finalterm OVPAA-F-INS-055A RAW '!CI116/'Finalterm OVPAA-F-INS-055A RAW '!CI$17*100)</f>
        <v/>
      </c>
      <c r="CL116" s="130" t="str">
        <f>IF('Finalterm OVPAA-F-INS-055A RAW '!CJ116="","",'Finalterm OVPAA-F-INS-055A RAW '!CJ116/'Finalterm OVPAA-F-INS-055A RAW '!CJ$17*100)</f>
        <v/>
      </c>
      <c r="CM116" s="130" t="str">
        <f>IF('Finalterm OVPAA-F-INS-055A RAW '!CK116="","",'Finalterm OVPAA-F-INS-055A RAW '!CK116/'Finalterm OVPAA-F-INS-055A RAW '!CK$17*100)</f>
        <v/>
      </c>
      <c r="CN116" s="130" t="str">
        <f>IF('Finalterm OVPAA-F-INS-055A RAW '!CL116="","",'Finalterm OVPAA-F-INS-055A RAW '!CL116/'Finalterm OVPAA-F-INS-055A RAW '!CL$17*100)</f>
        <v/>
      </c>
      <c r="CO116" s="130" t="str">
        <f>IF('Finalterm OVPAA-F-INS-055A RAW '!CM116="","",'Finalterm OVPAA-F-INS-055A RAW '!CM116/'Finalterm OVPAA-F-INS-055A RAW '!CM$17*100)</f>
        <v/>
      </c>
      <c r="CP116" s="130" t="str">
        <f>IF('Finalterm OVPAA-F-INS-055A RAW '!CN116="","",'Finalterm OVPAA-F-INS-055A RAW '!CN116/'Finalterm OVPAA-F-INS-055A RAW '!CN$17*100)</f>
        <v/>
      </c>
      <c r="CQ116" s="131" t="str">
        <f t="array" ref="CQ116">IF('Midterm OVPAA-F-INS-055A RAW SC'!G116="","",IF((SUMPRODUCT(--ISBLANK('Finalterm OVPAA-F-INS-055A RAW '!BU116:CN116))=COLUMNS('Finalterm OVPAA-F-INS-055A RAW '!BU116:CN116))=TRUE,"",(((COUNTA('Finalterm OVPAA-F-INS-055A RAW '!$BU$17:$CN$17)+COUNTBLANK('Finalterm OVPAA-F-INS-055A RAW '!BU116:CN116))-COLUMNS('Finalterm OVPAA-F-INS-055A RAW '!BU116:CN116))*5+SUM(BW116:CP116))/COUNTA('Finalterm OVPAA-F-INS-055A RAW '!$BU$17:$CN$17)))</f>
        <v/>
      </c>
      <c r="CR116" s="132" t="str">
        <f>IF(CQ116="","",VLOOKUP(CQ116,IF('Midterm OVPAA-F-INS-055A RAW SC'!$V$12=0.5,TRANSMUTATION!$C$4:$D$17,TRANSMUTATION!$G$4:$H$17),2,TRUE))</f>
        <v/>
      </c>
      <c r="CS116" s="133" t="str">
        <f>IF('Finalterm OVPAA-F-INS-055A RAW '!CO116="","",'Finalterm OVPAA-F-INS-055A RAW '!CO116/'Finalterm OVPAA-F-INS-055A RAW '!CO$17*100)</f>
        <v/>
      </c>
      <c r="CT116" s="133" t="str">
        <f>IF('Finalterm OVPAA-F-INS-055A RAW '!CP116="","",'Finalterm OVPAA-F-INS-055A RAW '!CP116/'Finalterm OVPAA-F-INS-055A RAW '!CP$17*100)</f>
        <v/>
      </c>
      <c r="CU116" s="133" t="str">
        <f>IF('Finalterm OVPAA-F-INS-055A RAW '!CQ116="","",'Finalterm OVPAA-F-INS-055A RAW '!CQ116/'Finalterm OVPAA-F-INS-055A RAW '!CQ$17*100)</f>
        <v/>
      </c>
      <c r="CV116" s="133" t="str">
        <f>IF('Finalterm OVPAA-F-INS-055A RAW '!CR116="","",'Finalterm OVPAA-F-INS-055A RAW '!CR116/'Finalterm OVPAA-F-INS-055A RAW '!CR$17*100)</f>
        <v/>
      </c>
      <c r="CW116" s="133" t="str">
        <f>IF('Finalterm OVPAA-F-INS-055A RAW '!CS116="","",'Finalterm OVPAA-F-INS-055A RAW '!CS116/'Finalterm OVPAA-F-INS-055A RAW '!CS$17*100)</f>
        <v/>
      </c>
      <c r="CX116" s="133" t="str">
        <f>IF('Finalterm OVPAA-F-INS-055A RAW '!CT116="","",'Finalterm OVPAA-F-INS-055A RAW '!CT116/'Finalterm OVPAA-F-INS-055A RAW '!CT$17*100)</f>
        <v/>
      </c>
      <c r="CY116" s="133" t="str">
        <f>IF('Finalterm OVPAA-F-INS-055A RAW '!CU116="","",'Finalterm OVPAA-F-INS-055A RAW '!CU116/'Finalterm OVPAA-F-INS-055A RAW '!CU$17*100)</f>
        <v/>
      </c>
      <c r="CZ116" s="133" t="str">
        <f>IF('Finalterm OVPAA-F-INS-055A RAW '!CV116="","",'Finalterm OVPAA-F-INS-055A RAW '!CV116/'Finalterm OVPAA-F-INS-055A RAW '!CV$17*100)</f>
        <v/>
      </c>
      <c r="DA116" s="133" t="str">
        <f>IF('Finalterm OVPAA-F-INS-055A RAW '!CW116="","",'Finalterm OVPAA-F-INS-055A RAW '!CW116/'Finalterm OVPAA-F-INS-055A RAW '!CW$17*100)</f>
        <v/>
      </c>
      <c r="DB116" s="133" t="str">
        <f>IF('Finalterm OVPAA-F-INS-055A RAW '!CX116="","",'Finalterm OVPAA-F-INS-055A RAW '!CX116/'Finalterm OVPAA-F-INS-055A RAW '!CX$17*100)</f>
        <v/>
      </c>
      <c r="DC116" s="134" t="str">
        <f t="array" ref="DC116">IF('Midterm OVPAA-F-INS-055A RAW SC'!$G116="","",IF((SUMPRODUCT(--ISBLANK('Finalterm OVPAA-F-INS-055A RAW '!CO116:CX116))=COLUMNS('Finalterm OVPAA-F-INS-055A RAW '!CO116:CX116))=TRUE,"",(((COUNTA('Finalterm OVPAA-F-INS-055A RAW '!$CO$17:$CX$17)+COUNTBLANK('Finalterm OVPAA-F-INS-055A RAW '!CO116:CX116))-COLUMNS('Finalterm OVPAA-F-INS-055A RAW '!CO116:CX116))*5+SUM(CS116:DB116))/COUNTA('Finalterm OVPAA-F-INS-055A RAW '!$CO$17:$CX$17)))</f>
        <v/>
      </c>
      <c r="DD116" s="135" t="str">
        <f>IF(DC116="","",VLOOKUP(DC116,IF('Midterm OVPAA-F-INS-055A RAW SC'!$V$12=0.5,TRANSMUTATION!$C$4:$D$17,TRANSMUTATION!$G$4:$H$17),2,TRUE))</f>
        <v/>
      </c>
      <c r="DE116" s="136" t="str">
        <f t="shared" si="1"/>
        <v/>
      </c>
      <c r="DF116" s="166" t="str">
        <f t="shared" si="2"/>
        <v/>
      </c>
      <c r="DG116" s="167" t="str">
        <f t="shared" si="3"/>
        <v/>
      </c>
      <c r="DH116" s="168" t="str">
        <f t="shared" si="4"/>
        <v/>
      </c>
      <c r="DI116" s="169" t="str">
        <f t="shared" si="5"/>
        <v/>
      </c>
    </row>
    <row r="117" spans="1:113" ht="15.75" hidden="1" customHeight="1">
      <c r="A117" s="5"/>
      <c r="B117" s="5"/>
      <c r="C117" s="5"/>
      <c r="D117" s="5"/>
      <c r="E117" s="59">
        <v>100</v>
      </c>
      <c r="F117" s="139" t="str">
        <f>IF(NOT(ISBLANK('Midterm OVPAA-F-INS-055A RAW SC'!F117)),'Midterm OVPAA-F-INS-055A RAW SC'!F117,"")</f>
        <v/>
      </c>
      <c r="G117" s="140" t="str">
        <f>IF(NOT(ISBLANK('Midterm OVPAA-F-INS-055A RAW SC'!G117)),'Midterm OVPAA-F-INS-055A RAW SC'!G117,"")</f>
        <v/>
      </c>
      <c r="H117" s="126" t="str">
        <f>IF('Finalterm OVPAA-F-INS-055A RAW '!H117="","",'Finalterm OVPAA-F-INS-055A RAW '!H117/'Finalterm OVPAA-F-INS-055A RAW '!H$17*100)</f>
        <v/>
      </c>
      <c r="I117" s="126" t="str">
        <f>IF('Finalterm OVPAA-F-INS-055A RAW '!I117="","",'Finalterm OVPAA-F-INS-055A RAW '!I117/'Finalterm OVPAA-F-INS-055A RAW '!I$17*100)</f>
        <v/>
      </c>
      <c r="J117" s="126" t="str">
        <f>IF('Finalterm OVPAA-F-INS-055A RAW '!J117="","",'Finalterm OVPAA-F-INS-055A RAW '!J117/'Finalterm OVPAA-F-INS-055A RAW '!J$17*100)</f>
        <v/>
      </c>
      <c r="K117" s="126" t="str">
        <f>IF('Finalterm OVPAA-F-INS-055A RAW '!K117="","",'Finalterm OVPAA-F-INS-055A RAW '!K117/'Finalterm OVPAA-F-INS-055A RAW '!K$17*100)</f>
        <v/>
      </c>
      <c r="L117" s="126" t="str">
        <f>IF('Finalterm OVPAA-F-INS-055A RAW '!L117="","",'Finalterm OVPAA-F-INS-055A RAW '!L117/'Finalterm OVPAA-F-INS-055A RAW '!L$17*100)</f>
        <v/>
      </c>
      <c r="M117" s="126" t="str">
        <f>IF('Finalterm OVPAA-F-INS-055A RAW '!M117="","",'Finalterm OVPAA-F-INS-055A RAW '!M117/'Finalterm OVPAA-F-INS-055A RAW '!M$17*100)</f>
        <v/>
      </c>
      <c r="N117" s="126" t="str">
        <f>IF('Finalterm OVPAA-F-INS-055A RAW '!N117="","",'Finalterm OVPAA-F-INS-055A RAW '!N117/'Finalterm OVPAA-F-INS-055A RAW '!N$17*100)</f>
        <v/>
      </c>
      <c r="O117" s="126" t="str">
        <f>IF('Finalterm OVPAA-F-INS-055A RAW '!O117="","",'Finalterm OVPAA-F-INS-055A RAW '!O117/'Finalterm OVPAA-F-INS-055A RAW '!O$17*100)</f>
        <v/>
      </c>
      <c r="P117" s="126" t="str">
        <f>IF('Finalterm OVPAA-F-INS-055A RAW '!P117="","",'Finalterm OVPAA-F-INS-055A RAW '!P117/'Finalterm OVPAA-F-INS-055A RAW '!P$17*100)</f>
        <v/>
      </c>
      <c r="Q117" s="126" t="str">
        <f>IF('Finalterm OVPAA-F-INS-055A RAW '!Q117="","",'Finalterm OVPAA-F-INS-055A RAW '!Q117/'Finalterm OVPAA-F-INS-055A RAW '!Q$17*100)</f>
        <v/>
      </c>
      <c r="R117" s="126" t="str">
        <f>IF('Finalterm OVPAA-F-INS-055A RAW '!R117="","",'Finalterm OVPAA-F-INS-055A RAW '!R117/'Finalterm OVPAA-F-INS-055A RAW '!R$17*100)</f>
        <v/>
      </c>
      <c r="S117" s="126" t="str">
        <f>IF('Finalterm OVPAA-F-INS-055A RAW '!S117="","",'Finalterm OVPAA-F-INS-055A RAW '!S117/'Finalterm OVPAA-F-INS-055A RAW '!S$17*100)</f>
        <v/>
      </c>
      <c r="T117" s="126" t="str">
        <f>IF('Finalterm OVPAA-F-INS-055A RAW '!T117="","",'Finalterm OVPAA-F-INS-055A RAW '!T117/'Finalterm OVPAA-F-INS-055A RAW '!T$17*100)</f>
        <v/>
      </c>
      <c r="U117" s="126" t="str">
        <f>IF('Finalterm OVPAA-F-INS-055A RAW '!U117="","",'Finalterm OVPAA-F-INS-055A RAW '!U117/'Finalterm OVPAA-F-INS-055A RAW '!U$17*100)</f>
        <v/>
      </c>
      <c r="V117" s="126" t="str">
        <f>IF('Finalterm OVPAA-F-INS-055A RAW '!V117="","",'Finalterm OVPAA-F-INS-055A RAW '!V117/'Finalterm OVPAA-F-INS-055A RAW '!V$17*100)</f>
        <v/>
      </c>
      <c r="W117" s="126" t="str">
        <f>IF('Finalterm OVPAA-F-INS-055A RAW '!W117="","",'Finalterm OVPAA-F-INS-055A RAW '!W117/'Finalterm OVPAA-F-INS-055A RAW '!W$17*100)</f>
        <v/>
      </c>
      <c r="X117" s="126" t="str">
        <f>IF('Finalterm OVPAA-F-INS-055A RAW '!X117="","",'Finalterm OVPAA-F-INS-055A RAW '!X117/'Finalterm OVPAA-F-INS-055A RAW '!X$17*100)</f>
        <v/>
      </c>
      <c r="Y117" s="126" t="str">
        <f>IF('Finalterm OVPAA-F-INS-055A RAW '!Y117="","",'Finalterm OVPAA-F-INS-055A RAW '!Y117/'Finalterm OVPAA-F-INS-055A RAW '!Y$17*100)</f>
        <v/>
      </c>
      <c r="Z117" s="126" t="str">
        <f>IF('Finalterm OVPAA-F-INS-055A RAW '!Z117="","",'Finalterm OVPAA-F-INS-055A RAW '!Z117/'Finalterm OVPAA-F-INS-055A RAW '!Z$17*100)</f>
        <v/>
      </c>
      <c r="AA117" s="126" t="str">
        <f>IF('Finalterm OVPAA-F-INS-055A RAW '!AA117="","",'Finalterm OVPAA-F-INS-055A RAW '!AA117/'Finalterm OVPAA-F-INS-055A RAW '!AA$17*100)</f>
        <v/>
      </c>
      <c r="AB117" s="126" t="str">
        <f>IF('Finalterm OVPAA-F-INS-055A RAW '!AB117="","",'Finalterm OVPAA-F-INS-055A RAW '!AB117/'Finalterm OVPAA-F-INS-055A RAW '!AB$17*100)</f>
        <v/>
      </c>
      <c r="AC117" s="126" t="str">
        <f>IF('Finalterm OVPAA-F-INS-055A RAW '!AC117="","",'Finalterm OVPAA-F-INS-055A RAW '!AC117/'Finalterm OVPAA-F-INS-055A RAW '!AC$17*100)</f>
        <v/>
      </c>
      <c r="AD117" s="126" t="str">
        <f>IF('Finalterm OVPAA-F-INS-055A RAW '!AD117="","",'Finalterm OVPAA-F-INS-055A RAW '!AD117/'Finalterm OVPAA-F-INS-055A RAW '!AD$17*100)</f>
        <v/>
      </c>
      <c r="AE117" s="126" t="str">
        <f>IF('Finalterm OVPAA-F-INS-055A RAW '!AE117="","",'Finalterm OVPAA-F-INS-055A RAW '!AE117/'Finalterm OVPAA-F-INS-055A RAW '!AE$17*100)</f>
        <v/>
      </c>
      <c r="AF117" s="126" t="str">
        <f>IF('Finalterm OVPAA-F-INS-055A RAW '!AF117="","",'Finalterm OVPAA-F-INS-055A RAW '!AF117/'Finalterm OVPAA-F-INS-055A RAW '!AF$17*100)</f>
        <v/>
      </c>
      <c r="AG117" s="126" t="str">
        <f>IF('Finalterm OVPAA-F-INS-055A RAW '!AG117="","",'Finalterm OVPAA-F-INS-055A RAW '!AG117/'Finalterm OVPAA-F-INS-055A RAW '!AG$17*100)</f>
        <v/>
      </c>
      <c r="AH117" s="126" t="str">
        <f>IF('Finalterm OVPAA-F-INS-055A RAW '!AH117="","",'Finalterm OVPAA-F-INS-055A RAW '!AH117/'Finalterm OVPAA-F-INS-055A RAW '!AH$17*100)</f>
        <v/>
      </c>
      <c r="AI117" s="126" t="str">
        <f>IF('Finalterm OVPAA-F-INS-055A RAW '!AI117="","",'Finalterm OVPAA-F-INS-055A RAW '!AI117/'Finalterm OVPAA-F-INS-055A RAW '!AI$17*100)</f>
        <v/>
      </c>
      <c r="AJ117" s="126" t="str">
        <f>IF('Finalterm OVPAA-F-INS-055A RAW '!AJ117="","",'Finalterm OVPAA-F-INS-055A RAW '!AJ117/'Finalterm OVPAA-F-INS-055A RAW '!AJ$17*100)</f>
        <v/>
      </c>
      <c r="AK117" s="126" t="str">
        <f>IF('Finalterm OVPAA-F-INS-055A RAW '!AK117="","",'Finalterm OVPAA-F-INS-055A RAW '!AK117/'Finalterm OVPAA-F-INS-055A RAW '!AK$17*100)</f>
        <v/>
      </c>
      <c r="AL117" s="126" t="str">
        <f>IF('Finalterm OVPAA-F-INS-055A RAW '!AL117="","",'Finalterm OVPAA-F-INS-055A RAW '!AL117/'Finalterm OVPAA-F-INS-055A RAW '!AL$17*100)</f>
        <v/>
      </c>
      <c r="AM117" s="126" t="str">
        <f>IF('Finalterm OVPAA-F-INS-055A RAW '!AM117="","",'Finalterm OVPAA-F-INS-055A RAW '!AM117/'Finalterm OVPAA-F-INS-055A RAW '!AM$17*100)</f>
        <v/>
      </c>
      <c r="AN117" s="126" t="str">
        <f>IF('Finalterm OVPAA-F-INS-055A RAW '!AN117="","",'Finalterm OVPAA-F-INS-055A RAW '!AN117/'Finalterm OVPAA-F-INS-055A RAW '!AN$17*100)</f>
        <v/>
      </c>
      <c r="AO117" s="126" t="str">
        <f>IF('Finalterm OVPAA-F-INS-055A RAW '!AO117="","",'Finalterm OVPAA-F-INS-055A RAW '!AO117/'Finalterm OVPAA-F-INS-055A RAW '!AO$17*100)</f>
        <v/>
      </c>
      <c r="AP117" s="126" t="str">
        <f>IF('Finalterm OVPAA-F-INS-055A RAW '!AP117="","",'Finalterm OVPAA-F-INS-055A RAW '!AP117/'Finalterm OVPAA-F-INS-055A RAW '!AP$17*100)</f>
        <v/>
      </c>
      <c r="AQ117" s="126" t="str">
        <f>IF('Finalterm OVPAA-F-INS-055A RAW '!AQ117="","",'Finalterm OVPAA-F-INS-055A RAW '!AQ117/'Finalterm OVPAA-F-INS-055A RAW '!AQ$17*100)</f>
        <v/>
      </c>
      <c r="AR117" s="126" t="str">
        <f>IF('Finalterm OVPAA-F-INS-055A RAW '!AR117="","",'Finalterm OVPAA-F-INS-055A RAW '!AR117/'Finalterm OVPAA-F-INS-055A RAW '!AR$17*100)</f>
        <v/>
      </c>
      <c r="AS117" s="126" t="str">
        <f>IF('Finalterm OVPAA-F-INS-055A RAW '!AS117="","",'Finalterm OVPAA-F-INS-055A RAW '!AS117/'Finalterm OVPAA-F-INS-055A RAW '!AS$17*100)</f>
        <v/>
      </c>
      <c r="AT117" s="126" t="str">
        <f>IF('Finalterm OVPAA-F-INS-055A RAW '!AT117="","",'Finalterm OVPAA-F-INS-055A RAW '!AT117/'Finalterm OVPAA-F-INS-055A RAW '!AT$17*100)</f>
        <v/>
      </c>
      <c r="AU117" s="126" t="str">
        <f>IF('Finalterm OVPAA-F-INS-055A RAW '!AU117="","",'Finalterm OVPAA-F-INS-055A RAW '!AU117/'Finalterm OVPAA-F-INS-055A RAW '!AU$17*100)</f>
        <v/>
      </c>
      <c r="AV117" s="126" t="str">
        <f>IF('Finalterm OVPAA-F-INS-055A RAW '!AV117="","",'Finalterm OVPAA-F-INS-055A RAW '!AV117/'Finalterm OVPAA-F-INS-055A RAW '!AV$17*100)</f>
        <v/>
      </c>
      <c r="AW117" s="126" t="str">
        <f>IF('Finalterm OVPAA-F-INS-055A RAW '!AW117="","",'Finalterm OVPAA-F-INS-055A RAW '!AW117/'Finalterm OVPAA-F-INS-055A RAW '!AW$17*100)</f>
        <v/>
      </c>
      <c r="AX117" s="126" t="str">
        <f>IF('Finalterm OVPAA-F-INS-055A RAW '!AX117="","",'Finalterm OVPAA-F-INS-055A RAW '!AX117/'Finalterm OVPAA-F-INS-055A RAW '!AX$17*100)</f>
        <v/>
      </c>
      <c r="AY117" s="126" t="str">
        <f>IF('Finalterm OVPAA-F-INS-055A RAW '!AY117="","",'Finalterm OVPAA-F-INS-055A RAW '!AY117/'Finalterm OVPAA-F-INS-055A RAW '!AY$17*100)</f>
        <v/>
      </c>
      <c r="AZ117" s="126" t="str">
        <f>IF('Finalterm OVPAA-F-INS-055A RAW '!AZ117="","",'Finalterm OVPAA-F-INS-055A RAW '!AZ117/'Finalterm OVPAA-F-INS-055A RAW '!AZ$17*100)</f>
        <v/>
      </c>
      <c r="BA117" s="126" t="str">
        <f>IF('Finalterm OVPAA-F-INS-055A RAW '!BA117="","",'Finalterm OVPAA-F-INS-055A RAW '!BA117/'Finalterm OVPAA-F-INS-055A RAW '!BA$17*100)</f>
        <v/>
      </c>
      <c r="BB117" s="126" t="str">
        <f>IF('Finalterm OVPAA-F-INS-055A RAW '!BB117="","",'Finalterm OVPAA-F-INS-055A RAW '!BB117/'Finalterm OVPAA-F-INS-055A RAW '!BB$17*100)</f>
        <v/>
      </c>
      <c r="BC117" s="126" t="str">
        <f>IF('Finalterm OVPAA-F-INS-055A RAW '!BC117="","",'Finalterm OVPAA-F-INS-055A RAW '!BC117/'Finalterm OVPAA-F-INS-055A RAW '!BC$17*100)</f>
        <v/>
      </c>
      <c r="BD117" s="126" t="str">
        <f>IF('Finalterm OVPAA-F-INS-055A RAW '!BD117="","",'Finalterm OVPAA-F-INS-055A RAW '!BD117/'Finalterm OVPAA-F-INS-055A RAW '!BD$17*100)</f>
        <v/>
      </c>
      <c r="BE117" s="126" t="str">
        <f>IF('Finalterm OVPAA-F-INS-055A RAW '!BE117="","",'Finalterm OVPAA-F-INS-055A RAW '!BE117/'Finalterm OVPAA-F-INS-055A RAW '!BE$17*100)</f>
        <v/>
      </c>
      <c r="BF117" s="126" t="str">
        <f>IF('Finalterm OVPAA-F-INS-055A RAW '!BF117="","",'Finalterm OVPAA-F-INS-055A RAW '!BF117/'Finalterm OVPAA-F-INS-055A RAW '!BF$17*100)</f>
        <v/>
      </c>
      <c r="BG117" s="126" t="str">
        <f>IF('Finalterm OVPAA-F-INS-055A RAW '!BG117="","",'Finalterm OVPAA-F-INS-055A RAW '!BG117/'Finalterm OVPAA-F-INS-055A RAW '!BG$17*100)</f>
        <v/>
      </c>
      <c r="BH117" s="126" t="str">
        <f>IF('Finalterm OVPAA-F-INS-055A RAW '!BH117="","",'Finalterm OVPAA-F-INS-055A RAW '!BH117/'Finalterm OVPAA-F-INS-055A RAW '!BH$17*100)</f>
        <v/>
      </c>
      <c r="BI117" s="126" t="str">
        <f>IF('Finalterm OVPAA-F-INS-055A RAW '!BI117="","",'Finalterm OVPAA-F-INS-055A RAW '!BI117/'Finalterm OVPAA-F-INS-055A RAW '!BI$17*100)</f>
        <v/>
      </c>
      <c r="BJ117" s="126" t="str">
        <f>IF('Finalterm OVPAA-F-INS-055A RAW '!BJ117="","",'Finalterm OVPAA-F-INS-055A RAW '!BJ117/'Finalterm OVPAA-F-INS-055A RAW '!BJ$17*100)</f>
        <v/>
      </c>
      <c r="BK117" s="126" t="str">
        <f>IF('Finalterm OVPAA-F-INS-055A RAW '!BK117="","",'Finalterm OVPAA-F-INS-055A RAW '!BK117/'Finalterm OVPAA-F-INS-055A RAW '!BK$17*100)</f>
        <v/>
      </c>
      <c r="BL117" s="126" t="str">
        <f>IF('Finalterm OVPAA-F-INS-055A RAW '!BL117="","",'Finalterm OVPAA-F-INS-055A RAW '!BL117/'Finalterm OVPAA-F-INS-055A RAW '!BL$17*100)</f>
        <v/>
      </c>
      <c r="BM117" s="126" t="str">
        <f>IF('Finalterm OVPAA-F-INS-055A RAW '!BM117="","",'Finalterm OVPAA-F-INS-055A RAW '!BM117/'Finalterm OVPAA-F-INS-055A RAW '!BM$17*100)</f>
        <v/>
      </c>
      <c r="BN117" s="126" t="str">
        <f>IF('Finalterm OVPAA-F-INS-055A RAW '!BN117="","",'Finalterm OVPAA-F-INS-055A RAW '!BN117/'Finalterm OVPAA-F-INS-055A RAW '!BN$17*100)</f>
        <v/>
      </c>
      <c r="BO117" s="126" t="str">
        <f>IF('Finalterm OVPAA-F-INS-055A RAW '!BO117="","",'Finalterm OVPAA-F-INS-055A RAW '!BO117/'Finalterm OVPAA-F-INS-055A RAW '!BO$17*100)</f>
        <v/>
      </c>
      <c r="BP117" s="126" t="str">
        <f>IF('Finalterm OVPAA-F-INS-055A RAW '!BP117="","",'Finalterm OVPAA-F-INS-055A RAW '!BP117/'Finalterm OVPAA-F-INS-055A RAW '!BP$17*100)</f>
        <v/>
      </c>
      <c r="BQ117" s="126" t="str">
        <f>IF('Finalterm OVPAA-F-INS-055A RAW '!BQ117="","",'Finalterm OVPAA-F-INS-055A RAW '!BQ117/'Finalterm OVPAA-F-INS-055A RAW '!BQ$17*100)</f>
        <v/>
      </c>
      <c r="BR117" s="126" t="str">
        <f>IF('Finalterm OVPAA-F-INS-055A RAW '!BR117="","",'Finalterm OVPAA-F-INS-055A RAW '!BR117/'Finalterm OVPAA-F-INS-055A RAW '!BR$17*100)</f>
        <v/>
      </c>
      <c r="BS117" s="126" t="str">
        <f>IF('Finalterm OVPAA-F-INS-055A RAW '!BS117="","",'Finalterm OVPAA-F-INS-055A RAW '!BS117/'Finalterm OVPAA-F-INS-055A RAW '!BS$17*100)</f>
        <v/>
      </c>
      <c r="BT117" s="126" t="str">
        <f>IF('Finalterm OVPAA-F-INS-055A RAW '!BT117="","",'Finalterm OVPAA-F-INS-055A RAW '!BT117/'Finalterm OVPAA-F-INS-055A RAW '!BT$17*100)</f>
        <v/>
      </c>
      <c r="BU117" s="127" t="str">
        <f t="array" ref="BU117">IF('Finalterm OVPAA-F-INS-055A RAW '!$G117="","",IF((SUMPRODUCT(--ISBLANK('Finalterm OVPAA-F-INS-055A RAW '!H117:BT117))=COLUMNS('Finalterm OVPAA-F-INS-055A RAW '!H117:BT117))=TRUE,"",(((COUNTA('Finalterm OVPAA-F-INS-055A RAW '!$H$17:$BT$17)+COUNTBLANK('Finalterm OVPAA-F-INS-055A RAW '!H117:BT117))-COLUMNS('Finalterm OVPAA-F-INS-055A RAW '!H117:BT117))*5+SUM(H117:BT117))/COUNTA('Finalterm OVPAA-F-INS-055A RAW '!$H$17:$BT$17)))</f>
        <v/>
      </c>
      <c r="BV117" s="165" t="str">
        <f>IF(BU117="","",VLOOKUP(BU117,IF('Midterm OVPAA-F-INS-055A RAW SC'!$V$12=0.5,TRANSMUTATION!$C$4:$D$17,TRANSMUTATION!$G$4:$H$17),2,TRUE))</f>
        <v/>
      </c>
      <c r="BW117" s="141" t="str">
        <f>IF('Finalterm OVPAA-F-INS-055A RAW '!BU117="","",'Finalterm OVPAA-F-INS-055A RAW '!BU117/'Finalterm OVPAA-F-INS-055A RAW '!BU$17*100)</f>
        <v/>
      </c>
      <c r="BX117" s="142" t="str">
        <f>IF('Finalterm OVPAA-F-INS-055A RAW '!BV117="","",'Finalterm OVPAA-F-INS-055A RAW '!BV117/'Finalterm OVPAA-F-INS-055A RAW '!BV$17*100)</f>
        <v/>
      </c>
      <c r="BY117" s="142" t="str">
        <f>IF('Finalterm OVPAA-F-INS-055A RAW '!BW117="","",'Finalterm OVPAA-F-INS-055A RAW '!BW117/'Finalterm OVPAA-F-INS-055A RAW '!BW$17*100)</f>
        <v/>
      </c>
      <c r="BZ117" s="142" t="str">
        <f>IF('Finalterm OVPAA-F-INS-055A RAW '!BX117="","",'Finalterm OVPAA-F-INS-055A RAW '!BX117/'Finalterm OVPAA-F-INS-055A RAW '!BX$17*100)</f>
        <v/>
      </c>
      <c r="CA117" s="142" t="str">
        <f>IF('Finalterm OVPAA-F-INS-055A RAW '!BY117="","",'Finalterm OVPAA-F-INS-055A RAW '!BY117/'Finalterm OVPAA-F-INS-055A RAW '!BY$17*100)</f>
        <v/>
      </c>
      <c r="CB117" s="142" t="str">
        <f>IF('Finalterm OVPAA-F-INS-055A RAW '!BZ117="","",'Finalterm OVPAA-F-INS-055A RAW '!BZ117/'Finalterm OVPAA-F-INS-055A RAW '!BZ$17*100)</f>
        <v/>
      </c>
      <c r="CC117" s="142" t="str">
        <f>IF('Finalterm OVPAA-F-INS-055A RAW '!CA117="","",'Finalterm OVPAA-F-INS-055A RAW '!CA117/'Finalterm OVPAA-F-INS-055A RAW '!CA$17*100)</f>
        <v/>
      </c>
      <c r="CD117" s="142" t="str">
        <f>IF('Finalterm OVPAA-F-INS-055A RAW '!CB117="","",'Finalterm OVPAA-F-INS-055A RAW '!CB117/'Finalterm OVPAA-F-INS-055A RAW '!CB$17*100)</f>
        <v/>
      </c>
      <c r="CE117" s="142" t="str">
        <f>IF('Finalterm OVPAA-F-INS-055A RAW '!CC117="","",'Finalterm OVPAA-F-INS-055A RAW '!CC117/'Finalterm OVPAA-F-INS-055A RAW '!CC$17*100)</f>
        <v/>
      </c>
      <c r="CF117" s="142" t="str">
        <f>IF('Finalterm OVPAA-F-INS-055A RAW '!CD117="","",'Finalterm OVPAA-F-INS-055A RAW '!CD117/'Finalterm OVPAA-F-INS-055A RAW '!CD$17*100)</f>
        <v/>
      </c>
      <c r="CG117" s="142" t="str">
        <f>IF('Finalterm OVPAA-F-INS-055A RAW '!CE117="","",'Finalterm OVPAA-F-INS-055A RAW '!CE117/'Finalterm OVPAA-F-INS-055A RAW '!CE$17*100)</f>
        <v/>
      </c>
      <c r="CH117" s="142" t="str">
        <f>IF('Finalterm OVPAA-F-INS-055A RAW '!CF117="","",'Finalterm OVPAA-F-INS-055A RAW '!CF117/'Finalterm OVPAA-F-INS-055A RAW '!CF$17*100)</f>
        <v/>
      </c>
      <c r="CI117" s="142" t="str">
        <f>IF('Finalterm OVPAA-F-INS-055A RAW '!CG117="","",'Finalterm OVPAA-F-INS-055A RAW '!CG117/'Finalterm OVPAA-F-INS-055A RAW '!CG$17*100)</f>
        <v/>
      </c>
      <c r="CJ117" s="142" t="str">
        <f>IF('Finalterm OVPAA-F-INS-055A RAW '!CH117="","",'Finalterm OVPAA-F-INS-055A RAW '!CH117/'Finalterm OVPAA-F-INS-055A RAW '!CH$17*100)</f>
        <v/>
      </c>
      <c r="CK117" s="142" t="str">
        <f>IF('Finalterm OVPAA-F-INS-055A RAW '!CI117="","",'Finalterm OVPAA-F-INS-055A RAW '!CI117/'Finalterm OVPAA-F-INS-055A RAW '!CI$17*100)</f>
        <v/>
      </c>
      <c r="CL117" s="142" t="str">
        <f>IF('Finalterm OVPAA-F-INS-055A RAW '!CJ117="","",'Finalterm OVPAA-F-INS-055A RAW '!CJ117/'Finalterm OVPAA-F-INS-055A RAW '!CJ$17*100)</f>
        <v/>
      </c>
      <c r="CM117" s="142" t="str">
        <f>IF('Finalterm OVPAA-F-INS-055A RAW '!CK117="","",'Finalterm OVPAA-F-INS-055A RAW '!CK117/'Finalterm OVPAA-F-INS-055A RAW '!CK$17*100)</f>
        <v/>
      </c>
      <c r="CN117" s="142" t="str">
        <f>IF('Finalterm OVPAA-F-INS-055A RAW '!CL117="","",'Finalterm OVPAA-F-INS-055A RAW '!CL117/'Finalterm OVPAA-F-INS-055A RAW '!CL$17*100)</f>
        <v/>
      </c>
      <c r="CO117" s="142" t="str">
        <f>IF('Finalterm OVPAA-F-INS-055A RAW '!CM117="","",'Finalterm OVPAA-F-INS-055A RAW '!CM117/'Finalterm OVPAA-F-INS-055A RAW '!CM$17*100)</f>
        <v/>
      </c>
      <c r="CP117" s="142" t="str">
        <f>IF('Finalterm OVPAA-F-INS-055A RAW '!CN117="","",'Finalterm OVPAA-F-INS-055A RAW '!CN117/'Finalterm OVPAA-F-INS-055A RAW '!CN$17*100)</f>
        <v/>
      </c>
      <c r="CQ117" s="131" t="str">
        <f t="array" ref="CQ117">IF('Midterm OVPAA-F-INS-055A RAW SC'!G117="","",IF((SUMPRODUCT(--ISBLANK('Finalterm OVPAA-F-INS-055A RAW '!BU117:CN117))=COLUMNS('Finalterm OVPAA-F-INS-055A RAW '!BU117:CN117))=TRUE,"",(((COUNTA('Finalterm OVPAA-F-INS-055A RAW '!$BU$17:$CN$17)+COUNTBLANK('Finalterm OVPAA-F-INS-055A RAW '!BU117:CN117))-COLUMNS('Finalterm OVPAA-F-INS-055A RAW '!BU117:CN117))*5+SUM(BW117:CP117))/COUNTA('Finalterm OVPAA-F-INS-055A RAW '!$BU$17:$CN$17)))</f>
        <v/>
      </c>
      <c r="CR117" s="132" t="str">
        <f>IF(CQ117="","",VLOOKUP(CQ117,IF('Midterm OVPAA-F-INS-055A RAW SC'!$V$12=0.5,TRANSMUTATION!$C$4:$D$17,TRANSMUTATION!$G$4:$H$17),2,TRUE))</f>
        <v/>
      </c>
      <c r="CS117" s="133" t="str">
        <f>IF('Finalterm OVPAA-F-INS-055A RAW '!CO117="","",'Finalterm OVPAA-F-INS-055A RAW '!CO117/'Finalterm OVPAA-F-INS-055A RAW '!CO$17*100)</f>
        <v/>
      </c>
      <c r="CT117" s="133" t="str">
        <f>IF('Finalterm OVPAA-F-INS-055A RAW '!CP117="","",'Finalterm OVPAA-F-INS-055A RAW '!CP117/'Finalterm OVPAA-F-INS-055A RAW '!CP$17*100)</f>
        <v/>
      </c>
      <c r="CU117" s="133" t="str">
        <f>IF('Finalterm OVPAA-F-INS-055A RAW '!CQ117="","",'Finalterm OVPAA-F-INS-055A RAW '!CQ117/'Finalterm OVPAA-F-INS-055A RAW '!CQ$17*100)</f>
        <v/>
      </c>
      <c r="CV117" s="133" t="str">
        <f>IF('Finalterm OVPAA-F-INS-055A RAW '!CR117="","",'Finalterm OVPAA-F-INS-055A RAW '!CR117/'Finalterm OVPAA-F-INS-055A RAW '!CR$17*100)</f>
        <v/>
      </c>
      <c r="CW117" s="133" t="str">
        <f>IF('Finalterm OVPAA-F-INS-055A RAW '!CS117="","",'Finalterm OVPAA-F-INS-055A RAW '!CS117/'Finalterm OVPAA-F-INS-055A RAW '!CS$17*100)</f>
        <v/>
      </c>
      <c r="CX117" s="133" t="str">
        <f>IF('Finalterm OVPAA-F-INS-055A RAW '!CT117="","",'Finalterm OVPAA-F-INS-055A RAW '!CT117/'Finalterm OVPAA-F-INS-055A RAW '!CT$17*100)</f>
        <v/>
      </c>
      <c r="CY117" s="133" t="str">
        <f>IF('Finalterm OVPAA-F-INS-055A RAW '!CU117="","",'Finalterm OVPAA-F-INS-055A RAW '!CU117/'Finalterm OVPAA-F-INS-055A RAW '!CU$17*100)</f>
        <v/>
      </c>
      <c r="CZ117" s="133" t="str">
        <f>IF('Finalterm OVPAA-F-INS-055A RAW '!CV117="","",'Finalterm OVPAA-F-INS-055A RAW '!CV117/'Finalterm OVPAA-F-INS-055A RAW '!CV$17*100)</f>
        <v/>
      </c>
      <c r="DA117" s="133" t="str">
        <f>IF('Finalterm OVPAA-F-INS-055A RAW '!CW117="","",'Finalterm OVPAA-F-INS-055A RAW '!CW117/'Finalterm OVPAA-F-INS-055A RAW '!CW$17*100)</f>
        <v/>
      </c>
      <c r="DB117" s="133" t="str">
        <f>IF('Finalterm OVPAA-F-INS-055A RAW '!CX117="","",'Finalterm OVPAA-F-INS-055A RAW '!CX117/'Finalterm OVPAA-F-INS-055A RAW '!CX$17*100)</f>
        <v/>
      </c>
      <c r="DC117" s="134" t="str">
        <f t="array" ref="DC117">IF('Midterm OVPAA-F-INS-055A RAW SC'!$G117="","",IF((SUMPRODUCT(--ISBLANK('Finalterm OVPAA-F-INS-055A RAW '!CO117:CX117))=COLUMNS('Finalterm OVPAA-F-INS-055A RAW '!CO117:CX117))=TRUE,"",(((COUNTA('Finalterm OVPAA-F-INS-055A RAW '!$CO$17:$CX$17)+COUNTBLANK('Finalterm OVPAA-F-INS-055A RAW '!CO117:CX117))-COLUMNS('Finalterm OVPAA-F-INS-055A RAW '!CO117:CX117))*5+SUM(CS117:DB117))/COUNTA('Finalterm OVPAA-F-INS-055A RAW '!$CO$17:$CX$17)))</f>
        <v/>
      </c>
      <c r="DD117" s="135" t="str">
        <f>IF(DC117="","",VLOOKUP(DC117,IF('Midterm OVPAA-F-INS-055A RAW SC'!$V$12=0.5,TRANSMUTATION!$C$4:$D$17,TRANSMUTATION!$G$4:$H$17),2,TRUE))</f>
        <v/>
      </c>
      <c r="DE117" s="143" t="str">
        <f t="shared" si="1"/>
        <v/>
      </c>
      <c r="DF117" s="170" t="str">
        <f t="shared" si="2"/>
        <v/>
      </c>
      <c r="DG117" s="171" t="str">
        <f t="shared" si="3"/>
        <v/>
      </c>
      <c r="DH117" s="172" t="str">
        <f t="shared" si="4"/>
        <v/>
      </c>
      <c r="DI117" s="173" t="str">
        <f t="shared" si="5"/>
        <v/>
      </c>
    </row>
    <row r="118" spans="1:113" ht="15.75" customHeight="1"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</row>
    <row r="119" spans="1:113" ht="15.75" customHeight="1"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</row>
    <row r="120" spans="1:113" ht="15.75" customHeight="1"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</row>
    <row r="121" spans="1:113" ht="15.75" customHeight="1"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</row>
    <row r="122" spans="1:113" ht="15.75" customHeight="1"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</row>
    <row r="123" spans="1:113" ht="15.75" customHeight="1"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</row>
    <row r="124" spans="1:113" ht="15.75" customHeight="1"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</row>
    <row r="125" spans="1:113" ht="15.75" customHeight="1"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</row>
    <row r="126" spans="1:113" ht="15.75" customHeight="1"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</row>
    <row r="127" spans="1:113" ht="15.75" customHeight="1"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</row>
    <row r="128" spans="1:113" ht="15.75" customHeight="1"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</row>
    <row r="129" spans="8:113" ht="15.75" customHeight="1"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</row>
    <row r="130" spans="8:113" ht="15.75" customHeight="1"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</row>
    <row r="131" spans="8:113" ht="15.75" customHeight="1"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</row>
    <row r="132" spans="8:113" ht="15.75" customHeight="1"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</row>
    <row r="133" spans="8:113" ht="15.75" customHeight="1"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</row>
    <row r="134" spans="8:113" ht="15.75" customHeight="1"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</row>
    <row r="135" spans="8:113" ht="15.75" customHeight="1"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</row>
    <row r="136" spans="8:113" ht="15.75" customHeight="1"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</row>
    <row r="137" spans="8:113" ht="15.75" customHeight="1"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</row>
    <row r="138" spans="8:113" ht="15.75" customHeight="1"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</row>
    <row r="139" spans="8:113" ht="15.75" customHeight="1"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</row>
    <row r="140" spans="8:113" ht="15.75" customHeight="1"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</row>
    <row r="141" spans="8:113" ht="15.75" customHeight="1"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</row>
    <row r="142" spans="8:113" ht="15.75" customHeight="1"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</row>
    <row r="143" spans="8:113" ht="15.75" customHeight="1"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</row>
    <row r="144" spans="8:113" ht="15.75" customHeight="1"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</row>
    <row r="145" spans="8:113" ht="15.75" customHeight="1"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</row>
    <row r="146" spans="8:113" ht="15.75" customHeight="1"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</row>
    <row r="147" spans="8:113" ht="15.75" customHeight="1"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</row>
    <row r="148" spans="8:113" ht="15.75" customHeight="1"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</row>
    <row r="149" spans="8:113" ht="15.75" customHeight="1"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</row>
    <row r="150" spans="8:113" ht="15.75" customHeight="1"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</row>
    <row r="151" spans="8:113" ht="15.75" customHeight="1"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</row>
    <row r="152" spans="8:113" ht="15.75" customHeight="1"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</row>
    <row r="153" spans="8:113" ht="15.75" customHeight="1"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</row>
    <row r="154" spans="8:113" ht="15.75" customHeight="1"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</row>
    <row r="155" spans="8:113" ht="15.75" customHeight="1"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</row>
    <row r="156" spans="8:113" ht="15.75" customHeight="1"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</row>
    <row r="157" spans="8:113" ht="15.75" customHeight="1"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</row>
    <row r="158" spans="8:113" ht="15.75" customHeight="1"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</row>
    <row r="159" spans="8:113" ht="15.75" customHeight="1"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</row>
    <row r="160" spans="8:113" ht="15.75" customHeight="1"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</row>
    <row r="161" spans="8:113" ht="15.75" customHeight="1"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</row>
    <row r="162" spans="8:113" ht="15.75" customHeight="1"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</row>
    <row r="163" spans="8:113" ht="15.75" customHeight="1"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</row>
    <row r="164" spans="8:113" ht="15.75" customHeight="1"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</row>
    <row r="165" spans="8:113" ht="15.75" customHeight="1"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</row>
    <row r="166" spans="8:113" ht="15.75" customHeight="1"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</row>
    <row r="167" spans="8:113" ht="15.75" customHeight="1"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</row>
    <row r="168" spans="8:113" ht="15.75" customHeight="1"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</row>
    <row r="169" spans="8:113" ht="15.75" customHeight="1"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</row>
    <row r="170" spans="8:113" ht="15.75" customHeight="1"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</row>
    <row r="171" spans="8:113" ht="15.75" customHeight="1"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</row>
    <row r="172" spans="8:113" ht="15.75" customHeight="1"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</row>
    <row r="173" spans="8:113" ht="15.75" customHeight="1"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</row>
    <row r="174" spans="8:113" ht="15.75" customHeight="1"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</row>
    <row r="175" spans="8:113" ht="15.75" customHeight="1"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</row>
    <row r="176" spans="8:113" ht="15.75" customHeight="1"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</row>
    <row r="177" spans="8:113" ht="15.75" customHeight="1"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</row>
    <row r="178" spans="8:113" ht="15.75" customHeight="1"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</row>
    <row r="179" spans="8:113" ht="15.75" customHeight="1"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</row>
    <row r="180" spans="8:113" ht="15.75" customHeight="1"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</row>
    <row r="181" spans="8:113" ht="15.75" customHeight="1"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</row>
    <row r="182" spans="8:113" ht="15.75" customHeight="1"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</row>
    <row r="183" spans="8:113" ht="15.75" customHeight="1"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</row>
    <row r="184" spans="8:113" ht="15.75" customHeight="1"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</row>
    <row r="185" spans="8:113" ht="15.75" customHeight="1"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</row>
    <row r="186" spans="8:113" ht="15.75" customHeight="1"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</row>
    <row r="187" spans="8:113" ht="15.75" customHeight="1"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</row>
    <row r="188" spans="8:113" ht="15.75" customHeight="1"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</row>
    <row r="189" spans="8:113" ht="15.75" customHeight="1"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</row>
    <row r="190" spans="8:113" ht="15.75" customHeight="1"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</row>
    <row r="191" spans="8:113" ht="15.75" customHeight="1"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</row>
    <row r="192" spans="8:113" ht="15.75" customHeight="1"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</row>
    <row r="193" spans="8:113" ht="15.75" customHeight="1"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</row>
    <row r="194" spans="8:113" ht="15.75" customHeight="1"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</row>
    <row r="195" spans="8:113" ht="15.75" customHeight="1"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</row>
    <row r="196" spans="8:113" ht="15.75" customHeight="1"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</row>
    <row r="197" spans="8:113" ht="15.75" customHeight="1"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</row>
    <row r="198" spans="8:113" ht="15.75" customHeight="1"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</row>
    <row r="199" spans="8:113" ht="15.75" customHeight="1"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</row>
    <row r="200" spans="8:113" ht="15.75" customHeight="1"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</row>
    <row r="201" spans="8:113" ht="15.75" customHeight="1"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</row>
    <row r="202" spans="8:113" ht="15.75" customHeight="1"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</row>
    <row r="203" spans="8:113" ht="15.75" customHeight="1"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</row>
    <row r="204" spans="8:113" ht="15.75" customHeight="1"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</row>
    <row r="205" spans="8:113" ht="15.75" customHeight="1"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</row>
    <row r="206" spans="8:113" ht="15.75" customHeight="1"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</row>
    <row r="207" spans="8:113" ht="15.75" customHeight="1"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</row>
    <row r="208" spans="8:113" ht="15.75" customHeight="1"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</row>
    <row r="209" spans="8:113" ht="15.75" customHeight="1"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</row>
    <row r="210" spans="8:113" ht="15.75" customHeight="1"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</row>
    <row r="211" spans="8:113" ht="15.75" customHeight="1"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</row>
    <row r="212" spans="8:113" ht="15.75" customHeight="1"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</row>
    <row r="213" spans="8:113" ht="15.75" customHeight="1"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</row>
    <row r="214" spans="8:113" ht="15.75" customHeight="1"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</row>
    <row r="215" spans="8:113" ht="15.75" customHeight="1"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</row>
    <row r="216" spans="8:113" ht="15.75" customHeight="1"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</row>
    <row r="217" spans="8:113" ht="15.75" customHeight="1"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</row>
    <row r="218" spans="8:113" ht="15.75" customHeight="1"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</row>
    <row r="219" spans="8:113" ht="15.75" customHeight="1"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</row>
    <row r="220" spans="8:113" ht="15.75" customHeight="1"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</row>
    <row r="221" spans="8:113" ht="15.75" customHeight="1"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</row>
    <row r="222" spans="8:113" ht="15.75" customHeight="1"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</row>
    <row r="223" spans="8:113" ht="15.75" customHeight="1"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</row>
    <row r="224" spans="8:113" ht="15.75" customHeight="1"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</row>
    <row r="225" spans="8:113" ht="15.75" customHeight="1"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</row>
    <row r="226" spans="8:113" ht="15.75" customHeight="1"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</row>
    <row r="227" spans="8:113" ht="15.75" customHeight="1"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</row>
    <row r="228" spans="8:113" ht="15.75" customHeight="1"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</row>
    <row r="229" spans="8:113" ht="15.75" customHeight="1"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</row>
    <row r="230" spans="8:113" ht="15.75" customHeight="1"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</row>
    <row r="231" spans="8:113" ht="15.75" customHeight="1"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</row>
    <row r="232" spans="8:113" ht="15.75" customHeight="1"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</row>
    <row r="233" spans="8:113" ht="15.75" customHeight="1"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</row>
    <row r="234" spans="8:113" ht="15.75" customHeight="1"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</row>
    <row r="235" spans="8:113" ht="15.75" customHeight="1"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</row>
    <row r="236" spans="8:113" ht="15.75" customHeight="1"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</row>
    <row r="237" spans="8:113" ht="15.75" customHeight="1"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</row>
    <row r="238" spans="8:113" ht="15.75" customHeight="1"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</row>
    <row r="239" spans="8:113" ht="15.75" customHeight="1"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</row>
    <row r="240" spans="8:113" ht="15.75" customHeight="1"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</row>
    <row r="241" spans="8:113" ht="15.75" customHeight="1"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</row>
    <row r="242" spans="8:113" ht="15.75" customHeight="1"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</row>
    <row r="243" spans="8:113" ht="15.75" customHeight="1"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</row>
    <row r="244" spans="8:113" ht="15.75" customHeight="1"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</row>
    <row r="245" spans="8:113" ht="15.75" customHeight="1"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</row>
    <row r="246" spans="8:113" ht="15.75" customHeight="1"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</row>
    <row r="247" spans="8:113" ht="15.75" customHeight="1"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</row>
    <row r="248" spans="8:113" ht="15.75" customHeight="1"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</row>
    <row r="249" spans="8:113" ht="15.75" customHeight="1"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</row>
    <row r="250" spans="8:113" ht="15.75" customHeight="1"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</row>
    <row r="251" spans="8:113" ht="15.75" customHeight="1"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</row>
    <row r="252" spans="8:113" ht="15.75" customHeight="1"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</row>
    <row r="253" spans="8:113" ht="15.75" customHeight="1"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</row>
    <row r="254" spans="8:113" ht="15.75" customHeight="1"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</row>
    <row r="255" spans="8:113" ht="15.75" customHeight="1"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</row>
    <row r="256" spans="8:113" ht="15.75" customHeight="1"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</row>
    <row r="257" spans="8:113" ht="15.75" customHeight="1"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</row>
    <row r="258" spans="8:113" ht="15.75" customHeight="1"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</row>
    <row r="259" spans="8:113" ht="15.75" customHeight="1"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</row>
    <row r="260" spans="8:113" ht="15.75" customHeight="1"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</row>
    <row r="261" spans="8:113" ht="15.75" customHeight="1"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</row>
    <row r="262" spans="8:113" ht="15.75" customHeight="1"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</row>
    <row r="263" spans="8:113" ht="15.75" customHeight="1"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</row>
    <row r="264" spans="8:113" ht="15.75" customHeight="1"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</row>
    <row r="265" spans="8:113" ht="15.75" customHeight="1"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</row>
    <row r="266" spans="8:113" ht="15.75" customHeight="1"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</row>
    <row r="267" spans="8:113" ht="15.75" customHeight="1"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</row>
    <row r="268" spans="8:113" ht="15.75" customHeight="1"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</row>
    <row r="269" spans="8:113" ht="15.75" customHeight="1"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</row>
    <row r="270" spans="8:113" ht="15.75" customHeight="1"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</row>
    <row r="271" spans="8:113" ht="15.75" customHeight="1"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</row>
    <row r="272" spans="8:113" ht="15.75" customHeight="1"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</row>
    <row r="273" spans="8:113" ht="15.75" customHeight="1"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</row>
    <row r="274" spans="8:113" ht="15.75" customHeight="1"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</row>
    <row r="275" spans="8:113" ht="15.75" customHeight="1"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</row>
    <row r="276" spans="8:113" ht="15.75" customHeight="1"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</row>
    <row r="277" spans="8:113" ht="15.75" customHeight="1"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</row>
    <row r="278" spans="8:113" ht="15.75" customHeight="1"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</row>
    <row r="279" spans="8:113" ht="15.75" customHeight="1"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</row>
    <row r="280" spans="8:113" ht="15.75" customHeight="1"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</row>
    <row r="281" spans="8:113" ht="15.75" customHeight="1"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</row>
    <row r="282" spans="8:113" ht="15.75" customHeight="1"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</row>
    <row r="283" spans="8:113" ht="15.75" customHeight="1"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</row>
    <row r="284" spans="8:113" ht="15.75" customHeight="1"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</row>
    <row r="285" spans="8:113" ht="15.75" customHeight="1"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</row>
    <row r="286" spans="8:113" ht="15.75" customHeight="1"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</row>
    <row r="287" spans="8:113" ht="15.75" customHeight="1"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</row>
    <row r="288" spans="8:113" ht="15.75" customHeight="1"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</row>
    <row r="289" spans="8:113" ht="15.75" customHeight="1"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</row>
    <row r="290" spans="8:113" ht="15.75" customHeight="1"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</row>
    <row r="291" spans="8:113" ht="15.75" customHeight="1"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</row>
    <row r="292" spans="8:113" ht="15.75" customHeight="1"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</row>
    <row r="293" spans="8:113" ht="15.75" customHeight="1"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</row>
    <row r="294" spans="8:113" ht="15.75" customHeight="1"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</row>
    <row r="295" spans="8:113" ht="15.75" customHeight="1"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</row>
    <row r="296" spans="8:113" ht="15.75" customHeight="1"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</row>
    <row r="297" spans="8:113" ht="15.75" customHeight="1"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</row>
    <row r="298" spans="8:113" ht="15.75" customHeight="1"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</row>
    <row r="299" spans="8:113" ht="15.75" customHeight="1"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</row>
    <row r="300" spans="8:113" ht="15.75" customHeight="1"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</row>
    <row r="301" spans="8:113" ht="15.75" customHeight="1"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</row>
    <row r="302" spans="8:113" ht="15.75" customHeight="1"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</row>
    <row r="303" spans="8:113" ht="15.75" customHeight="1"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</row>
    <row r="304" spans="8:113" ht="15.75" customHeight="1"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</row>
    <row r="305" spans="8:113" ht="15.75" customHeight="1"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</row>
    <row r="306" spans="8:113" ht="15.75" customHeight="1"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</row>
    <row r="307" spans="8:113" ht="15.75" customHeight="1"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</row>
    <row r="308" spans="8:113" ht="15.75" customHeight="1"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</row>
    <row r="309" spans="8:113" ht="15.75" customHeight="1"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</row>
    <row r="310" spans="8:113" ht="15.75" customHeight="1"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</row>
    <row r="311" spans="8:113" ht="15.75" customHeight="1"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</row>
    <row r="312" spans="8:113" ht="15.75" customHeight="1"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</row>
    <row r="313" spans="8:113" ht="15.75" customHeight="1"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</row>
    <row r="314" spans="8:113" ht="15.75" customHeight="1"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</row>
    <row r="315" spans="8:113" ht="15.75" customHeight="1"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</row>
    <row r="316" spans="8:113" ht="15.75" customHeight="1"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</row>
    <row r="317" spans="8:113" ht="15.75" customHeight="1"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</row>
  </sheetData>
  <mergeCells count="61">
    <mergeCell ref="BQ11:BR11"/>
    <mergeCell ref="BV11:CO11"/>
    <mergeCell ref="DC12:DG12"/>
    <mergeCell ref="DH12:DI12"/>
    <mergeCell ref="E9:F9"/>
    <mergeCell ref="S9:W9"/>
    <mergeCell ref="E10:F10"/>
    <mergeCell ref="K10:O10"/>
    <mergeCell ref="DH11:DI11"/>
    <mergeCell ref="CP11:CS11"/>
    <mergeCell ref="DC11:DG11"/>
    <mergeCell ref="K9:O9"/>
    <mergeCell ref="BL10:BP10"/>
    <mergeCell ref="BV10:CO10"/>
    <mergeCell ref="DC10:DG10"/>
    <mergeCell ref="E11:F11"/>
    <mergeCell ref="K11:O11"/>
    <mergeCell ref="S11:U11"/>
    <mergeCell ref="V11:Z11"/>
    <mergeCell ref="BL11:BP11"/>
    <mergeCell ref="BL7:BP7"/>
    <mergeCell ref="S10:U10"/>
    <mergeCell ref="V10:Z10"/>
    <mergeCell ref="BL9:BP9"/>
    <mergeCell ref="BV7:CO7"/>
    <mergeCell ref="BL8:BP8"/>
    <mergeCell ref="BV8:CO8"/>
    <mergeCell ref="F2:DH2"/>
    <mergeCell ref="F3:DH3"/>
    <mergeCell ref="F4:DH4"/>
    <mergeCell ref="F6:DH6"/>
    <mergeCell ref="K7:O7"/>
    <mergeCell ref="S7:W7"/>
    <mergeCell ref="DC7:DG7"/>
    <mergeCell ref="E7:F7"/>
    <mergeCell ref="E8:F8"/>
    <mergeCell ref="K8:O8"/>
    <mergeCell ref="S8:W8"/>
    <mergeCell ref="DC8:DG8"/>
    <mergeCell ref="DH13:DI14"/>
    <mergeCell ref="E12:F12"/>
    <mergeCell ref="K12:O12"/>
    <mergeCell ref="X12:Y12"/>
    <mergeCell ref="E13:E17"/>
    <mergeCell ref="F13:F17"/>
    <mergeCell ref="G13:G17"/>
    <mergeCell ref="H13:BV14"/>
    <mergeCell ref="BL12:BP12"/>
    <mergeCell ref="BQ12:BR12"/>
    <mergeCell ref="BV12:CO12"/>
    <mergeCell ref="BW13:CR14"/>
    <mergeCell ref="CP12:CS12"/>
    <mergeCell ref="BU15:BU16"/>
    <mergeCell ref="BV15:BV16"/>
    <mergeCell ref="CQ15:CQ16"/>
    <mergeCell ref="DC15:DC16"/>
    <mergeCell ref="DD15:DD16"/>
    <mergeCell ref="BV9:CO9"/>
    <mergeCell ref="DC9:DG9"/>
    <mergeCell ref="CS13:DD14"/>
    <mergeCell ref="DE13:DG13"/>
  </mergeCells>
  <hyperlinks>
    <hyperlink ref="F4" r:id="rId1" xr:uid="{00000000-0004-0000-0300-000000000000}"/>
  </hyperlinks>
  <pageMargins left="0.23622047244094491" right="0.23622047244094491" top="0.74803149606299213" bottom="0.74803149606299213" header="0" footer="0"/>
  <pageSetup paperSize="9" fitToWidth="0" orientation="landscape"/>
  <headerFooter>
    <oddFooter>&amp;LDocument Code: OVPAA-F-INS-055B&amp;C Revision No.: 03                                                                   Issue Date: September 16, 2024&amp;R Page 1 of 1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G1000"/>
  <sheetViews>
    <sheetView tabSelected="1" zoomScale="72" workbookViewId="0">
      <selection activeCell="I14" sqref="I14"/>
    </sheetView>
  </sheetViews>
  <sheetFormatPr defaultColWidth="14.453125" defaultRowHeight="15" customHeight="1"/>
  <cols>
    <col min="1" max="1" width="9" customWidth="1"/>
    <col min="2" max="2" width="18.7265625" customWidth="1"/>
    <col min="3" max="3" width="10.81640625" customWidth="1"/>
    <col min="4" max="4" width="18" customWidth="1"/>
    <col min="5" max="5" width="15.453125" customWidth="1"/>
    <col min="6" max="6" width="7.453125" customWidth="1"/>
    <col min="7" max="7" width="3.7265625" customWidth="1"/>
    <col min="8" max="8" width="12.26953125" customWidth="1"/>
    <col min="9" max="9" width="12" customWidth="1"/>
    <col min="10" max="11" width="10.7265625" customWidth="1"/>
    <col min="12" max="12" width="13.81640625" customWidth="1"/>
    <col min="13" max="13" width="12.1796875" customWidth="1"/>
    <col min="14" max="14" width="10.7265625" customWidth="1"/>
    <col min="15" max="16" width="11.81640625" customWidth="1"/>
    <col min="17" max="17" width="10.7265625" customWidth="1"/>
    <col min="19" max="33" width="9" customWidth="1"/>
  </cols>
  <sheetData>
    <row r="1" spans="1:33" ht="14.5">
      <c r="A1" s="174" t="s">
        <v>50</v>
      </c>
    </row>
    <row r="2" spans="1:33" ht="14.5">
      <c r="B2" s="234" t="s">
        <v>0</v>
      </c>
      <c r="C2" s="223"/>
      <c r="D2" s="223"/>
      <c r="E2" s="223"/>
      <c r="F2" s="223"/>
      <c r="G2" s="223"/>
      <c r="H2" s="223"/>
      <c r="I2" s="223"/>
      <c r="J2" s="223"/>
      <c r="K2" s="223"/>
      <c r="L2" s="223"/>
      <c r="M2" s="223"/>
      <c r="N2" s="223"/>
      <c r="O2" s="223"/>
      <c r="P2" s="223"/>
      <c r="Q2" s="223"/>
      <c r="R2" s="223"/>
    </row>
    <row r="3" spans="1:33" ht="14.5">
      <c r="B3" s="235" t="s">
        <v>1</v>
      </c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3"/>
      <c r="P3" s="223"/>
      <c r="Q3" s="223"/>
      <c r="R3" s="223"/>
    </row>
    <row r="4" spans="1:33" ht="14.5">
      <c r="B4" s="236" t="s">
        <v>2</v>
      </c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3"/>
      <c r="N4" s="223"/>
      <c r="O4" s="223"/>
      <c r="P4" s="223"/>
      <c r="Q4" s="223"/>
      <c r="R4" s="223"/>
    </row>
    <row r="5" spans="1:33" ht="14.5">
      <c r="E5" s="175"/>
      <c r="F5" s="175"/>
      <c r="G5" s="175"/>
      <c r="H5" s="175"/>
      <c r="I5" s="175"/>
      <c r="J5" s="176"/>
      <c r="K5" s="176"/>
      <c r="L5" s="176"/>
      <c r="M5" s="176"/>
      <c r="N5" s="176"/>
      <c r="O5" s="176"/>
      <c r="P5" s="176"/>
      <c r="Q5" s="176"/>
      <c r="R5" s="176"/>
    </row>
    <row r="6" spans="1:33" ht="17">
      <c r="A6" s="177"/>
      <c r="B6" s="237" t="s">
        <v>89</v>
      </c>
      <c r="C6" s="238"/>
      <c r="D6" s="238"/>
      <c r="E6" s="238"/>
      <c r="F6" s="238"/>
      <c r="G6" s="238"/>
      <c r="H6" s="238"/>
      <c r="I6" s="238"/>
      <c r="J6" s="238"/>
      <c r="K6" s="238"/>
      <c r="L6" s="238"/>
      <c r="M6" s="238"/>
      <c r="N6" s="238"/>
      <c r="O6" s="238"/>
      <c r="P6" s="238"/>
      <c r="Q6" s="238"/>
      <c r="R6" s="238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  <c r="AE6" s="177"/>
      <c r="AF6" s="177"/>
      <c r="AG6" s="177"/>
    </row>
    <row r="7" spans="1:33" ht="17">
      <c r="A7" s="226" t="s">
        <v>3</v>
      </c>
      <c r="B7" s="228"/>
      <c r="C7" s="178" t="str">
        <f>IF('Midterm OVPAA-F-INS-055A RAW SC'!G7="","",'Midterm OVPAA-F-INS-055A RAW SC'!G7)</f>
        <v>T205</v>
      </c>
      <c r="D7" s="179"/>
      <c r="E7" s="179"/>
      <c r="F7" s="230" t="s">
        <v>90</v>
      </c>
      <c r="G7" s="227"/>
      <c r="H7" s="227"/>
      <c r="I7" s="180">
        <f>IF('Midterm OVPAA-F-INS-055A RAW SC'!K10="","",'Midterm OVPAA-F-INS-055A RAW SC'!K10)</f>
        <v>3</v>
      </c>
      <c r="J7" s="181"/>
      <c r="K7" s="181"/>
      <c r="L7" s="181"/>
      <c r="M7" s="181"/>
      <c r="N7" s="181"/>
      <c r="O7" s="181"/>
      <c r="P7" s="181"/>
      <c r="Q7" s="181"/>
      <c r="R7" s="181"/>
      <c r="S7" s="182"/>
      <c r="T7" s="177"/>
      <c r="U7" s="177"/>
      <c r="V7" s="177"/>
      <c r="W7" s="177"/>
      <c r="X7" s="177"/>
      <c r="Y7" s="177"/>
      <c r="Z7" s="177"/>
      <c r="AA7" s="177"/>
      <c r="AB7" s="177"/>
      <c r="AC7" s="177"/>
      <c r="AD7" s="177"/>
      <c r="AE7" s="177"/>
      <c r="AF7" s="177"/>
      <c r="AG7" s="177"/>
    </row>
    <row r="8" spans="1:33" ht="17">
      <c r="A8" s="226" t="s">
        <v>6</v>
      </c>
      <c r="B8" s="228"/>
      <c r="C8" s="183" t="str">
        <f>IF('Midterm OVPAA-F-INS-055A RAW SC'!G8="","",'Midterm OVPAA-F-INS-055A RAW SC'!G8)</f>
        <v>BA 13131</v>
      </c>
      <c r="D8" s="184"/>
      <c r="E8" s="184"/>
      <c r="F8" s="230" t="s">
        <v>91</v>
      </c>
      <c r="G8" s="227"/>
      <c r="H8" s="227"/>
      <c r="I8" s="185" t="str">
        <f>'Midterm OVPAA-F-INS-055A RAW SC'!K7&amp;", "&amp;'Midterm OVPAA-F-INS-055A RAW SC'!K8</f>
        <v>TF, 7:30AM-10:00AM</v>
      </c>
      <c r="J8" s="184"/>
      <c r="K8" s="184"/>
      <c r="L8" s="184"/>
      <c r="M8" s="184"/>
      <c r="N8" s="184"/>
      <c r="O8" s="184"/>
      <c r="P8" s="184"/>
      <c r="Q8" s="184"/>
      <c r="R8" s="186"/>
      <c r="S8" s="177"/>
      <c r="T8" s="177"/>
      <c r="U8" s="177"/>
      <c r="V8" s="177"/>
      <c r="W8" s="177"/>
      <c r="X8" s="177"/>
      <c r="Y8" s="177"/>
      <c r="Z8" s="177"/>
      <c r="AA8" s="177"/>
      <c r="AB8" s="177"/>
      <c r="AC8" s="177"/>
      <c r="AD8" s="177"/>
      <c r="AE8" s="177"/>
      <c r="AF8" s="177"/>
      <c r="AG8" s="177"/>
    </row>
    <row r="9" spans="1:33" ht="17">
      <c r="A9" s="226" t="s">
        <v>92</v>
      </c>
      <c r="B9" s="228"/>
      <c r="C9" s="183" t="str">
        <f>IF('Midterm OVPAA-F-INS-055A RAW SC'!G9="","",'Midterm OVPAA-F-INS-055A RAW SC'!G9)</f>
        <v>Computer Programming 1</v>
      </c>
      <c r="D9" s="184"/>
      <c r="E9" s="184"/>
      <c r="F9" s="239" t="s">
        <v>93</v>
      </c>
      <c r="G9" s="238"/>
      <c r="H9" s="240"/>
      <c r="I9" s="188" t="str">
        <f>IF('Midterm OVPAA-F-INS-055A RAW SC'!K9="","",'Midterm OVPAA-F-INS-055A RAW SC'!K9)</f>
        <v>Lab 7</v>
      </c>
      <c r="J9" s="181"/>
      <c r="K9" s="181"/>
      <c r="L9" s="181"/>
      <c r="M9" s="181"/>
      <c r="N9" s="181"/>
      <c r="O9" s="181"/>
      <c r="P9" s="181"/>
      <c r="Q9" s="181"/>
      <c r="R9" s="186"/>
      <c r="S9" s="182"/>
      <c r="T9" s="177"/>
      <c r="U9" s="177"/>
      <c r="V9" s="177"/>
      <c r="W9" s="177"/>
      <c r="X9" s="177"/>
      <c r="Y9" s="177"/>
      <c r="Z9" s="177"/>
      <c r="AA9" s="177"/>
      <c r="AB9" s="177"/>
      <c r="AC9" s="177"/>
      <c r="AD9" s="177"/>
      <c r="AE9" s="177"/>
      <c r="AF9" s="177"/>
      <c r="AG9" s="177"/>
    </row>
    <row r="10" spans="1:33" ht="17">
      <c r="A10" s="226" t="s">
        <v>94</v>
      </c>
      <c r="B10" s="228"/>
      <c r="C10" s="178" t="str">
        <f>'Midterm OVPAA-F-INS-055A RAW SC'!G10&amp;"/"&amp;'Midterm OVPAA-F-INS-055A RAW SC'!G11</f>
        <v>2nd Sem/2025-2026</v>
      </c>
      <c r="D10" s="179"/>
      <c r="E10" s="186"/>
      <c r="F10" s="230"/>
      <c r="G10" s="227"/>
      <c r="H10" s="228"/>
      <c r="I10" s="187"/>
      <c r="J10" s="184"/>
      <c r="K10" s="184"/>
      <c r="L10" s="184"/>
      <c r="M10" s="184"/>
      <c r="N10" s="184"/>
      <c r="O10" s="184"/>
      <c r="P10" s="184"/>
      <c r="Q10" s="184"/>
      <c r="R10" s="186"/>
      <c r="S10" s="182"/>
      <c r="T10" s="177"/>
      <c r="U10" s="177"/>
      <c r="V10" s="177"/>
      <c r="W10" s="177"/>
      <c r="X10" s="177"/>
      <c r="Y10" s="177"/>
      <c r="Z10" s="177"/>
      <c r="AA10" s="177"/>
      <c r="AB10" s="177"/>
      <c r="AC10" s="177"/>
      <c r="AD10" s="177"/>
      <c r="AE10" s="177"/>
      <c r="AF10" s="177"/>
      <c r="AG10" s="177"/>
    </row>
    <row r="11" spans="1:33" ht="17">
      <c r="A11" s="189"/>
      <c r="B11" s="189"/>
      <c r="C11" s="181"/>
      <c r="D11" s="181"/>
      <c r="E11" s="181"/>
      <c r="F11" s="231" t="s">
        <v>95</v>
      </c>
      <c r="G11" s="227"/>
      <c r="H11" s="227"/>
      <c r="I11" s="227"/>
      <c r="J11" s="228"/>
      <c r="K11" s="231" t="s">
        <v>96</v>
      </c>
      <c r="L11" s="227"/>
      <c r="M11" s="227"/>
      <c r="N11" s="228"/>
      <c r="O11" s="232" t="s">
        <v>97</v>
      </c>
      <c r="P11" s="223"/>
      <c r="Q11" s="233"/>
      <c r="R11" s="190"/>
      <c r="S11" s="177"/>
      <c r="T11" s="177"/>
      <c r="U11" s="177"/>
      <c r="V11" s="177"/>
      <c r="W11" s="177"/>
      <c r="X11" s="177"/>
      <c r="Y11" s="177"/>
      <c r="Z11" s="177"/>
      <c r="AA11" s="177"/>
      <c r="AB11" s="177"/>
      <c r="AC11" s="177"/>
      <c r="AD11" s="177"/>
      <c r="AE11" s="177"/>
      <c r="AF11" s="177"/>
      <c r="AG11" s="177"/>
    </row>
    <row r="12" spans="1:33" ht="17">
      <c r="A12" s="191" t="s">
        <v>98</v>
      </c>
      <c r="B12" s="191" t="s">
        <v>99</v>
      </c>
      <c r="C12" s="231" t="s">
        <v>100</v>
      </c>
      <c r="D12" s="227"/>
      <c r="E12" s="228"/>
      <c r="F12" s="231" t="str">
        <f>_xlfn.CONCAT(_xlfn.CONCAT("CS (",'Finalterm OVPAA-F-INS-055B CLAS'!DE15*100),"%)")</f>
        <v>CS (30%)</v>
      </c>
      <c r="G12" s="228"/>
      <c r="H12" s="192" t="str">
        <f>_xlfn.CONCAT(_xlfn.CONCAT("LAB (",'Finalterm OVPAA-F-INS-055B CLAS'!DF15*100),"%)")</f>
        <v>LAB (30%)</v>
      </c>
      <c r="I12" s="221" t="str">
        <f>_xlfn.CONCAT(_xlfn.CONCAT("LAB (",'Finalterm OVPAA-F-INS-055B CLAS'!DG15*100),"%)")</f>
        <v>LAB (40%)</v>
      </c>
      <c r="J12" s="191" t="s">
        <v>101</v>
      </c>
      <c r="K12" s="191" t="str">
        <f>_xlfn.CONCAT(_xlfn.CONCAT("CS (",'Finalterm OVPAA-F-INS-055B CLAS'!DE15*100),"%)")</f>
        <v>CS (30%)</v>
      </c>
      <c r="L12" s="221" t="str">
        <f>_xlfn.CONCAT(_xlfn.CONCAT("LAB (",'Finalterm OVPAA-F-INS-055B CLAS'!DF15*100),"%)")</f>
        <v>LAB (30%)</v>
      </c>
      <c r="M12" s="221" t="str">
        <f>_xlfn.CONCAT(_xlfn.CONCAT("MO (",'Finalterm OVPAA-F-INS-055B CLAS'!DG15*100),"%)")</f>
        <v>MO (40%)</v>
      </c>
      <c r="N12" s="191" t="s">
        <v>102</v>
      </c>
      <c r="O12" s="191" t="s">
        <v>103</v>
      </c>
      <c r="P12" s="191" t="s">
        <v>104</v>
      </c>
      <c r="Q12" s="191" t="s">
        <v>75</v>
      </c>
      <c r="R12" s="191" t="s">
        <v>105</v>
      </c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</row>
    <row r="13" spans="1:33" ht="17">
      <c r="A13" s="193">
        <v>1</v>
      </c>
      <c r="B13" s="193">
        <f>IF(NOT(ISBLANK('Midterm OVPAA-F-INS-055A RAW SC'!F18)),'Midterm OVPAA-F-INS-055A RAW SC'!F18,"")</f>
        <v>2201102063</v>
      </c>
      <c r="C13" s="226" t="str">
        <f>IF(NOT(ISBLANK('Midterm OVPAA-F-INS-055A RAW SC'!G18)),'Midterm OVPAA-F-INS-055A RAW SC'!G18,"")</f>
        <v>Amparado, Kendrick</v>
      </c>
      <c r="D13" s="227"/>
      <c r="E13" s="228"/>
      <c r="F13" s="229">
        <v>2.25</v>
      </c>
      <c r="G13" s="228"/>
      <c r="H13" s="194">
        <v>2.25</v>
      </c>
      <c r="I13" s="195">
        <v>5</v>
      </c>
      <c r="J13" s="195">
        <v>2.25</v>
      </c>
      <c r="K13" s="195">
        <f>'Finalterm OVPAA-F-INS-055B CLAS'!BV18</f>
        <v>5</v>
      </c>
      <c r="L13" s="195">
        <f>'Finalterm OVPAA-F-INS-055B CLAS'!CR18</f>
        <v>5</v>
      </c>
      <c r="M13" s="195">
        <f>'Finalterm OVPAA-F-INS-055B CLAS'!DD18</f>
        <v>5</v>
      </c>
      <c r="N13" s="195" t="str">
        <f>'Finalterm OVPAA-F-INS-055B CLAS'!DI18</f>
        <v>5.00</v>
      </c>
      <c r="O13" s="195">
        <f t="shared" ref="O13:O112" si="0">J13</f>
        <v>2.25</v>
      </c>
      <c r="P13" s="195" t="str">
        <f t="shared" ref="P13:P112" si="1">N13</f>
        <v>5.00</v>
      </c>
      <c r="Q13" s="195" t="str">
        <f t="shared" ref="Q13:Q112" si="2">IF(O13="","",IF(P13="","",LOOKUP(((((O13/3)+((P13/3)*2)))),{0,1.1251,1.3751,1.6251,1.8751,2.1251,2.3751,2.6251,2.8751,3.1251,9},{"1.00","1.25","1.50","1.75","2.00","2.25","2.50","2.75","3.00","5.00"})))</f>
        <v>5.00</v>
      </c>
      <c r="R13" s="196" t="s">
        <v>130</v>
      </c>
      <c r="S13" s="177"/>
      <c r="T13" s="177"/>
      <c r="U13" s="177"/>
      <c r="V13" s="177"/>
      <c r="W13" s="177"/>
      <c r="X13" s="177"/>
      <c r="Y13" s="177"/>
      <c r="Z13" s="177"/>
      <c r="AA13" s="177"/>
      <c r="AB13" s="177"/>
      <c r="AC13" s="177"/>
      <c r="AD13" s="177"/>
      <c r="AE13" s="177"/>
      <c r="AF13" s="177"/>
      <c r="AG13" s="177"/>
    </row>
    <row r="14" spans="1:33" ht="17">
      <c r="A14" s="193">
        <v>2</v>
      </c>
      <c r="B14" s="193">
        <f>IF(NOT(ISBLANK('Midterm OVPAA-F-INS-055A RAW SC'!F19)),'Midterm OVPAA-F-INS-055A RAW SC'!F19,"")</f>
        <v>10</v>
      </c>
      <c r="C14" s="226" t="str">
        <f>IF(NOT(ISBLANK('Midterm OVPAA-F-INS-055A RAW SC'!G19)),'Midterm OVPAA-F-INS-055A RAW SC'!G19,"")</f>
        <v>Añonuevo, Thomas Franz</v>
      </c>
      <c r="D14" s="227"/>
      <c r="E14" s="228"/>
      <c r="F14" s="229">
        <f>'MidTerm OVPAA-F-INS-055B CLASS'!BV19</f>
        <v>2.25</v>
      </c>
      <c r="G14" s="228"/>
      <c r="H14" s="194">
        <f>'MidTerm OVPAA-F-INS-055B CLASS'!CR19</f>
        <v>1.5</v>
      </c>
      <c r="I14" s="195">
        <f>'MidTerm OVPAA-F-INS-055B CLASS'!DD19</f>
        <v>3</v>
      </c>
      <c r="J14" s="195" t="str">
        <f>'MidTerm OVPAA-F-INS-055B CLASS'!DI19</f>
        <v>2.25</v>
      </c>
      <c r="K14" s="195">
        <f>'Finalterm OVPAA-F-INS-055B CLAS'!BV19</f>
        <v>1</v>
      </c>
      <c r="L14" s="195">
        <f>'Finalterm OVPAA-F-INS-055B CLAS'!CR19</f>
        <v>5</v>
      </c>
      <c r="M14" s="195">
        <f>'Finalterm OVPAA-F-INS-055B CLAS'!DD19</f>
        <v>2.75</v>
      </c>
      <c r="N14" s="195" t="str">
        <f>'Finalterm OVPAA-F-INS-055B CLAS'!DI19</f>
        <v>3.00</v>
      </c>
      <c r="O14" s="195" t="str">
        <f t="shared" si="0"/>
        <v>2.25</v>
      </c>
      <c r="P14" s="195" t="str">
        <f t="shared" si="1"/>
        <v>3.00</v>
      </c>
      <c r="Q14" s="195" t="str">
        <f t="shared" si="2"/>
        <v>2.75</v>
      </c>
      <c r="R14" s="196" t="s">
        <v>106</v>
      </c>
      <c r="S14" s="177"/>
      <c r="T14" s="177"/>
      <c r="U14" s="177"/>
      <c r="V14" s="177"/>
      <c r="W14" s="177"/>
      <c r="X14" s="177"/>
      <c r="Y14" s="177"/>
      <c r="Z14" s="177"/>
      <c r="AA14" s="177"/>
      <c r="AB14" s="177"/>
      <c r="AC14" s="177"/>
      <c r="AD14" s="177"/>
      <c r="AE14" s="177"/>
      <c r="AF14" s="177"/>
      <c r="AG14" s="177"/>
    </row>
    <row r="15" spans="1:33" ht="17">
      <c r="A15" s="193">
        <v>3</v>
      </c>
      <c r="B15" s="193">
        <f>IF(NOT(ISBLANK('Midterm OVPAA-F-INS-055A RAW SC'!F20)),'Midterm OVPAA-F-INS-055A RAW SC'!F20,"")</f>
        <v>11</v>
      </c>
      <c r="C15" s="226" t="str">
        <f>IF(NOT(ISBLANK('Midterm OVPAA-F-INS-055A RAW SC'!G20)),'Midterm OVPAA-F-INS-055A RAW SC'!G20,"")</f>
        <v>Cabuco, Dean Krist A.</v>
      </c>
      <c r="D15" s="227"/>
      <c r="E15" s="228"/>
      <c r="F15" s="229">
        <f>'MidTerm OVPAA-F-INS-055B CLASS'!BV20</f>
        <v>2.75</v>
      </c>
      <c r="G15" s="228"/>
      <c r="H15" s="194">
        <f>'MidTerm OVPAA-F-INS-055B CLASS'!CR20</f>
        <v>1</v>
      </c>
      <c r="I15" s="195">
        <f>'MidTerm OVPAA-F-INS-055B CLASS'!DD20</f>
        <v>1.25</v>
      </c>
      <c r="J15" s="195" t="str">
        <f>'MidTerm OVPAA-F-INS-055B CLASS'!DI20</f>
        <v>1.50</v>
      </c>
      <c r="K15" s="195">
        <f>'Finalterm OVPAA-F-INS-055B CLAS'!BV20</f>
        <v>5</v>
      </c>
      <c r="L15" s="195">
        <f>'Finalterm OVPAA-F-INS-055B CLAS'!CR20</f>
        <v>3.75</v>
      </c>
      <c r="M15" s="195">
        <f>'Finalterm OVPAA-F-INS-055B CLAS'!DD20</f>
        <v>2.5</v>
      </c>
      <c r="N15" s="195" t="str">
        <f>'Finalterm OVPAA-F-INS-055B CLAS'!DI20</f>
        <v>3.50</v>
      </c>
      <c r="O15" s="195" t="str">
        <f t="shared" si="0"/>
        <v>1.50</v>
      </c>
      <c r="P15" s="195" t="str">
        <f t="shared" si="1"/>
        <v>3.50</v>
      </c>
      <c r="Q15" s="195" t="str">
        <f t="shared" si="2"/>
        <v>2.75</v>
      </c>
      <c r="R15" s="196" t="s">
        <v>106</v>
      </c>
      <c r="S15" s="177"/>
      <c r="T15" s="177"/>
      <c r="U15" s="177"/>
      <c r="V15" s="177"/>
      <c r="W15" s="177"/>
      <c r="X15" s="177"/>
      <c r="Y15" s="177"/>
      <c r="Z15" s="177"/>
      <c r="AA15" s="177"/>
      <c r="AB15" s="177"/>
      <c r="AC15" s="177"/>
      <c r="AD15" s="177"/>
      <c r="AE15" s="177"/>
      <c r="AF15" s="177"/>
      <c r="AG15" s="177"/>
    </row>
    <row r="16" spans="1:33" ht="17">
      <c r="A16" s="193">
        <v>4</v>
      </c>
      <c r="B16" s="193">
        <f>IF(NOT(ISBLANK('Midterm OVPAA-F-INS-055A RAW SC'!F21)),'Midterm OVPAA-F-INS-055A RAW SC'!F21,"")</f>
        <v>12</v>
      </c>
      <c r="C16" s="226" t="str">
        <f>IF(NOT(ISBLANK('Midterm OVPAA-F-INS-055A RAW SC'!G21)),'Midterm OVPAA-F-INS-055A RAW SC'!G21,"")</f>
        <v>De Guzman, Jim Dale Manong</v>
      </c>
      <c r="D16" s="227"/>
      <c r="E16" s="228"/>
      <c r="F16" s="229">
        <f>'MidTerm OVPAA-F-INS-055B CLASS'!BV21</f>
        <v>2.25</v>
      </c>
      <c r="G16" s="228"/>
      <c r="H16" s="194">
        <f>'MidTerm OVPAA-F-INS-055B CLASS'!CR21</f>
        <v>1.5</v>
      </c>
      <c r="I16" s="195">
        <f>'MidTerm OVPAA-F-INS-055B CLASS'!DD21</f>
        <v>2.25</v>
      </c>
      <c r="J16" s="195" t="str">
        <f>'MidTerm OVPAA-F-INS-055B CLASS'!DI21</f>
        <v>2.00</v>
      </c>
      <c r="K16" s="195">
        <f>'Finalterm OVPAA-F-INS-055B CLAS'!BV21</f>
        <v>2.75</v>
      </c>
      <c r="L16" s="195">
        <f>'Finalterm OVPAA-F-INS-055B CLAS'!CR21</f>
        <v>3.5</v>
      </c>
      <c r="M16" s="195">
        <f>'Finalterm OVPAA-F-INS-055B CLAS'!DD21</f>
        <v>2.5</v>
      </c>
      <c r="N16" s="195" t="str">
        <f>'Finalterm OVPAA-F-INS-055B CLAS'!DI21</f>
        <v>2.75</v>
      </c>
      <c r="O16" s="195" t="str">
        <f t="shared" si="0"/>
        <v>2.00</v>
      </c>
      <c r="P16" s="195" t="str">
        <f t="shared" si="1"/>
        <v>2.75</v>
      </c>
      <c r="Q16" s="195" t="str">
        <f t="shared" si="2"/>
        <v>2.50</v>
      </c>
      <c r="R16" s="196" t="s">
        <v>106</v>
      </c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</row>
    <row r="17" spans="1:33" ht="17">
      <c r="A17" s="193">
        <v>5</v>
      </c>
      <c r="B17" s="193">
        <f>IF(NOT(ISBLANK('Midterm OVPAA-F-INS-055A RAW SC'!F22)),'Midterm OVPAA-F-INS-055A RAW SC'!F22,"")</f>
        <v>13</v>
      </c>
      <c r="C17" s="226" t="str">
        <f>IF(NOT(ISBLANK('Midterm OVPAA-F-INS-055A RAW SC'!G22)),'Midterm OVPAA-F-INS-055A RAW SC'!G22,"")</f>
        <v>Dela Cerna, Johann Derek Javier</v>
      </c>
      <c r="D17" s="227"/>
      <c r="E17" s="228"/>
      <c r="F17" s="229">
        <f>'MidTerm OVPAA-F-INS-055B CLASS'!BV22</f>
        <v>1.75</v>
      </c>
      <c r="G17" s="228"/>
      <c r="H17" s="194">
        <f>'MidTerm OVPAA-F-INS-055B CLASS'!CR22</f>
        <v>1.5</v>
      </c>
      <c r="I17" s="195">
        <f>'MidTerm OVPAA-F-INS-055B CLASS'!DD22</f>
        <v>1.75</v>
      </c>
      <c r="J17" s="195" t="str">
        <f>'MidTerm OVPAA-F-INS-055B CLASS'!DI22</f>
        <v>1.75</v>
      </c>
      <c r="K17" s="195">
        <f>'Finalterm OVPAA-F-INS-055B CLAS'!BV22</f>
        <v>3.5</v>
      </c>
      <c r="L17" s="195">
        <f>'Finalterm OVPAA-F-INS-055B CLAS'!CR22</f>
        <v>2</v>
      </c>
      <c r="M17" s="195">
        <f>'Finalterm OVPAA-F-INS-055B CLAS'!DD22</f>
        <v>1.5</v>
      </c>
      <c r="N17" s="195" t="str">
        <f>'Finalterm OVPAA-F-INS-055B CLAS'!DI22</f>
        <v>2.25</v>
      </c>
      <c r="O17" s="195" t="str">
        <f t="shared" si="0"/>
        <v>1.75</v>
      </c>
      <c r="P17" s="195" t="str">
        <f t="shared" si="1"/>
        <v>2.25</v>
      </c>
      <c r="Q17" s="195" t="str">
        <f t="shared" si="2"/>
        <v>2.00</v>
      </c>
      <c r="R17" s="196" t="s">
        <v>106</v>
      </c>
      <c r="S17" s="177"/>
      <c r="T17" s="177"/>
      <c r="U17" s="177"/>
      <c r="V17" s="177"/>
      <c r="W17" s="177"/>
      <c r="X17" s="177"/>
      <c r="Y17" s="177"/>
      <c r="Z17" s="177"/>
      <c r="AA17" s="177"/>
      <c r="AB17" s="177"/>
      <c r="AC17" s="177"/>
      <c r="AD17" s="177"/>
      <c r="AE17" s="177"/>
      <c r="AF17" s="177"/>
      <c r="AG17" s="177"/>
    </row>
    <row r="18" spans="1:33" ht="17">
      <c r="A18" s="193">
        <v>6</v>
      </c>
      <c r="B18" s="193">
        <f>IF(NOT(ISBLANK('Midterm OVPAA-F-INS-055A RAW SC'!F23)),'Midterm OVPAA-F-INS-055A RAW SC'!F23,"")</f>
        <v>14</v>
      </c>
      <c r="C18" s="226" t="str">
        <f>IF(NOT(ISBLANK('Midterm OVPAA-F-INS-055A RAW SC'!G23)),'Midterm OVPAA-F-INS-055A RAW SC'!G23,"")</f>
        <v>Delfin, Kyle Arnie Jopson</v>
      </c>
      <c r="D18" s="227"/>
      <c r="E18" s="228"/>
      <c r="F18" s="229">
        <f>'MidTerm OVPAA-F-INS-055B CLASS'!BV23</f>
        <v>3</v>
      </c>
      <c r="G18" s="228"/>
      <c r="H18" s="194">
        <f>'MidTerm OVPAA-F-INS-055B CLASS'!CR23</f>
        <v>1.25</v>
      </c>
      <c r="I18" s="195">
        <f>'MidTerm OVPAA-F-INS-055B CLASS'!DD23</f>
        <v>1.5</v>
      </c>
      <c r="J18" s="195" t="str">
        <f>'MidTerm OVPAA-F-INS-055B CLASS'!DI23</f>
        <v>1.75</v>
      </c>
      <c r="K18" s="195">
        <f>'Finalterm OVPAA-F-INS-055B CLAS'!BV23</f>
        <v>2.25</v>
      </c>
      <c r="L18" s="195">
        <f>'Finalterm OVPAA-F-INS-055B CLAS'!CR23</f>
        <v>5</v>
      </c>
      <c r="M18" s="195">
        <f>'Finalterm OVPAA-F-INS-055B CLAS'!DD23</f>
        <v>1.25</v>
      </c>
      <c r="N18" s="195" t="str">
        <f>'Finalterm OVPAA-F-INS-055B CLAS'!DI23</f>
        <v>2.75</v>
      </c>
      <c r="O18" s="195" t="str">
        <f t="shared" si="0"/>
        <v>1.75</v>
      </c>
      <c r="P18" s="195" t="str">
        <f t="shared" si="1"/>
        <v>2.75</v>
      </c>
      <c r="Q18" s="195" t="str">
        <f t="shared" si="2"/>
        <v>2.50</v>
      </c>
      <c r="R18" s="196" t="s">
        <v>106</v>
      </c>
      <c r="S18" s="177"/>
      <c r="T18" s="177"/>
      <c r="U18" s="177"/>
      <c r="V18" s="177"/>
      <c r="W18" s="177"/>
      <c r="X18" s="177"/>
      <c r="Y18" s="177"/>
      <c r="Z18" s="177"/>
      <c r="AA18" s="177"/>
      <c r="AB18" s="177"/>
      <c r="AC18" s="177"/>
      <c r="AD18" s="177"/>
      <c r="AE18" s="177"/>
      <c r="AF18" s="177"/>
      <c r="AG18" s="177"/>
    </row>
    <row r="19" spans="1:33" ht="17">
      <c r="A19" s="193">
        <v>7</v>
      </c>
      <c r="B19" s="193">
        <f>IF(NOT(ISBLANK('Midterm OVPAA-F-INS-055A RAW SC'!F24)),'Midterm OVPAA-F-INS-055A RAW SC'!F24,"")</f>
        <v>15</v>
      </c>
      <c r="C19" s="226" t="str">
        <f>IF(NOT(ISBLANK('Midterm OVPAA-F-INS-055A RAW SC'!G24)),'Midterm OVPAA-F-INS-055A RAW SC'!G24,"")</f>
        <v>Gumapac, Jannerie</v>
      </c>
      <c r="D19" s="227"/>
      <c r="E19" s="228"/>
      <c r="F19" s="229">
        <f>'MidTerm OVPAA-F-INS-055B CLASS'!BV24</f>
        <v>2.75</v>
      </c>
      <c r="G19" s="228"/>
      <c r="H19" s="194">
        <f>'MidTerm OVPAA-F-INS-055B CLASS'!CR24</f>
        <v>1.75</v>
      </c>
      <c r="I19" s="195">
        <f>'MidTerm OVPAA-F-INS-055B CLASS'!DD24</f>
        <v>2.25</v>
      </c>
      <c r="J19" s="195" t="str">
        <f>'MidTerm OVPAA-F-INS-055B CLASS'!DI24</f>
        <v>2.25</v>
      </c>
      <c r="K19" s="195">
        <f>'Finalterm OVPAA-F-INS-055B CLAS'!BV24</f>
        <v>2.25</v>
      </c>
      <c r="L19" s="195">
        <f>'Finalterm OVPAA-F-INS-055B CLAS'!CR24</f>
        <v>5</v>
      </c>
      <c r="M19" s="195">
        <f>'Finalterm OVPAA-F-INS-055B CLAS'!DD24</f>
        <v>2</v>
      </c>
      <c r="N19" s="195" t="str">
        <f>'Finalterm OVPAA-F-INS-055B CLAS'!DI24</f>
        <v>3.00</v>
      </c>
      <c r="O19" s="195" t="str">
        <f t="shared" si="0"/>
        <v>2.25</v>
      </c>
      <c r="P19" s="195" t="str">
        <f t="shared" si="1"/>
        <v>3.00</v>
      </c>
      <c r="Q19" s="195" t="str">
        <f t="shared" si="2"/>
        <v>2.75</v>
      </c>
      <c r="R19" s="196" t="s">
        <v>106</v>
      </c>
      <c r="S19" s="177"/>
      <c r="T19" s="177"/>
      <c r="U19" s="177"/>
      <c r="V19" s="177"/>
      <c r="W19" s="177"/>
      <c r="X19" s="177"/>
      <c r="Y19" s="177"/>
      <c r="Z19" s="177"/>
      <c r="AA19" s="177"/>
      <c r="AB19" s="177"/>
      <c r="AC19" s="177"/>
      <c r="AD19" s="177"/>
      <c r="AE19" s="177"/>
      <c r="AF19" s="177"/>
      <c r="AG19" s="177"/>
    </row>
    <row r="20" spans="1:33" ht="17">
      <c r="A20" s="193">
        <v>8</v>
      </c>
      <c r="B20" s="193">
        <f>IF(NOT(ISBLANK('Midterm OVPAA-F-INS-055A RAW SC'!F25)),'Midterm OVPAA-F-INS-055A RAW SC'!F25,"")</f>
        <v>16</v>
      </c>
      <c r="C20" s="226" t="str">
        <f>IF(NOT(ISBLANK('Midterm OVPAA-F-INS-055A RAW SC'!G25)),'Midterm OVPAA-F-INS-055A RAW SC'!G25,"")</f>
        <v>Lantinay, Pol Edison</v>
      </c>
      <c r="D20" s="227"/>
      <c r="E20" s="228"/>
      <c r="F20" s="229">
        <f>'MidTerm OVPAA-F-INS-055B CLASS'!BV25</f>
        <v>2.25</v>
      </c>
      <c r="G20" s="228"/>
      <c r="H20" s="194">
        <f>'MidTerm OVPAA-F-INS-055B CLASS'!CR25</f>
        <v>1.25</v>
      </c>
      <c r="I20" s="195">
        <f>'MidTerm OVPAA-F-INS-055B CLASS'!DD25</f>
        <v>1.5</v>
      </c>
      <c r="J20" s="195" t="str">
        <f>'MidTerm OVPAA-F-INS-055B CLASS'!DI25</f>
        <v>1.75</v>
      </c>
      <c r="K20" s="195">
        <f>'Finalterm OVPAA-F-INS-055B CLAS'!BV25</f>
        <v>2.25</v>
      </c>
      <c r="L20" s="195">
        <f>'Finalterm OVPAA-F-INS-055B CLAS'!CR25</f>
        <v>4</v>
      </c>
      <c r="M20" s="195">
        <f>'Finalterm OVPAA-F-INS-055B CLAS'!DD25</f>
        <v>1.25</v>
      </c>
      <c r="N20" s="195" t="str">
        <f>'Finalterm OVPAA-F-INS-055B CLAS'!DI25</f>
        <v>2.25</v>
      </c>
      <c r="O20" s="195" t="str">
        <f t="shared" si="0"/>
        <v>1.75</v>
      </c>
      <c r="P20" s="195" t="str">
        <f t="shared" si="1"/>
        <v>2.25</v>
      </c>
      <c r="Q20" s="195" t="str">
        <f t="shared" si="2"/>
        <v>2.00</v>
      </c>
      <c r="R20" s="196" t="s">
        <v>106</v>
      </c>
      <c r="S20" s="177"/>
      <c r="T20" s="177"/>
      <c r="U20" s="177"/>
      <c r="V20" s="177"/>
      <c r="W20" s="177"/>
      <c r="X20" s="177"/>
      <c r="Y20" s="177"/>
      <c r="Z20" s="177"/>
      <c r="AA20" s="177"/>
      <c r="AB20" s="177"/>
      <c r="AC20" s="177"/>
      <c r="AD20" s="177"/>
      <c r="AE20" s="177"/>
      <c r="AF20" s="177"/>
      <c r="AG20" s="177"/>
    </row>
    <row r="21" spans="1:33" ht="15.75" customHeight="1">
      <c r="A21" s="193">
        <v>9</v>
      </c>
      <c r="B21" s="193">
        <f>IF(NOT(ISBLANK('Midterm OVPAA-F-INS-055A RAW SC'!F26)),'Midterm OVPAA-F-INS-055A RAW SC'!F26,"")</f>
        <v>17</v>
      </c>
      <c r="C21" s="226" t="str">
        <f>IF(NOT(ISBLANK('Midterm OVPAA-F-INS-055A RAW SC'!G26)),'Midterm OVPAA-F-INS-055A RAW SC'!G26,"")</f>
        <v>Lintawahan, Maria Elisabeth</v>
      </c>
      <c r="D21" s="227"/>
      <c r="E21" s="228"/>
      <c r="F21" s="229">
        <f>'MidTerm OVPAA-F-INS-055B CLASS'!BV26</f>
        <v>2</v>
      </c>
      <c r="G21" s="228"/>
      <c r="H21" s="194">
        <f>'MidTerm OVPAA-F-INS-055B CLASS'!CR26</f>
        <v>1.75</v>
      </c>
      <c r="I21" s="195">
        <f>'MidTerm OVPAA-F-INS-055B CLASS'!DD26</f>
        <v>1.75</v>
      </c>
      <c r="J21" s="195" t="str">
        <f>'MidTerm OVPAA-F-INS-055B CLASS'!DI26</f>
        <v>1.75</v>
      </c>
      <c r="K21" s="195">
        <f>'Finalterm OVPAA-F-INS-055B CLAS'!BV26</f>
        <v>5</v>
      </c>
      <c r="L21" s="195">
        <f>'Finalterm OVPAA-F-INS-055B CLAS'!CR26</f>
        <v>5</v>
      </c>
      <c r="M21" s="195">
        <f>'Finalterm OVPAA-F-INS-055B CLAS'!DD26</f>
        <v>2.5</v>
      </c>
      <c r="N21" s="195" t="str">
        <f>'Finalterm OVPAA-F-INS-055B CLAS'!DI26</f>
        <v>5.00</v>
      </c>
      <c r="O21" s="195" t="str">
        <f t="shared" si="0"/>
        <v>1.75</v>
      </c>
      <c r="P21" s="195" t="str">
        <f t="shared" si="1"/>
        <v>5.00</v>
      </c>
      <c r="Q21" s="195" t="str">
        <f t="shared" si="2"/>
        <v>5.00</v>
      </c>
      <c r="R21" s="196" t="s">
        <v>130</v>
      </c>
      <c r="S21" s="177"/>
      <c r="T21" s="177"/>
      <c r="U21" s="177"/>
      <c r="V21" s="177"/>
      <c r="W21" s="177"/>
      <c r="X21" s="177"/>
      <c r="Y21" s="177"/>
      <c r="Z21" s="177"/>
      <c r="AA21" s="177"/>
      <c r="AB21" s="177"/>
      <c r="AC21" s="177"/>
      <c r="AD21" s="177"/>
      <c r="AE21" s="177"/>
      <c r="AF21" s="177"/>
      <c r="AG21" s="177"/>
    </row>
    <row r="22" spans="1:33" ht="15.75" customHeight="1">
      <c r="A22" s="193">
        <v>10</v>
      </c>
      <c r="B22" s="193">
        <f>IF(NOT(ISBLANK('Midterm OVPAA-F-INS-055A RAW SC'!F27)),'Midterm OVPAA-F-INS-055A RAW SC'!F27,"")</f>
        <v>18</v>
      </c>
      <c r="C22" s="226" t="str">
        <f>IF(NOT(ISBLANK('Midterm OVPAA-F-INS-055A RAW SC'!G27)),'Midterm OVPAA-F-INS-055A RAW SC'!G27,"")</f>
        <v>Lisondra, Christian Earl</v>
      </c>
      <c r="D22" s="227"/>
      <c r="E22" s="228"/>
      <c r="F22" s="229">
        <f>'MidTerm OVPAA-F-INS-055B CLASS'!BV27</f>
        <v>2.25</v>
      </c>
      <c r="G22" s="228"/>
      <c r="H22" s="194">
        <f>'MidTerm OVPAA-F-INS-055B CLASS'!CR27</f>
        <v>1.75</v>
      </c>
      <c r="I22" s="195">
        <f>'MidTerm OVPAA-F-INS-055B CLASS'!DD27</f>
        <v>2.25</v>
      </c>
      <c r="J22" s="195" t="str">
        <f>'MidTerm OVPAA-F-INS-055B CLASS'!DI27</f>
        <v>2.00</v>
      </c>
      <c r="K22" s="195">
        <f>'Finalterm OVPAA-F-INS-055B CLAS'!BV27</f>
        <v>1.25</v>
      </c>
      <c r="L22" s="195">
        <f>'Finalterm OVPAA-F-INS-055B CLAS'!CR27</f>
        <v>1.75</v>
      </c>
      <c r="M22" s="195">
        <f>'Finalterm OVPAA-F-INS-055B CLAS'!DD27</f>
        <v>2</v>
      </c>
      <c r="N22" s="195" t="str">
        <f>'Finalterm OVPAA-F-INS-055B CLAS'!DI27</f>
        <v>1.75</v>
      </c>
      <c r="O22" s="195" t="str">
        <f t="shared" si="0"/>
        <v>2.00</v>
      </c>
      <c r="P22" s="195" t="str">
        <f t="shared" si="1"/>
        <v>1.75</v>
      </c>
      <c r="Q22" s="195" t="str">
        <f t="shared" si="2"/>
        <v>1.75</v>
      </c>
      <c r="R22" s="196" t="s">
        <v>106</v>
      </c>
      <c r="S22" s="177"/>
      <c r="T22" s="177"/>
      <c r="U22" s="177"/>
      <c r="V22" s="177"/>
      <c r="W22" s="177"/>
      <c r="X22" s="177"/>
      <c r="Y22" s="177"/>
      <c r="Z22" s="177"/>
      <c r="AA22" s="177"/>
      <c r="AB22" s="177"/>
      <c r="AC22" s="177"/>
      <c r="AD22" s="177"/>
      <c r="AE22" s="177"/>
      <c r="AF22" s="177"/>
      <c r="AG22" s="177"/>
    </row>
    <row r="23" spans="1:33" ht="15.75" customHeight="1">
      <c r="A23" s="193">
        <v>11</v>
      </c>
      <c r="B23" s="193">
        <f>IF(NOT(ISBLANK('Midterm OVPAA-F-INS-055A RAW SC'!F28)),'Midterm OVPAA-F-INS-055A RAW SC'!F28,"")</f>
        <v>19</v>
      </c>
      <c r="C23" s="226" t="str">
        <f>IF(NOT(ISBLANK('Midterm OVPAA-F-INS-055A RAW SC'!G28)),'Midterm OVPAA-F-INS-055A RAW SC'!G28,"")</f>
        <v>Magante, Jerson</v>
      </c>
      <c r="D23" s="227"/>
      <c r="E23" s="228"/>
      <c r="F23" s="229">
        <f>'MidTerm OVPAA-F-INS-055B CLASS'!BV28</f>
        <v>2</v>
      </c>
      <c r="G23" s="228"/>
      <c r="H23" s="194">
        <f>'MidTerm OVPAA-F-INS-055B CLASS'!CR28</f>
        <v>1.75</v>
      </c>
      <c r="I23" s="195">
        <f>'MidTerm OVPAA-F-INS-055B CLASS'!DD28</f>
        <v>2</v>
      </c>
      <c r="J23" s="195" t="str">
        <f>'MidTerm OVPAA-F-INS-055B CLASS'!DI28</f>
        <v>2.00</v>
      </c>
      <c r="K23" s="195">
        <f>'Finalterm OVPAA-F-INS-055B CLAS'!BV28</f>
        <v>1.25</v>
      </c>
      <c r="L23" s="195">
        <f>'Finalterm OVPAA-F-INS-055B CLAS'!CR28</f>
        <v>1.25</v>
      </c>
      <c r="M23" s="195">
        <f>'Finalterm OVPAA-F-INS-055B CLAS'!DD28</f>
        <v>2.5</v>
      </c>
      <c r="N23" s="195" t="str">
        <f>'Finalterm OVPAA-F-INS-055B CLAS'!DI28</f>
        <v>1.75</v>
      </c>
      <c r="O23" s="195" t="str">
        <f t="shared" si="0"/>
        <v>2.00</v>
      </c>
      <c r="P23" s="195" t="str">
        <f t="shared" si="1"/>
        <v>1.75</v>
      </c>
      <c r="Q23" s="195" t="str">
        <f t="shared" si="2"/>
        <v>1.75</v>
      </c>
      <c r="R23" s="196" t="s">
        <v>106</v>
      </c>
      <c r="S23" s="177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</row>
    <row r="24" spans="1:33" ht="15.75" customHeight="1">
      <c r="A24" s="193">
        <v>12</v>
      </c>
      <c r="B24" s="193">
        <f>IF(NOT(ISBLANK('Midterm OVPAA-F-INS-055A RAW SC'!F29)),'Midterm OVPAA-F-INS-055A RAW SC'!F29,"")</f>
        <v>20</v>
      </c>
      <c r="C24" s="226" t="str">
        <f>IF(NOT(ISBLANK('Midterm OVPAA-F-INS-055A RAW SC'!G29)),'Midterm OVPAA-F-INS-055A RAW SC'!G29,"")</f>
        <v>Maraon, EJ Kate</v>
      </c>
      <c r="D24" s="227"/>
      <c r="E24" s="228"/>
      <c r="F24" s="229">
        <f>'MidTerm OVPAA-F-INS-055B CLASS'!BV29</f>
        <v>2.25</v>
      </c>
      <c r="G24" s="228"/>
      <c r="H24" s="194">
        <f>'MidTerm OVPAA-F-INS-055B CLASS'!CR29</f>
        <v>1.75</v>
      </c>
      <c r="I24" s="195">
        <f>'MidTerm OVPAA-F-INS-055B CLASS'!DD29</f>
        <v>2</v>
      </c>
      <c r="J24" s="195" t="str">
        <f>'MidTerm OVPAA-F-INS-055B CLASS'!DI29</f>
        <v>2.00</v>
      </c>
      <c r="K24" s="195">
        <f>'Finalterm OVPAA-F-INS-055B CLAS'!BV29</f>
        <v>1.25</v>
      </c>
      <c r="L24" s="195">
        <f>'Finalterm OVPAA-F-INS-055B CLAS'!CR29</f>
        <v>1.75</v>
      </c>
      <c r="M24" s="195">
        <f>'Finalterm OVPAA-F-INS-055B CLAS'!DD29</f>
        <v>2</v>
      </c>
      <c r="N24" s="195" t="str">
        <f>'Finalterm OVPAA-F-INS-055B CLAS'!DI29</f>
        <v>1.75</v>
      </c>
      <c r="O24" s="195" t="str">
        <f t="shared" si="0"/>
        <v>2.00</v>
      </c>
      <c r="P24" s="195" t="str">
        <f t="shared" si="1"/>
        <v>1.75</v>
      </c>
      <c r="Q24" s="195" t="str">
        <f t="shared" si="2"/>
        <v>1.75</v>
      </c>
      <c r="R24" s="196" t="s">
        <v>106</v>
      </c>
      <c r="S24" s="177"/>
      <c r="T24" s="177"/>
      <c r="U24" s="177"/>
      <c r="V24" s="177"/>
      <c r="W24" s="177"/>
      <c r="X24" s="177"/>
      <c r="Y24" s="177"/>
      <c r="Z24" s="177"/>
      <c r="AA24" s="177"/>
      <c r="AB24" s="177"/>
      <c r="AC24" s="177"/>
      <c r="AD24" s="177"/>
      <c r="AE24" s="177"/>
      <c r="AF24" s="177"/>
      <c r="AG24" s="177"/>
    </row>
    <row r="25" spans="1:33" ht="15.75" customHeight="1">
      <c r="A25" s="193">
        <v>13</v>
      </c>
      <c r="B25" s="193">
        <f>IF(NOT(ISBLANK('Midterm OVPAA-F-INS-055A RAW SC'!F30)),'Midterm OVPAA-F-INS-055A RAW SC'!F30,"")</f>
        <v>21</v>
      </c>
      <c r="C25" s="226" t="str">
        <f>IF(NOT(ISBLANK('Midterm OVPAA-F-INS-055A RAW SC'!G30)),'Midterm OVPAA-F-INS-055A RAW SC'!G30,"")</f>
        <v>Melendez, Jeter Giambi</v>
      </c>
      <c r="D25" s="227"/>
      <c r="E25" s="228"/>
      <c r="F25" s="229">
        <f>'MidTerm OVPAA-F-INS-055B CLASS'!BV30</f>
        <v>1.75</v>
      </c>
      <c r="G25" s="228"/>
      <c r="H25" s="194">
        <f>'MidTerm OVPAA-F-INS-055B CLASS'!CR30</f>
        <v>1.5</v>
      </c>
      <c r="I25" s="195">
        <f>'MidTerm OVPAA-F-INS-055B CLASS'!DD30</f>
        <v>1.75</v>
      </c>
      <c r="J25" s="195" t="str">
        <f>'MidTerm OVPAA-F-INS-055B CLASS'!DI30</f>
        <v>1.75</v>
      </c>
      <c r="K25" s="195">
        <f>'Finalterm OVPAA-F-INS-055B CLAS'!BV30</f>
        <v>1.25</v>
      </c>
      <c r="L25" s="195">
        <f>'Finalterm OVPAA-F-INS-055B CLAS'!CR30</f>
        <v>1</v>
      </c>
      <c r="M25" s="195">
        <f>'Finalterm OVPAA-F-INS-055B CLAS'!DD30</f>
        <v>1.5</v>
      </c>
      <c r="N25" s="195" t="str">
        <f>'Finalterm OVPAA-F-INS-055B CLAS'!DI30</f>
        <v>1.25</v>
      </c>
      <c r="O25" s="195" t="str">
        <f t="shared" si="0"/>
        <v>1.75</v>
      </c>
      <c r="P25" s="195" t="str">
        <f t="shared" si="1"/>
        <v>1.25</v>
      </c>
      <c r="Q25" s="195" t="str">
        <f t="shared" si="2"/>
        <v>1.50</v>
      </c>
      <c r="R25" s="196" t="s">
        <v>106</v>
      </c>
      <c r="S25" s="177"/>
      <c r="T25" s="177"/>
      <c r="U25" s="177"/>
      <c r="V25" s="177"/>
      <c r="W25" s="177"/>
      <c r="X25" s="177"/>
      <c r="Y25" s="177"/>
      <c r="Z25" s="177"/>
      <c r="AA25" s="177"/>
      <c r="AB25" s="177"/>
      <c r="AC25" s="177"/>
      <c r="AD25" s="177"/>
      <c r="AE25" s="177"/>
      <c r="AF25" s="177"/>
      <c r="AG25" s="177"/>
    </row>
    <row r="26" spans="1:33" ht="15.75" customHeight="1">
      <c r="A26" s="193">
        <v>14</v>
      </c>
      <c r="B26" s="193">
        <f>IF(NOT(ISBLANK('Midterm OVPAA-F-INS-055A RAW SC'!F31)),'Midterm OVPAA-F-INS-055A RAW SC'!F31,"")</f>
        <v>22</v>
      </c>
      <c r="C26" s="226" t="str">
        <f>IF(NOT(ISBLANK('Midterm OVPAA-F-INS-055A RAW SC'!G31)),'Midterm OVPAA-F-INS-055A RAW SC'!G31,"")</f>
        <v>Merina, Meljon G.</v>
      </c>
      <c r="D26" s="227"/>
      <c r="E26" s="228"/>
      <c r="F26" s="229">
        <f>'MidTerm OVPAA-F-INS-055B CLASS'!BV31</f>
        <v>1.25</v>
      </c>
      <c r="G26" s="228"/>
      <c r="H26" s="194">
        <f>'MidTerm OVPAA-F-INS-055B CLASS'!CR31</f>
        <v>1</v>
      </c>
      <c r="I26" s="195">
        <f>'MidTerm OVPAA-F-INS-055B CLASS'!DD31</f>
        <v>1.75</v>
      </c>
      <c r="J26" s="195" t="str">
        <f>'MidTerm OVPAA-F-INS-055B CLASS'!DI31</f>
        <v>1.25</v>
      </c>
      <c r="K26" s="195">
        <f>'Finalterm OVPAA-F-INS-055B CLAS'!BV31</f>
        <v>1.25</v>
      </c>
      <c r="L26" s="195">
        <f>'Finalterm OVPAA-F-INS-055B CLAS'!CR31</f>
        <v>1.75</v>
      </c>
      <c r="M26" s="195">
        <f>'Finalterm OVPAA-F-INS-055B CLAS'!DD31</f>
        <v>1.75</v>
      </c>
      <c r="N26" s="195" t="str">
        <f>'Finalterm OVPAA-F-INS-055B CLAS'!DI31</f>
        <v>1.50</v>
      </c>
      <c r="O26" s="195" t="str">
        <f t="shared" si="0"/>
        <v>1.25</v>
      </c>
      <c r="P26" s="195" t="str">
        <f t="shared" si="1"/>
        <v>1.50</v>
      </c>
      <c r="Q26" s="195" t="str">
        <f t="shared" si="2"/>
        <v>1.50</v>
      </c>
      <c r="R26" s="196" t="s">
        <v>106</v>
      </c>
      <c r="S26" s="177"/>
      <c r="T26" s="177"/>
      <c r="U26" s="177"/>
      <c r="V26" s="177"/>
      <c r="W26" s="177"/>
      <c r="X26" s="177"/>
      <c r="Y26" s="177"/>
      <c r="Z26" s="177"/>
      <c r="AA26" s="177"/>
      <c r="AB26" s="177"/>
      <c r="AC26" s="177"/>
      <c r="AD26" s="177"/>
      <c r="AE26" s="177"/>
      <c r="AF26" s="177"/>
      <c r="AG26" s="177"/>
    </row>
    <row r="27" spans="1:33" ht="15.75" customHeight="1">
      <c r="A27" s="193">
        <v>15</v>
      </c>
      <c r="B27" s="193">
        <f>IF(NOT(ISBLANK('Midterm OVPAA-F-INS-055A RAW SC'!F32)),'Midterm OVPAA-F-INS-055A RAW SC'!F32,"")</f>
        <v>23</v>
      </c>
      <c r="C27" s="226" t="str">
        <f>IF(NOT(ISBLANK('Midterm OVPAA-F-INS-055A RAW SC'!G32)),'Midterm OVPAA-F-INS-055A RAW SC'!G32,"")</f>
        <v>Neri, Jaira Greist</v>
      </c>
      <c r="D27" s="227"/>
      <c r="E27" s="228"/>
      <c r="F27" s="229">
        <f>'MidTerm OVPAA-F-INS-055B CLASS'!BV32</f>
        <v>1.5</v>
      </c>
      <c r="G27" s="228"/>
      <c r="H27" s="194">
        <f>'MidTerm OVPAA-F-INS-055B CLASS'!CR32</f>
        <v>1</v>
      </c>
      <c r="I27" s="195">
        <f>'MidTerm OVPAA-F-INS-055B CLASS'!DD32</f>
        <v>1.5</v>
      </c>
      <c r="J27" s="195" t="str">
        <f>'MidTerm OVPAA-F-INS-055B CLASS'!DI32</f>
        <v>1.25</v>
      </c>
      <c r="K27" s="195">
        <f>'Finalterm OVPAA-F-INS-055B CLAS'!BV32</f>
        <v>1.25</v>
      </c>
      <c r="L27" s="195">
        <f>'Finalterm OVPAA-F-INS-055B CLAS'!CR32</f>
        <v>1.75</v>
      </c>
      <c r="M27" s="195">
        <f>'Finalterm OVPAA-F-INS-055B CLAS'!DD32</f>
        <v>1.75</v>
      </c>
      <c r="N27" s="195" t="str">
        <f>'Finalterm OVPAA-F-INS-055B CLAS'!DI32</f>
        <v>1.50</v>
      </c>
      <c r="O27" s="195" t="str">
        <f t="shared" si="0"/>
        <v>1.25</v>
      </c>
      <c r="P27" s="195" t="str">
        <f t="shared" si="1"/>
        <v>1.50</v>
      </c>
      <c r="Q27" s="195" t="str">
        <f t="shared" si="2"/>
        <v>1.50</v>
      </c>
      <c r="R27" s="196" t="s">
        <v>106</v>
      </c>
      <c r="S27" s="177"/>
      <c r="T27" s="177"/>
      <c r="U27" s="177"/>
      <c r="V27" s="177"/>
      <c r="W27" s="177"/>
      <c r="X27" s="177"/>
      <c r="Y27" s="177"/>
      <c r="Z27" s="177"/>
      <c r="AA27" s="177"/>
      <c r="AB27" s="177"/>
      <c r="AC27" s="177"/>
      <c r="AD27" s="177"/>
      <c r="AE27" s="177"/>
      <c r="AF27" s="177"/>
      <c r="AG27" s="177"/>
    </row>
    <row r="28" spans="1:33" ht="15.75" customHeight="1">
      <c r="A28" s="193">
        <v>16</v>
      </c>
      <c r="B28" s="193">
        <f>IF(NOT(ISBLANK('Midterm OVPAA-F-INS-055A RAW SC'!F33)),'Midterm OVPAA-F-INS-055A RAW SC'!F33,"")</f>
        <v>24</v>
      </c>
      <c r="C28" s="226" t="str">
        <f>IF(NOT(ISBLANK('Midterm OVPAA-F-INS-055A RAW SC'!G33)),'Midterm OVPAA-F-INS-055A RAW SC'!G33,"")</f>
        <v>Noval, Miky</v>
      </c>
      <c r="D28" s="227"/>
      <c r="E28" s="228"/>
      <c r="F28" s="229">
        <f>'MidTerm OVPAA-F-INS-055B CLASS'!BV33</f>
        <v>1.75</v>
      </c>
      <c r="G28" s="228"/>
      <c r="H28" s="194">
        <f>'MidTerm OVPAA-F-INS-055B CLASS'!CR33</f>
        <v>1.75</v>
      </c>
      <c r="I28" s="195">
        <f>'MidTerm OVPAA-F-INS-055B CLASS'!DD33</f>
        <v>2</v>
      </c>
      <c r="J28" s="195" t="str">
        <f>'MidTerm OVPAA-F-INS-055B CLASS'!DI33</f>
        <v>1.75</v>
      </c>
      <c r="K28" s="195">
        <f>'Finalterm OVPAA-F-INS-055B CLAS'!BV33</f>
        <v>1.25</v>
      </c>
      <c r="L28" s="195">
        <f>'Finalterm OVPAA-F-INS-055B CLAS'!CR33</f>
        <v>1.25</v>
      </c>
      <c r="M28" s="195">
        <f>'Finalterm OVPAA-F-INS-055B CLAS'!DD33</f>
        <v>2.5</v>
      </c>
      <c r="N28" s="195" t="str">
        <f>'Finalterm OVPAA-F-INS-055B CLAS'!DI33</f>
        <v>1.75</v>
      </c>
      <c r="O28" s="195" t="str">
        <f t="shared" si="0"/>
        <v>1.75</v>
      </c>
      <c r="P28" s="195" t="str">
        <f t="shared" si="1"/>
        <v>1.75</v>
      </c>
      <c r="Q28" s="195" t="str">
        <f t="shared" si="2"/>
        <v>1.75</v>
      </c>
      <c r="R28" s="196" t="s">
        <v>106</v>
      </c>
      <c r="S28" s="177"/>
      <c r="T28" s="177"/>
      <c r="U28" s="177"/>
      <c r="V28" s="177"/>
      <c r="W28" s="177"/>
      <c r="X28" s="177"/>
      <c r="Y28" s="177"/>
      <c r="Z28" s="177"/>
      <c r="AA28" s="177"/>
      <c r="AB28" s="177"/>
      <c r="AC28" s="177"/>
      <c r="AD28" s="177"/>
      <c r="AE28" s="177"/>
      <c r="AF28" s="177"/>
      <c r="AG28" s="177"/>
    </row>
    <row r="29" spans="1:33" ht="15.75" customHeight="1">
      <c r="A29" s="193">
        <v>17</v>
      </c>
      <c r="B29" s="193">
        <f>IF(NOT(ISBLANK('Midterm OVPAA-F-INS-055A RAW SC'!F34)),'Midterm OVPAA-F-INS-055A RAW SC'!F34,"")</f>
        <v>25</v>
      </c>
      <c r="C29" s="226" t="str">
        <f>IF(NOT(ISBLANK('Midterm OVPAA-F-INS-055A RAW SC'!G34)),'Midterm OVPAA-F-INS-055A RAW SC'!G34,"")</f>
        <v>Nuer, Jaymarc</v>
      </c>
      <c r="D29" s="227"/>
      <c r="E29" s="228"/>
      <c r="F29" s="229">
        <f>'MidTerm OVPAA-F-INS-055B CLASS'!BV34</f>
        <v>2.5</v>
      </c>
      <c r="G29" s="228"/>
      <c r="H29" s="194">
        <f>'MidTerm OVPAA-F-INS-055B CLASS'!CR34</f>
        <v>1.75</v>
      </c>
      <c r="I29" s="195">
        <f>'MidTerm OVPAA-F-INS-055B CLASS'!DD34</f>
        <v>2.25</v>
      </c>
      <c r="J29" s="195" t="str">
        <f>'MidTerm OVPAA-F-INS-055B CLASS'!DI34</f>
        <v>2.25</v>
      </c>
      <c r="K29" s="195">
        <f>'Finalterm OVPAA-F-INS-055B CLAS'!BV34</f>
        <v>1.25</v>
      </c>
      <c r="L29" s="195">
        <f>'Finalterm OVPAA-F-INS-055B CLAS'!CR34</f>
        <v>1.25</v>
      </c>
      <c r="M29" s="195">
        <f>'Finalterm OVPAA-F-INS-055B CLAS'!DD34</f>
        <v>2.5</v>
      </c>
      <c r="N29" s="195" t="str">
        <f>'Finalterm OVPAA-F-INS-055B CLAS'!DI34</f>
        <v>1.75</v>
      </c>
      <c r="O29" s="195" t="str">
        <f t="shared" si="0"/>
        <v>2.25</v>
      </c>
      <c r="P29" s="195" t="str">
        <f t="shared" si="1"/>
        <v>1.75</v>
      </c>
      <c r="Q29" s="195" t="str">
        <f t="shared" si="2"/>
        <v>2.00</v>
      </c>
      <c r="R29" s="196" t="s">
        <v>106</v>
      </c>
      <c r="S29" s="177"/>
      <c r="T29" s="177"/>
      <c r="U29" s="177"/>
      <c r="V29" s="177"/>
      <c r="W29" s="177"/>
      <c r="X29" s="177"/>
      <c r="Y29" s="177"/>
      <c r="Z29" s="177"/>
      <c r="AA29" s="177"/>
      <c r="AB29" s="177"/>
      <c r="AC29" s="177"/>
      <c r="AD29" s="177"/>
      <c r="AE29" s="177"/>
      <c r="AF29" s="177"/>
      <c r="AG29" s="177"/>
    </row>
    <row r="30" spans="1:33" ht="15.75" customHeight="1">
      <c r="A30" s="193">
        <v>18</v>
      </c>
      <c r="B30" s="193">
        <f>IF(NOT(ISBLANK('Midterm OVPAA-F-INS-055A RAW SC'!F35)),'Midterm OVPAA-F-INS-055A RAW SC'!F35,"")</f>
        <v>26</v>
      </c>
      <c r="C30" s="226" t="str">
        <f>IF(NOT(ISBLANK('Midterm OVPAA-F-INS-055A RAW SC'!G35)),'Midterm OVPAA-F-INS-055A RAW SC'!G35,"")</f>
        <v>Publico, Rogelio</v>
      </c>
      <c r="D30" s="227"/>
      <c r="E30" s="228"/>
      <c r="F30" s="229">
        <f>'MidTerm OVPAA-F-INS-055B CLASS'!BV35</f>
        <v>1.5</v>
      </c>
      <c r="G30" s="228"/>
      <c r="H30" s="194">
        <f>'MidTerm OVPAA-F-INS-055B CLASS'!CR35</f>
        <v>1.25</v>
      </c>
      <c r="I30" s="195">
        <f>'MidTerm OVPAA-F-INS-055B CLASS'!DD35</f>
        <v>1.25</v>
      </c>
      <c r="J30" s="195" t="str">
        <f>'MidTerm OVPAA-F-INS-055B CLASS'!DI35</f>
        <v>1.25</v>
      </c>
      <c r="K30" s="195">
        <f>'Finalterm OVPAA-F-INS-055B CLAS'!BV35</f>
        <v>1.25</v>
      </c>
      <c r="L30" s="195">
        <f>'Finalterm OVPAA-F-INS-055B CLAS'!CR35</f>
        <v>2.5</v>
      </c>
      <c r="M30" s="195">
        <f>'Finalterm OVPAA-F-INS-055B CLAS'!DD35</f>
        <v>1.25</v>
      </c>
      <c r="N30" s="195" t="str">
        <f>'Finalterm OVPAA-F-INS-055B CLAS'!DI35</f>
        <v>1.50</v>
      </c>
      <c r="O30" s="195" t="str">
        <f t="shared" si="0"/>
        <v>1.25</v>
      </c>
      <c r="P30" s="195" t="str">
        <f t="shared" si="1"/>
        <v>1.50</v>
      </c>
      <c r="Q30" s="195" t="str">
        <f t="shared" si="2"/>
        <v>1.50</v>
      </c>
      <c r="R30" s="196" t="s">
        <v>106</v>
      </c>
      <c r="S30" s="177"/>
      <c r="T30" s="177"/>
      <c r="U30" s="177"/>
      <c r="V30" s="177"/>
      <c r="W30" s="177"/>
      <c r="X30" s="177"/>
      <c r="Y30" s="177"/>
      <c r="Z30" s="177"/>
      <c r="AA30" s="177"/>
      <c r="AB30" s="177"/>
      <c r="AC30" s="177"/>
      <c r="AD30" s="177"/>
      <c r="AE30" s="177"/>
      <c r="AF30" s="177"/>
      <c r="AG30" s="177"/>
    </row>
    <row r="31" spans="1:33" ht="15.75" customHeight="1">
      <c r="A31" s="193">
        <v>19</v>
      </c>
      <c r="B31" s="193">
        <f>IF(NOT(ISBLANK('Midterm OVPAA-F-INS-055A RAW SC'!F36)),'Midterm OVPAA-F-INS-055A RAW SC'!F36,"")</f>
        <v>27</v>
      </c>
      <c r="C31" s="226" t="str">
        <f>IF(NOT(ISBLANK('Midterm OVPAA-F-INS-055A RAW SC'!G36)),'Midterm OVPAA-F-INS-055A RAW SC'!G36,"")</f>
        <v>Rivera, Juvel</v>
      </c>
      <c r="D31" s="227"/>
      <c r="E31" s="228"/>
      <c r="F31" s="229">
        <f>'MidTerm OVPAA-F-INS-055B CLASS'!BV36</f>
        <v>1.5</v>
      </c>
      <c r="G31" s="228"/>
      <c r="H31" s="194">
        <f>'MidTerm OVPAA-F-INS-055B CLASS'!CR36</f>
        <v>1.75</v>
      </c>
      <c r="I31" s="195">
        <f>'MidTerm OVPAA-F-INS-055B CLASS'!DD36</f>
        <v>2.25</v>
      </c>
      <c r="J31" s="195" t="str">
        <f>'MidTerm OVPAA-F-INS-055B CLASS'!DI36</f>
        <v>1.75</v>
      </c>
      <c r="K31" s="195">
        <f>'Finalterm OVPAA-F-INS-055B CLAS'!BV36</f>
        <v>1.25</v>
      </c>
      <c r="L31" s="195">
        <f>'Finalterm OVPAA-F-INS-055B CLAS'!CR36</f>
        <v>1.75</v>
      </c>
      <c r="M31" s="195">
        <f>'Finalterm OVPAA-F-INS-055B CLAS'!DD36</f>
        <v>2</v>
      </c>
      <c r="N31" s="195" t="str">
        <f>'Finalterm OVPAA-F-INS-055B CLAS'!DI36</f>
        <v>1.75</v>
      </c>
      <c r="O31" s="195" t="str">
        <f t="shared" si="0"/>
        <v>1.75</v>
      </c>
      <c r="P31" s="195" t="str">
        <f t="shared" si="1"/>
        <v>1.75</v>
      </c>
      <c r="Q31" s="195" t="str">
        <f t="shared" si="2"/>
        <v>1.75</v>
      </c>
      <c r="R31" s="196" t="s">
        <v>106</v>
      </c>
      <c r="S31" s="177"/>
      <c r="T31" s="177"/>
      <c r="U31" s="177"/>
      <c r="V31" s="177"/>
      <c r="W31" s="177"/>
      <c r="X31" s="177"/>
      <c r="Y31" s="177"/>
      <c r="Z31" s="177"/>
      <c r="AA31" s="177"/>
      <c r="AB31" s="177"/>
      <c r="AC31" s="177"/>
      <c r="AD31" s="177"/>
      <c r="AE31" s="177"/>
      <c r="AF31" s="177"/>
      <c r="AG31" s="177"/>
    </row>
    <row r="32" spans="1:33" ht="15.75" customHeight="1">
      <c r="A32" s="193">
        <v>20</v>
      </c>
      <c r="B32" s="193">
        <f>IF(NOT(ISBLANK('Midterm OVPAA-F-INS-055A RAW SC'!F37)),'Midterm OVPAA-F-INS-055A RAW SC'!F37,"")</f>
        <v>28</v>
      </c>
      <c r="C32" s="226" t="str">
        <f>IF(NOT(ISBLANK('Midterm OVPAA-F-INS-055A RAW SC'!G37)),'Midterm OVPAA-F-INS-055A RAW SC'!G37,"")</f>
        <v>Rubio, Pia Pilar</v>
      </c>
      <c r="D32" s="227"/>
      <c r="E32" s="228"/>
      <c r="F32" s="229">
        <f>'MidTerm OVPAA-F-INS-055B CLASS'!BV37</f>
        <v>1.75</v>
      </c>
      <c r="G32" s="228"/>
      <c r="H32" s="194">
        <f>'MidTerm OVPAA-F-INS-055B CLASS'!CR37</f>
        <v>1.5</v>
      </c>
      <c r="I32" s="195">
        <f>'MidTerm OVPAA-F-INS-055B CLASS'!DD37</f>
        <v>1.75</v>
      </c>
      <c r="J32" s="195" t="str">
        <f>'MidTerm OVPAA-F-INS-055B CLASS'!DI37</f>
        <v>1.75</v>
      </c>
      <c r="K32" s="195">
        <f>'Finalterm OVPAA-F-INS-055B CLAS'!BV37</f>
        <v>1</v>
      </c>
      <c r="L32" s="195">
        <f>'Finalterm OVPAA-F-INS-055B CLAS'!CR37</f>
        <v>1</v>
      </c>
      <c r="M32" s="195">
        <f>'Finalterm OVPAA-F-INS-055B CLAS'!DD37</f>
        <v>1.5</v>
      </c>
      <c r="N32" s="195" t="str">
        <f>'Finalterm OVPAA-F-INS-055B CLAS'!DI37</f>
        <v>1.25</v>
      </c>
      <c r="O32" s="195" t="str">
        <f t="shared" si="0"/>
        <v>1.75</v>
      </c>
      <c r="P32" s="195" t="str">
        <f t="shared" si="1"/>
        <v>1.25</v>
      </c>
      <c r="Q32" s="195" t="str">
        <f t="shared" si="2"/>
        <v>1.50</v>
      </c>
      <c r="R32" s="196" t="s">
        <v>106</v>
      </c>
      <c r="S32" s="177"/>
      <c r="T32" s="177"/>
      <c r="U32" s="177"/>
      <c r="V32" s="177"/>
      <c r="W32" s="177"/>
      <c r="X32" s="177"/>
      <c r="Y32" s="177"/>
      <c r="Z32" s="177"/>
      <c r="AA32" s="177"/>
      <c r="AB32" s="177"/>
      <c r="AC32" s="177"/>
      <c r="AD32" s="177"/>
      <c r="AE32" s="177"/>
      <c r="AF32" s="177"/>
      <c r="AG32" s="177"/>
    </row>
    <row r="33" spans="1:33" ht="15.75" customHeight="1">
      <c r="A33" s="193">
        <v>21</v>
      </c>
      <c r="B33" s="193">
        <f>IF(NOT(ISBLANK('Midterm OVPAA-F-INS-055A RAW SC'!F38)),'Midterm OVPAA-F-INS-055A RAW SC'!F38,"")</f>
        <v>29</v>
      </c>
      <c r="C33" s="226" t="str">
        <f>IF(NOT(ISBLANK('Midterm OVPAA-F-INS-055A RAW SC'!G38)),'Midterm OVPAA-F-INS-055A RAW SC'!G38,"")</f>
        <v>Salto, Mary Natalie</v>
      </c>
      <c r="D33" s="227"/>
      <c r="E33" s="228"/>
      <c r="F33" s="229">
        <f>'MidTerm OVPAA-F-INS-055B CLASS'!BV38</f>
        <v>1.25</v>
      </c>
      <c r="G33" s="228"/>
      <c r="H33" s="194">
        <f>'MidTerm OVPAA-F-INS-055B CLASS'!CR38</f>
        <v>1</v>
      </c>
      <c r="I33" s="195">
        <f>'MidTerm OVPAA-F-INS-055B CLASS'!DD38</f>
        <v>1.5</v>
      </c>
      <c r="J33" s="195" t="str">
        <f>'MidTerm OVPAA-F-INS-055B CLASS'!DI38</f>
        <v>1.25</v>
      </c>
      <c r="K33" s="195">
        <f>'Finalterm OVPAA-F-INS-055B CLAS'!BV38</f>
        <v>1.25</v>
      </c>
      <c r="L33" s="195">
        <f>'Finalterm OVPAA-F-INS-055B CLAS'!CR38</f>
        <v>1.75</v>
      </c>
      <c r="M33" s="195">
        <f>'Finalterm OVPAA-F-INS-055B CLAS'!DD38</f>
        <v>1.75</v>
      </c>
      <c r="N33" s="195" t="str">
        <f>'Finalterm OVPAA-F-INS-055B CLAS'!DI38</f>
        <v>1.50</v>
      </c>
      <c r="O33" s="195" t="str">
        <f t="shared" si="0"/>
        <v>1.25</v>
      </c>
      <c r="P33" s="195" t="str">
        <f t="shared" si="1"/>
        <v>1.50</v>
      </c>
      <c r="Q33" s="195" t="str">
        <f t="shared" si="2"/>
        <v>1.50</v>
      </c>
      <c r="R33" s="196" t="s">
        <v>106</v>
      </c>
      <c r="S33" s="177"/>
      <c r="T33" s="177"/>
      <c r="U33" s="177"/>
      <c r="V33" s="177"/>
      <c r="W33" s="177"/>
      <c r="X33" s="177"/>
      <c r="Y33" s="177"/>
      <c r="Z33" s="177"/>
      <c r="AA33" s="177"/>
      <c r="AB33" s="177"/>
      <c r="AC33" s="177"/>
      <c r="AD33" s="177"/>
      <c r="AE33" s="177"/>
      <c r="AF33" s="177"/>
      <c r="AG33" s="177"/>
    </row>
    <row r="34" spans="1:33" ht="15.75" customHeight="1">
      <c r="A34" s="193">
        <v>22</v>
      </c>
      <c r="B34" s="193">
        <f>IF(NOT(ISBLANK('Midterm OVPAA-F-INS-055A RAW SC'!F39)),'Midterm OVPAA-F-INS-055A RAW SC'!F39,"")</f>
        <v>30</v>
      </c>
      <c r="C34" s="226" t="str">
        <f>IF(NOT(ISBLANK('Midterm OVPAA-F-INS-055A RAW SC'!G39)),'Midterm OVPAA-F-INS-055A RAW SC'!G39,"")</f>
        <v>Tilanduca, Khiara</v>
      </c>
      <c r="D34" s="227"/>
      <c r="E34" s="228"/>
      <c r="F34" s="229">
        <f>'MidTerm OVPAA-F-INS-055B CLASS'!BV39</f>
        <v>1.25</v>
      </c>
      <c r="G34" s="228"/>
      <c r="H34" s="194">
        <f>'MidTerm OVPAA-F-INS-055B CLASS'!CR39</f>
        <v>1</v>
      </c>
      <c r="I34" s="195">
        <f>'MidTerm OVPAA-F-INS-055B CLASS'!DD39</f>
        <v>1.25</v>
      </c>
      <c r="J34" s="195" t="str">
        <f>'MidTerm OVPAA-F-INS-055B CLASS'!DI39</f>
        <v>1.25</v>
      </c>
      <c r="K34" s="195">
        <f>'Finalterm OVPAA-F-INS-055B CLAS'!BV39</f>
        <v>1.25</v>
      </c>
      <c r="L34" s="195">
        <f>'Finalterm OVPAA-F-INS-055B CLAS'!CR39</f>
        <v>1.75</v>
      </c>
      <c r="M34" s="195">
        <f>'Finalterm OVPAA-F-INS-055B CLAS'!DD39</f>
        <v>1.75</v>
      </c>
      <c r="N34" s="195" t="str">
        <f>'Finalterm OVPAA-F-INS-055B CLAS'!DI39</f>
        <v>1.50</v>
      </c>
      <c r="O34" s="195" t="str">
        <f t="shared" si="0"/>
        <v>1.25</v>
      </c>
      <c r="P34" s="195" t="str">
        <f t="shared" si="1"/>
        <v>1.50</v>
      </c>
      <c r="Q34" s="195" t="str">
        <f t="shared" si="2"/>
        <v>1.50</v>
      </c>
      <c r="R34" s="196" t="s">
        <v>106</v>
      </c>
      <c r="S34" s="177"/>
      <c r="T34" s="177"/>
      <c r="U34" s="177"/>
      <c r="V34" s="177"/>
      <c r="W34" s="177"/>
      <c r="X34" s="177"/>
      <c r="Y34" s="177"/>
      <c r="Z34" s="177"/>
      <c r="AA34" s="177"/>
      <c r="AB34" s="177"/>
      <c r="AC34" s="177"/>
      <c r="AD34" s="177"/>
      <c r="AE34" s="177"/>
      <c r="AF34" s="177"/>
      <c r="AG34" s="177"/>
    </row>
    <row r="35" spans="1:33" ht="15.75" customHeight="1">
      <c r="A35" s="193">
        <v>23</v>
      </c>
      <c r="B35" s="193">
        <f>IF(NOT(ISBLANK('Midterm OVPAA-F-INS-055A RAW SC'!F40)),'Midterm OVPAA-F-INS-055A RAW SC'!F40,"")</f>
        <v>31</v>
      </c>
      <c r="C35" s="226" t="str">
        <f>IF(NOT(ISBLANK('Midterm OVPAA-F-INS-055A RAW SC'!G40)),'Midterm OVPAA-F-INS-055A RAW SC'!G40,"")</f>
        <v>Valdez, John Winchel</v>
      </c>
      <c r="D35" s="227"/>
      <c r="E35" s="228"/>
      <c r="F35" s="229">
        <f>'MidTerm OVPAA-F-INS-055B CLASS'!BV40</f>
        <v>1.5</v>
      </c>
      <c r="G35" s="228"/>
      <c r="H35" s="194">
        <f>'MidTerm OVPAA-F-INS-055B CLASS'!CR40</f>
        <v>1.25</v>
      </c>
      <c r="I35" s="195">
        <f>'MidTerm OVPAA-F-INS-055B CLASS'!DD40</f>
        <v>2</v>
      </c>
      <c r="J35" s="195" t="str">
        <f>'MidTerm OVPAA-F-INS-055B CLASS'!DI40</f>
        <v>1.50</v>
      </c>
      <c r="K35" s="195">
        <f>'Finalterm OVPAA-F-INS-055B CLAS'!BV40</f>
        <v>1</v>
      </c>
      <c r="L35" s="195">
        <f>'Finalterm OVPAA-F-INS-055B CLAS'!CR40</f>
        <v>1</v>
      </c>
      <c r="M35" s="195">
        <f>'Finalterm OVPAA-F-INS-055B CLAS'!DD40</f>
        <v>1.5</v>
      </c>
      <c r="N35" s="195" t="str">
        <f>'Finalterm OVPAA-F-INS-055B CLAS'!DI40</f>
        <v>1.25</v>
      </c>
      <c r="O35" s="195" t="str">
        <f t="shared" si="0"/>
        <v>1.50</v>
      </c>
      <c r="P35" s="195" t="str">
        <f t="shared" si="1"/>
        <v>1.25</v>
      </c>
      <c r="Q35" s="195" t="str">
        <f t="shared" si="2"/>
        <v>1.25</v>
      </c>
      <c r="R35" s="196" t="s">
        <v>106</v>
      </c>
      <c r="S35" s="177"/>
      <c r="T35" s="177"/>
      <c r="U35" s="177"/>
      <c r="V35" s="177"/>
      <c r="W35" s="177"/>
      <c r="X35" s="177"/>
      <c r="Y35" s="177"/>
      <c r="Z35" s="177"/>
      <c r="AA35" s="177"/>
      <c r="AB35" s="177"/>
      <c r="AC35" s="177"/>
      <c r="AD35" s="177"/>
      <c r="AE35" s="177"/>
      <c r="AF35" s="177"/>
      <c r="AG35" s="177"/>
    </row>
    <row r="36" spans="1:33" ht="15.75" customHeight="1">
      <c r="A36" s="193">
        <v>24</v>
      </c>
      <c r="B36" s="193" t="str">
        <f>IF(NOT(ISBLANK('Midterm OVPAA-F-INS-055A RAW SC'!F41)),'Midterm OVPAA-F-INS-055A RAW SC'!F41,"")</f>
        <v/>
      </c>
      <c r="C36" s="226" t="str">
        <f>IF(NOT(ISBLANK('Midterm OVPAA-F-INS-055A RAW SC'!G41)),'Midterm OVPAA-F-INS-055A RAW SC'!G41,"")</f>
        <v/>
      </c>
      <c r="D36" s="227"/>
      <c r="E36" s="228"/>
      <c r="F36" s="229" t="str">
        <f>'MidTerm OVPAA-F-INS-055B CLASS'!BV41</f>
        <v/>
      </c>
      <c r="G36" s="228"/>
      <c r="H36" s="194" t="str">
        <f>'MidTerm OVPAA-F-INS-055B CLASS'!CR41</f>
        <v/>
      </c>
      <c r="I36" s="195" t="str">
        <f>'MidTerm OVPAA-F-INS-055B CLASS'!DD41</f>
        <v/>
      </c>
      <c r="J36" s="195" t="str">
        <f>'MidTerm OVPAA-F-INS-055B CLASS'!DI41</f>
        <v/>
      </c>
      <c r="K36" s="195" t="str">
        <f>'Finalterm OVPAA-F-INS-055B CLAS'!BV41</f>
        <v/>
      </c>
      <c r="L36" s="195" t="str">
        <f>'Finalterm OVPAA-F-INS-055B CLAS'!CR41</f>
        <v/>
      </c>
      <c r="M36" s="195" t="str">
        <f>'Finalterm OVPAA-F-INS-055B CLAS'!DD41</f>
        <v/>
      </c>
      <c r="N36" s="195" t="str">
        <f>'Finalterm OVPAA-F-INS-055B CLAS'!DI41</f>
        <v/>
      </c>
      <c r="O36" s="195" t="str">
        <f t="shared" si="0"/>
        <v/>
      </c>
      <c r="P36" s="195" t="str">
        <f t="shared" si="1"/>
        <v/>
      </c>
      <c r="Q36" s="195" t="str">
        <f t="shared" si="2"/>
        <v/>
      </c>
      <c r="R36" s="196"/>
      <c r="S36" s="177"/>
      <c r="T36" s="177"/>
      <c r="U36" s="177"/>
      <c r="V36" s="177"/>
      <c r="W36" s="177"/>
      <c r="X36" s="177"/>
      <c r="Y36" s="177"/>
      <c r="Z36" s="177"/>
      <c r="AA36" s="177"/>
      <c r="AB36" s="177"/>
      <c r="AC36" s="177"/>
      <c r="AD36" s="177"/>
      <c r="AE36" s="177"/>
      <c r="AF36" s="177"/>
      <c r="AG36" s="177"/>
    </row>
    <row r="37" spans="1:33" ht="15.75" customHeight="1">
      <c r="A37" s="193">
        <v>25</v>
      </c>
      <c r="B37" s="193" t="str">
        <f>IF(NOT(ISBLANK('Midterm OVPAA-F-INS-055A RAW SC'!F42)),'Midterm OVPAA-F-INS-055A RAW SC'!F42,"")</f>
        <v/>
      </c>
      <c r="C37" s="226" t="str">
        <f>IF(NOT(ISBLANK('Midterm OVPAA-F-INS-055A RAW SC'!G42)),'Midterm OVPAA-F-INS-055A RAW SC'!G42,"")</f>
        <v/>
      </c>
      <c r="D37" s="227"/>
      <c r="E37" s="228"/>
      <c r="F37" s="229" t="str">
        <f>'MidTerm OVPAA-F-INS-055B CLASS'!BV42</f>
        <v/>
      </c>
      <c r="G37" s="228"/>
      <c r="H37" s="194" t="str">
        <f>'MidTerm OVPAA-F-INS-055B CLASS'!CR42</f>
        <v/>
      </c>
      <c r="I37" s="195" t="str">
        <f>'MidTerm OVPAA-F-INS-055B CLASS'!DD42</f>
        <v/>
      </c>
      <c r="J37" s="195" t="str">
        <f>'MidTerm OVPAA-F-INS-055B CLASS'!DI42</f>
        <v/>
      </c>
      <c r="K37" s="195" t="str">
        <f>'Finalterm OVPAA-F-INS-055B CLAS'!BV42</f>
        <v/>
      </c>
      <c r="L37" s="195" t="str">
        <f>'Finalterm OVPAA-F-INS-055B CLAS'!CR42</f>
        <v/>
      </c>
      <c r="M37" s="195" t="str">
        <f>'Finalterm OVPAA-F-INS-055B CLAS'!DD42</f>
        <v/>
      </c>
      <c r="N37" s="195" t="str">
        <f>'Finalterm OVPAA-F-INS-055B CLAS'!DI42</f>
        <v/>
      </c>
      <c r="O37" s="195" t="str">
        <f t="shared" si="0"/>
        <v/>
      </c>
      <c r="P37" s="195" t="str">
        <f t="shared" si="1"/>
        <v/>
      </c>
      <c r="Q37" s="195" t="str">
        <f t="shared" si="2"/>
        <v/>
      </c>
      <c r="R37" s="196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</row>
    <row r="38" spans="1:33" ht="15.75" customHeight="1">
      <c r="A38" s="193">
        <v>26</v>
      </c>
      <c r="B38" s="193" t="str">
        <f>IF(NOT(ISBLANK('Midterm OVPAA-F-INS-055A RAW SC'!F43)),'Midterm OVPAA-F-INS-055A RAW SC'!F43,"")</f>
        <v/>
      </c>
      <c r="C38" s="226" t="str">
        <f>IF(NOT(ISBLANK('Midterm OVPAA-F-INS-055A RAW SC'!G43)),'Midterm OVPAA-F-INS-055A RAW SC'!G43,"")</f>
        <v/>
      </c>
      <c r="D38" s="227"/>
      <c r="E38" s="228"/>
      <c r="F38" s="229" t="str">
        <f>'MidTerm OVPAA-F-INS-055B CLASS'!BV43</f>
        <v/>
      </c>
      <c r="G38" s="228"/>
      <c r="H38" s="194" t="str">
        <f>'MidTerm OVPAA-F-INS-055B CLASS'!CR43</f>
        <v/>
      </c>
      <c r="I38" s="195" t="str">
        <f>'MidTerm OVPAA-F-INS-055B CLASS'!DD43</f>
        <v/>
      </c>
      <c r="J38" s="195" t="str">
        <f>'MidTerm OVPAA-F-INS-055B CLASS'!DI43</f>
        <v/>
      </c>
      <c r="K38" s="195" t="str">
        <f>'Finalterm OVPAA-F-INS-055B CLAS'!BV43</f>
        <v/>
      </c>
      <c r="L38" s="195" t="str">
        <f>'Finalterm OVPAA-F-INS-055B CLAS'!CR43</f>
        <v/>
      </c>
      <c r="M38" s="195" t="str">
        <f>'Finalterm OVPAA-F-INS-055B CLAS'!DD43</f>
        <v/>
      </c>
      <c r="N38" s="195" t="str">
        <f>'Finalterm OVPAA-F-INS-055B CLAS'!DI43</f>
        <v/>
      </c>
      <c r="O38" s="195" t="str">
        <f t="shared" si="0"/>
        <v/>
      </c>
      <c r="P38" s="195" t="str">
        <f t="shared" si="1"/>
        <v/>
      </c>
      <c r="Q38" s="195" t="str">
        <f t="shared" si="2"/>
        <v/>
      </c>
      <c r="R38" s="196"/>
      <c r="S38" s="177"/>
      <c r="T38" s="177"/>
      <c r="U38" s="177"/>
      <c r="V38" s="177"/>
      <c r="W38" s="177"/>
      <c r="X38" s="177"/>
      <c r="Y38" s="177"/>
      <c r="Z38" s="177"/>
      <c r="AA38" s="177"/>
      <c r="AB38" s="177"/>
      <c r="AC38" s="177"/>
      <c r="AD38" s="177"/>
      <c r="AE38" s="177"/>
      <c r="AF38" s="177"/>
      <c r="AG38" s="177"/>
    </row>
    <row r="39" spans="1:33" ht="15.75" customHeight="1">
      <c r="A39" s="193">
        <v>27</v>
      </c>
      <c r="B39" s="193" t="str">
        <f>IF(NOT(ISBLANK('Midterm OVPAA-F-INS-055A RAW SC'!F44)),'Midterm OVPAA-F-INS-055A RAW SC'!F44,"")</f>
        <v/>
      </c>
      <c r="C39" s="226" t="str">
        <f>IF(NOT(ISBLANK('Midterm OVPAA-F-INS-055A RAW SC'!G44)),'Midterm OVPAA-F-INS-055A RAW SC'!G44,"")</f>
        <v/>
      </c>
      <c r="D39" s="227"/>
      <c r="E39" s="228"/>
      <c r="F39" s="229" t="str">
        <f>'MidTerm OVPAA-F-INS-055B CLASS'!BV44</f>
        <v/>
      </c>
      <c r="G39" s="228"/>
      <c r="H39" s="194" t="str">
        <f>'MidTerm OVPAA-F-INS-055B CLASS'!CR44</f>
        <v/>
      </c>
      <c r="I39" s="195" t="str">
        <f>'MidTerm OVPAA-F-INS-055B CLASS'!DD44</f>
        <v/>
      </c>
      <c r="J39" s="195" t="str">
        <f>'MidTerm OVPAA-F-INS-055B CLASS'!DI44</f>
        <v/>
      </c>
      <c r="K39" s="195" t="str">
        <f>'Finalterm OVPAA-F-INS-055B CLAS'!BV44</f>
        <v/>
      </c>
      <c r="L39" s="195" t="str">
        <f>'Finalterm OVPAA-F-INS-055B CLAS'!CR44</f>
        <v/>
      </c>
      <c r="M39" s="195" t="str">
        <f>'Finalterm OVPAA-F-INS-055B CLAS'!DD44</f>
        <v/>
      </c>
      <c r="N39" s="195" t="str">
        <f>'Finalterm OVPAA-F-INS-055B CLAS'!DI44</f>
        <v/>
      </c>
      <c r="O39" s="195" t="str">
        <f t="shared" si="0"/>
        <v/>
      </c>
      <c r="P39" s="195" t="str">
        <f t="shared" si="1"/>
        <v/>
      </c>
      <c r="Q39" s="195" t="str">
        <f t="shared" si="2"/>
        <v/>
      </c>
      <c r="R39" s="196"/>
      <c r="S39" s="177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</row>
    <row r="40" spans="1:33" ht="15.75" customHeight="1">
      <c r="A40" s="193">
        <v>28</v>
      </c>
      <c r="B40" s="193" t="str">
        <f>IF(NOT(ISBLANK('Midterm OVPAA-F-INS-055A RAW SC'!F45)),'Midterm OVPAA-F-INS-055A RAW SC'!F45,"")</f>
        <v/>
      </c>
      <c r="C40" s="226" t="str">
        <f>IF(NOT(ISBLANK('Midterm OVPAA-F-INS-055A RAW SC'!G45)),'Midterm OVPAA-F-INS-055A RAW SC'!G45,"")</f>
        <v/>
      </c>
      <c r="D40" s="227"/>
      <c r="E40" s="228"/>
      <c r="F40" s="229" t="str">
        <f>'MidTerm OVPAA-F-INS-055B CLASS'!BV45</f>
        <v/>
      </c>
      <c r="G40" s="228"/>
      <c r="H40" s="194" t="str">
        <f>'MidTerm OVPAA-F-INS-055B CLASS'!CR45</f>
        <v/>
      </c>
      <c r="I40" s="195" t="str">
        <f>'MidTerm OVPAA-F-INS-055B CLASS'!DD45</f>
        <v/>
      </c>
      <c r="J40" s="195" t="str">
        <f>'MidTerm OVPAA-F-INS-055B CLASS'!DI45</f>
        <v/>
      </c>
      <c r="K40" s="195" t="str">
        <f>'Finalterm OVPAA-F-INS-055B CLAS'!BV45</f>
        <v/>
      </c>
      <c r="L40" s="195" t="str">
        <f>'Finalterm OVPAA-F-INS-055B CLAS'!CR45</f>
        <v/>
      </c>
      <c r="M40" s="195" t="str">
        <f>'Finalterm OVPAA-F-INS-055B CLAS'!DD45</f>
        <v/>
      </c>
      <c r="N40" s="195" t="str">
        <f>'Finalterm OVPAA-F-INS-055B CLAS'!DI45</f>
        <v/>
      </c>
      <c r="O40" s="195" t="str">
        <f t="shared" si="0"/>
        <v/>
      </c>
      <c r="P40" s="195" t="str">
        <f t="shared" si="1"/>
        <v/>
      </c>
      <c r="Q40" s="195" t="str">
        <f t="shared" si="2"/>
        <v/>
      </c>
      <c r="R40" s="196" t="str">
        <f t="shared" ref="R40:R112" si="3">IF(C40="","",IF(Q40="","",IF(VALUE(Q40)&gt;3=TRUE,"","Passed")))</f>
        <v/>
      </c>
      <c r="S40" s="177"/>
      <c r="T40" s="177"/>
      <c r="U40" s="177"/>
      <c r="V40" s="177"/>
      <c r="W40" s="177"/>
      <c r="X40" s="177"/>
      <c r="Y40" s="177"/>
      <c r="Z40" s="177"/>
      <c r="AA40" s="177"/>
      <c r="AB40" s="177"/>
      <c r="AC40" s="177"/>
      <c r="AD40" s="177"/>
      <c r="AE40" s="177"/>
      <c r="AF40" s="177"/>
      <c r="AG40" s="177"/>
    </row>
    <row r="41" spans="1:33" ht="15.75" customHeight="1">
      <c r="A41" s="193">
        <v>29</v>
      </c>
      <c r="B41" s="193" t="str">
        <f>IF(NOT(ISBLANK('Midterm OVPAA-F-INS-055A RAW SC'!F46)),'Midterm OVPAA-F-INS-055A RAW SC'!F46,"")</f>
        <v/>
      </c>
      <c r="C41" s="226" t="str">
        <f>IF(NOT(ISBLANK('Midterm OVPAA-F-INS-055A RAW SC'!G46)),'Midterm OVPAA-F-INS-055A RAW SC'!G46,"")</f>
        <v/>
      </c>
      <c r="D41" s="227"/>
      <c r="E41" s="228"/>
      <c r="F41" s="229" t="str">
        <f>'MidTerm OVPAA-F-INS-055B CLASS'!BV46</f>
        <v/>
      </c>
      <c r="G41" s="228"/>
      <c r="H41" s="194" t="str">
        <f>'MidTerm OVPAA-F-INS-055B CLASS'!CR46</f>
        <v/>
      </c>
      <c r="I41" s="195" t="str">
        <f>'MidTerm OVPAA-F-INS-055B CLASS'!DD46</f>
        <v/>
      </c>
      <c r="J41" s="195" t="str">
        <f>'MidTerm OVPAA-F-INS-055B CLASS'!DI46</f>
        <v/>
      </c>
      <c r="K41" s="195" t="str">
        <f>'Finalterm OVPAA-F-INS-055B CLAS'!BV46</f>
        <v/>
      </c>
      <c r="L41" s="195" t="str">
        <f>'Finalterm OVPAA-F-INS-055B CLAS'!CR46</f>
        <v/>
      </c>
      <c r="M41" s="195" t="str">
        <f>'Finalterm OVPAA-F-INS-055B CLAS'!DD46</f>
        <v/>
      </c>
      <c r="N41" s="195" t="str">
        <f>'Finalterm OVPAA-F-INS-055B CLAS'!DI46</f>
        <v/>
      </c>
      <c r="O41" s="195" t="str">
        <f t="shared" si="0"/>
        <v/>
      </c>
      <c r="P41" s="195" t="str">
        <f t="shared" si="1"/>
        <v/>
      </c>
      <c r="Q41" s="195" t="str">
        <f t="shared" si="2"/>
        <v/>
      </c>
      <c r="R41" s="196" t="str">
        <f t="shared" si="3"/>
        <v/>
      </c>
      <c r="S41" s="177"/>
      <c r="T41" s="177"/>
      <c r="U41" s="177"/>
      <c r="V41" s="177"/>
      <c r="W41" s="177"/>
      <c r="X41" s="177"/>
      <c r="Y41" s="177"/>
      <c r="Z41" s="177"/>
      <c r="AA41" s="177"/>
      <c r="AB41" s="177"/>
      <c r="AC41" s="177"/>
      <c r="AD41" s="177"/>
      <c r="AE41" s="177"/>
      <c r="AF41" s="177"/>
      <c r="AG41" s="177"/>
    </row>
    <row r="42" spans="1:33" ht="15.75" customHeight="1">
      <c r="A42" s="193">
        <v>30</v>
      </c>
      <c r="B42" s="193" t="str">
        <f>IF(NOT(ISBLANK('Midterm OVPAA-F-INS-055A RAW SC'!F47)),'Midterm OVPAA-F-INS-055A RAW SC'!F47,"")</f>
        <v/>
      </c>
      <c r="C42" s="226" t="str">
        <f>IF(NOT(ISBLANK('Midterm OVPAA-F-INS-055A RAW SC'!G47)),'Midterm OVPAA-F-INS-055A RAW SC'!G47,"")</f>
        <v/>
      </c>
      <c r="D42" s="227"/>
      <c r="E42" s="228"/>
      <c r="F42" s="229" t="str">
        <f>'MidTerm OVPAA-F-INS-055B CLASS'!BV47</f>
        <v/>
      </c>
      <c r="G42" s="228"/>
      <c r="H42" s="194" t="str">
        <f>'MidTerm OVPAA-F-INS-055B CLASS'!CR47</f>
        <v/>
      </c>
      <c r="I42" s="195" t="str">
        <f>'MidTerm OVPAA-F-INS-055B CLASS'!DD47</f>
        <v/>
      </c>
      <c r="J42" s="195" t="str">
        <f>'MidTerm OVPAA-F-INS-055B CLASS'!DI47</f>
        <v/>
      </c>
      <c r="K42" s="195" t="str">
        <f>'Finalterm OVPAA-F-INS-055B CLAS'!BV47</f>
        <v/>
      </c>
      <c r="L42" s="195" t="str">
        <f>'Finalterm OVPAA-F-INS-055B CLAS'!CR47</f>
        <v/>
      </c>
      <c r="M42" s="195" t="str">
        <f>'Finalterm OVPAA-F-INS-055B CLAS'!DD47</f>
        <v/>
      </c>
      <c r="N42" s="195" t="str">
        <f>'Finalterm OVPAA-F-INS-055B CLAS'!DI47</f>
        <v/>
      </c>
      <c r="O42" s="195" t="str">
        <f t="shared" si="0"/>
        <v/>
      </c>
      <c r="P42" s="195" t="str">
        <f t="shared" si="1"/>
        <v/>
      </c>
      <c r="Q42" s="195" t="str">
        <f t="shared" si="2"/>
        <v/>
      </c>
      <c r="R42" s="196" t="str">
        <f t="shared" si="3"/>
        <v/>
      </c>
      <c r="S42" s="177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</row>
    <row r="43" spans="1:33" ht="15.75" hidden="1" customHeight="1">
      <c r="A43" s="193">
        <v>31</v>
      </c>
      <c r="B43" s="193" t="str">
        <f>IF(NOT(ISBLANK('Midterm OVPAA-F-INS-055A RAW SC'!F48)),'Midterm OVPAA-F-INS-055A RAW SC'!F48,"")</f>
        <v/>
      </c>
      <c r="C43" s="226" t="str">
        <f>IF(NOT(ISBLANK('Midterm OVPAA-F-INS-055A RAW SC'!G48)),'Midterm OVPAA-F-INS-055A RAW SC'!G48,"")</f>
        <v/>
      </c>
      <c r="D43" s="227"/>
      <c r="E43" s="228"/>
      <c r="F43" s="229" t="str">
        <f>'MidTerm OVPAA-F-INS-055B CLASS'!BV48</f>
        <v/>
      </c>
      <c r="G43" s="228"/>
      <c r="H43" s="194" t="str">
        <f>'MidTerm OVPAA-F-INS-055B CLASS'!CR48</f>
        <v/>
      </c>
      <c r="I43" s="195" t="str">
        <f>'MidTerm OVPAA-F-INS-055B CLASS'!DD48</f>
        <v/>
      </c>
      <c r="J43" s="195" t="str">
        <f>'MidTerm OVPAA-F-INS-055B CLASS'!DI48</f>
        <v/>
      </c>
      <c r="K43" s="195" t="str">
        <f>'Finalterm OVPAA-F-INS-055B CLAS'!BV48</f>
        <v/>
      </c>
      <c r="L43" s="195" t="str">
        <f>'Finalterm OVPAA-F-INS-055B CLAS'!CR48</f>
        <v/>
      </c>
      <c r="M43" s="195" t="str">
        <f>'Finalterm OVPAA-F-INS-055B CLAS'!DD48</f>
        <v/>
      </c>
      <c r="N43" s="195" t="str">
        <f>'Finalterm OVPAA-F-INS-055B CLAS'!DI48</f>
        <v/>
      </c>
      <c r="O43" s="195" t="str">
        <f t="shared" si="0"/>
        <v/>
      </c>
      <c r="P43" s="195" t="str">
        <f t="shared" si="1"/>
        <v/>
      </c>
      <c r="Q43" s="195" t="str">
        <f t="shared" si="2"/>
        <v/>
      </c>
      <c r="R43" s="196" t="str">
        <f t="shared" si="3"/>
        <v/>
      </c>
      <c r="S43" s="177"/>
      <c r="T43" s="177"/>
      <c r="U43" s="177"/>
      <c r="V43" s="177"/>
      <c r="W43" s="177"/>
      <c r="X43" s="177"/>
      <c r="Y43" s="177"/>
      <c r="Z43" s="177"/>
      <c r="AA43" s="177"/>
      <c r="AB43" s="177"/>
      <c r="AC43" s="177"/>
      <c r="AD43" s="177"/>
      <c r="AE43" s="177"/>
      <c r="AF43" s="177"/>
      <c r="AG43" s="177"/>
    </row>
    <row r="44" spans="1:33" ht="15.75" hidden="1" customHeight="1">
      <c r="A44" s="193">
        <v>32</v>
      </c>
      <c r="B44" s="193" t="str">
        <f>IF(NOT(ISBLANK('Midterm OVPAA-F-INS-055A RAW SC'!F49)),'Midterm OVPAA-F-INS-055A RAW SC'!F49,"")</f>
        <v/>
      </c>
      <c r="C44" s="226" t="str">
        <f>IF(NOT(ISBLANK('Midterm OVPAA-F-INS-055A RAW SC'!G49)),'Midterm OVPAA-F-INS-055A RAW SC'!G49,"")</f>
        <v/>
      </c>
      <c r="D44" s="227"/>
      <c r="E44" s="228"/>
      <c r="F44" s="229" t="str">
        <f>'MidTerm OVPAA-F-INS-055B CLASS'!BV49</f>
        <v/>
      </c>
      <c r="G44" s="228"/>
      <c r="H44" s="194" t="str">
        <f>'MidTerm OVPAA-F-INS-055B CLASS'!CR49</f>
        <v/>
      </c>
      <c r="I44" s="195" t="str">
        <f>'MidTerm OVPAA-F-INS-055B CLASS'!DD49</f>
        <v/>
      </c>
      <c r="J44" s="195" t="str">
        <f>'MidTerm OVPAA-F-INS-055B CLASS'!DI49</f>
        <v/>
      </c>
      <c r="K44" s="195" t="str">
        <f>'Finalterm OVPAA-F-INS-055B CLAS'!BV49</f>
        <v/>
      </c>
      <c r="L44" s="195" t="str">
        <f>'Finalterm OVPAA-F-INS-055B CLAS'!CR49</f>
        <v/>
      </c>
      <c r="M44" s="195" t="str">
        <f>'Finalterm OVPAA-F-INS-055B CLAS'!DD49</f>
        <v/>
      </c>
      <c r="N44" s="195" t="str">
        <f>'Finalterm OVPAA-F-INS-055B CLAS'!DI49</f>
        <v/>
      </c>
      <c r="O44" s="195" t="str">
        <f t="shared" si="0"/>
        <v/>
      </c>
      <c r="P44" s="195" t="str">
        <f t="shared" si="1"/>
        <v/>
      </c>
      <c r="Q44" s="195" t="str">
        <f t="shared" si="2"/>
        <v/>
      </c>
      <c r="R44" s="196" t="str">
        <f t="shared" si="3"/>
        <v/>
      </c>
      <c r="S44" s="177"/>
      <c r="T44" s="177"/>
      <c r="U44" s="177"/>
      <c r="V44" s="177"/>
      <c r="W44" s="177"/>
      <c r="X44" s="177"/>
      <c r="Y44" s="177"/>
      <c r="Z44" s="177"/>
      <c r="AA44" s="177"/>
      <c r="AB44" s="177"/>
      <c r="AC44" s="177"/>
      <c r="AD44" s="177"/>
      <c r="AE44" s="177"/>
      <c r="AF44" s="177"/>
      <c r="AG44" s="177"/>
    </row>
    <row r="45" spans="1:33" ht="15.75" hidden="1" customHeight="1">
      <c r="A45" s="193">
        <v>33</v>
      </c>
      <c r="B45" s="193" t="str">
        <f>IF(NOT(ISBLANK('Midterm OVPAA-F-INS-055A RAW SC'!F50)),'Midterm OVPAA-F-INS-055A RAW SC'!F50,"")</f>
        <v/>
      </c>
      <c r="C45" s="226" t="str">
        <f>IF(NOT(ISBLANK('Midterm OVPAA-F-INS-055A RAW SC'!G50)),'Midterm OVPAA-F-INS-055A RAW SC'!G50,"")</f>
        <v/>
      </c>
      <c r="D45" s="227"/>
      <c r="E45" s="228"/>
      <c r="F45" s="229" t="str">
        <f>'MidTerm OVPAA-F-INS-055B CLASS'!BV50</f>
        <v/>
      </c>
      <c r="G45" s="228"/>
      <c r="H45" s="194" t="str">
        <f>'MidTerm OVPAA-F-INS-055B CLASS'!CR50</f>
        <v/>
      </c>
      <c r="I45" s="195" t="str">
        <f>'MidTerm OVPAA-F-INS-055B CLASS'!DD50</f>
        <v/>
      </c>
      <c r="J45" s="195" t="str">
        <f>'MidTerm OVPAA-F-INS-055B CLASS'!DI50</f>
        <v/>
      </c>
      <c r="K45" s="195" t="str">
        <f>'Finalterm OVPAA-F-INS-055B CLAS'!BV50</f>
        <v/>
      </c>
      <c r="L45" s="195" t="str">
        <f>'Finalterm OVPAA-F-INS-055B CLAS'!CR50</f>
        <v/>
      </c>
      <c r="M45" s="195" t="str">
        <f>'Finalterm OVPAA-F-INS-055B CLAS'!DD50</f>
        <v/>
      </c>
      <c r="N45" s="195" t="str">
        <f>'Finalterm OVPAA-F-INS-055B CLAS'!DI50</f>
        <v/>
      </c>
      <c r="O45" s="195" t="str">
        <f t="shared" si="0"/>
        <v/>
      </c>
      <c r="P45" s="195" t="str">
        <f t="shared" si="1"/>
        <v/>
      </c>
      <c r="Q45" s="195" t="str">
        <f t="shared" si="2"/>
        <v/>
      </c>
      <c r="R45" s="196" t="str">
        <f t="shared" si="3"/>
        <v/>
      </c>
      <c r="S45" s="177"/>
      <c r="T45" s="177"/>
      <c r="U45" s="177"/>
      <c r="V45" s="177"/>
      <c r="W45" s="177"/>
      <c r="X45" s="177"/>
      <c r="Y45" s="177"/>
      <c r="Z45" s="177"/>
      <c r="AA45" s="177"/>
      <c r="AB45" s="177"/>
      <c r="AC45" s="177"/>
      <c r="AD45" s="177"/>
      <c r="AE45" s="177"/>
      <c r="AF45" s="177"/>
      <c r="AG45" s="177"/>
    </row>
    <row r="46" spans="1:33" ht="15.75" hidden="1" customHeight="1">
      <c r="A46" s="193">
        <v>34</v>
      </c>
      <c r="B46" s="193" t="str">
        <f>IF(NOT(ISBLANK('Midterm OVPAA-F-INS-055A RAW SC'!F51)),'Midterm OVPAA-F-INS-055A RAW SC'!F51,"")</f>
        <v/>
      </c>
      <c r="C46" s="226" t="str">
        <f>IF(NOT(ISBLANK('Midterm OVPAA-F-INS-055A RAW SC'!G51)),'Midterm OVPAA-F-INS-055A RAW SC'!G51,"")</f>
        <v/>
      </c>
      <c r="D46" s="227"/>
      <c r="E46" s="228"/>
      <c r="F46" s="229" t="str">
        <f>'MidTerm OVPAA-F-INS-055B CLASS'!BV51</f>
        <v/>
      </c>
      <c r="G46" s="228"/>
      <c r="H46" s="194" t="str">
        <f>'MidTerm OVPAA-F-INS-055B CLASS'!CR51</f>
        <v/>
      </c>
      <c r="I46" s="195" t="str">
        <f>'MidTerm OVPAA-F-INS-055B CLASS'!DD51</f>
        <v/>
      </c>
      <c r="J46" s="195" t="str">
        <f>'MidTerm OVPAA-F-INS-055B CLASS'!DI51</f>
        <v/>
      </c>
      <c r="K46" s="195" t="str">
        <f>'Finalterm OVPAA-F-INS-055B CLAS'!BV51</f>
        <v/>
      </c>
      <c r="L46" s="195" t="str">
        <f>'Finalterm OVPAA-F-INS-055B CLAS'!CR51</f>
        <v/>
      </c>
      <c r="M46" s="195" t="str">
        <f>'Finalterm OVPAA-F-INS-055B CLAS'!DD51</f>
        <v/>
      </c>
      <c r="N46" s="195" t="str">
        <f>'Finalterm OVPAA-F-INS-055B CLAS'!DI51</f>
        <v/>
      </c>
      <c r="O46" s="195" t="str">
        <f t="shared" si="0"/>
        <v/>
      </c>
      <c r="P46" s="195" t="str">
        <f t="shared" si="1"/>
        <v/>
      </c>
      <c r="Q46" s="195" t="str">
        <f t="shared" si="2"/>
        <v/>
      </c>
      <c r="R46" s="196" t="str">
        <f t="shared" si="3"/>
        <v/>
      </c>
      <c r="S46" s="177"/>
      <c r="T46" s="177"/>
      <c r="U46" s="177"/>
      <c r="V46" s="177"/>
      <c r="W46" s="177"/>
      <c r="X46" s="177"/>
      <c r="Y46" s="177"/>
      <c r="Z46" s="177"/>
      <c r="AA46" s="177"/>
      <c r="AB46" s="177"/>
      <c r="AC46" s="177"/>
      <c r="AD46" s="177"/>
      <c r="AE46" s="177"/>
      <c r="AF46" s="177"/>
      <c r="AG46" s="177"/>
    </row>
    <row r="47" spans="1:33" ht="15.75" hidden="1" customHeight="1">
      <c r="A47" s="193">
        <v>35</v>
      </c>
      <c r="B47" s="193" t="str">
        <f>IF(NOT(ISBLANK('Midterm OVPAA-F-INS-055A RAW SC'!F52)),'Midterm OVPAA-F-INS-055A RAW SC'!F52,"")</f>
        <v/>
      </c>
      <c r="C47" s="226" t="str">
        <f>IF(NOT(ISBLANK('Midterm OVPAA-F-INS-055A RAW SC'!G52)),'Midterm OVPAA-F-INS-055A RAW SC'!G52,"")</f>
        <v/>
      </c>
      <c r="D47" s="227"/>
      <c r="E47" s="228"/>
      <c r="F47" s="229" t="str">
        <f>'MidTerm OVPAA-F-INS-055B CLASS'!BV52</f>
        <v/>
      </c>
      <c r="G47" s="228"/>
      <c r="H47" s="194" t="str">
        <f>'MidTerm OVPAA-F-INS-055B CLASS'!CR52</f>
        <v/>
      </c>
      <c r="I47" s="195" t="str">
        <f>'MidTerm OVPAA-F-INS-055B CLASS'!DD52</f>
        <v/>
      </c>
      <c r="J47" s="195" t="str">
        <f>'MidTerm OVPAA-F-INS-055B CLASS'!DI52</f>
        <v/>
      </c>
      <c r="K47" s="195" t="str">
        <f>'Finalterm OVPAA-F-INS-055B CLAS'!BV52</f>
        <v/>
      </c>
      <c r="L47" s="195" t="str">
        <f>'Finalterm OVPAA-F-INS-055B CLAS'!CR52</f>
        <v/>
      </c>
      <c r="M47" s="195" t="str">
        <f>'Finalterm OVPAA-F-INS-055B CLAS'!DD52</f>
        <v/>
      </c>
      <c r="N47" s="195" t="str">
        <f>'Finalterm OVPAA-F-INS-055B CLAS'!DI52</f>
        <v/>
      </c>
      <c r="O47" s="195" t="str">
        <f t="shared" si="0"/>
        <v/>
      </c>
      <c r="P47" s="195" t="str">
        <f t="shared" si="1"/>
        <v/>
      </c>
      <c r="Q47" s="195" t="str">
        <f t="shared" si="2"/>
        <v/>
      </c>
      <c r="R47" s="196" t="str">
        <f t="shared" si="3"/>
        <v/>
      </c>
      <c r="S47" s="177"/>
      <c r="T47" s="177"/>
      <c r="U47" s="177"/>
      <c r="V47" s="177"/>
      <c r="W47" s="177"/>
      <c r="X47" s="177"/>
      <c r="Y47" s="177"/>
      <c r="Z47" s="177"/>
      <c r="AA47" s="177"/>
      <c r="AB47" s="177"/>
      <c r="AC47" s="177"/>
      <c r="AD47" s="177"/>
      <c r="AE47" s="177"/>
      <c r="AF47" s="177"/>
      <c r="AG47" s="177"/>
    </row>
    <row r="48" spans="1:33" ht="15.75" hidden="1" customHeight="1">
      <c r="A48" s="193">
        <v>36</v>
      </c>
      <c r="B48" s="193" t="str">
        <f>IF(NOT(ISBLANK('Midterm OVPAA-F-INS-055A RAW SC'!F53)),'Midterm OVPAA-F-INS-055A RAW SC'!F53,"")</f>
        <v/>
      </c>
      <c r="C48" s="226" t="str">
        <f>IF(NOT(ISBLANK('Midterm OVPAA-F-INS-055A RAW SC'!G53)),'Midterm OVPAA-F-INS-055A RAW SC'!G53,"")</f>
        <v/>
      </c>
      <c r="D48" s="227"/>
      <c r="E48" s="228"/>
      <c r="F48" s="229" t="str">
        <f>'MidTerm OVPAA-F-INS-055B CLASS'!BV53</f>
        <v/>
      </c>
      <c r="G48" s="228"/>
      <c r="H48" s="194" t="str">
        <f>'MidTerm OVPAA-F-INS-055B CLASS'!CR53</f>
        <v/>
      </c>
      <c r="I48" s="195" t="str">
        <f>'MidTerm OVPAA-F-INS-055B CLASS'!DD53</f>
        <v/>
      </c>
      <c r="J48" s="195" t="str">
        <f>'MidTerm OVPAA-F-INS-055B CLASS'!DI53</f>
        <v/>
      </c>
      <c r="K48" s="195" t="str">
        <f>'Finalterm OVPAA-F-INS-055B CLAS'!BV53</f>
        <v/>
      </c>
      <c r="L48" s="195" t="str">
        <f>'Finalterm OVPAA-F-INS-055B CLAS'!CR53</f>
        <v/>
      </c>
      <c r="M48" s="195" t="str">
        <f>'Finalterm OVPAA-F-INS-055B CLAS'!DD53</f>
        <v/>
      </c>
      <c r="N48" s="195" t="str">
        <f>'Finalterm OVPAA-F-INS-055B CLAS'!DI53</f>
        <v/>
      </c>
      <c r="O48" s="195" t="str">
        <f t="shared" si="0"/>
        <v/>
      </c>
      <c r="P48" s="195" t="str">
        <f t="shared" si="1"/>
        <v/>
      </c>
      <c r="Q48" s="195" t="str">
        <f t="shared" si="2"/>
        <v/>
      </c>
      <c r="R48" s="196" t="str">
        <f t="shared" si="3"/>
        <v/>
      </c>
      <c r="S48" s="177"/>
      <c r="T48" s="177"/>
      <c r="U48" s="177"/>
      <c r="V48" s="177"/>
      <c r="W48" s="177"/>
      <c r="X48" s="177"/>
      <c r="Y48" s="177"/>
      <c r="Z48" s="177"/>
      <c r="AA48" s="177"/>
      <c r="AB48" s="177"/>
      <c r="AC48" s="177"/>
      <c r="AD48" s="177"/>
      <c r="AE48" s="177"/>
      <c r="AF48" s="177"/>
      <c r="AG48" s="177"/>
    </row>
    <row r="49" spans="1:33" ht="15.75" hidden="1" customHeight="1">
      <c r="A49" s="193">
        <v>37</v>
      </c>
      <c r="B49" s="193" t="str">
        <f>IF(NOT(ISBLANK('Midterm OVPAA-F-INS-055A RAW SC'!F54)),'Midterm OVPAA-F-INS-055A RAW SC'!F54,"")</f>
        <v/>
      </c>
      <c r="C49" s="226" t="str">
        <f>IF(NOT(ISBLANK('Midterm OVPAA-F-INS-055A RAW SC'!G54)),'Midterm OVPAA-F-INS-055A RAW SC'!G54,"")</f>
        <v/>
      </c>
      <c r="D49" s="227"/>
      <c r="E49" s="228"/>
      <c r="F49" s="229" t="str">
        <f>'MidTerm OVPAA-F-INS-055B CLASS'!BV54</f>
        <v/>
      </c>
      <c r="G49" s="228"/>
      <c r="H49" s="194" t="str">
        <f>'MidTerm OVPAA-F-INS-055B CLASS'!CR54</f>
        <v/>
      </c>
      <c r="I49" s="195" t="str">
        <f>'MidTerm OVPAA-F-INS-055B CLASS'!DD54</f>
        <v/>
      </c>
      <c r="J49" s="195" t="str">
        <f>'MidTerm OVPAA-F-INS-055B CLASS'!DI54</f>
        <v/>
      </c>
      <c r="K49" s="195" t="str">
        <f>'Finalterm OVPAA-F-INS-055B CLAS'!BV54</f>
        <v/>
      </c>
      <c r="L49" s="195" t="str">
        <f>'Finalterm OVPAA-F-INS-055B CLAS'!CR54</f>
        <v/>
      </c>
      <c r="M49" s="195" t="str">
        <f>'Finalterm OVPAA-F-INS-055B CLAS'!DD54</f>
        <v/>
      </c>
      <c r="N49" s="195" t="str">
        <f>'Finalterm OVPAA-F-INS-055B CLAS'!DI54</f>
        <v/>
      </c>
      <c r="O49" s="195" t="str">
        <f t="shared" si="0"/>
        <v/>
      </c>
      <c r="P49" s="195" t="str">
        <f t="shared" si="1"/>
        <v/>
      </c>
      <c r="Q49" s="195" t="str">
        <f t="shared" si="2"/>
        <v/>
      </c>
      <c r="R49" s="196" t="str">
        <f t="shared" si="3"/>
        <v/>
      </c>
      <c r="S49" s="177"/>
      <c r="T49" s="177"/>
      <c r="U49" s="177"/>
      <c r="V49" s="177"/>
      <c r="W49" s="177"/>
      <c r="X49" s="177"/>
      <c r="Y49" s="177"/>
      <c r="Z49" s="177"/>
      <c r="AA49" s="177"/>
      <c r="AB49" s="177"/>
      <c r="AC49" s="177"/>
      <c r="AD49" s="177"/>
      <c r="AE49" s="177"/>
      <c r="AF49" s="177"/>
      <c r="AG49" s="177"/>
    </row>
    <row r="50" spans="1:33" ht="15.75" hidden="1" customHeight="1">
      <c r="A50" s="193">
        <v>38</v>
      </c>
      <c r="B50" s="193" t="str">
        <f>IF(NOT(ISBLANK('Midterm OVPAA-F-INS-055A RAW SC'!F55)),'Midterm OVPAA-F-INS-055A RAW SC'!F55,"")</f>
        <v/>
      </c>
      <c r="C50" s="226" t="str">
        <f>IF(NOT(ISBLANK('Midterm OVPAA-F-INS-055A RAW SC'!G55)),'Midterm OVPAA-F-INS-055A RAW SC'!G55,"")</f>
        <v/>
      </c>
      <c r="D50" s="227"/>
      <c r="E50" s="228"/>
      <c r="F50" s="229" t="str">
        <f>'MidTerm OVPAA-F-INS-055B CLASS'!BV55</f>
        <v/>
      </c>
      <c r="G50" s="228"/>
      <c r="H50" s="194" t="str">
        <f>'MidTerm OVPAA-F-INS-055B CLASS'!CR55</f>
        <v/>
      </c>
      <c r="I50" s="195" t="str">
        <f>'MidTerm OVPAA-F-INS-055B CLASS'!DD55</f>
        <v/>
      </c>
      <c r="J50" s="195" t="str">
        <f>'MidTerm OVPAA-F-INS-055B CLASS'!DI55</f>
        <v/>
      </c>
      <c r="K50" s="195" t="str">
        <f>'Finalterm OVPAA-F-INS-055B CLAS'!BV55</f>
        <v/>
      </c>
      <c r="L50" s="195" t="str">
        <f>'Finalterm OVPAA-F-INS-055B CLAS'!CR55</f>
        <v/>
      </c>
      <c r="M50" s="195" t="str">
        <f>'Finalterm OVPAA-F-INS-055B CLAS'!DD55</f>
        <v/>
      </c>
      <c r="N50" s="195" t="str">
        <f>'Finalterm OVPAA-F-INS-055B CLAS'!DI55</f>
        <v/>
      </c>
      <c r="O50" s="195" t="str">
        <f t="shared" si="0"/>
        <v/>
      </c>
      <c r="P50" s="195" t="str">
        <f t="shared" si="1"/>
        <v/>
      </c>
      <c r="Q50" s="195" t="str">
        <f t="shared" si="2"/>
        <v/>
      </c>
      <c r="R50" s="196" t="str">
        <f t="shared" si="3"/>
        <v/>
      </c>
      <c r="S50" s="177"/>
      <c r="T50" s="177"/>
      <c r="U50" s="177"/>
      <c r="V50" s="177"/>
      <c r="W50" s="177"/>
      <c r="X50" s="177"/>
      <c r="Y50" s="177"/>
      <c r="Z50" s="177"/>
      <c r="AA50" s="177"/>
      <c r="AB50" s="177"/>
      <c r="AC50" s="177"/>
      <c r="AD50" s="177"/>
      <c r="AE50" s="177"/>
      <c r="AF50" s="177"/>
      <c r="AG50" s="177"/>
    </row>
    <row r="51" spans="1:33" ht="15.75" hidden="1" customHeight="1">
      <c r="A51" s="193">
        <v>39</v>
      </c>
      <c r="B51" s="193" t="str">
        <f>IF(NOT(ISBLANK('Midterm OVPAA-F-INS-055A RAW SC'!F56)),'Midterm OVPAA-F-INS-055A RAW SC'!F56,"")</f>
        <v/>
      </c>
      <c r="C51" s="226" t="str">
        <f>IF(NOT(ISBLANK('Midterm OVPAA-F-INS-055A RAW SC'!G56)),'Midterm OVPAA-F-INS-055A RAW SC'!G56,"")</f>
        <v/>
      </c>
      <c r="D51" s="227"/>
      <c r="E51" s="228"/>
      <c r="F51" s="229" t="str">
        <f>'MidTerm OVPAA-F-INS-055B CLASS'!BV56</f>
        <v/>
      </c>
      <c r="G51" s="228"/>
      <c r="H51" s="194" t="str">
        <f>'MidTerm OVPAA-F-INS-055B CLASS'!CR56</f>
        <v/>
      </c>
      <c r="I51" s="195" t="str">
        <f>'MidTerm OVPAA-F-INS-055B CLASS'!DD56</f>
        <v/>
      </c>
      <c r="J51" s="195" t="str">
        <f>'MidTerm OVPAA-F-INS-055B CLASS'!DI56</f>
        <v/>
      </c>
      <c r="K51" s="195" t="str">
        <f>'Finalterm OVPAA-F-INS-055B CLAS'!BV56</f>
        <v/>
      </c>
      <c r="L51" s="195" t="str">
        <f>'Finalterm OVPAA-F-INS-055B CLAS'!CR56</f>
        <v/>
      </c>
      <c r="M51" s="195" t="str">
        <f>'Finalterm OVPAA-F-INS-055B CLAS'!DD56</f>
        <v/>
      </c>
      <c r="N51" s="195" t="str">
        <f>'Finalterm OVPAA-F-INS-055B CLAS'!DI56</f>
        <v/>
      </c>
      <c r="O51" s="195" t="str">
        <f t="shared" si="0"/>
        <v/>
      </c>
      <c r="P51" s="195" t="str">
        <f t="shared" si="1"/>
        <v/>
      </c>
      <c r="Q51" s="195" t="str">
        <f t="shared" si="2"/>
        <v/>
      </c>
      <c r="R51" s="196" t="str">
        <f t="shared" si="3"/>
        <v/>
      </c>
      <c r="S51" s="177"/>
      <c r="T51" s="177"/>
      <c r="U51" s="177"/>
      <c r="V51" s="177"/>
      <c r="W51" s="177"/>
      <c r="X51" s="177"/>
      <c r="Y51" s="177"/>
      <c r="Z51" s="177"/>
      <c r="AA51" s="177"/>
      <c r="AB51" s="177"/>
      <c r="AC51" s="177"/>
      <c r="AD51" s="177"/>
      <c r="AE51" s="177"/>
      <c r="AF51" s="177"/>
      <c r="AG51" s="177"/>
    </row>
    <row r="52" spans="1:33" ht="15.75" hidden="1" customHeight="1">
      <c r="A52" s="193">
        <v>40</v>
      </c>
      <c r="B52" s="193" t="str">
        <f>IF(NOT(ISBLANK('Midterm OVPAA-F-INS-055A RAW SC'!F57)),'Midterm OVPAA-F-INS-055A RAW SC'!F57,"")</f>
        <v/>
      </c>
      <c r="C52" s="226" t="str">
        <f>IF(NOT(ISBLANK('Midterm OVPAA-F-INS-055A RAW SC'!G57)),'Midterm OVPAA-F-INS-055A RAW SC'!G57,"")</f>
        <v/>
      </c>
      <c r="D52" s="227"/>
      <c r="E52" s="228"/>
      <c r="F52" s="229" t="str">
        <f>'MidTerm OVPAA-F-INS-055B CLASS'!BV57</f>
        <v/>
      </c>
      <c r="G52" s="228"/>
      <c r="H52" s="194" t="str">
        <f>'MidTerm OVPAA-F-INS-055B CLASS'!CR57</f>
        <v/>
      </c>
      <c r="I52" s="195" t="str">
        <f>'MidTerm OVPAA-F-INS-055B CLASS'!DD57</f>
        <v/>
      </c>
      <c r="J52" s="195" t="str">
        <f>'MidTerm OVPAA-F-INS-055B CLASS'!DI57</f>
        <v/>
      </c>
      <c r="K52" s="195" t="str">
        <f>'Finalterm OVPAA-F-INS-055B CLAS'!BV57</f>
        <v/>
      </c>
      <c r="L52" s="195" t="str">
        <f>'Finalterm OVPAA-F-INS-055B CLAS'!CR57</f>
        <v/>
      </c>
      <c r="M52" s="195" t="str">
        <f>'Finalterm OVPAA-F-INS-055B CLAS'!DD57</f>
        <v/>
      </c>
      <c r="N52" s="195" t="str">
        <f>'Finalterm OVPAA-F-INS-055B CLAS'!DI57</f>
        <v/>
      </c>
      <c r="O52" s="195" t="str">
        <f t="shared" si="0"/>
        <v/>
      </c>
      <c r="P52" s="195" t="str">
        <f t="shared" si="1"/>
        <v/>
      </c>
      <c r="Q52" s="195" t="str">
        <f t="shared" si="2"/>
        <v/>
      </c>
      <c r="R52" s="196" t="str">
        <f t="shared" si="3"/>
        <v/>
      </c>
      <c r="S52" s="177"/>
      <c r="T52" s="177"/>
      <c r="U52" s="177"/>
      <c r="V52" s="177"/>
      <c r="W52" s="177"/>
      <c r="X52" s="177"/>
      <c r="Y52" s="177"/>
      <c r="Z52" s="177"/>
      <c r="AA52" s="177"/>
      <c r="AB52" s="177"/>
      <c r="AC52" s="177"/>
      <c r="AD52" s="177"/>
      <c r="AE52" s="177"/>
      <c r="AF52" s="177"/>
      <c r="AG52" s="177"/>
    </row>
    <row r="53" spans="1:33" ht="15.75" hidden="1" customHeight="1">
      <c r="A53" s="193">
        <v>41</v>
      </c>
      <c r="B53" s="193" t="str">
        <f>IF(NOT(ISBLANK('Midterm OVPAA-F-INS-055A RAW SC'!F58)),'Midterm OVPAA-F-INS-055A RAW SC'!F58,"")</f>
        <v/>
      </c>
      <c r="C53" s="226" t="str">
        <f>IF(NOT(ISBLANK('Midterm OVPAA-F-INS-055A RAW SC'!G58)),'Midterm OVPAA-F-INS-055A RAW SC'!G58,"")</f>
        <v/>
      </c>
      <c r="D53" s="227"/>
      <c r="E53" s="228"/>
      <c r="F53" s="229" t="str">
        <f>'MidTerm OVPAA-F-INS-055B CLASS'!BV58</f>
        <v/>
      </c>
      <c r="G53" s="228"/>
      <c r="H53" s="194" t="str">
        <f>'MidTerm OVPAA-F-INS-055B CLASS'!CR58</f>
        <v/>
      </c>
      <c r="I53" s="195" t="str">
        <f>'MidTerm OVPAA-F-INS-055B CLASS'!DD58</f>
        <v/>
      </c>
      <c r="J53" s="195" t="str">
        <f>'MidTerm OVPAA-F-INS-055B CLASS'!DI58</f>
        <v/>
      </c>
      <c r="K53" s="195" t="str">
        <f>'Finalterm OVPAA-F-INS-055B CLAS'!BV58</f>
        <v/>
      </c>
      <c r="L53" s="195" t="str">
        <f>'Finalterm OVPAA-F-INS-055B CLAS'!CR58</f>
        <v/>
      </c>
      <c r="M53" s="195" t="str">
        <f>'Finalterm OVPAA-F-INS-055B CLAS'!DD58</f>
        <v/>
      </c>
      <c r="N53" s="195" t="str">
        <f>'Finalterm OVPAA-F-INS-055B CLAS'!DI58</f>
        <v/>
      </c>
      <c r="O53" s="195" t="str">
        <f t="shared" si="0"/>
        <v/>
      </c>
      <c r="P53" s="195" t="str">
        <f t="shared" si="1"/>
        <v/>
      </c>
      <c r="Q53" s="195" t="str">
        <f t="shared" si="2"/>
        <v/>
      </c>
      <c r="R53" s="196" t="str">
        <f t="shared" si="3"/>
        <v/>
      </c>
      <c r="S53" s="177"/>
      <c r="T53" s="177"/>
      <c r="U53" s="177"/>
      <c r="V53" s="177"/>
      <c r="W53" s="177"/>
      <c r="X53" s="177"/>
      <c r="Y53" s="177"/>
      <c r="Z53" s="177"/>
      <c r="AA53" s="177"/>
      <c r="AB53" s="177"/>
      <c r="AC53" s="177"/>
      <c r="AD53" s="177"/>
      <c r="AE53" s="177"/>
      <c r="AF53" s="177"/>
      <c r="AG53" s="177"/>
    </row>
    <row r="54" spans="1:33" ht="15.75" hidden="1" customHeight="1">
      <c r="A54" s="193">
        <v>42</v>
      </c>
      <c r="B54" s="193" t="str">
        <f>IF(NOT(ISBLANK('Midterm OVPAA-F-INS-055A RAW SC'!F59)),'Midterm OVPAA-F-INS-055A RAW SC'!F59,"")</f>
        <v/>
      </c>
      <c r="C54" s="226" t="str">
        <f>IF(NOT(ISBLANK('Midterm OVPAA-F-INS-055A RAW SC'!G59)),'Midterm OVPAA-F-INS-055A RAW SC'!G59,"")</f>
        <v/>
      </c>
      <c r="D54" s="227"/>
      <c r="E54" s="228"/>
      <c r="F54" s="229" t="str">
        <f>'MidTerm OVPAA-F-INS-055B CLASS'!BV59</f>
        <v/>
      </c>
      <c r="G54" s="228"/>
      <c r="H54" s="194" t="str">
        <f>'MidTerm OVPAA-F-INS-055B CLASS'!CR59</f>
        <v/>
      </c>
      <c r="I54" s="195" t="str">
        <f>'MidTerm OVPAA-F-INS-055B CLASS'!DD59</f>
        <v/>
      </c>
      <c r="J54" s="195" t="str">
        <f>'MidTerm OVPAA-F-INS-055B CLASS'!DI59</f>
        <v/>
      </c>
      <c r="K54" s="195" t="str">
        <f>'Finalterm OVPAA-F-INS-055B CLAS'!BV59</f>
        <v/>
      </c>
      <c r="L54" s="195" t="str">
        <f>'Finalterm OVPAA-F-INS-055B CLAS'!CR59</f>
        <v/>
      </c>
      <c r="M54" s="195" t="str">
        <f>'Finalterm OVPAA-F-INS-055B CLAS'!DD59</f>
        <v/>
      </c>
      <c r="N54" s="195" t="str">
        <f>'Finalterm OVPAA-F-INS-055B CLAS'!DI59</f>
        <v/>
      </c>
      <c r="O54" s="195" t="str">
        <f t="shared" si="0"/>
        <v/>
      </c>
      <c r="P54" s="195" t="str">
        <f t="shared" si="1"/>
        <v/>
      </c>
      <c r="Q54" s="195" t="str">
        <f t="shared" si="2"/>
        <v/>
      </c>
      <c r="R54" s="196" t="str">
        <f t="shared" si="3"/>
        <v/>
      </c>
      <c r="S54" s="177"/>
      <c r="T54" s="177"/>
      <c r="U54" s="177"/>
      <c r="V54" s="177"/>
      <c r="W54" s="177"/>
      <c r="X54" s="177"/>
      <c r="Y54" s="177"/>
      <c r="Z54" s="177"/>
      <c r="AA54" s="177"/>
      <c r="AB54" s="177"/>
      <c r="AC54" s="177"/>
      <c r="AD54" s="177"/>
      <c r="AE54" s="177"/>
      <c r="AF54" s="177"/>
      <c r="AG54" s="177"/>
    </row>
    <row r="55" spans="1:33" ht="15.75" hidden="1" customHeight="1">
      <c r="A55" s="193">
        <v>43</v>
      </c>
      <c r="B55" s="193" t="str">
        <f>IF(NOT(ISBLANK('Midterm OVPAA-F-INS-055A RAW SC'!F60)),'Midterm OVPAA-F-INS-055A RAW SC'!F60,"")</f>
        <v/>
      </c>
      <c r="C55" s="226" t="str">
        <f>IF(NOT(ISBLANK('Midterm OVPAA-F-INS-055A RAW SC'!G60)),'Midterm OVPAA-F-INS-055A RAW SC'!G60,"")</f>
        <v/>
      </c>
      <c r="D55" s="227"/>
      <c r="E55" s="228"/>
      <c r="F55" s="229" t="str">
        <f>'MidTerm OVPAA-F-INS-055B CLASS'!BV60</f>
        <v/>
      </c>
      <c r="G55" s="228"/>
      <c r="H55" s="194" t="str">
        <f>'MidTerm OVPAA-F-INS-055B CLASS'!CR60</f>
        <v/>
      </c>
      <c r="I55" s="195" t="str">
        <f>'MidTerm OVPAA-F-INS-055B CLASS'!DD60</f>
        <v/>
      </c>
      <c r="J55" s="195" t="str">
        <f>'MidTerm OVPAA-F-INS-055B CLASS'!DI60</f>
        <v/>
      </c>
      <c r="K55" s="195" t="str">
        <f>'Finalterm OVPAA-F-INS-055B CLAS'!BV60</f>
        <v/>
      </c>
      <c r="L55" s="195" t="str">
        <f>'Finalterm OVPAA-F-INS-055B CLAS'!CR60</f>
        <v/>
      </c>
      <c r="M55" s="195" t="str">
        <f>'Finalterm OVPAA-F-INS-055B CLAS'!DD60</f>
        <v/>
      </c>
      <c r="N55" s="195" t="str">
        <f>'Finalterm OVPAA-F-INS-055B CLAS'!DI60</f>
        <v/>
      </c>
      <c r="O55" s="195" t="str">
        <f t="shared" si="0"/>
        <v/>
      </c>
      <c r="P55" s="195" t="str">
        <f t="shared" si="1"/>
        <v/>
      </c>
      <c r="Q55" s="195" t="str">
        <f t="shared" si="2"/>
        <v/>
      </c>
      <c r="R55" s="196" t="str">
        <f t="shared" si="3"/>
        <v/>
      </c>
      <c r="S55" s="177"/>
      <c r="T55" s="177"/>
      <c r="U55" s="177"/>
      <c r="V55" s="177"/>
      <c r="W55" s="177"/>
      <c r="X55" s="177"/>
      <c r="Y55" s="177"/>
      <c r="Z55" s="177"/>
      <c r="AA55" s="177"/>
      <c r="AB55" s="177"/>
      <c r="AC55" s="177"/>
      <c r="AD55" s="177"/>
      <c r="AE55" s="177"/>
      <c r="AF55" s="177"/>
      <c r="AG55" s="177"/>
    </row>
    <row r="56" spans="1:33" ht="15.75" hidden="1" customHeight="1">
      <c r="A56" s="193">
        <v>44</v>
      </c>
      <c r="B56" s="193" t="str">
        <f>IF(NOT(ISBLANK('Midterm OVPAA-F-INS-055A RAW SC'!F61)),'Midterm OVPAA-F-INS-055A RAW SC'!F61,"")</f>
        <v/>
      </c>
      <c r="C56" s="226" t="str">
        <f>IF(NOT(ISBLANK('Midterm OVPAA-F-INS-055A RAW SC'!G61)),'Midterm OVPAA-F-INS-055A RAW SC'!G61,"")</f>
        <v/>
      </c>
      <c r="D56" s="227"/>
      <c r="E56" s="228"/>
      <c r="F56" s="229" t="str">
        <f>'MidTerm OVPAA-F-INS-055B CLASS'!BV61</f>
        <v/>
      </c>
      <c r="G56" s="228"/>
      <c r="H56" s="194" t="str">
        <f>'MidTerm OVPAA-F-INS-055B CLASS'!CR61</f>
        <v/>
      </c>
      <c r="I56" s="195" t="str">
        <f>'MidTerm OVPAA-F-INS-055B CLASS'!DD61</f>
        <v/>
      </c>
      <c r="J56" s="195" t="str">
        <f>'MidTerm OVPAA-F-INS-055B CLASS'!DI61</f>
        <v/>
      </c>
      <c r="K56" s="195" t="str">
        <f>'Finalterm OVPAA-F-INS-055B CLAS'!BV61</f>
        <v/>
      </c>
      <c r="L56" s="195" t="str">
        <f>'Finalterm OVPAA-F-INS-055B CLAS'!CR61</f>
        <v/>
      </c>
      <c r="M56" s="195" t="str">
        <f>'Finalterm OVPAA-F-INS-055B CLAS'!DD61</f>
        <v/>
      </c>
      <c r="N56" s="195" t="str">
        <f>'Finalterm OVPAA-F-INS-055B CLAS'!DI61</f>
        <v/>
      </c>
      <c r="O56" s="195" t="str">
        <f t="shared" si="0"/>
        <v/>
      </c>
      <c r="P56" s="195" t="str">
        <f t="shared" si="1"/>
        <v/>
      </c>
      <c r="Q56" s="195" t="str">
        <f t="shared" si="2"/>
        <v/>
      </c>
      <c r="R56" s="196" t="str">
        <f t="shared" si="3"/>
        <v/>
      </c>
      <c r="S56" s="177"/>
      <c r="T56" s="177"/>
      <c r="U56" s="177"/>
      <c r="V56" s="177"/>
      <c r="W56" s="177"/>
      <c r="X56" s="177"/>
      <c r="Y56" s="177"/>
      <c r="Z56" s="177"/>
      <c r="AA56" s="177"/>
      <c r="AB56" s="177"/>
      <c r="AC56" s="177"/>
      <c r="AD56" s="177"/>
      <c r="AE56" s="177"/>
      <c r="AF56" s="177"/>
      <c r="AG56" s="177"/>
    </row>
    <row r="57" spans="1:33" ht="15.75" hidden="1" customHeight="1">
      <c r="A57" s="193">
        <v>45</v>
      </c>
      <c r="B57" s="193" t="str">
        <f>IF(NOT(ISBLANK('Midterm OVPAA-F-INS-055A RAW SC'!F62)),'Midterm OVPAA-F-INS-055A RAW SC'!F62,"")</f>
        <v/>
      </c>
      <c r="C57" s="226" t="str">
        <f>IF(NOT(ISBLANK('Midterm OVPAA-F-INS-055A RAW SC'!G62)),'Midterm OVPAA-F-INS-055A RAW SC'!G62,"")</f>
        <v/>
      </c>
      <c r="D57" s="227"/>
      <c r="E57" s="228"/>
      <c r="F57" s="229" t="str">
        <f>'MidTerm OVPAA-F-INS-055B CLASS'!BV62</f>
        <v/>
      </c>
      <c r="G57" s="228"/>
      <c r="H57" s="194" t="str">
        <f>'MidTerm OVPAA-F-INS-055B CLASS'!CR62</f>
        <v/>
      </c>
      <c r="I57" s="195" t="str">
        <f>'MidTerm OVPAA-F-INS-055B CLASS'!DD62</f>
        <v/>
      </c>
      <c r="J57" s="195" t="str">
        <f>'MidTerm OVPAA-F-INS-055B CLASS'!DI62</f>
        <v/>
      </c>
      <c r="K57" s="195" t="str">
        <f>'Finalterm OVPAA-F-INS-055B CLAS'!BV62</f>
        <v/>
      </c>
      <c r="L57" s="195" t="str">
        <f>'Finalterm OVPAA-F-INS-055B CLAS'!CR62</f>
        <v/>
      </c>
      <c r="M57" s="195" t="str">
        <f>'Finalterm OVPAA-F-INS-055B CLAS'!DD62</f>
        <v/>
      </c>
      <c r="N57" s="195" t="str">
        <f>'Finalterm OVPAA-F-INS-055B CLAS'!DI62</f>
        <v/>
      </c>
      <c r="O57" s="195" t="str">
        <f t="shared" si="0"/>
        <v/>
      </c>
      <c r="P57" s="195" t="str">
        <f t="shared" si="1"/>
        <v/>
      </c>
      <c r="Q57" s="195" t="str">
        <f t="shared" si="2"/>
        <v/>
      </c>
      <c r="R57" s="196" t="str">
        <f t="shared" si="3"/>
        <v/>
      </c>
      <c r="S57" s="177"/>
      <c r="T57" s="177"/>
      <c r="U57" s="177"/>
      <c r="V57" s="177"/>
      <c r="W57" s="177"/>
      <c r="X57" s="177"/>
      <c r="Y57" s="177"/>
      <c r="Z57" s="177"/>
      <c r="AA57" s="177"/>
      <c r="AB57" s="177"/>
      <c r="AC57" s="177"/>
      <c r="AD57" s="177"/>
      <c r="AE57" s="177"/>
      <c r="AF57" s="177"/>
      <c r="AG57" s="177"/>
    </row>
    <row r="58" spans="1:33" ht="15.75" hidden="1" customHeight="1">
      <c r="A58" s="193">
        <v>46</v>
      </c>
      <c r="B58" s="193" t="str">
        <f>IF(NOT(ISBLANK('Midterm OVPAA-F-INS-055A RAW SC'!F63)),'Midterm OVPAA-F-INS-055A RAW SC'!F63,"")</f>
        <v/>
      </c>
      <c r="C58" s="226" t="str">
        <f>IF(NOT(ISBLANK('Midterm OVPAA-F-INS-055A RAW SC'!G63)),'Midterm OVPAA-F-INS-055A RAW SC'!G63,"")</f>
        <v/>
      </c>
      <c r="D58" s="227"/>
      <c r="E58" s="228"/>
      <c r="F58" s="229" t="str">
        <f>'MidTerm OVPAA-F-INS-055B CLASS'!BV63</f>
        <v/>
      </c>
      <c r="G58" s="228"/>
      <c r="H58" s="194" t="str">
        <f>'MidTerm OVPAA-F-INS-055B CLASS'!CR63</f>
        <v/>
      </c>
      <c r="I58" s="195" t="str">
        <f>'MidTerm OVPAA-F-INS-055B CLASS'!DD63</f>
        <v/>
      </c>
      <c r="J58" s="195" t="str">
        <f>'MidTerm OVPAA-F-INS-055B CLASS'!DI63</f>
        <v/>
      </c>
      <c r="K58" s="195" t="str">
        <f>'Finalterm OVPAA-F-INS-055B CLAS'!BV63</f>
        <v/>
      </c>
      <c r="L58" s="195" t="str">
        <f>'Finalterm OVPAA-F-INS-055B CLAS'!CR63</f>
        <v/>
      </c>
      <c r="M58" s="195" t="str">
        <f>'Finalterm OVPAA-F-INS-055B CLAS'!DD63</f>
        <v/>
      </c>
      <c r="N58" s="195" t="str">
        <f>'Finalterm OVPAA-F-INS-055B CLAS'!DI63</f>
        <v/>
      </c>
      <c r="O58" s="195" t="str">
        <f t="shared" si="0"/>
        <v/>
      </c>
      <c r="P58" s="195" t="str">
        <f t="shared" si="1"/>
        <v/>
      </c>
      <c r="Q58" s="195" t="str">
        <f t="shared" si="2"/>
        <v/>
      </c>
      <c r="R58" s="196" t="str">
        <f t="shared" si="3"/>
        <v/>
      </c>
      <c r="S58" s="177"/>
      <c r="T58" s="177"/>
      <c r="U58" s="177"/>
      <c r="V58" s="177"/>
      <c r="W58" s="177"/>
      <c r="X58" s="177"/>
      <c r="Y58" s="177"/>
      <c r="Z58" s="177"/>
      <c r="AA58" s="177"/>
      <c r="AB58" s="177"/>
      <c r="AC58" s="177"/>
      <c r="AD58" s="177"/>
      <c r="AE58" s="177"/>
      <c r="AF58" s="177"/>
      <c r="AG58" s="177"/>
    </row>
    <row r="59" spans="1:33" ht="15.75" hidden="1" customHeight="1">
      <c r="A59" s="193">
        <v>47</v>
      </c>
      <c r="B59" s="193" t="str">
        <f>IF(NOT(ISBLANK('Midterm OVPAA-F-INS-055A RAW SC'!F64)),'Midterm OVPAA-F-INS-055A RAW SC'!F64,"")</f>
        <v/>
      </c>
      <c r="C59" s="226" t="str">
        <f>IF(NOT(ISBLANK('Midterm OVPAA-F-INS-055A RAW SC'!G64)),'Midterm OVPAA-F-INS-055A RAW SC'!G64,"")</f>
        <v/>
      </c>
      <c r="D59" s="227"/>
      <c r="E59" s="228"/>
      <c r="F59" s="229" t="str">
        <f>'MidTerm OVPAA-F-INS-055B CLASS'!BV64</f>
        <v/>
      </c>
      <c r="G59" s="228"/>
      <c r="H59" s="194" t="str">
        <f>'MidTerm OVPAA-F-INS-055B CLASS'!CR64</f>
        <v/>
      </c>
      <c r="I59" s="195" t="str">
        <f>'MidTerm OVPAA-F-INS-055B CLASS'!DD64</f>
        <v/>
      </c>
      <c r="J59" s="195" t="str">
        <f>'MidTerm OVPAA-F-INS-055B CLASS'!DI64</f>
        <v/>
      </c>
      <c r="K59" s="195" t="str">
        <f>'Finalterm OVPAA-F-INS-055B CLAS'!BV64</f>
        <v/>
      </c>
      <c r="L59" s="195" t="str">
        <f>'Finalterm OVPAA-F-INS-055B CLAS'!CR64</f>
        <v/>
      </c>
      <c r="M59" s="195" t="str">
        <f>'Finalterm OVPAA-F-INS-055B CLAS'!DD64</f>
        <v/>
      </c>
      <c r="N59" s="195" t="str">
        <f>'Finalterm OVPAA-F-INS-055B CLAS'!DI64</f>
        <v/>
      </c>
      <c r="O59" s="195" t="str">
        <f t="shared" si="0"/>
        <v/>
      </c>
      <c r="P59" s="195" t="str">
        <f t="shared" si="1"/>
        <v/>
      </c>
      <c r="Q59" s="195" t="str">
        <f t="shared" si="2"/>
        <v/>
      </c>
      <c r="R59" s="196" t="str">
        <f t="shared" si="3"/>
        <v/>
      </c>
      <c r="S59" s="177"/>
      <c r="T59" s="177"/>
      <c r="U59" s="177"/>
      <c r="V59" s="177"/>
      <c r="W59" s="177"/>
      <c r="X59" s="177"/>
      <c r="Y59" s="177"/>
      <c r="Z59" s="177"/>
      <c r="AA59" s="177"/>
      <c r="AB59" s="177"/>
      <c r="AC59" s="177"/>
      <c r="AD59" s="177"/>
      <c r="AE59" s="177"/>
      <c r="AF59" s="177"/>
      <c r="AG59" s="177"/>
    </row>
    <row r="60" spans="1:33" ht="15.75" hidden="1" customHeight="1">
      <c r="A60" s="193">
        <v>48</v>
      </c>
      <c r="B60" s="193" t="str">
        <f>IF(NOT(ISBLANK('Midterm OVPAA-F-INS-055A RAW SC'!F65)),'Midterm OVPAA-F-INS-055A RAW SC'!F65,"")</f>
        <v/>
      </c>
      <c r="C60" s="226" t="str">
        <f>IF(NOT(ISBLANK('Midterm OVPAA-F-INS-055A RAW SC'!G65)),'Midterm OVPAA-F-INS-055A RAW SC'!G65,"")</f>
        <v/>
      </c>
      <c r="D60" s="227"/>
      <c r="E60" s="228"/>
      <c r="F60" s="229" t="str">
        <f>'MidTerm OVPAA-F-INS-055B CLASS'!BV65</f>
        <v/>
      </c>
      <c r="G60" s="228"/>
      <c r="H60" s="194" t="str">
        <f>'MidTerm OVPAA-F-INS-055B CLASS'!CR65</f>
        <v/>
      </c>
      <c r="I60" s="195" t="str">
        <f>'MidTerm OVPAA-F-INS-055B CLASS'!DD65</f>
        <v/>
      </c>
      <c r="J60" s="195" t="str">
        <f>'MidTerm OVPAA-F-INS-055B CLASS'!DI65</f>
        <v/>
      </c>
      <c r="K60" s="195" t="str">
        <f>'Finalterm OVPAA-F-INS-055B CLAS'!BV65</f>
        <v/>
      </c>
      <c r="L60" s="195" t="str">
        <f>'Finalterm OVPAA-F-INS-055B CLAS'!CR65</f>
        <v/>
      </c>
      <c r="M60" s="195" t="str">
        <f>'Finalterm OVPAA-F-INS-055B CLAS'!DD65</f>
        <v/>
      </c>
      <c r="N60" s="195" t="str">
        <f>'Finalterm OVPAA-F-INS-055B CLAS'!DI65</f>
        <v/>
      </c>
      <c r="O60" s="195" t="str">
        <f t="shared" si="0"/>
        <v/>
      </c>
      <c r="P60" s="195" t="str">
        <f t="shared" si="1"/>
        <v/>
      </c>
      <c r="Q60" s="195" t="str">
        <f t="shared" si="2"/>
        <v/>
      </c>
      <c r="R60" s="196" t="str">
        <f t="shared" si="3"/>
        <v/>
      </c>
      <c r="S60" s="177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</row>
    <row r="61" spans="1:33" ht="15.75" hidden="1" customHeight="1">
      <c r="A61" s="193">
        <v>49</v>
      </c>
      <c r="B61" s="193" t="str">
        <f>IF(NOT(ISBLANK('Midterm OVPAA-F-INS-055A RAW SC'!F66)),'Midterm OVPAA-F-INS-055A RAW SC'!F66,"")</f>
        <v/>
      </c>
      <c r="C61" s="226" t="str">
        <f>IF(NOT(ISBLANK('Midterm OVPAA-F-INS-055A RAW SC'!G66)),'Midterm OVPAA-F-INS-055A RAW SC'!G66,"")</f>
        <v/>
      </c>
      <c r="D61" s="227"/>
      <c r="E61" s="228"/>
      <c r="F61" s="229" t="str">
        <f>'MidTerm OVPAA-F-INS-055B CLASS'!BV66</f>
        <v/>
      </c>
      <c r="G61" s="228"/>
      <c r="H61" s="194" t="str">
        <f>'MidTerm OVPAA-F-INS-055B CLASS'!CR66</f>
        <v/>
      </c>
      <c r="I61" s="195" t="str">
        <f>'MidTerm OVPAA-F-INS-055B CLASS'!DD66</f>
        <v/>
      </c>
      <c r="J61" s="195" t="str">
        <f>'MidTerm OVPAA-F-INS-055B CLASS'!DI66</f>
        <v/>
      </c>
      <c r="K61" s="195" t="str">
        <f>'Finalterm OVPAA-F-INS-055B CLAS'!BV66</f>
        <v/>
      </c>
      <c r="L61" s="195" t="str">
        <f>'Finalterm OVPAA-F-INS-055B CLAS'!CR66</f>
        <v/>
      </c>
      <c r="M61" s="195" t="str">
        <f>'Finalterm OVPAA-F-INS-055B CLAS'!DD66</f>
        <v/>
      </c>
      <c r="N61" s="195" t="str">
        <f>'Finalterm OVPAA-F-INS-055B CLAS'!DI66</f>
        <v/>
      </c>
      <c r="O61" s="195" t="str">
        <f t="shared" si="0"/>
        <v/>
      </c>
      <c r="P61" s="195" t="str">
        <f t="shared" si="1"/>
        <v/>
      </c>
      <c r="Q61" s="195" t="str">
        <f t="shared" si="2"/>
        <v/>
      </c>
      <c r="R61" s="196" t="str">
        <f t="shared" si="3"/>
        <v/>
      </c>
      <c r="S61" s="177"/>
      <c r="T61" s="177"/>
      <c r="U61" s="177"/>
      <c r="V61" s="177"/>
      <c r="W61" s="177"/>
      <c r="X61" s="177"/>
      <c r="Y61" s="177"/>
      <c r="Z61" s="177"/>
      <c r="AA61" s="177"/>
      <c r="AB61" s="177"/>
      <c r="AC61" s="177"/>
      <c r="AD61" s="177"/>
      <c r="AE61" s="177"/>
      <c r="AF61" s="177"/>
      <c r="AG61" s="177"/>
    </row>
    <row r="62" spans="1:33" ht="15.75" hidden="1" customHeight="1">
      <c r="A62" s="193">
        <v>50</v>
      </c>
      <c r="B62" s="193" t="str">
        <f>IF(NOT(ISBLANK('Midterm OVPAA-F-INS-055A RAW SC'!F67)),'Midterm OVPAA-F-INS-055A RAW SC'!F67,"")</f>
        <v/>
      </c>
      <c r="C62" s="226" t="str">
        <f>IF(NOT(ISBLANK('Midterm OVPAA-F-INS-055A RAW SC'!G67)),'Midterm OVPAA-F-INS-055A RAW SC'!G67,"")</f>
        <v/>
      </c>
      <c r="D62" s="227"/>
      <c r="E62" s="228"/>
      <c r="F62" s="229" t="str">
        <f>'MidTerm OVPAA-F-INS-055B CLASS'!BV67</f>
        <v/>
      </c>
      <c r="G62" s="228"/>
      <c r="H62" s="194" t="str">
        <f>'MidTerm OVPAA-F-INS-055B CLASS'!CR67</f>
        <v/>
      </c>
      <c r="I62" s="195" t="str">
        <f>'MidTerm OVPAA-F-INS-055B CLASS'!DD67</f>
        <v/>
      </c>
      <c r="J62" s="195" t="str">
        <f>'MidTerm OVPAA-F-INS-055B CLASS'!DI67</f>
        <v/>
      </c>
      <c r="K62" s="195" t="str">
        <f>'Finalterm OVPAA-F-INS-055B CLAS'!BV67</f>
        <v/>
      </c>
      <c r="L62" s="195" t="str">
        <f>'Finalterm OVPAA-F-INS-055B CLAS'!CR67</f>
        <v/>
      </c>
      <c r="M62" s="195" t="str">
        <f>'Finalterm OVPAA-F-INS-055B CLAS'!DD67</f>
        <v/>
      </c>
      <c r="N62" s="195" t="str">
        <f>'Finalterm OVPAA-F-INS-055B CLAS'!DI67</f>
        <v/>
      </c>
      <c r="O62" s="195" t="str">
        <f t="shared" si="0"/>
        <v/>
      </c>
      <c r="P62" s="195" t="str">
        <f t="shared" si="1"/>
        <v/>
      </c>
      <c r="Q62" s="195" t="str">
        <f t="shared" si="2"/>
        <v/>
      </c>
      <c r="R62" s="196" t="str">
        <f t="shared" si="3"/>
        <v/>
      </c>
      <c r="S62" s="177"/>
      <c r="T62" s="177"/>
      <c r="U62" s="177"/>
      <c r="V62" s="177"/>
      <c r="W62" s="177"/>
      <c r="X62" s="177"/>
      <c r="Y62" s="177"/>
      <c r="Z62" s="177"/>
      <c r="AA62" s="177"/>
      <c r="AB62" s="177"/>
      <c r="AC62" s="177"/>
      <c r="AD62" s="177"/>
      <c r="AE62" s="177"/>
      <c r="AF62" s="177"/>
      <c r="AG62" s="177"/>
    </row>
    <row r="63" spans="1:33" ht="15.75" hidden="1" customHeight="1">
      <c r="A63" s="193">
        <v>51</v>
      </c>
      <c r="B63" s="193" t="str">
        <f>IF(NOT(ISBLANK('Midterm OVPAA-F-INS-055A RAW SC'!F68)),'Midterm OVPAA-F-INS-055A RAW SC'!F68,"")</f>
        <v/>
      </c>
      <c r="C63" s="226" t="str">
        <f>IF(NOT(ISBLANK('Midterm OVPAA-F-INS-055A RAW SC'!G68)),'Midterm OVPAA-F-INS-055A RAW SC'!G68,"")</f>
        <v/>
      </c>
      <c r="D63" s="227"/>
      <c r="E63" s="228"/>
      <c r="F63" s="229" t="str">
        <f>'MidTerm OVPAA-F-INS-055B CLASS'!BV68</f>
        <v/>
      </c>
      <c r="G63" s="228"/>
      <c r="H63" s="194" t="str">
        <f>'MidTerm OVPAA-F-INS-055B CLASS'!CR68</f>
        <v/>
      </c>
      <c r="I63" s="195" t="str">
        <f>'MidTerm OVPAA-F-INS-055B CLASS'!DD68</f>
        <v/>
      </c>
      <c r="J63" s="195" t="str">
        <f>'MidTerm OVPAA-F-INS-055B CLASS'!DI68</f>
        <v/>
      </c>
      <c r="K63" s="195" t="str">
        <f>'Finalterm OVPAA-F-INS-055B CLAS'!BV68</f>
        <v/>
      </c>
      <c r="L63" s="195" t="str">
        <f>'Finalterm OVPAA-F-INS-055B CLAS'!CR68</f>
        <v/>
      </c>
      <c r="M63" s="195" t="str">
        <f>'Finalterm OVPAA-F-INS-055B CLAS'!DD68</f>
        <v/>
      </c>
      <c r="N63" s="195" t="str">
        <f>'Finalterm OVPAA-F-INS-055B CLAS'!DI68</f>
        <v/>
      </c>
      <c r="O63" s="195" t="str">
        <f t="shared" si="0"/>
        <v/>
      </c>
      <c r="P63" s="195" t="str">
        <f t="shared" si="1"/>
        <v/>
      </c>
      <c r="Q63" s="195" t="str">
        <f t="shared" si="2"/>
        <v/>
      </c>
      <c r="R63" s="196" t="str">
        <f t="shared" si="3"/>
        <v/>
      </c>
      <c r="S63" s="177"/>
      <c r="T63" s="177"/>
      <c r="U63" s="177"/>
      <c r="V63" s="177"/>
      <c r="W63" s="177"/>
      <c r="X63" s="177"/>
      <c r="Y63" s="177"/>
      <c r="Z63" s="177"/>
      <c r="AA63" s="177"/>
      <c r="AB63" s="177"/>
      <c r="AC63" s="177"/>
      <c r="AD63" s="177"/>
      <c r="AE63" s="177"/>
      <c r="AF63" s="177"/>
      <c r="AG63" s="177"/>
    </row>
    <row r="64" spans="1:33" ht="15.75" hidden="1" customHeight="1">
      <c r="A64" s="193">
        <v>52</v>
      </c>
      <c r="B64" s="193" t="str">
        <f>IF(NOT(ISBLANK('Midterm OVPAA-F-INS-055A RAW SC'!F69)),'Midterm OVPAA-F-INS-055A RAW SC'!F69,"")</f>
        <v/>
      </c>
      <c r="C64" s="226" t="str">
        <f>IF(NOT(ISBLANK('Midterm OVPAA-F-INS-055A RAW SC'!G69)),'Midterm OVPAA-F-INS-055A RAW SC'!G69,"")</f>
        <v/>
      </c>
      <c r="D64" s="227"/>
      <c r="E64" s="228"/>
      <c r="F64" s="229" t="str">
        <f>'MidTerm OVPAA-F-INS-055B CLASS'!BV69</f>
        <v/>
      </c>
      <c r="G64" s="228"/>
      <c r="H64" s="194" t="str">
        <f>'MidTerm OVPAA-F-INS-055B CLASS'!CR69</f>
        <v/>
      </c>
      <c r="I64" s="195" t="str">
        <f>'MidTerm OVPAA-F-INS-055B CLASS'!DD69</f>
        <v/>
      </c>
      <c r="J64" s="195" t="str">
        <f>'MidTerm OVPAA-F-INS-055B CLASS'!DI69</f>
        <v/>
      </c>
      <c r="K64" s="195" t="str">
        <f>'Finalterm OVPAA-F-INS-055B CLAS'!BV69</f>
        <v/>
      </c>
      <c r="L64" s="195" t="str">
        <f>'Finalterm OVPAA-F-INS-055B CLAS'!CR69</f>
        <v/>
      </c>
      <c r="M64" s="195" t="str">
        <f>'Finalterm OVPAA-F-INS-055B CLAS'!DD69</f>
        <v/>
      </c>
      <c r="N64" s="195" t="str">
        <f>'Finalterm OVPAA-F-INS-055B CLAS'!DI69</f>
        <v/>
      </c>
      <c r="O64" s="195" t="str">
        <f t="shared" si="0"/>
        <v/>
      </c>
      <c r="P64" s="195" t="str">
        <f t="shared" si="1"/>
        <v/>
      </c>
      <c r="Q64" s="195" t="str">
        <f t="shared" si="2"/>
        <v/>
      </c>
      <c r="R64" s="196" t="str">
        <f t="shared" si="3"/>
        <v/>
      </c>
      <c r="S64" s="177"/>
      <c r="T64" s="177"/>
      <c r="U64" s="177"/>
      <c r="V64" s="177"/>
      <c r="W64" s="177"/>
      <c r="X64" s="177"/>
      <c r="Y64" s="177"/>
      <c r="Z64" s="177"/>
      <c r="AA64" s="177"/>
      <c r="AB64" s="177"/>
      <c r="AC64" s="177"/>
      <c r="AD64" s="177"/>
      <c r="AE64" s="177"/>
      <c r="AF64" s="177"/>
      <c r="AG64" s="177"/>
    </row>
    <row r="65" spans="1:33" ht="15.75" hidden="1" customHeight="1">
      <c r="A65" s="193">
        <v>53</v>
      </c>
      <c r="B65" s="193" t="str">
        <f>IF(NOT(ISBLANK('Midterm OVPAA-F-INS-055A RAW SC'!F70)),'Midterm OVPAA-F-INS-055A RAW SC'!F70,"")</f>
        <v/>
      </c>
      <c r="C65" s="226" t="str">
        <f>IF(NOT(ISBLANK('Midterm OVPAA-F-INS-055A RAW SC'!G70)),'Midterm OVPAA-F-INS-055A RAW SC'!G70,"")</f>
        <v/>
      </c>
      <c r="D65" s="227"/>
      <c r="E65" s="228"/>
      <c r="F65" s="229" t="str">
        <f>'MidTerm OVPAA-F-INS-055B CLASS'!BV70</f>
        <v/>
      </c>
      <c r="G65" s="228"/>
      <c r="H65" s="194" t="str">
        <f>'MidTerm OVPAA-F-INS-055B CLASS'!CR70</f>
        <v/>
      </c>
      <c r="I65" s="195" t="str">
        <f>'MidTerm OVPAA-F-INS-055B CLASS'!DD70</f>
        <v/>
      </c>
      <c r="J65" s="195" t="str">
        <f>'MidTerm OVPAA-F-INS-055B CLASS'!DI70</f>
        <v/>
      </c>
      <c r="K65" s="195" t="str">
        <f>'Finalterm OVPAA-F-INS-055B CLAS'!BV70</f>
        <v/>
      </c>
      <c r="L65" s="195" t="str">
        <f>'Finalterm OVPAA-F-INS-055B CLAS'!CR70</f>
        <v/>
      </c>
      <c r="M65" s="195" t="str">
        <f>'Finalterm OVPAA-F-INS-055B CLAS'!DD70</f>
        <v/>
      </c>
      <c r="N65" s="195" t="str">
        <f>'Finalterm OVPAA-F-INS-055B CLAS'!DI70</f>
        <v/>
      </c>
      <c r="O65" s="195" t="str">
        <f t="shared" si="0"/>
        <v/>
      </c>
      <c r="P65" s="195" t="str">
        <f t="shared" si="1"/>
        <v/>
      </c>
      <c r="Q65" s="197" t="str">
        <f t="shared" si="2"/>
        <v/>
      </c>
      <c r="R65" s="196" t="str">
        <f t="shared" si="3"/>
        <v/>
      </c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</row>
    <row r="66" spans="1:33" ht="15.75" hidden="1" customHeight="1">
      <c r="A66" s="193">
        <v>54</v>
      </c>
      <c r="B66" s="193" t="str">
        <f>IF(NOT(ISBLANK('Midterm OVPAA-F-INS-055A RAW SC'!F71)),'Midterm OVPAA-F-INS-055A RAW SC'!F71,"")</f>
        <v/>
      </c>
      <c r="C66" s="226" t="str">
        <f>IF(NOT(ISBLANK('Midterm OVPAA-F-INS-055A RAW SC'!G71)),'Midterm OVPAA-F-INS-055A RAW SC'!G71,"")</f>
        <v/>
      </c>
      <c r="D66" s="227"/>
      <c r="E66" s="228"/>
      <c r="F66" s="229" t="str">
        <f>'MidTerm OVPAA-F-INS-055B CLASS'!BV71</f>
        <v/>
      </c>
      <c r="G66" s="228"/>
      <c r="H66" s="194" t="str">
        <f>'MidTerm OVPAA-F-INS-055B CLASS'!CR71</f>
        <v/>
      </c>
      <c r="I66" s="195" t="str">
        <f>'MidTerm OVPAA-F-INS-055B CLASS'!DD71</f>
        <v/>
      </c>
      <c r="J66" s="195" t="str">
        <f>'MidTerm OVPAA-F-INS-055B CLASS'!DI71</f>
        <v/>
      </c>
      <c r="K66" s="195" t="str">
        <f>'Finalterm OVPAA-F-INS-055B CLAS'!BV71</f>
        <v/>
      </c>
      <c r="L66" s="195" t="str">
        <f>'Finalterm OVPAA-F-INS-055B CLAS'!CR71</f>
        <v/>
      </c>
      <c r="M66" s="195" t="str">
        <f>'Finalterm OVPAA-F-INS-055B CLAS'!DD71</f>
        <v/>
      </c>
      <c r="N66" s="195" t="str">
        <f>'Finalterm OVPAA-F-INS-055B CLAS'!DI71</f>
        <v/>
      </c>
      <c r="O66" s="195" t="str">
        <f t="shared" si="0"/>
        <v/>
      </c>
      <c r="P66" s="195" t="str">
        <f t="shared" si="1"/>
        <v/>
      </c>
      <c r="Q66" s="197" t="str">
        <f t="shared" si="2"/>
        <v/>
      </c>
      <c r="R66" s="196" t="str">
        <f t="shared" si="3"/>
        <v/>
      </c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</row>
    <row r="67" spans="1:33" ht="15.75" hidden="1" customHeight="1">
      <c r="A67" s="193">
        <v>55</v>
      </c>
      <c r="B67" s="193" t="str">
        <f>IF(NOT(ISBLANK('Midterm OVPAA-F-INS-055A RAW SC'!F72)),'Midterm OVPAA-F-INS-055A RAW SC'!F72,"")</f>
        <v/>
      </c>
      <c r="C67" s="226" t="str">
        <f>IF(NOT(ISBLANK('Midterm OVPAA-F-INS-055A RAW SC'!G72)),'Midterm OVPAA-F-INS-055A RAW SC'!G72,"")</f>
        <v/>
      </c>
      <c r="D67" s="227"/>
      <c r="E67" s="228"/>
      <c r="F67" s="229" t="str">
        <f>'MidTerm OVPAA-F-INS-055B CLASS'!BV72</f>
        <v/>
      </c>
      <c r="G67" s="228"/>
      <c r="H67" s="194" t="str">
        <f>'MidTerm OVPAA-F-INS-055B CLASS'!CR72</f>
        <v/>
      </c>
      <c r="I67" s="195" t="str">
        <f>'MidTerm OVPAA-F-INS-055B CLASS'!DD72</f>
        <v/>
      </c>
      <c r="J67" s="195" t="str">
        <f>'MidTerm OVPAA-F-INS-055B CLASS'!DI72</f>
        <v/>
      </c>
      <c r="K67" s="195" t="str">
        <f>'Finalterm OVPAA-F-INS-055B CLAS'!BV72</f>
        <v/>
      </c>
      <c r="L67" s="195" t="str">
        <f>'Finalterm OVPAA-F-INS-055B CLAS'!CR72</f>
        <v/>
      </c>
      <c r="M67" s="195" t="str">
        <f>'Finalterm OVPAA-F-INS-055B CLAS'!DD72</f>
        <v/>
      </c>
      <c r="N67" s="195" t="str">
        <f>'Finalterm OVPAA-F-INS-055B CLAS'!DI72</f>
        <v/>
      </c>
      <c r="O67" s="195" t="str">
        <f t="shared" si="0"/>
        <v/>
      </c>
      <c r="P67" s="195" t="str">
        <f t="shared" si="1"/>
        <v/>
      </c>
      <c r="Q67" s="197" t="str">
        <f t="shared" si="2"/>
        <v/>
      </c>
      <c r="R67" s="196" t="str">
        <f t="shared" si="3"/>
        <v/>
      </c>
      <c r="S67" s="177"/>
      <c r="T67" s="177"/>
      <c r="U67" s="177"/>
      <c r="V67" s="177"/>
      <c r="W67" s="177"/>
      <c r="X67" s="177"/>
      <c r="Y67" s="177"/>
      <c r="Z67" s="177"/>
      <c r="AA67" s="177"/>
      <c r="AB67" s="177"/>
      <c r="AC67" s="177"/>
      <c r="AD67" s="177"/>
      <c r="AE67" s="177"/>
      <c r="AF67" s="177"/>
      <c r="AG67" s="177"/>
    </row>
    <row r="68" spans="1:33" ht="15.75" hidden="1" customHeight="1">
      <c r="A68" s="193">
        <v>56</v>
      </c>
      <c r="B68" s="193" t="str">
        <f>IF(NOT(ISBLANK('Midterm OVPAA-F-INS-055A RAW SC'!F73)),'Midterm OVPAA-F-INS-055A RAW SC'!F73,"")</f>
        <v/>
      </c>
      <c r="C68" s="226" t="str">
        <f>IF(NOT(ISBLANK('Midterm OVPAA-F-INS-055A RAW SC'!G73)),'Midterm OVPAA-F-INS-055A RAW SC'!G73,"")</f>
        <v/>
      </c>
      <c r="D68" s="227"/>
      <c r="E68" s="228"/>
      <c r="F68" s="229" t="str">
        <f>'MidTerm OVPAA-F-INS-055B CLASS'!BV73</f>
        <v/>
      </c>
      <c r="G68" s="228"/>
      <c r="H68" s="194" t="str">
        <f>'MidTerm OVPAA-F-INS-055B CLASS'!CR73</f>
        <v/>
      </c>
      <c r="I68" s="195" t="str">
        <f>'MidTerm OVPAA-F-INS-055B CLASS'!DD73</f>
        <v/>
      </c>
      <c r="J68" s="195" t="str">
        <f>'MidTerm OVPAA-F-INS-055B CLASS'!DI73</f>
        <v/>
      </c>
      <c r="K68" s="195" t="str">
        <f>'Finalterm OVPAA-F-INS-055B CLAS'!BV73</f>
        <v/>
      </c>
      <c r="L68" s="195" t="str">
        <f>'Finalterm OVPAA-F-INS-055B CLAS'!CR73</f>
        <v/>
      </c>
      <c r="M68" s="195" t="str">
        <f>'Finalterm OVPAA-F-INS-055B CLAS'!DD73</f>
        <v/>
      </c>
      <c r="N68" s="195" t="str">
        <f>'Finalterm OVPAA-F-INS-055B CLAS'!DI73</f>
        <v/>
      </c>
      <c r="O68" s="195" t="str">
        <f t="shared" si="0"/>
        <v/>
      </c>
      <c r="P68" s="195" t="str">
        <f t="shared" si="1"/>
        <v/>
      </c>
      <c r="Q68" s="197" t="str">
        <f t="shared" si="2"/>
        <v/>
      </c>
      <c r="R68" s="196" t="str">
        <f t="shared" si="3"/>
        <v/>
      </c>
      <c r="S68" s="177"/>
      <c r="T68" s="177"/>
      <c r="U68" s="177"/>
      <c r="V68" s="177"/>
      <c r="W68" s="177"/>
      <c r="X68" s="177"/>
      <c r="Y68" s="177"/>
      <c r="Z68" s="177"/>
      <c r="AA68" s="177"/>
      <c r="AB68" s="177"/>
      <c r="AC68" s="177"/>
      <c r="AD68" s="177"/>
      <c r="AE68" s="177"/>
      <c r="AF68" s="177"/>
      <c r="AG68" s="177"/>
    </row>
    <row r="69" spans="1:33" ht="15.75" hidden="1" customHeight="1">
      <c r="A69" s="193">
        <v>57</v>
      </c>
      <c r="B69" s="193" t="str">
        <f>IF(NOT(ISBLANK('Midterm OVPAA-F-INS-055A RAW SC'!F74)),'Midterm OVPAA-F-INS-055A RAW SC'!F74,"")</f>
        <v/>
      </c>
      <c r="C69" s="226" t="str">
        <f>IF(NOT(ISBLANK('Midterm OVPAA-F-INS-055A RAW SC'!G74)),'Midterm OVPAA-F-INS-055A RAW SC'!G74,"")</f>
        <v/>
      </c>
      <c r="D69" s="227"/>
      <c r="E69" s="228"/>
      <c r="F69" s="229" t="str">
        <f>'MidTerm OVPAA-F-INS-055B CLASS'!BV74</f>
        <v/>
      </c>
      <c r="G69" s="228"/>
      <c r="H69" s="194" t="str">
        <f>'MidTerm OVPAA-F-INS-055B CLASS'!CR74</f>
        <v/>
      </c>
      <c r="I69" s="195" t="str">
        <f>'MidTerm OVPAA-F-INS-055B CLASS'!DD74</f>
        <v/>
      </c>
      <c r="J69" s="195" t="str">
        <f>'MidTerm OVPAA-F-INS-055B CLASS'!DI74</f>
        <v/>
      </c>
      <c r="K69" s="195" t="str">
        <f>'Finalterm OVPAA-F-INS-055B CLAS'!BV74</f>
        <v/>
      </c>
      <c r="L69" s="195" t="str">
        <f>'Finalterm OVPAA-F-INS-055B CLAS'!CR74</f>
        <v/>
      </c>
      <c r="M69" s="195" t="str">
        <f>'Finalterm OVPAA-F-INS-055B CLAS'!DD74</f>
        <v/>
      </c>
      <c r="N69" s="195" t="str">
        <f>'Finalterm OVPAA-F-INS-055B CLAS'!DI74</f>
        <v/>
      </c>
      <c r="O69" s="195" t="str">
        <f t="shared" si="0"/>
        <v/>
      </c>
      <c r="P69" s="195" t="str">
        <f t="shared" si="1"/>
        <v/>
      </c>
      <c r="Q69" s="197" t="str">
        <f t="shared" si="2"/>
        <v/>
      </c>
      <c r="R69" s="196" t="str">
        <f t="shared" si="3"/>
        <v/>
      </c>
      <c r="S69" s="177"/>
      <c r="T69" s="177"/>
      <c r="U69" s="177"/>
      <c r="V69" s="177"/>
      <c r="W69" s="177"/>
      <c r="X69" s="177"/>
      <c r="Y69" s="177"/>
      <c r="Z69" s="177"/>
      <c r="AA69" s="177"/>
      <c r="AB69" s="177"/>
      <c r="AC69" s="177"/>
      <c r="AD69" s="177"/>
      <c r="AE69" s="177"/>
      <c r="AF69" s="177"/>
      <c r="AG69" s="177"/>
    </row>
    <row r="70" spans="1:33" ht="15.75" hidden="1" customHeight="1">
      <c r="A70" s="193">
        <v>58</v>
      </c>
      <c r="B70" s="193" t="str">
        <f>IF(NOT(ISBLANK('Midterm OVPAA-F-INS-055A RAW SC'!F75)),'Midterm OVPAA-F-INS-055A RAW SC'!F75,"")</f>
        <v/>
      </c>
      <c r="C70" s="226" t="str">
        <f>IF(NOT(ISBLANK('Midterm OVPAA-F-INS-055A RAW SC'!G75)),'Midterm OVPAA-F-INS-055A RAW SC'!G75,"")</f>
        <v/>
      </c>
      <c r="D70" s="227"/>
      <c r="E70" s="228"/>
      <c r="F70" s="229" t="str">
        <f>'MidTerm OVPAA-F-INS-055B CLASS'!BV75</f>
        <v/>
      </c>
      <c r="G70" s="228"/>
      <c r="H70" s="194" t="str">
        <f>'MidTerm OVPAA-F-INS-055B CLASS'!CR75</f>
        <v/>
      </c>
      <c r="I70" s="195" t="str">
        <f>'MidTerm OVPAA-F-INS-055B CLASS'!DD75</f>
        <v/>
      </c>
      <c r="J70" s="195" t="str">
        <f>'MidTerm OVPAA-F-INS-055B CLASS'!DI75</f>
        <v/>
      </c>
      <c r="K70" s="195" t="str">
        <f>'Finalterm OVPAA-F-INS-055B CLAS'!BV75</f>
        <v/>
      </c>
      <c r="L70" s="195" t="str">
        <f>'Finalterm OVPAA-F-INS-055B CLAS'!CR75</f>
        <v/>
      </c>
      <c r="M70" s="195" t="str">
        <f>'Finalterm OVPAA-F-INS-055B CLAS'!DD75</f>
        <v/>
      </c>
      <c r="N70" s="195" t="str">
        <f>'Finalterm OVPAA-F-INS-055B CLAS'!DI75</f>
        <v/>
      </c>
      <c r="O70" s="195" t="str">
        <f t="shared" si="0"/>
        <v/>
      </c>
      <c r="P70" s="195" t="str">
        <f t="shared" si="1"/>
        <v/>
      </c>
      <c r="Q70" s="197" t="str">
        <f t="shared" si="2"/>
        <v/>
      </c>
      <c r="R70" s="196" t="str">
        <f t="shared" si="3"/>
        <v/>
      </c>
      <c r="S70" s="177"/>
      <c r="T70" s="177"/>
      <c r="U70" s="177"/>
      <c r="V70" s="177"/>
      <c r="W70" s="177"/>
      <c r="X70" s="177"/>
      <c r="Y70" s="177"/>
      <c r="Z70" s="177"/>
      <c r="AA70" s="177"/>
      <c r="AB70" s="177"/>
      <c r="AC70" s="177"/>
      <c r="AD70" s="177"/>
      <c r="AE70" s="177"/>
      <c r="AF70" s="177"/>
      <c r="AG70" s="177"/>
    </row>
    <row r="71" spans="1:33" ht="15.75" hidden="1" customHeight="1">
      <c r="A71" s="193">
        <v>59</v>
      </c>
      <c r="B71" s="193" t="str">
        <f>IF(NOT(ISBLANK('Midterm OVPAA-F-INS-055A RAW SC'!F76)),'Midterm OVPAA-F-INS-055A RAW SC'!F76,"")</f>
        <v/>
      </c>
      <c r="C71" s="226" t="str">
        <f>IF(NOT(ISBLANK('Midterm OVPAA-F-INS-055A RAW SC'!G76)),'Midterm OVPAA-F-INS-055A RAW SC'!G76,"")</f>
        <v/>
      </c>
      <c r="D71" s="227"/>
      <c r="E71" s="228"/>
      <c r="F71" s="229" t="str">
        <f>'MidTerm OVPAA-F-INS-055B CLASS'!BV76</f>
        <v/>
      </c>
      <c r="G71" s="228"/>
      <c r="H71" s="194" t="str">
        <f>'MidTerm OVPAA-F-INS-055B CLASS'!CR76</f>
        <v/>
      </c>
      <c r="I71" s="195" t="str">
        <f>'MidTerm OVPAA-F-INS-055B CLASS'!DD76</f>
        <v/>
      </c>
      <c r="J71" s="195" t="str">
        <f>'MidTerm OVPAA-F-INS-055B CLASS'!DI76</f>
        <v/>
      </c>
      <c r="K71" s="195" t="str">
        <f>'Finalterm OVPAA-F-INS-055B CLAS'!BV76</f>
        <v/>
      </c>
      <c r="L71" s="195" t="str">
        <f>'Finalterm OVPAA-F-INS-055B CLAS'!CR76</f>
        <v/>
      </c>
      <c r="M71" s="195" t="str">
        <f>'Finalterm OVPAA-F-INS-055B CLAS'!DD76</f>
        <v/>
      </c>
      <c r="N71" s="195" t="str">
        <f>'Finalterm OVPAA-F-INS-055B CLAS'!DI76</f>
        <v/>
      </c>
      <c r="O71" s="195" t="str">
        <f t="shared" si="0"/>
        <v/>
      </c>
      <c r="P71" s="195" t="str">
        <f t="shared" si="1"/>
        <v/>
      </c>
      <c r="Q71" s="197" t="str">
        <f t="shared" si="2"/>
        <v/>
      </c>
      <c r="R71" s="196" t="str">
        <f t="shared" si="3"/>
        <v/>
      </c>
      <c r="S71" s="177"/>
      <c r="T71" s="177"/>
      <c r="U71" s="177"/>
      <c r="V71" s="177"/>
      <c r="W71" s="177"/>
      <c r="X71" s="177"/>
      <c r="Y71" s="177"/>
      <c r="Z71" s="177"/>
      <c r="AA71" s="177"/>
      <c r="AB71" s="177"/>
      <c r="AC71" s="177"/>
      <c r="AD71" s="177"/>
      <c r="AE71" s="177"/>
      <c r="AF71" s="177"/>
      <c r="AG71" s="177"/>
    </row>
    <row r="72" spans="1:33" ht="15.75" hidden="1" customHeight="1">
      <c r="A72" s="193">
        <v>60</v>
      </c>
      <c r="B72" s="193" t="str">
        <f>IF(NOT(ISBLANK('Midterm OVPAA-F-INS-055A RAW SC'!F77)),'Midterm OVPAA-F-INS-055A RAW SC'!F77,"")</f>
        <v/>
      </c>
      <c r="C72" s="226" t="str">
        <f>IF(NOT(ISBLANK('Midterm OVPAA-F-INS-055A RAW SC'!G77)),'Midterm OVPAA-F-INS-055A RAW SC'!G77,"")</f>
        <v/>
      </c>
      <c r="D72" s="227"/>
      <c r="E72" s="228"/>
      <c r="F72" s="229" t="str">
        <f>'MidTerm OVPAA-F-INS-055B CLASS'!BV77</f>
        <v/>
      </c>
      <c r="G72" s="228"/>
      <c r="H72" s="194" t="str">
        <f>'MidTerm OVPAA-F-INS-055B CLASS'!CR77</f>
        <v/>
      </c>
      <c r="I72" s="195" t="str">
        <f>'MidTerm OVPAA-F-INS-055B CLASS'!DD77</f>
        <v/>
      </c>
      <c r="J72" s="195" t="str">
        <f>'MidTerm OVPAA-F-INS-055B CLASS'!DI77</f>
        <v/>
      </c>
      <c r="K72" s="195" t="str">
        <f>'Finalterm OVPAA-F-INS-055B CLAS'!BV77</f>
        <v/>
      </c>
      <c r="L72" s="195" t="str">
        <f>'Finalterm OVPAA-F-INS-055B CLAS'!CR77</f>
        <v/>
      </c>
      <c r="M72" s="195" t="str">
        <f>'Finalterm OVPAA-F-INS-055B CLAS'!DD77</f>
        <v/>
      </c>
      <c r="N72" s="195" t="str">
        <f>'Finalterm OVPAA-F-INS-055B CLAS'!DI77</f>
        <v/>
      </c>
      <c r="O72" s="195" t="str">
        <f t="shared" si="0"/>
        <v/>
      </c>
      <c r="P72" s="195" t="str">
        <f t="shared" si="1"/>
        <v/>
      </c>
      <c r="Q72" s="197" t="str">
        <f t="shared" si="2"/>
        <v/>
      </c>
      <c r="R72" s="196" t="str">
        <f t="shared" si="3"/>
        <v/>
      </c>
      <c r="S72" s="177"/>
      <c r="T72" s="177"/>
      <c r="U72" s="177"/>
      <c r="V72" s="177"/>
      <c r="W72" s="177"/>
      <c r="X72" s="177"/>
      <c r="Y72" s="177"/>
      <c r="Z72" s="177"/>
      <c r="AA72" s="177"/>
      <c r="AB72" s="177"/>
      <c r="AC72" s="177"/>
      <c r="AD72" s="177"/>
      <c r="AE72" s="177"/>
      <c r="AF72" s="177"/>
      <c r="AG72" s="177"/>
    </row>
    <row r="73" spans="1:33" ht="15.75" hidden="1" customHeight="1">
      <c r="A73" s="193">
        <v>61</v>
      </c>
      <c r="B73" s="193" t="str">
        <f>IF(NOT(ISBLANK('Midterm OVPAA-F-INS-055A RAW SC'!F78)),'Midterm OVPAA-F-INS-055A RAW SC'!F78,"")</f>
        <v/>
      </c>
      <c r="C73" s="226" t="str">
        <f>IF(NOT(ISBLANK('Midterm OVPAA-F-INS-055A RAW SC'!G78)),'Midterm OVPAA-F-INS-055A RAW SC'!G78,"")</f>
        <v/>
      </c>
      <c r="D73" s="227"/>
      <c r="E73" s="228"/>
      <c r="F73" s="229" t="str">
        <f>'MidTerm OVPAA-F-INS-055B CLASS'!BV78</f>
        <v/>
      </c>
      <c r="G73" s="228"/>
      <c r="H73" s="194" t="str">
        <f>'MidTerm OVPAA-F-INS-055B CLASS'!CR78</f>
        <v/>
      </c>
      <c r="I73" s="195" t="str">
        <f>'MidTerm OVPAA-F-INS-055B CLASS'!DD78</f>
        <v/>
      </c>
      <c r="J73" s="195" t="str">
        <f>'MidTerm OVPAA-F-INS-055B CLASS'!DI78</f>
        <v/>
      </c>
      <c r="K73" s="195" t="str">
        <f>'Finalterm OVPAA-F-INS-055B CLAS'!BV78</f>
        <v/>
      </c>
      <c r="L73" s="195" t="str">
        <f>'Finalterm OVPAA-F-INS-055B CLAS'!CR78</f>
        <v/>
      </c>
      <c r="M73" s="195" t="str">
        <f>'Finalterm OVPAA-F-INS-055B CLAS'!DD78</f>
        <v/>
      </c>
      <c r="N73" s="195" t="str">
        <f>'Finalterm OVPAA-F-INS-055B CLAS'!DI78</f>
        <v/>
      </c>
      <c r="O73" s="195" t="str">
        <f t="shared" si="0"/>
        <v/>
      </c>
      <c r="P73" s="195" t="str">
        <f t="shared" si="1"/>
        <v/>
      </c>
      <c r="Q73" s="197" t="str">
        <f t="shared" si="2"/>
        <v/>
      </c>
      <c r="R73" s="196" t="str">
        <f t="shared" si="3"/>
        <v/>
      </c>
      <c r="S73" s="177"/>
      <c r="T73" s="177"/>
      <c r="U73" s="177"/>
      <c r="V73" s="177"/>
      <c r="W73" s="177"/>
      <c r="X73" s="177"/>
      <c r="Y73" s="177"/>
      <c r="Z73" s="177"/>
      <c r="AA73" s="177"/>
      <c r="AB73" s="177"/>
      <c r="AC73" s="177"/>
      <c r="AD73" s="177"/>
      <c r="AE73" s="177"/>
      <c r="AF73" s="177"/>
      <c r="AG73" s="177"/>
    </row>
    <row r="74" spans="1:33" ht="15.75" hidden="1" customHeight="1">
      <c r="A74" s="193">
        <v>62</v>
      </c>
      <c r="B74" s="193" t="str">
        <f>IF(NOT(ISBLANK('Midterm OVPAA-F-INS-055A RAW SC'!F79)),'Midterm OVPAA-F-INS-055A RAW SC'!F79,"")</f>
        <v/>
      </c>
      <c r="C74" s="226" t="str">
        <f>IF(NOT(ISBLANK('Midterm OVPAA-F-INS-055A RAW SC'!G79)),'Midterm OVPAA-F-INS-055A RAW SC'!G79,"")</f>
        <v/>
      </c>
      <c r="D74" s="227"/>
      <c r="E74" s="228"/>
      <c r="F74" s="229" t="str">
        <f>'MidTerm OVPAA-F-INS-055B CLASS'!BV79</f>
        <v/>
      </c>
      <c r="G74" s="228"/>
      <c r="H74" s="194" t="str">
        <f>'MidTerm OVPAA-F-INS-055B CLASS'!CR79</f>
        <v/>
      </c>
      <c r="I74" s="195" t="str">
        <f>'MidTerm OVPAA-F-INS-055B CLASS'!DD79</f>
        <v/>
      </c>
      <c r="J74" s="195" t="str">
        <f>'MidTerm OVPAA-F-INS-055B CLASS'!DI79</f>
        <v/>
      </c>
      <c r="K74" s="195" t="str">
        <f>'Finalterm OVPAA-F-INS-055B CLAS'!BV79</f>
        <v/>
      </c>
      <c r="L74" s="195" t="str">
        <f>'Finalterm OVPAA-F-INS-055B CLAS'!CR79</f>
        <v/>
      </c>
      <c r="M74" s="195" t="str">
        <f>'Finalterm OVPAA-F-INS-055B CLAS'!DD79</f>
        <v/>
      </c>
      <c r="N74" s="195" t="str">
        <f>'Finalterm OVPAA-F-INS-055B CLAS'!DI79</f>
        <v/>
      </c>
      <c r="O74" s="195" t="str">
        <f t="shared" si="0"/>
        <v/>
      </c>
      <c r="P74" s="195" t="str">
        <f t="shared" si="1"/>
        <v/>
      </c>
      <c r="Q74" s="197" t="str">
        <f t="shared" si="2"/>
        <v/>
      </c>
      <c r="R74" s="196" t="str">
        <f t="shared" si="3"/>
        <v/>
      </c>
      <c r="S74" s="177"/>
      <c r="T74" s="177"/>
      <c r="U74" s="177"/>
      <c r="V74" s="177"/>
      <c r="W74" s="177"/>
      <c r="X74" s="177"/>
      <c r="Y74" s="177"/>
      <c r="Z74" s="177"/>
      <c r="AA74" s="177"/>
      <c r="AB74" s="177"/>
      <c r="AC74" s="177"/>
      <c r="AD74" s="177"/>
      <c r="AE74" s="177"/>
      <c r="AF74" s="177"/>
      <c r="AG74" s="177"/>
    </row>
    <row r="75" spans="1:33" ht="15.75" hidden="1" customHeight="1">
      <c r="A75" s="193">
        <v>63</v>
      </c>
      <c r="B75" s="193" t="str">
        <f>IF(NOT(ISBLANK('Midterm OVPAA-F-INS-055A RAW SC'!F80)),'Midterm OVPAA-F-INS-055A RAW SC'!F80,"")</f>
        <v/>
      </c>
      <c r="C75" s="226" t="str">
        <f>IF(NOT(ISBLANK('Midterm OVPAA-F-INS-055A RAW SC'!G80)),'Midterm OVPAA-F-INS-055A RAW SC'!G80,"")</f>
        <v/>
      </c>
      <c r="D75" s="227"/>
      <c r="E75" s="228"/>
      <c r="F75" s="229" t="str">
        <f>'MidTerm OVPAA-F-INS-055B CLASS'!BV80</f>
        <v/>
      </c>
      <c r="G75" s="228"/>
      <c r="H75" s="194" t="str">
        <f>'MidTerm OVPAA-F-INS-055B CLASS'!CR80</f>
        <v/>
      </c>
      <c r="I75" s="195" t="str">
        <f>'MidTerm OVPAA-F-INS-055B CLASS'!DD80</f>
        <v/>
      </c>
      <c r="J75" s="195" t="str">
        <f>'MidTerm OVPAA-F-INS-055B CLASS'!DI80</f>
        <v/>
      </c>
      <c r="K75" s="195" t="str">
        <f>'Finalterm OVPAA-F-INS-055B CLAS'!BV80</f>
        <v/>
      </c>
      <c r="L75" s="195" t="str">
        <f>'Finalterm OVPAA-F-INS-055B CLAS'!CR80</f>
        <v/>
      </c>
      <c r="M75" s="195" t="str">
        <f>'Finalterm OVPAA-F-INS-055B CLAS'!DD80</f>
        <v/>
      </c>
      <c r="N75" s="195" t="str">
        <f>'Finalterm OVPAA-F-INS-055B CLAS'!DI80</f>
        <v/>
      </c>
      <c r="O75" s="195" t="str">
        <f t="shared" si="0"/>
        <v/>
      </c>
      <c r="P75" s="195" t="str">
        <f t="shared" si="1"/>
        <v/>
      </c>
      <c r="Q75" s="197" t="str">
        <f t="shared" si="2"/>
        <v/>
      </c>
      <c r="R75" s="196" t="str">
        <f t="shared" si="3"/>
        <v/>
      </c>
      <c r="S75" s="177"/>
      <c r="T75" s="177"/>
      <c r="U75" s="177"/>
      <c r="V75" s="177"/>
      <c r="W75" s="177"/>
      <c r="X75" s="177"/>
      <c r="Y75" s="177"/>
      <c r="Z75" s="177"/>
      <c r="AA75" s="177"/>
      <c r="AB75" s="177"/>
      <c r="AC75" s="177"/>
      <c r="AD75" s="177"/>
      <c r="AE75" s="177"/>
      <c r="AF75" s="177"/>
      <c r="AG75" s="177"/>
    </row>
    <row r="76" spans="1:33" ht="15.75" hidden="1" customHeight="1">
      <c r="A76" s="193">
        <v>64</v>
      </c>
      <c r="B76" s="193" t="str">
        <f>IF(NOT(ISBLANK('Midterm OVPAA-F-INS-055A RAW SC'!F81)),'Midterm OVPAA-F-INS-055A RAW SC'!F81,"")</f>
        <v/>
      </c>
      <c r="C76" s="226" t="str">
        <f>IF(NOT(ISBLANK('Midterm OVPAA-F-INS-055A RAW SC'!G81)),'Midterm OVPAA-F-INS-055A RAW SC'!G81,"")</f>
        <v/>
      </c>
      <c r="D76" s="227"/>
      <c r="E76" s="228"/>
      <c r="F76" s="229" t="str">
        <f>'MidTerm OVPAA-F-INS-055B CLASS'!BV81</f>
        <v/>
      </c>
      <c r="G76" s="228"/>
      <c r="H76" s="194" t="str">
        <f>'MidTerm OVPAA-F-INS-055B CLASS'!CR81</f>
        <v/>
      </c>
      <c r="I76" s="195" t="str">
        <f>'MidTerm OVPAA-F-INS-055B CLASS'!DD81</f>
        <v/>
      </c>
      <c r="J76" s="195" t="str">
        <f>'MidTerm OVPAA-F-INS-055B CLASS'!DI81</f>
        <v/>
      </c>
      <c r="K76" s="195" t="str">
        <f>'Finalterm OVPAA-F-INS-055B CLAS'!BV81</f>
        <v/>
      </c>
      <c r="L76" s="195" t="str">
        <f>'Finalterm OVPAA-F-INS-055B CLAS'!CR81</f>
        <v/>
      </c>
      <c r="M76" s="195" t="str">
        <f>'Finalterm OVPAA-F-INS-055B CLAS'!DD81</f>
        <v/>
      </c>
      <c r="N76" s="195" t="str">
        <f>'Finalterm OVPAA-F-INS-055B CLAS'!DI81</f>
        <v/>
      </c>
      <c r="O76" s="195" t="str">
        <f t="shared" si="0"/>
        <v/>
      </c>
      <c r="P76" s="195" t="str">
        <f t="shared" si="1"/>
        <v/>
      </c>
      <c r="Q76" s="197" t="str">
        <f t="shared" si="2"/>
        <v/>
      </c>
      <c r="R76" s="196" t="str">
        <f t="shared" si="3"/>
        <v/>
      </c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</row>
    <row r="77" spans="1:33" ht="15.75" hidden="1" customHeight="1">
      <c r="A77" s="193">
        <v>65</v>
      </c>
      <c r="B77" s="193" t="str">
        <f>IF(NOT(ISBLANK('Midterm OVPAA-F-INS-055A RAW SC'!F82)),'Midterm OVPAA-F-INS-055A RAW SC'!F82,"")</f>
        <v/>
      </c>
      <c r="C77" s="226" t="str">
        <f>IF(NOT(ISBLANK('Midterm OVPAA-F-INS-055A RAW SC'!G82)),'Midterm OVPAA-F-INS-055A RAW SC'!G82,"")</f>
        <v/>
      </c>
      <c r="D77" s="227"/>
      <c r="E77" s="228"/>
      <c r="F77" s="229" t="str">
        <f>'MidTerm OVPAA-F-INS-055B CLASS'!BV82</f>
        <v/>
      </c>
      <c r="G77" s="228"/>
      <c r="H77" s="194" t="str">
        <f>'MidTerm OVPAA-F-INS-055B CLASS'!CR82</f>
        <v/>
      </c>
      <c r="I77" s="195" t="str">
        <f>'MidTerm OVPAA-F-INS-055B CLASS'!DD82</f>
        <v/>
      </c>
      <c r="J77" s="195" t="str">
        <f>'MidTerm OVPAA-F-INS-055B CLASS'!DI82</f>
        <v/>
      </c>
      <c r="K77" s="195" t="str">
        <f>'Finalterm OVPAA-F-INS-055B CLAS'!BV82</f>
        <v/>
      </c>
      <c r="L77" s="195" t="str">
        <f>'Finalterm OVPAA-F-INS-055B CLAS'!CR82</f>
        <v/>
      </c>
      <c r="M77" s="195" t="str">
        <f>'Finalterm OVPAA-F-INS-055B CLAS'!DD82</f>
        <v/>
      </c>
      <c r="N77" s="195" t="str">
        <f>'Finalterm OVPAA-F-INS-055B CLAS'!DI82</f>
        <v/>
      </c>
      <c r="O77" s="195" t="str">
        <f t="shared" si="0"/>
        <v/>
      </c>
      <c r="P77" s="195" t="str">
        <f t="shared" si="1"/>
        <v/>
      </c>
      <c r="Q77" s="197" t="str">
        <f t="shared" si="2"/>
        <v/>
      </c>
      <c r="R77" s="196" t="str">
        <f t="shared" si="3"/>
        <v/>
      </c>
      <c r="S77" s="177"/>
      <c r="T77" s="177"/>
      <c r="U77" s="177"/>
      <c r="V77" s="177"/>
      <c r="W77" s="177"/>
      <c r="X77" s="177"/>
      <c r="Y77" s="177"/>
      <c r="Z77" s="177"/>
      <c r="AA77" s="177"/>
      <c r="AB77" s="177"/>
      <c r="AC77" s="177"/>
      <c r="AD77" s="177"/>
      <c r="AE77" s="177"/>
      <c r="AF77" s="177"/>
      <c r="AG77" s="177"/>
    </row>
    <row r="78" spans="1:33" ht="15.75" hidden="1" customHeight="1">
      <c r="A78" s="193">
        <v>66</v>
      </c>
      <c r="B78" s="193" t="str">
        <f>IF(NOT(ISBLANK('Midterm OVPAA-F-INS-055A RAW SC'!F83)),'Midterm OVPAA-F-INS-055A RAW SC'!F83,"")</f>
        <v/>
      </c>
      <c r="C78" s="226" t="str">
        <f>IF(NOT(ISBLANK('Midterm OVPAA-F-INS-055A RAW SC'!G83)),'Midterm OVPAA-F-INS-055A RAW SC'!G83,"")</f>
        <v/>
      </c>
      <c r="D78" s="227"/>
      <c r="E78" s="228"/>
      <c r="F78" s="229" t="str">
        <f>'MidTerm OVPAA-F-INS-055B CLASS'!BV83</f>
        <v/>
      </c>
      <c r="G78" s="228"/>
      <c r="H78" s="194" t="str">
        <f>'MidTerm OVPAA-F-INS-055B CLASS'!CR83</f>
        <v/>
      </c>
      <c r="I78" s="195" t="str">
        <f>'MidTerm OVPAA-F-INS-055B CLASS'!DD83</f>
        <v/>
      </c>
      <c r="J78" s="195" t="str">
        <f>'MidTerm OVPAA-F-INS-055B CLASS'!DI83</f>
        <v/>
      </c>
      <c r="K78" s="195" t="str">
        <f>'Finalterm OVPAA-F-INS-055B CLAS'!BV83</f>
        <v/>
      </c>
      <c r="L78" s="195" t="str">
        <f>'Finalterm OVPAA-F-INS-055B CLAS'!CR83</f>
        <v/>
      </c>
      <c r="M78" s="195" t="str">
        <f>'Finalterm OVPAA-F-INS-055B CLAS'!DD83</f>
        <v/>
      </c>
      <c r="N78" s="195" t="str">
        <f>'Finalterm OVPAA-F-INS-055B CLAS'!DI83</f>
        <v/>
      </c>
      <c r="O78" s="195" t="str">
        <f t="shared" si="0"/>
        <v/>
      </c>
      <c r="P78" s="195" t="str">
        <f t="shared" si="1"/>
        <v/>
      </c>
      <c r="Q78" s="197" t="str">
        <f t="shared" si="2"/>
        <v/>
      </c>
      <c r="R78" s="196" t="str">
        <f t="shared" si="3"/>
        <v/>
      </c>
      <c r="S78" s="177"/>
      <c r="T78" s="177"/>
      <c r="U78" s="177"/>
      <c r="V78" s="177"/>
      <c r="W78" s="177"/>
      <c r="X78" s="177"/>
      <c r="Y78" s="177"/>
      <c r="Z78" s="177"/>
      <c r="AA78" s="177"/>
      <c r="AB78" s="177"/>
      <c r="AC78" s="177"/>
      <c r="AD78" s="177"/>
      <c r="AE78" s="177"/>
      <c r="AF78" s="177"/>
      <c r="AG78" s="177"/>
    </row>
    <row r="79" spans="1:33" ht="15.75" hidden="1" customHeight="1">
      <c r="A79" s="193">
        <v>67</v>
      </c>
      <c r="B79" s="193" t="str">
        <f>IF(NOT(ISBLANK('Midterm OVPAA-F-INS-055A RAW SC'!F84)),'Midterm OVPAA-F-INS-055A RAW SC'!F84,"")</f>
        <v/>
      </c>
      <c r="C79" s="226" t="str">
        <f>IF(NOT(ISBLANK('Midterm OVPAA-F-INS-055A RAW SC'!G84)),'Midterm OVPAA-F-INS-055A RAW SC'!G84,"")</f>
        <v/>
      </c>
      <c r="D79" s="227"/>
      <c r="E79" s="228"/>
      <c r="F79" s="229" t="str">
        <f>'MidTerm OVPAA-F-INS-055B CLASS'!BV84</f>
        <v/>
      </c>
      <c r="G79" s="228"/>
      <c r="H79" s="194" t="str">
        <f>'MidTerm OVPAA-F-INS-055B CLASS'!CR84</f>
        <v/>
      </c>
      <c r="I79" s="195" t="str">
        <f>'MidTerm OVPAA-F-INS-055B CLASS'!DD84</f>
        <v/>
      </c>
      <c r="J79" s="195" t="str">
        <f>'MidTerm OVPAA-F-INS-055B CLASS'!DI84</f>
        <v/>
      </c>
      <c r="K79" s="195" t="str">
        <f>'Finalterm OVPAA-F-INS-055B CLAS'!BV84</f>
        <v/>
      </c>
      <c r="L79" s="195" t="str">
        <f>'Finalterm OVPAA-F-INS-055B CLAS'!CR84</f>
        <v/>
      </c>
      <c r="M79" s="195" t="str">
        <f>'Finalterm OVPAA-F-INS-055B CLAS'!DD84</f>
        <v/>
      </c>
      <c r="N79" s="195" t="str">
        <f>'Finalterm OVPAA-F-INS-055B CLAS'!DI84</f>
        <v/>
      </c>
      <c r="O79" s="195" t="str">
        <f t="shared" si="0"/>
        <v/>
      </c>
      <c r="P79" s="195" t="str">
        <f t="shared" si="1"/>
        <v/>
      </c>
      <c r="Q79" s="197" t="str">
        <f t="shared" si="2"/>
        <v/>
      </c>
      <c r="R79" s="196" t="str">
        <f t="shared" si="3"/>
        <v/>
      </c>
      <c r="S79" s="177"/>
      <c r="T79" s="177"/>
      <c r="U79" s="177"/>
      <c r="V79" s="177"/>
      <c r="W79" s="177"/>
      <c r="X79" s="177"/>
      <c r="Y79" s="177"/>
      <c r="Z79" s="177"/>
      <c r="AA79" s="177"/>
      <c r="AB79" s="177"/>
      <c r="AC79" s="177"/>
      <c r="AD79" s="177"/>
      <c r="AE79" s="177"/>
      <c r="AF79" s="177"/>
      <c r="AG79" s="177"/>
    </row>
    <row r="80" spans="1:33" ht="15.75" hidden="1" customHeight="1">
      <c r="A80" s="193">
        <v>68</v>
      </c>
      <c r="B80" s="193" t="str">
        <f>IF(NOT(ISBLANK('Midterm OVPAA-F-INS-055A RAW SC'!F85)),'Midterm OVPAA-F-INS-055A RAW SC'!F85,"")</f>
        <v/>
      </c>
      <c r="C80" s="226" t="str">
        <f>IF(NOT(ISBLANK('Midterm OVPAA-F-INS-055A RAW SC'!G85)),'Midterm OVPAA-F-INS-055A RAW SC'!G85,"")</f>
        <v/>
      </c>
      <c r="D80" s="227"/>
      <c r="E80" s="228"/>
      <c r="F80" s="229" t="str">
        <f>'MidTerm OVPAA-F-INS-055B CLASS'!BV85</f>
        <v/>
      </c>
      <c r="G80" s="228"/>
      <c r="H80" s="194" t="str">
        <f>'MidTerm OVPAA-F-INS-055B CLASS'!CR85</f>
        <v/>
      </c>
      <c r="I80" s="195" t="str">
        <f>'MidTerm OVPAA-F-INS-055B CLASS'!DD85</f>
        <v/>
      </c>
      <c r="J80" s="195" t="str">
        <f>'MidTerm OVPAA-F-INS-055B CLASS'!DI85</f>
        <v/>
      </c>
      <c r="K80" s="195" t="str">
        <f>'Finalterm OVPAA-F-INS-055B CLAS'!BV85</f>
        <v/>
      </c>
      <c r="L80" s="195" t="str">
        <f>'Finalterm OVPAA-F-INS-055B CLAS'!CR85</f>
        <v/>
      </c>
      <c r="M80" s="195" t="str">
        <f>'Finalterm OVPAA-F-INS-055B CLAS'!DD85</f>
        <v/>
      </c>
      <c r="N80" s="195" t="str">
        <f>'Finalterm OVPAA-F-INS-055B CLAS'!DI85</f>
        <v/>
      </c>
      <c r="O80" s="195" t="str">
        <f t="shared" si="0"/>
        <v/>
      </c>
      <c r="P80" s="195" t="str">
        <f t="shared" si="1"/>
        <v/>
      </c>
      <c r="Q80" s="197" t="str">
        <f t="shared" si="2"/>
        <v/>
      </c>
      <c r="R80" s="196" t="str">
        <f t="shared" si="3"/>
        <v/>
      </c>
      <c r="S80" s="177"/>
      <c r="T80" s="177"/>
      <c r="U80" s="177"/>
      <c r="V80" s="177"/>
      <c r="W80" s="177"/>
      <c r="X80" s="177"/>
      <c r="Y80" s="177"/>
      <c r="Z80" s="177"/>
      <c r="AA80" s="177"/>
      <c r="AB80" s="177"/>
      <c r="AC80" s="177"/>
      <c r="AD80" s="177"/>
      <c r="AE80" s="177"/>
      <c r="AF80" s="177"/>
      <c r="AG80" s="177"/>
    </row>
    <row r="81" spans="1:33" ht="15.75" hidden="1" customHeight="1">
      <c r="A81" s="193">
        <v>69</v>
      </c>
      <c r="B81" s="193" t="str">
        <f>IF(NOT(ISBLANK('Midterm OVPAA-F-INS-055A RAW SC'!F86)),'Midterm OVPAA-F-INS-055A RAW SC'!F86,"")</f>
        <v/>
      </c>
      <c r="C81" s="226" t="str">
        <f>IF(NOT(ISBLANK('Midterm OVPAA-F-INS-055A RAW SC'!G86)),'Midterm OVPAA-F-INS-055A RAW SC'!G86,"")</f>
        <v/>
      </c>
      <c r="D81" s="227"/>
      <c r="E81" s="228"/>
      <c r="F81" s="229" t="str">
        <f>'MidTerm OVPAA-F-INS-055B CLASS'!BV86</f>
        <v/>
      </c>
      <c r="G81" s="228"/>
      <c r="H81" s="194" t="str">
        <f>'MidTerm OVPAA-F-INS-055B CLASS'!CR86</f>
        <v/>
      </c>
      <c r="I81" s="195" t="str">
        <f>'MidTerm OVPAA-F-INS-055B CLASS'!DD86</f>
        <v/>
      </c>
      <c r="J81" s="195" t="str">
        <f>'MidTerm OVPAA-F-INS-055B CLASS'!DI86</f>
        <v/>
      </c>
      <c r="K81" s="195" t="str">
        <f>'Finalterm OVPAA-F-INS-055B CLAS'!BV86</f>
        <v/>
      </c>
      <c r="L81" s="195" t="str">
        <f>'Finalterm OVPAA-F-INS-055B CLAS'!CR86</f>
        <v/>
      </c>
      <c r="M81" s="195" t="str">
        <f>'Finalterm OVPAA-F-INS-055B CLAS'!DD86</f>
        <v/>
      </c>
      <c r="N81" s="195" t="str">
        <f>'Finalterm OVPAA-F-INS-055B CLAS'!DI86</f>
        <v/>
      </c>
      <c r="O81" s="195" t="str">
        <f t="shared" si="0"/>
        <v/>
      </c>
      <c r="P81" s="195" t="str">
        <f t="shared" si="1"/>
        <v/>
      </c>
      <c r="Q81" s="197" t="str">
        <f t="shared" si="2"/>
        <v/>
      </c>
      <c r="R81" s="196" t="str">
        <f t="shared" si="3"/>
        <v/>
      </c>
      <c r="S81" s="177"/>
      <c r="T81" s="177"/>
      <c r="U81" s="177"/>
      <c r="V81" s="177"/>
      <c r="W81" s="177"/>
      <c r="X81" s="177"/>
      <c r="Y81" s="177"/>
      <c r="Z81" s="177"/>
      <c r="AA81" s="177"/>
      <c r="AB81" s="177"/>
      <c r="AC81" s="177"/>
      <c r="AD81" s="177"/>
      <c r="AE81" s="177"/>
      <c r="AF81" s="177"/>
      <c r="AG81" s="177"/>
    </row>
    <row r="82" spans="1:33" ht="15.75" hidden="1" customHeight="1">
      <c r="A82" s="193">
        <v>70</v>
      </c>
      <c r="B82" s="193" t="str">
        <f>IF(NOT(ISBLANK('Midterm OVPAA-F-INS-055A RAW SC'!F87)),'Midterm OVPAA-F-INS-055A RAW SC'!F87,"")</f>
        <v/>
      </c>
      <c r="C82" s="226" t="str">
        <f>IF(NOT(ISBLANK('Midterm OVPAA-F-INS-055A RAW SC'!G87)),'Midterm OVPAA-F-INS-055A RAW SC'!G87,"")</f>
        <v/>
      </c>
      <c r="D82" s="227"/>
      <c r="E82" s="228"/>
      <c r="F82" s="229" t="str">
        <f>'MidTerm OVPAA-F-INS-055B CLASS'!BV87</f>
        <v/>
      </c>
      <c r="G82" s="228"/>
      <c r="H82" s="194" t="str">
        <f>'MidTerm OVPAA-F-INS-055B CLASS'!CR87</f>
        <v/>
      </c>
      <c r="I82" s="195" t="str">
        <f>'MidTerm OVPAA-F-INS-055B CLASS'!DD87</f>
        <v/>
      </c>
      <c r="J82" s="195" t="str">
        <f>'MidTerm OVPAA-F-INS-055B CLASS'!DI87</f>
        <v/>
      </c>
      <c r="K82" s="195" t="str">
        <f>'Finalterm OVPAA-F-INS-055B CLAS'!BV87</f>
        <v/>
      </c>
      <c r="L82" s="195" t="str">
        <f>'Finalterm OVPAA-F-INS-055B CLAS'!CR87</f>
        <v/>
      </c>
      <c r="M82" s="195" t="str">
        <f>'Finalterm OVPAA-F-INS-055B CLAS'!DD87</f>
        <v/>
      </c>
      <c r="N82" s="195" t="str">
        <f>'Finalterm OVPAA-F-INS-055B CLAS'!DI87</f>
        <v/>
      </c>
      <c r="O82" s="195" t="str">
        <f t="shared" si="0"/>
        <v/>
      </c>
      <c r="P82" s="195" t="str">
        <f t="shared" si="1"/>
        <v/>
      </c>
      <c r="Q82" s="197" t="str">
        <f t="shared" si="2"/>
        <v/>
      </c>
      <c r="R82" s="196" t="str">
        <f t="shared" si="3"/>
        <v/>
      </c>
      <c r="S82" s="177"/>
      <c r="T82" s="177"/>
      <c r="U82" s="177"/>
      <c r="V82" s="177"/>
      <c r="W82" s="177"/>
      <c r="X82" s="177"/>
      <c r="Y82" s="177"/>
      <c r="Z82" s="177"/>
      <c r="AA82" s="177"/>
      <c r="AB82" s="177"/>
      <c r="AC82" s="177"/>
      <c r="AD82" s="177"/>
      <c r="AE82" s="177"/>
      <c r="AF82" s="177"/>
      <c r="AG82" s="177"/>
    </row>
    <row r="83" spans="1:33" ht="15.75" hidden="1" customHeight="1">
      <c r="A83" s="193">
        <v>71</v>
      </c>
      <c r="B83" s="193" t="str">
        <f>IF(NOT(ISBLANK('Midterm OVPAA-F-INS-055A RAW SC'!F88)),'Midterm OVPAA-F-INS-055A RAW SC'!F88,"")</f>
        <v/>
      </c>
      <c r="C83" s="226" t="str">
        <f>IF(NOT(ISBLANK('Midterm OVPAA-F-INS-055A RAW SC'!G88)),'Midterm OVPAA-F-INS-055A RAW SC'!G88,"")</f>
        <v/>
      </c>
      <c r="D83" s="227"/>
      <c r="E83" s="228"/>
      <c r="F83" s="229" t="str">
        <f>'MidTerm OVPAA-F-INS-055B CLASS'!BV88</f>
        <v/>
      </c>
      <c r="G83" s="228"/>
      <c r="H83" s="194" t="str">
        <f>'MidTerm OVPAA-F-INS-055B CLASS'!CR88</f>
        <v/>
      </c>
      <c r="I83" s="195" t="str">
        <f>'MidTerm OVPAA-F-INS-055B CLASS'!DD88</f>
        <v/>
      </c>
      <c r="J83" s="195" t="str">
        <f>'MidTerm OVPAA-F-INS-055B CLASS'!DI88</f>
        <v/>
      </c>
      <c r="K83" s="195" t="str">
        <f>'Finalterm OVPAA-F-INS-055B CLAS'!BV88</f>
        <v/>
      </c>
      <c r="L83" s="195" t="str">
        <f>'Finalterm OVPAA-F-INS-055B CLAS'!CR88</f>
        <v/>
      </c>
      <c r="M83" s="195" t="str">
        <f>'Finalterm OVPAA-F-INS-055B CLAS'!DD88</f>
        <v/>
      </c>
      <c r="N83" s="195" t="str">
        <f>'Finalterm OVPAA-F-INS-055B CLAS'!DI88</f>
        <v/>
      </c>
      <c r="O83" s="195" t="str">
        <f t="shared" si="0"/>
        <v/>
      </c>
      <c r="P83" s="195" t="str">
        <f t="shared" si="1"/>
        <v/>
      </c>
      <c r="Q83" s="197" t="str">
        <f t="shared" si="2"/>
        <v/>
      </c>
      <c r="R83" s="196" t="str">
        <f t="shared" si="3"/>
        <v/>
      </c>
      <c r="S83" s="177"/>
      <c r="T83" s="177"/>
      <c r="U83" s="177"/>
      <c r="V83" s="177"/>
      <c r="W83" s="177"/>
      <c r="X83" s="177"/>
      <c r="Y83" s="177"/>
      <c r="Z83" s="177"/>
      <c r="AA83" s="177"/>
      <c r="AB83" s="177"/>
      <c r="AC83" s="177"/>
      <c r="AD83" s="177"/>
      <c r="AE83" s="177"/>
      <c r="AF83" s="177"/>
      <c r="AG83" s="177"/>
    </row>
    <row r="84" spans="1:33" ht="15.75" hidden="1" customHeight="1">
      <c r="A84" s="193">
        <v>72</v>
      </c>
      <c r="B84" s="193" t="str">
        <f>IF(NOT(ISBLANK('Midterm OVPAA-F-INS-055A RAW SC'!F89)),'Midterm OVPAA-F-INS-055A RAW SC'!F89,"")</f>
        <v/>
      </c>
      <c r="C84" s="226" t="str">
        <f>IF(NOT(ISBLANK('Midterm OVPAA-F-INS-055A RAW SC'!G89)),'Midterm OVPAA-F-INS-055A RAW SC'!G89,"")</f>
        <v/>
      </c>
      <c r="D84" s="227"/>
      <c r="E84" s="228"/>
      <c r="F84" s="229" t="str">
        <f>'MidTerm OVPAA-F-INS-055B CLASS'!BV89</f>
        <v/>
      </c>
      <c r="G84" s="228"/>
      <c r="H84" s="194" t="str">
        <f>'MidTerm OVPAA-F-INS-055B CLASS'!CR89</f>
        <v/>
      </c>
      <c r="I84" s="195" t="str">
        <f>'MidTerm OVPAA-F-INS-055B CLASS'!DD89</f>
        <v/>
      </c>
      <c r="J84" s="195" t="str">
        <f>'MidTerm OVPAA-F-INS-055B CLASS'!DI89</f>
        <v/>
      </c>
      <c r="K84" s="195" t="str">
        <f>'Finalterm OVPAA-F-INS-055B CLAS'!BV89</f>
        <v/>
      </c>
      <c r="L84" s="195" t="str">
        <f>'Finalterm OVPAA-F-INS-055B CLAS'!CR89</f>
        <v/>
      </c>
      <c r="M84" s="195" t="str">
        <f>'Finalterm OVPAA-F-INS-055B CLAS'!DD89</f>
        <v/>
      </c>
      <c r="N84" s="195" t="str">
        <f>'Finalterm OVPAA-F-INS-055B CLAS'!DI89</f>
        <v/>
      </c>
      <c r="O84" s="195" t="str">
        <f t="shared" si="0"/>
        <v/>
      </c>
      <c r="P84" s="195" t="str">
        <f t="shared" si="1"/>
        <v/>
      </c>
      <c r="Q84" s="197" t="str">
        <f t="shared" si="2"/>
        <v/>
      </c>
      <c r="R84" s="196" t="str">
        <f t="shared" si="3"/>
        <v/>
      </c>
      <c r="S84" s="177"/>
      <c r="T84" s="177"/>
      <c r="U84" s="177"/>
      <c r="V84" s="177"/>
      <c r="W84" s="177"/>
      <c r="X84" s="177"/>
      <c r="Y84" s="177"/>
      <c r="Z84" s="177"/>
      <c r="AA84" s="177"/>
      <c r="AB84" s="177"/>
      <c r="AC84" s="177"/>
      <c r="AD84" s="177"/>
      <c r="AE84" s="177"/>
      <c r="AF84" s="177"/>
      <c r="AG84" s="177"/>
    </row>
    <row r="85" spans="1:33" ht="15.75" hidden="1" customHeight="1">
      <c r="A85" s="193">
        <v>73</v>
      </c>
      <c r="B85" s="193" t="str">
        <f>IF(NOT(ISBLANK('Midterm OVPAA-F-INS-055A RAW SC'!F90)),'Midterm OVPAA-F-INS-055A RAW SC'!F90,"")</f>
        <v/>
      </c>
      <c r="C85" s="226" t="str">
        <f>IF(NOT(ISBLANK('Midterm OVPAA-F-INS-055A RAW SC'!G90)),'Midterm OVPAA-F-INS-055A RAW SC'!G90,"")</f>
        <v/>
      </c>
      <c r="D85" s="227"/>
      <c r="E85" s="228"/>
      <c r="F85" s="229" t="str">
        <f>'MidTerm OVPAA-F-INS-055B CLASS'!BV90</f>
        <v/>
      </c>
      <c r="G85" s="228"/>
      <c r="H85" s="194" t="str">
        <f>'MidTerm OVPAA-F-INS-055B CLASS'!CR90</f>
        <v/>
      </c>
      <c r="I85" s="195" t="str">
        <f>'MidTerm OVPAA-F-INS-055B CLASS'!DD90</f>
        <v/>
      </c>
      <c r="J85" s="195" t="str">
        <f>'MidTerm OVPAA-F-INS-055B CLASS'!DI90</f>
        <v/>
      </c>
      <c r="K85" s="195" t="str">
        <f>'Finalterm OVPAA-F-INS-055B CLAS'!BV90</f>
        <v/>
      </c>
      <c r="L85" s="195" t="str">
        <f>'Finalterm OVPAA-F-INS-055B CLAS'!CR90</f>
        <v/>
      </c>
      <c r="M85" s="195" t="str">
        <f>'Finalterm OVPAA-F-INS-055B CLAS'!DD90</f>
        <v/>
      </c>
      <c r="N85" s="195" t="str">
        <f>'Finalterm OVPAA-F-INS-055B CLAS'!DI90</f>
        <v/>
      </c>
      <c r="O85" s="195" t="str">
        <f t="shared" si="0"/>
        <v/>
      </c>
      <c r="P85" s="195" t="str">
        <f t="shared" si="1"/>
        <v/>
      </c>
      <c r="Q85" s="197" t="str">
        <f t="shared" si="2"/>
        <v/>
      </c>
      <c r="R85" s="196" t="str">
        <f t="shared" si="3"/>
        <v/>
      </c>
      <c r="S85" s="177"/>
      <c r="T85" s="177"/>
      <c r="U85" s="177"/>
      <c r="V85" s="177"/>
      <c r="W85" s="177"/>
      <c r="X85" s="177"/>
      <c r="Y85" s="177"/>
      <c r="Z85" s="177"/>
      <c r="AA85" s="177"/>
      <c r="AB85" s="177"/>
      <c r="AC85" s="177"/>
      <c r="AD85" s="177"/>
      <c r="AE85" s="177"/>
      <c r="AF85" s="177"/>
      <c r="AG85" s="177"/>
    </row>
    <row r="86" spans="1:33" ht="15.75" hidden="1" customHeight="1">
      <c r="A86" s="193">
        <v>74</v>
      </c>
      <c r="B86" s="193" t="str">
        <f>IF(NOT(ISBLANK('Midterm OVPAA-F-INS-055A RAW SC'!F91)),'Midterm OVPAA-F-INS-055A RAW SC'!F91,"")</f>
        <v/>
      </c>
      <c r="C86" s="226" t="str">
        <f>IF(NOT(ISBLANK('Midterm OVPAA-F-INS-055A RAW SC'!G91)),'Midterm OVPAA-F-INS-055A RAW SC'!G91,"")</f>
        <v/>
      </c>
      <c r="D86" s="227"/>
      <c r="E86" s="228"/>
      <c r="F86" s="229" t="str">
        <f>'MidTerm OVPAA-F-INS-055B CLASS'!BV91</f>
        <v/>
      </c>
      <c r="G86" s="228"/>
      <c r="H86" s="194" t="str">
        <f>'MidTerm OVPAA-F-INS-055B CLASS'!CR91</f>
        <v/>
      </c>
      <c r="I86" s="195" t="str">
        <f>'MidTerm OVPAA-F-INS-055B CLASS'!DD91</f>
        <v/>
      </c>
      <c r="J86" s="195" t="str">
        <f>'MidTerm OVPAA-F-INS-055B CLASS'!DI91</f>
        <v/>
      </c>
      <c r="K86" s="195" t="str">
        <f>'Finalterm OVPAA-F-INS-055B CLAS'!BV91</f>
        <v/>
      </c>
      <c r="L86" s="195" t="str">
        <f>'Finalterm OVPAA-F-INS-055B CLAS'!CR91</f>
        <v/>
      </c>
      <c r="M86" s="195" t="str">
        <f>'Finalterm OVPAA-F-INS-055B CLAS'!DD91</f>
        <v/>
      </c>
      <c r="N86" s="195" t="str">
        <f>'Finalterm OVPAA-F-INS-055B CLAS'!DI91</f>
        <v/>
      </c>
      <c r="O86" s="195" t="str">
        <f t="shared" si="0"/>
        <v/>
      </c>
      <c r="P86" s="195" t="str">
        <f t="shared" si="1"/>
        <v/>
      </c>
      <c r="Q86" s="197" t="str">
        <f t="shared" si="2"/>
        <v/>
      </c>
      <c r="R86" s="196" t="str">
        <f t="shared" si="3"/>
        <v/>
      </c>
      <c r="S86" s="177"/>
      <c r="T86" s="177"/>
      <c r="U86" s="177"/>
      <c r="V86" s="177"/>
      <c r="W86" s="177"/>
      <c r="X86" s="177"/>
      <c r="Y86" s="177"/>
      <c r="Z86" s="177"/>
      <c r="AA86" s="177"/>
      <c r="AB86" s="177"/>
      <c r="AC86" s="177"/>
      <c r="AD86" s="177"/>
      <c r="AE86" s="177"/>
      <c r="AF86" s="177"/>
      <c r="AG86" s="177"/>
    </row>
    <row r="87" spans="1:33" ht="15.75" hidden="1" customHeight="1">
      <c r="A87" s="193">
        <v>75</v>
      </c>
      <c r="B87" s="193" t="str">
        <f>IF(NOT(ISBLANK('Midterm OVPAA-F-INS-055A RAW SC'!F92)),'Midterm OVPAA-F-INS-055A RAW SC'!F92,"")</f>
        <v/>
      </c>
      <c r="C87" s="226" t="str">
        <f>IF(NOT(ISBLANK('Midterm OVPAA-F-INS-055A RAW SC'!G92)),'Midterm OVPAA-F-INS-055A RAW SC'!G92,"")</f>
        <v/>
      </c>
      <c r="D87" s="227"/>
      <c r="E87" s="228"/>
      <c r="F87" s="229" t="str">
        <f>'MidTerm OVPAA-F-INS-055B CLASS'!BV92</f>
        <v/>
      </c>
      <c r="G87" s="228"/>
      <c r="H87" s="194" t="str">
        <f>'MidTerm OVPAA-F-INS-055B CLASS'!CR92</f>
        <v/>
      </c>
      <c r="I87" s="195" t="str">
        <f>'MidTerm OVPAA-F-INS-055B CLASS'!DD92</f>
        <v/>
      </c>
      <c r="J87" s="195" t="str">
        <f>'MidTerm OVPAA-F-INS-055B CLASS'!DI92</f>
        <v/>
      </c>
      <c r="K87" s="195" t="str">
        <f>'Finalterm OVPAA-F-INS-055B CLAS'!BV92</f>
        <v/>
      </c>
      <c r="L87" s="195" t="str">
        <f>'Finalterm OVPAA-F-INS-055B CLAS'!CR92</f>
        <v/>
      </c>
      <c r="M87" s="195" t="str">
        <f>'Finalterm OVPAA-F-INS-055B CLAS'!DD92</f>
        <v/>
      </c>
      <c r="N87" s="195" t="str">
        <f>'Finalterm OVPAA-F-INS-055B CLAS'!DI92</f>
        <v/>
      </c>
      <c r="O87" s="195" t="str">
        <f t="shared" si="0"/>
        <v/>
      </c>
      <c r="P87" s="195" t="str">
        <f t="shared" si="1"/>
        <v/>
      </c>
      <c r="Q87" s="197" t="str">
        <f t="shared" si="2"/>
        <v/>
      </c>
      <c r="R87" s="196" t="str">
        <f t="shared" si="3"/>
        <v/>
      </c>
      <c r="S87" s="177"/>
      <c r="T87" s="177"/>
      <c r="U87" s="177"/>
      <c r="V87" s="177"/>
      <c r="W87" s="177"/>
      <c r="X87" s="177"/>
      <c r="Y87" s="177"/>
      <c r="Z87" s="177"/>
      <c r="AA87" s="177"/>
      <c r="AB87" s="177"/>
      <c r="AC87" s="177"/>
      <c r="AD87" s="177"/>
      <c r="AE87" s="177"/>
      <c r="AF87" s="177"/>
      <c r="AG87" s="177"/>
    </row>
    <row r="88" spans="1:33" ht="15.75" hidden="1" customHeight="1">
      <c r="A88" s="193">
        <v>76</v>
      </c>
      <c r="B88" s="193" t="str">
        <f>IF(NOT(ISBLANK('Midterm OVPAA-F-INS-055A RAW SC'!F93)),'Midterm OVPAA-F-INS-055A RAW SC'!F93,"")</f>
        <v/>
      </c>
      <c r="C88" s="226" t="str">
        <f>IF(NOT(ISBLANK('Midterm OVPAA-F-INS-055A RAW SC'!G93)),'Midterm OVPAA-F-INS-055A RAW SC'!G93,"")</f>
        <v/>
      </c>
      <c r="D88" s="227"/>
      <c r="E88" s="228"/>
      <c r="F88" s="229" t="str">
        <f>'MidTerm OVPAA-F-INS-055B CLASS'!BV93</f>
        <v/>
      </c>
      <c r="G88" s="228"/>
      <c r="H88" s="194" t="str">
        <f>'MidTerm OVPAA-F-INS-055B CLASS'!CR93</f>
        <v/>
      </c>
      <c r="I88" s="195" t="str">
        <f>'MidTerm OVPAA-F-INS-055B CLASS'!DD93</f>
        <v/>
      </c>
      <c r="J88" s="195" t="str">
        <f>'MidTerm OVPAA-F-INS-055B CLASS'!DI93</f>
        <v/>
      </c>
      <c r="K88" s="195" t="str">
        <f>'Finalterm OVPAA-F-INS-055B CLAS'!BV93</f>
        <v/>
      </c>
      <c r="L88" s="195" t="str">
        <f>'Finalterm OVPAA-F-INS-055B CLAS'!CR93</f>
        <v/>
      </c>
      <c r="M88" s="195" t="str">
        <f>'Finalterm OVPAA-F-INS-055B CLAS'!DD93</f>
        <v/>
      </c>
      <c r="N88" s="195" t="str">
        <f>'Finalterm OVPAA-F-INS-055B CLAS'!DI93</f>
        <v/>
      </c>
      <c r="O88" s="195" t="str">
        <f t="shared" si="0"/>
        <v/>
      </c>
      <c r="P88" s="195" t="str">
        <f t="shared" si="1"/>
        <v/>
      </c>
      <c r="Q88" s="197" t="str">
        <f t="shared" si="2"/>
        <v/>
      </c>
      <c r="R88" s="196" t="str">
        <f t="shared" si="3"/>
        <v/>
      </c>
      <c r="S88" s="177"/>
      <c r="T88" s="177"/>
      <c r="U88" s="177"/>
      <c r="V88" s="177"/>
      <c r="W88" s="177"/>
      <c r="X88" s="177"/>
      <c r="Y88" s="177"/>
      <c r="Z88" s="177"/>
      <c r="AA88" s="177"/>
      <c r="AB88" s="177"/>
      <c r="AC88" s="177"/>
      <c r="AD88" s="177"/>
      <c r="AE88" s="177"/>
      <c r="AF88" s="177"/>
      <c r="AG88" s="177"/>
    </row>
    <row r="89" spans="1:33" ht="15.75" hidden="1" customHeight="1">
      <c r="A89" s="193">
        <v>77</v>
      </c>
      <c r="B89" s="193" t="str">
        <f>IF(NOT(ISBLANK('Midterm OVPAA-F-INS-055A RAW SC'!F94)),'Midterm OVPAA-F-INS-055A RAW SC'!F94,"")</f>
        <v/>
      </c>
      <c r="C89" s="226" t="str">
        <f>IF(NOT(ISBLANK('Midterm OVPAA-F-INS-055A RAW SC'!G94)),'Midterm OVPAA-F-INS-055A RAW SC'!G94,"")</f>
        <v/>
      </c>
      <c r="D89" s="227"/>
      <c r="E89" s="228"/>
      <c r="F89" s="229" t="str">
        <f>'MidTerm OVPAA-F-INS-055B CLASS'!BV94</f>
        <v/>
      </c>
      <c r="G89" s="228"/>
      <c r="H89" s="194" t="str">
        <f>'MidTerm OVPAA-F-INS-055B CLASS'!CR94</f>
        <v/>
      </c>
      <c r="I89" s="195" t="str">
        <f>'MidTerm OVPAA-F-INS-055B CLASS'!DD94</f>
        <v/>
      </c>
      <c r="J89" s="195" t="str">
        <f>'MidTerm OVPAA-F-INS-055B CLASS'!DI94</f>
        <v/>
      </c>
      <c r="K89" s="195" t="str">
        <f>'Finalterm OVPAA-F-INS-055B CLAS'!BV94</f>
        <v/>
      </c>
      <c r="L89" s="195" t="str">
        <f>'Finalterm OVPAA-F-INS-055B CLAS'!CR94</f>
        <v/>
      </c>
      <c r="M89" s="195" t="str">
        <f>'Finalterm OVPAA-F-INS-055B CLAS'!DD94</f>
        <v/>
      </c>
      <c r="N89" s="195" t="str">
        <f>'Finalterm OVPAA-F-INS-055B CLAS'!DI94</f>
        <v/>
      </c>
      <c r="O89" s="195" t="str">
        <f t="shared" si="0"/>
        <v/>
      </c>
      <c r="P89" s="195" t="str">
        <f t="shared" si="1"/>
        <v/>
      </c>
      <c r="Q89" s="197" t="str">
        <f t="shared" si="2"/>
        <v/>
      </c>
      <c r="R89" s="196" t="str">
        <f t="shared" si="3"/>
        <v/>
      </c>
      <c r="S89" s="177"/>
      <c r="T89" s="177"/>
      <c r="U89" s="177"/>
      <c r="V89" s="177"/>
      <c r="W89" s="177"/>
      <c r="X89" s="177"/>
      <c r="Y89" s="177"/>
      <c r="Z89" s="177"/>
      <c r="AA89" s="177"/>
      <c r="AB89" s="177"/>
      <c r="AC89" s="177"/>
      <c r="AD89" s="177"/>
      <c r="AE89" s="177"/>
      <c r="AF89" s="177"/>
      <c r="AG89" s="177"/>
    </row>
    <row r="90" spans="1:33" ht="15.75" hidden="1" customHeight="1">
      <c r="A90" s="193">
        <v>78</v>
      </c>
      <c r="B90" s="193" t="str">
        <f>IF(NOT(ISBLANK('Midterm OVPAA-F-INS-055A RAW SC'!F95)),'Midterm OVPAA-F-INS-055A RAW SC'!F95,"")</f>
        <v/>
      </c>
      <c r="C90" s="226" t="str">
        <f>IF(NOT(ISBLANK('Midterm OVPAA-F-INS-055A RAW SC'!G95)),'Midterm OVPAA-F-INS-055A RAW SC'!G95,"")</f>
        <v/>
      </c>
      <c r="D90" s="227"/>
      <c r="E90" s="228"/>
      <c r="F90" s="229" t="str">
        <f>'MidTerm OVPAA-F-INS-055B CLASS'!BV95</f>
        <v/>
      </c>
      <c r="G90" s="228"/>
      <c r="H90" s="194" t="str">
        <f>'MidTerm OVPAA-F-INS-055B CLASS'!CR95</f>
        <v/>
      </c>
      <c r="I90" s="195" t="str">
        <f>'MidTerm OVPAA-F-INS-055B CLASS'!DD95</f>
        <v/>
      </c>
      <c r="J90" s="195" t="str">
        <f>'MidTerm OVPAA-F-INS-055B CLASS'!DI95</f>
        <v/>
      </c>
      <c r="K90" s="195" t="str">
        <f>'Finalterm OVPAA-F-INS-055B CLAS'!BV95</f>
        <v/>
      </c>
      <c r="L90" s="195" t="str">
        <f>'Finalterm OVPAA-F-INS-055B CLAS'!CR95</f>
        <v/>
      </c>
      <c r="M90" s="195" t="str">
        <f>'Finalterm OVPAA-F-INS-055B CLAS'!DD95</f>
        <v/>
      </c>
      <c r="N90" s="195" t="str">
        <f>'Finalterm OVPAA-F-INS-055B CLAS'!DI95</f>
        <v/>
      </c>
      <c r="O90" s="195" t="str">
        <f t="shared" si="0"/>
        <v/>
      </c>
      <c r="P90" s="195" t="str">
        <f t="shared" si="1"/>
        <v/>
      </c>
      <c r="Q90" s="197" t="str">
        <f t="shared" si="2"/>
        <v/>
      </c>
      <c r="R90" s="196" t="str">
        <f t="shared" si="3"/>
        <v/>
      </c>
      <c r="S90" s="177"/>
      <c r="T90" s="177"/>
      <c r="U90" s="177"/>
      <c r="V90" s="177"/>
      <c r="W90" s="177"/>
      <c r="X90" s="177"/>
      <c r="Y90" s="177"/>
      <c r="Z90" s="177"/>
      <c r="AA90" s="177"/>
      <c r="AB90" s="177"/>
      <c r="AC90" s="177"/>
      <c r="AD90" s="177"/>
      <c r="AE90" s="177"/>
      <c r="AF90" s="177"/>
      <c r="AG90" s="177"/>
    </row>
    <row r="91" spans="1:33" ht="15.75" hidden="1" customHeight="1">
      <c r="A91" s="193">
        <v>79</v>
      </c>
      <c r="B91" s="193" t="str">
        <f>IF(NOT(ISBLANK('Midterm OVPAA-F-INS-055A RAW SC'!F96)),'Midterm OVPAA-F-INS-055A RAW SC'!F96,"")</f>
        <v/>
      </c>
      <c r="C91" s="226" t="str">
        <f>IF(NOT(ISBLANK('Midterm OVPAA-F-INS-055A RAW SC'!G96)),'Midterm OVPAA-F-INS-055A RAW SC'!G96,"")</f>
        <v/>
      </c>
      <c r="D91" s="227"/>
      <c r="E91" s="228"/>
      <c r="F91" s="229" t="str">
        <f>'MidTerm OVPAA-F-INS-055B CLASS'!BV96</f>
        <v/>
      </c>
      <c r="G91" s="228"/>
      <c r="H91" s="194" t="str">
        <f>'MidTerm OVPAA-F-INS-055B CLASS'!CR96</f>
        <v/>
      </c>
      <c r="I91" s="195" t="str">
        <f>'MidTerm OVPAA-F-INS-055B CLASS'!DD96</f>
        <v/>
      </c>
      <c r="J91" s="195" t="str">
        <f>'MidTerm OVPAA-F-INS-055B CLASS'!DI96</f>
        <v/>
      </c>
      <c r="K91" s="195" t="str">
        <f>'Finalterm OVPAA-F-INS-055B CLAS'!BV96</f>
        <v/>
      </c>
      <c r="L91" s="195" t="str">
        <f>'Finalterm OVPAA-F-INS-055B CLAS'!CR96</f>
        <v/>
      </c>
      <c r="M91" s="195" t="str">
        <f>'Finalterm OVPAA-F-INS-055B CLAS'!DD96</f>
        <v/>
      </c>
      <c r="N91" s="195" t="str">
        <f>'Finalterm OVPAA-F-INS-055B CLAS'!DI96</f>
        <v/>
      </c>
      <c r="O91" s="195" t="str">
        <f t="shared" si="0"/>
        <v/>
      </c>
      <c r="P91" s="195" t="str">
        <f t="shared" si="1"/>
        <v/>
      </c>
      <c r="Q91" s="197" t="str">
        <f t="shared" si="2"/>
        <v/>
      </c>
      <c r="R91" s="196" t="str">
        <f t="shared" si="3"/>
        <v/>
      </c>
      <c r="S91" s="177"/>
      <c r="T91" s="177"/>
      <c r="U91" s="177"/>
      <c r="V91" s="177"/>
      <c r="W91" s="177"/>
      <c r="X91" s="177"/>
      <c r="Y91" s="177"/>
      <c r="Z91" s="177"/>
      <c r="AA91" s="177"/>
      <c r="AB91" s="177"/>
      <c r="AC91" s="177"/>
      <c r="AD91" s="177"/>
      <c r="AE91" s="177"/>
      <c r="AF91" s="177"/>
      <c r="AG91" s="177"/>
    </row>
    <row r="92" spans="1:33" ht="15.75" hidden="1" customHeight="1">
      <c r="A92" s="193">
        <v>80</v>
      </c>
      <c r="B92" s="193" t="str">
        <f>IF(NOT(ISBLANK('Midterm OVPAA-F-INS-055A RAW SC'!F97)),'Midterm OVPAA-F-INS-055A RAW SC'!F97,"")</f>
        <v/>
      </c>
      <c r="C92" s="226" t="str">
        <f>IF(NOT(ISBLANK('Midterm OVPAA-F-INS-055A RAW SC'!G97)),'Midterm OVPAA-F-INS-055A RAW SC'!G97,"")</f>
        <v/>
      </c>
      <c r="D92" s="227"/>
      <c r="E92" s="228"/>
      <c r="F92" s="229" t="str">
        <f>'MidTerm OVPAA-F-INS-055B CLASS'!BV97</f>
        <v/>
      </c>
      <c r="G92" s="228"/>
      <c r="H92" s="194" t="str">
        <f>'MidTerm OVPAA-F-INS-055B CLASS'!CR97</f>
        <v/>
      </c>
      <c r="I92" s="195" t="str">
        <f>'MidTerm OVPAA-F-INS-055B CLASS'!DD97</f>
        <v/>
      </c>
      <c r="J92" s="195" t="str">
        <f>'MidTerm OVPAA-F-INS-055B CLASS'!DI97</f>
        <v/>
      </c>
      <c r="K92" s="195" t="str">
        <f>'Finalterm OVPAA-F-INS-055B CLAS'!BV97</f>
        <v/>
      </c>
      <c r="L92" s="195" t="str">
        <f>'Finalterm OVPAA-F-INS-055B CLAS'!CR97</f>
        <v/>
      </c>
      <c r="M92" s="195" t="str">
        <f>'Finalterm OVPAA-F-INS-055B CLAS'!DD97</f>
        <v/>
      </c>
      <c r="N92" s="195" t="str">
        <f>'Finalterm OVPAA-F-INS-055B CLAS'!DI97</f>
        <v/>
      </c>
      <c r="O92" s="195" t="str">
        <f t="shared" si="0"/>
        <v/>
      </c>
      <c r="P92" s="195" t="str">
        <f t="shared" si="1"/>
        <v/>
      </c>
      <c r="Q92" s="197" t="str">
        <f t="shared" si="2"/>
        <v/>
      </c>
      <c r="R92" s="196" t="str">
        <f t="shared" si="3"/>
        <v/>
      </c>
      <c r="S92" s="177"/>
      <c r="T92" s="177"/>
      <c r="U92" s="177"/>
      <c r="V92" s="177"/>
      <c r="W92" s="177"/>
      <c r="X92" s="177"/>
      <c r="Y92" s="177"/>
      <c r="Z92" s="177"/>
      <c r="AA92" s="177"/>
      <c r="AB92" s="177"/>
      <c r="AC92" s="177"/>
      <c r="AD92" s="177"/>
      <c r="AE92" s="177"/>
      <c r="AF92" s="177"/>
      <c r="AG92" s="177"/>
    </row>
    <row r="93" spans="1:33" ht="15.75" hidden="1" customHeight="1">
      <c r="A93" s="193">
        <v>81</v>
      </c>
      <c r="B93" s="193" t="str">
        <f>IF(NOT(ISBLANK('Midterm OVPAA-F-INS-055A RAW SC'!F98)),'Midterm OVPAA-F-INS-055A RAW SC'!F98,"")</f>
        <v/>
      </c>
      <c r="C93" s="226" t="str">
        <f>IF(NOT(ISBLANK('Midterm OVPAA-F-INS-055A RAW SC'!G98)),'Midterm OVPAA-F-INS-055A RAW SC'!G98,"")</f>
        <v/>
      </c>
      <c r="D93" s="227"/>
      <c r="E93" s="228"/>
      <c r="F93" s="229" t="str">
        <f>'MidTerm OVPAA-F-INS-055B CLASS'!BV98</f>
        <v/>
      </c>
      <c r="G93" s="228"/>
      <c r="H93" s="194" t="str">
        <f>'MidTerm OVPAA-F-INS-055B CLASS'!CR98</f>
        <v/>
      </c>
      <c r="I93" s="195" t="str">
        <f>'MidTerm OVPAA-F-INS-055B CLASS'!DD98</f>
        <v/>
      </c>
      <c r="J93" s="195" t="str">
        <f>'MidTerm OVPAA-F-INS-055B CLASS'!DI98</f>
        <v/>
      </c>
      <c r="K93" s="195" t="str">
        <f>'Finalterm OVPAA-F-INS-055B CLAS'!BV98</f>
        <v/>
      </c>
      <c r="L93" s="195" t="str">
        <f>'Finalterm OVPAA-F-INS-055B CLAS'!CR98</f>
        <v/>
      </c>
      <c r="M93" s="195" t="str">
        <f>'Finalterm OVPAA-F-INS-055B CLAS'!DD98</f>
        <v/>
      </c>
      <c r="N93" s="195" t="str">
        <f>'Finalterm OVPAA-F-INS-055B CLAS'!DI98</f>
        <v/>
      </c>
      <c r="O93" s="195" t="str">
        <f t="shared" si="0"/>
        <v/>
      </c>
      <c r="P93" s="195" t="str">
        <f t="shared" si="1"/>
        <v/>
      </c>
      <c r="Q93" s="197" t="str">
        <f t="shared" si="2"/>
        <v/>
      </c>
      <c r="R93" s="196" t="str">
        <f t="shared" si="3"/>
        <v/>
      </c>
      <c r="S93" s="177"/>
      <c r="T93" s="177"/>
      <c r="U93" s="177"/>
      <c r="V93" s="177"/>
      <c r="W93" s="177"/>
      <c r="X93" s="177"/>
      <c r="Y93" s="177"/>
      <c r="Z93" s="177"/>
      <c r="AA93" s="177"/>
      <c r="AB93" s="177"/>
      <c r="AC93" s="177"/>
      <c r="AD93" s="177"/>
      <c r="AE93" s="177"/>
      <c r="AF93" s="177"/>
      <c r="AG93" s="177"/>
    </row>
    <row r="94" spans="1:33" ht="15.75" hidden="1" customHeight="1">
      <c r="A94" s="193">
        <v>82</v>
      </c>
      <c r="B94" s="193" t="str">
        <f>IF(NOT(ISBLANK('Midterm OVPAA-F-INS-055A RAW SC'!F99)),'Midterm OVPAA-F-INS-055A RAW SC'!F99,"")</f>
        <v/>
      </c>
      <c r="C94" s="226" t="str">
        <f>IF(NOT(ISBLANK('Midterm OVPAA-F-INS-055A RAW SC'!G99)),'Midterm OVPAA-F-INS-055A RAW SC'!G99,"")</f>
        <v/>
      </c>
      <c r="D94" s="227"/>
      <c r="E94" s="228"/>
      <c r="F94" s="229" t="str">
        <f>'MidTerm OVPAA-F-INS-055B CLASS'!BV99</f>
        <v/>
      </c>
      <c r="G94" s="228"/>
      <c r="H94" s="194" t="str">
        <f>'MidTerm OVPAA-F-INS-055B CLASS'!CR99</f>
        <v/>
      </c>
      <c r="I94" s="195" t="str">
        <f>'MidTerm OVPAA-F-INS-055B CLASS'!DD99</f>
        <v/>
      </c>
      <c r="J94" s="195" t="str">
        <f>'MidTerm OVPAA-F-INS-055B CLASS'!DI99</f>
        <v/>
      </c>
      <c r="K94" s="195" t="str">
        <f>'Finalterm OVPAA-F-INS-055B CLAS'!BV99</f>
        <v/>
      </c>
      <c r="L94" s="195" t="str">
        <f>'Finalterm OVPAA-F-INS-055B CLAS'!CR99</f>
        <v/>
      </c>
      <c r="M94" s="195" t="str">
        <f>'Finalterm OVPAA-F-INS-055B CLAS'!DD99</f>
        <v/>
      </c>
      <c r="N94" s="195" t="str">
        <f>'Finalterm OVPAA-F-INS-055B CLAS'!DI99</f>
        <v/>
      </c>
      <c r="O94" s="195" t="str">
        <f t="shared" si="0"/>
        <v/>
      </c>
      <c r="P94" s="195" t="str">
        <f t="shared" si="1"/>
        <v/>
      </c>
      <c r="Q94" s="197" t="str">
        <f t="shared" si="2"/>
        <v/>
      </c>
      <c r="R94" s="196" t="str">
        <f t="shared" si="3"/>
        <v/>
      </c>
      <c r="S94" s="177"/>
      <c r="T94" s="177"/>
      <c r="U94" s="177"/>
      <c r="V94" s="177"/>
      <c r="W94" s="177"/>
      <c r="X94" s="177"/>
      <c r="Y94" s="177"/>
      <c r="Z94" s="177"/>
      <c r="AA94" s="177"/>
      <c r="AB94" s="177"/>
      <c r="AC94" s="177"/>
      <c r="AD94" s="177"/>
      <c r="AE94" s="177"/>
      <c r="AF94" s="177"/>
      <c r="AG94" s="177"/>
    </row>
    <row r="95" spans="1:33" ht="15.75" hidden="1" customHeight="1">
      <c r="A95" s="193">
        <v>83</v>
      </c>
      <c r="B95" s="193" t="str">
        <f>IF(NOT(ISBLANK('Midterm OVPAA-F-INS-055A RAW SC'!F100)),'Midterm OVPAA-F-INS-055A RAW SC'!F100,"")</f>
        <v/>
      </c>
      <c r="C95" s="226" t="str">
        <f>IF(NOT(ISBLANK('Midterm OVPAA-F-INS-055A RAW SC'!G100)),'Midterm OVPAA-F-INS-055A RAW SC'!G100,"")</f>
        <v/>
      </c>
      <c r="D95" s="227"/>
      <c r="E95" s="228"/>
      <c r="F95" s="229" t="str">
        <f>'MidTerm OVPAA-F-INS-055B CLASS'!BV100</f>
        <v/>
      </c>
      <c r="G95" s="228"/>
      <c r="H95" s="194" t="str">
        <f>'MidTerm OVPAA-F-INS-055B CLASS'!CR100</f>
        <v/>
      </c>
      <c r="I95" s="195" t="str">
        <f>'MidTerm OVPAA-F-INS-055B CLASS'!DD100</f>
        <v/>
      </c>
      <c r="J95" s="195" t="str">
        <f>'MidTerm OVPAA-F-INS-055B CLASS'!DI100</f>
        <v/>
      </c>
      <c r="K95" s="195" t="str">
        <f>'Finalterm OVPAA-F-INS-055B CLAS'!BV100</f>
        <v/>
      </c>
      <c r="L95" s="195" t="str">
        <f>'Finalterm OVPAA-F-INS-055B CLAS'!CR100</f>
        <v/>
      </c>
      <c r="M95" s="195" t="str">
        <f>'Finalterm OVPAA-F-INS-055B CLAS'!DD100</f>
        <v/>
      </c>
      <c r="N95" s="195" t="str">
        <f>'Finalterm OVPAA-F-INS-055B CLAS'!DI100</f>
        <v/>
      </c>
      <c r="O95" s="195" t="str">
        <f t="shared" si="0"/>
        <v/>
      </c>
      <c r="P95" s="195" t="str">
        <f t="shared" si="1"/>
        <v/>
      </c>
      <c r="Q95" s="197" t="str">
        <f t="shared" si="2"/>
        <v/>
      </c>
      <c r="R95" s="196" t="str">
        <f t="shared" si="3"/>
        <v/>
      </c>
      <c r="S95" s="177"/>
      <c r="T95" s="177"/>
      <c r="U95" s="177"/>
      <c r="V95" s="177"/>
      <c r="W95" s="177"/>
      <c r="X95" s="177"/>
      <c r="Y95" s="177"/>
      <c r="Z95" s="177"/>
      <c r="AA95" s="177"/>
      <c r="AB95" s="177"/>
      <c r="AC95" s="177"/>
      <c r="AD95" s="177"/>
      <c r="AE95" s="177"/>
      <c r="AF95" s="177"/>
      <c r="AG95" s="177"/>
    </row>
    <row r="96" spans="1:33" ht="15.75" hidden="1" customHeight="1">
      <c r="A96" s="193">
        <v>84</v>
      </c>
      <c r="B96" s="193" t="str">
        <f>IF(NOT(ISBLANK('Midterm OVPAA-F-INS-055A RAW SC'!F101)),'Midterm OVPAA-F-INS-055A RAW SC'!F101,"")</f>
        <v/>
      </c>
      <c r="C96" s="226" t="str">
        <f>IF(NOT(ISBLANK('Midterm OVPAA-F-INS-055A RAW SC'!G101)),'Midterm OVPAA-F-INS-055A RAW SC'!G101,"")</f>
        <v/>
      </c>
      <c r="D96" s="227"/>
      <c r="E96" s="228"/>
      <c r="F96" s="229" t="str">
        <f>'MidTerm OVPAA-F-INS-055B CLASS'!BV101</f>
        <v/>
      </c>
      <c r="G96" s="228"/>
      <c r="H96" s="194" t="str">
        <f>'MidTerm OVPAA-F-INS-055B CLASS'!CR101</f>
        <v/>
      </c>
      <c r="I96" s="195" t="str">
        <f>'MidTerm OVPAA-F-INS-055B CLASS'!DD101</f>
        <v/>
      </c>
      <c r="J96" s="195" t="str">
        <f>'MidTerm OVPAA-F-INS-055B CLASS'!DI101</f>
        <v/>
      </c>
      <c r="K96" s="195" t="str">
        <f>'Finalterm OVPAA-F-INS-055B CLAS'!BV101</f>
        <v/>
      </c>
      <c r="L96" s="195" t="str">
        <f>'Finalterm OVPAA-F-INS-055B CLAS'!CR101</f>
        <v/>
      </c>
      <c r="M96" s="195" t="str">
        <f>'Finalterm OVPAA-F-INS-055B CLAS'!DD101</f>
        <v/>
      </c>
      <c r="N96" s="195" t="str">
        <f>'Finalterm OVPAA-F-INS-055B CLAS'!DI101</f>
        <v/>
      </c>
      <c r="O96" s="195" t="str">
        <f t="shared" si="0"/>
        <v/>
      </c>
      <c r="P96" s="195" t="str">
        <f t="shared" si="1"/>
        <v/>
      </c>
      <c r="Q96" s="197" t="str">
        <f t="shared" si="2"/>
        <v/>
      </c>
      <c r="R96" s="196" t="str">
        <f t="shared" si="3"/>
        <v/>
      </c>
      <c r="S96" s="177"/>
      <c r="T96" s="177"/>
      <c r="U96" s="177"/>
      <c r="V96" s="177"/>
      <c r="W96" s="177"/>
      <c r="X96" s="177"/>
      <c r="Y96" s="177"/>
      <c r="Z96" s="177"/>
      <c r="AA96" s="177"/>
      <c r="AB96" s="177"/>
      <c r="AC96" s="177"/>
      <c r="AD96" s="177"/>
      <c r="AE96" s="177"/>
      <c r="AF96" s="177"/>
      <c r="AG96" s="177"/>
    </row>
    <row r="97" spans="1:33" ht="15.75" hidden="1" customHeight="1">
      <c r="A97" s="193">
        <v>85</v>
      </c>
      <c r="B97" s="193" t="str">
        <f>IF(NOT(ISBLANK('Midterm OVPAA-F-INS-055A RAW SC'!F102)),'Midterm OVPAA-F-INS-055A RAW SC'!F102,"")</f>
        <v/>
      </c>
      <c r="C97" s="226" t="str">
        <f>IF(NOT(ISBLANK('Midterm OVPAA-F-INS-055A RAW SC'!G102)),'Midterm OVPAA-F-INS-055A RAW SC'!G102,"")</f>
        <v/>
      </c>
      <c r="D97" s="227"/>
      <c r="E97" s="228"/>
      <c r="F97" s="229" t="str">
        <f>'MidTerm OVPAA-F-INS-055B CLASS'!BV102</f>
        <v/>
      </c>
      <c r="G97" s="228"/>
      <c r="H97" s="194" t="str">
        <f>'MidTerm OVPAA-F-INS-055B CLASS'!CR102</f>
        <v/>
      </c>
      <c r="I97" s="195" t="str">
        <f>'MidTerm OVPAA-F-INS-055B CLASS'!DD102</f>
        <v/>
      </c>
      <c r="J97" s="195" t="str">
        <f>'MidTerm OVPAA-F-INS-055B CLASS'!DI102</f>
        <v/>
      </c>
      <c r="K97" s="195" t="str">
        <f>'Finalterm OVPAA-F-INS-055B CLAS'!BV102</f>
        <v/>
      </c>
      <c r="L97" s="195" t="str">
        <f>'Finalterm OVPAA-F-INS-055B CLAS'!CR102</f>
        <v/>
      </c>
      <c r="M97" s="195" t="str">
        <f>'Finalterm OVPAA-F-INS-055B CLAS'!DD102</f>
        <v/>
      </c>
      <c r="N97" s="195" t="str">
        <f>'Finalterm OVPAA-F-INS-055B CLAS'!DI102</f>
        <v/>
      </c>
      <c r="O97" s="195" t="str">
        <f t="shared" si="0"/>
        <v/>
      </c>
      <c r="P97" s="195" t="str">
        <f t="shared" si="1"/>
        <v/>
      </c>
      <c r="Q97" s="197" t="str">
        <f t="shared" si="2"/>
        <v/>
      </c>
      <c r="R97" s="196" t="str">
        <f t="shared" si="3"/>
        <v/>
      </c>
      <c r="S97" s="177"/>
      <c r="T97" s="177"/>
      <c r="U97" s="177"/>
      <c r="V97" s="177"/>
      <c r="W97" s="177"/>
      <c r="X97" s="177"/>
      <c r="Y97" s="177"/>
      <c r="Z97" s="177"/>
      <c r="AA97" s="177"/>
      <c r="AB97" s="177"/>
      <c r="AC97" s="177"/>
      <c r="AD97" s="177"/>
      <c r="AE97" s="177"/>
      <c r="AF97" s="177"/>
      <c r="AG97" s="177"/>
    </row>
    <row r="98" spans="1:33" ht="15.75" hidden="1" customHeight="1">
      <c r="A98" s="193">
        <v>86</v>
      </c>
      <c r="B98" s="193" t="str">
        <f>IF(NOT(ISBLANK('Midterm OVPAA-F-INS-055A RAW SC'!F103)),'Midterm OVPAA-F-INS-055A RAW SC'!F103,"")</f>
        <v/>
      </c>
      <c r="C98" s="226" t="str">
        <f>IF(NOT(ISBLANK('Midterm OVPAA-F-INS-055A RAW SC'!G103)),'Midterm OVPAA-F-INS-055A RAW SC'!G103,"")</f>
        <v/>
      </c>
      <c r="D98" s="227"/>
      <c r="E98" s="228"/>
      <c r="F98" s="229" t="str">
        <f>'MidTerm OVPAA-F-INS-055B CLASS'!BV103</f>
        <v/>
      </c>
      <c r="G98" s="228"/>
      <c r="H98" s="194" t="str">
        <f>'MidTerm OVPAA-F-INS-055B CLASS'!CR103</f>
        <v/>
      </c>
      <c r="I98" s="195" t="str">
        <f>'MidTerm OVPAA-F-INS-055B CLASS'!DD103</f>
        <v/>
      </c>
      <c r="J98" s="195" t="str">
        <f>'MidTerm OVPAA-F-INS-055B CLASS'!DI103</f>
        <v/>
      </c>
      <c r="K98" s="195" t="str">
        <f>'Finalterm OVPAA-F-INS-055B CLAS'!BV103</f>
        <v/>
      </c>
      <c r="L98" s="195" t="str">
        <f>'Finalterm OVPAA-F-INS-055B CLAS'!CR103</f>
        <v/>
      </c>
      <c r="M98" s="195" t="str">
        <f>'Finalterm OVPAA-F-INS-055B CLAS'!DD103</f>
        <v/>
      </c>
      <c r="N98" s="195" t="str">
        <f>'Finalterm OVPAA-F-INS-055B CLAS'!DI103</f>
        <v/>
      </c>
      <c r="O98" s="195" t="str">
        <f t="shared" si="0"/>
        <v/>
      </c>
      <c r="P98" s="195" t="str">
        <f t="shared" si="1"/>
        <v/>
      </c>
      <c r="Q98" s="197" t="str">
        <f t="shared" si="2"/>
        <v/>
      </c>
      <c r="R98" s="196" t="str">
        <f t="shared" si="3"/>
        <v/>
      </c>
      <c r="S98" s="177"/>
      <c r="T98" s="177"/>
      <c r="U98" s="177"/>
      <c r="V98" s="177"/>
      <c r="W98" s="177"/>
      <c r="X98" s="177"/>
      <c r="Y98" s="177"/>
      <c r="Z98" s="177"/>
      <c r="AA98" s="177"/>
      <c r="AB98" s="177"/>
      <c r="AC98" s="177"/>
      <c r="AD98" s="177"/>
      <c r="AE98" s="177"/>
      <c r="AF98" s="177"/>
      <c r="AG98" s="177"/>
    </row>
    <row r="99" spans="1:33" ht="15.75" hidden="1" customHeight="1">
      <c r="A99" s="193">
        <v>87</v>
      </c>
      <c r="B99" s="193" t="str">
        <f>IF(NOT(ISBLANK('Midterm OVPAA-F-INS-055A RAW SC'!F104)),'Midterm OVPAA-F-INS-055A RAW SC'!F104,"")</f>
        <v/>
      </c>
      <c r="C99" s="226" t="str">
        <f>IF(NOT(ISBLANK('Midterm OVPAA-F-INS-055A RAW SC'!G104)),'Midterm OVPAA-F-INS-055A RAW SC'!G104,"")</f>
        <v/>
      </c>
      <c r="D99" s="227"/>
      <c r="E99" s="228"/>
      <c r="F99" s="229" t="str">
        <f>'MidTerm OVPAA-F-INS-055B CLASS'!BV104</f>
        <v/>
      </c>
      <c r="G99" s="228"/>
      <c r="H99" s="194" t="str">
        <f>'MidTerm OVPAA-F-INS-055B CLASS'!CR104</f>
        <v/>
      </c>
      <c r="I99" s="195" t="str">
        <f>'MidTerm OVPAA-F-INS-055B CLASS'!DD104</f>
        <v/>
      </c>
      <c r="J99" s="195" t="str">
        <f>'MidTerm OVPAA-F-INS-055B CLASS'!DI104</f>
        <v/>
      </c>
      <c r="K99" s="195" t="str">
        <f>'Finalterm OVPAA-F-INS-055B CLAS'!BV104</f>
        <v/>
      </c>
      <c r="L99" s="195" t="str">
        <f>'Finalterm OVPAA-F-INS-055B CLAS'!CR104</f>
        <v/>
      </c>
      <c r="M99" s="195" t="str">
        <f>'Finalterm OVPAA-F-INS-055B CLAS'!DD104</f>
        <v/>
      </c>
      <c r="N99" s="195" t="str">
        <f>'Finalterm OVPAA-F-INS-055B CLAS'!DI104</f>
        <v/>
      </c>
      <c r="O99" s="195" t="str">
        <f t="shared" si="0"/>
        <v/>
      </c>
      <c r="P99" s="195" t="str">
        <f t="shared" si="1"/>
        <v/>
      </c>
      <c r="Q99" s="197" t="str">
        <f t="shared" si="2"/>
        <v/>
      </c>
      <c r="R99" s="196" t="str">
        <f t="shared" si="3"/>
        <v/>
      </c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</row>
    <row r="100" spans="1:33" ht="15.75" hidden="1" customHeight="1">
      <c r="A100" s="193">
        <v>88</v>
      </c>
      <c r="B100" s="193" t="str">
        <f>IF(NOT(ISBLANK('Midterm OVPAA-F-INS-055A RAW SC'!F105)),'Midterm OVPAA-F-INS-055A RAW SC'!F105,"")</f>
        <v/>
      </c>
      <c r="C100" s="226" t="str">
        <f>IF(NOT(ISBLANK('Midterm OVPAA-F-INS-055A RAW SC'!G105)),'Midterm OVPAA-F-INS-055A RAW SC'!G105,"")</f>
        <v/>
      </c>
      <c r="D100" s="227"/>
      <c r="E100" s="228"/>
      <c r="F100" s="229" t="str">
        <f>'MidTerm OVPAA-F-INS-055B CLASS'!BV105</f>
        <v/>
      </c>
      <c r="G100" s="228"/>
      <c r="H100" s="194" t="str">
        <f>'MidTerm OVPAA-F-INS-055B CLASS'!CR105</f>
        <v/>
      </c>
      <c r="I100" s="195" t="str">
        <f>'MidTerm OVPAA-F-INS-055B CLASS'!DD105</f>
        <v/>
      </c>
      <c r="J100" s="195" t="str">
        <f>'MidTerm OVPAA-F-INS-055B CLASS'!DI105</f>
        <v/>
      </c>
      <c r="K100" s="195" t="str">
        <f>'Finalterm OVPAA-F-INS-055B CLAS'!BV105</f>
        <v/>
      </c>
      <c r="L100" s="195" t="str">
        <f>'Finalterm OVPAA-F-INS-055B CLAS'!CR105</f>
        <v/>
      </c>
      <c r="M100" s="195" t="str">
        <f>'Finalterm OVPAA-F-INS-055B CLAS'!DD105</f>
        <v/>
      </c>
      <c r="N100" s="195" t="str">
        <f>'Finalterm OVPAA-F-INS-055B CLAS'!DI105</f>
        <v/>
      </c>
      <c r="O100" s="195" t="str">
        <f t="shared" si="0"/>
        <v/>
      </c>
      <c r="P100" s="195" t="str">
        <f t="shared" si="1"/>
        <v/>
      </c>
      <c r="Q100" s="197" t="str">
        <f t="shared" si="2"/>
        <v/>
      </c>
      <c r="R100" s="196" t="str">
        <f t="shared" si="3"/>
        <v/>
      </c>
      <c r="S100" s="177"/>
      <c r="T100" s="177"/>
      <c r="U100" s="177"/>
      <c r="V100" s="177"/>
      <c r="W100" s="177"/>
      <c r="X100" s="177"/>
      <c r="Y100" s="177"/>
      <c r="Z100" s="177"/>
      <c r="AA100" s="177"/>
      <c r="AB100" s="177"/>
      <c r="AC100" s="177"/>
      <c r="AD100" s="177"/>
      <c r="AE100" s="177"/>
      <c r="AF100" s="177"/>
      <c r="AG100" s="177"/>
    </row>
    <row r="101" spans="1:33" ht="15.75" hidden="1" customHeight="1">
      <c r="A101" s="193">
        <v>89</v>
      </c>
      <c r="B101" s="193" t="str">
        <f>IF(NOT(ISBLANK('Midterm OVPAA-F-INS-055A RAW SC'!F106)),'Midterm OVPAA-F-INS-055A RAW SC'!F106,"")</f>
        <v/>
      </c>
      <c r="C101" s="226" t="str">
        <f>IF(NOT(ISBLANK('Midterm OVPAA-F-INS-055A RAW SC'!G106)),'Midterm OVPAA-F-INS-055A RAW SC'!G106,"")</f>
        <v/>
      </c>
      <c r="D101" s="227"/>
      <c r="E101" s="228"/>
      <c r="F101" s="229" t="str">
        <f>'MidTerm OVPAA-F-INS-055B CLASS'!BV106</f>
        <v/>
      </c>
      <c r="G101" s="228"/>
      <c r="H101" s="194" t="str">
        <f>'MidTerm OVPAA-F-INS-055B CLASS'!CR106</f>
        <v/>
      </c>
      <c r="I101" s="195" t="str">
        <f>'MidTerm OVPAA-F-INS-055B CLASS'!DD106</f>
        <v/>
      </c>
      <c r="J101" s="195" t="str">
        <f>'MidTerm OVPAA-F-INS-055B CLASS'!DI106</f>
        <v/>
      </c>
      <c r="K101" s="195" t="str">
        <f>'Finalterm OVPAA-F-INS-055B CLAS'!BV106</f>
        <v/>
      </c>
      <c r="L101" s="195" t="str">
        <f>'Finalterm OVPAA-F-INS-055B CLAS'!CR106</f>
        <v/>
      </c>
      <c r="M101" s="195" t="str">
        <f>'Finalterm OVPAA-F-INS-055B CLAS'!DD106</f>
        <v/>
      </c>
      <c r="N101" s="195" t="str">
        <f>'Finalterm OVPAA-F-INS-055B CLAS'!DI106</f>
        <v/>
      </c>
      <c r="O101" s="195" t="str">
        <f t="shared" si="0"/>
        <v/>
      </c>
      <c r="P101" s="195" t="str">
        <f t="shared" si="1"/>
        <v/>
      </c>
      <c r="Q101" s="197" t="str">
        <f t="shared" si="2"/>
        <v/>
      </c>
      <c r="R101" s="196" t="str">
        <f t="shared" si="3"/>
        <v/>
      </c>
      <c r="S101" s="177"/>
      <c r="T101" s="177"/>
      <c r="U101" s="177"/>
      <c r="V101" s="177"/>
      <c r="W101" s="177"/>
      <c r="X101" s="177"/>
      <c r="Y101" s="177"/>
      <c r="Z101" s="177"/>
      <c r="AA101" s="177"/>
      <c r="AB101" s="177"/>
      <c r="AC101" s="177"/>
      <c r="AD101" s="177"/>
      <c r="AE101" s="177"/>
      <c r="AF101" s="177"/>
      <c r="AG101" s="177"/>
    </row>
    <row r="102" spans="1:33" ht="15.75" hidden="1" customHeight="1">
      <c r="A102" s="193">
        <v>90</v>
      </c>
      <c r="B102" s="193" t="str">
        <f>IF(NOT(ISBLANK('Midterm OVPAA-F-INS-055A RAW SC'!F107)),'Midterm OVPAA-F-INS-055A RAW SC'!F107,"")</f>
        <v/>
      </c>
      <c r="C102" s="226" t="str">
        <f>IF(NOT(ISBLANK('Midterm OVPAA-F-INS-055A RAW SC'!G107)),'Midterm OVPAA-F-INS-055A RAW SC'!G107,"")</f>
        <v/>
      </c>
      <c r="D102" s="227"/>
      <c r="E102" s="228"/>
      <c r="F102" s="229" t="str">
        <f>'MidTerm OVPAA-F-INS-055B CLASS'!BV107</f>
        <v/>
      </c>
      <c r="G102" s="228"/>
      <c r="H102" s="194" t="str">
        <f>'MidTerm OVPAA-F-INS-055B CLASS'!CR107</f>
        <v/>
      </c>
      <c r="I102" s="195" t="str">
        <f>'MidTerm OVPAA-F-INS-055B CLASS'!DD107</f>
        <v/>
      </c>
      <c r="J102" s="195" t="str">
        <f>'MidTerm OVPAA-F-INS-055B CLASS'!DI107</f>
        <v/>
      </c>
      <c r="K102" s="195" t="str">
        <f>'Finalterm OVPAA-F-INS-055B CLAS'!BV107</f>
        <v/>
      </c>
      <c r="L102" s="195" t="str">
        <f>'Finalterm OVPAA-F-INS-055B CLAS'!CR107</f>
        <v/>
      </c>
      <c r="M102" s="195" t="str">
        <f>'Finalterm OVPAA-F-INS-055B CLAS'!DD107</f>
        <v/>
      </c>
      <c r="N102" s="195" t="str">
        <f>'Finalterm OVPAA-F-INS-055B CLAS'!DI107</f>
        <v/>
      </c>
      <c r="O102" s="195" t="str">
        <f t="shared" si="0"/>
        <v/>
      </c>
      <c r="P102" s="195" t="str">
        <f t="shared" si="1"/>
        <v/>
      </c>
      <c r="Q102" s="197" t="str">
        <f t="shared" si="2"/>
        <v/>
      </c>
      <c r="R102" s="196" t="str">
        <f t="shared" si="3"/>
        <v/>
      </c>
      <c r="S102" s="177"/>
      <c r="T102" s="177"/>
      <c r="U102" s="177"/>
      <c r="V102" s="177"/>
      <c r="W102" s="177"/>
      <c r="X102" s="177"/>
      <c r="Y102" s="177"/>
      <c r="Z102" s="177"/>
      <c r="AA102" s="177"/>
      <c r="AB102" s="177"/>
      <c r="AC102" s="177"/>
      <c r="AD102" s="177"/>
      <c r="AE102" s="177"/>
      <c r="AF102" s="177"/>
      <c r="AG102" s="177"/>
    </row>
    <row r="103" spans="1:33" ht="15.75" hidden="1" customHeight="1">
      <c r="A103" s="193">
        <v>91</v>
      </c>
      <c r="B103" s="193" t="str">
        <f>IF(NOT(ISBLANK('Midterm OVPAA-F-INS-055A RAW SC'!F108)),'Midterm OVPAA-F-INS-055A RAW SC'!F108,"")</f>
        <v/>
      </c>
      <c r="C103" s="226" t="str">
        <f>IF(NOT(ISBLANK('Midterm OVPAA-F-INS-055A RAW SC'!G108)),'Midterm OVPAA-F-INS-055A RAW SC'!G108,"")</f>
        <v/>
      </c>
      <c r="D103" s="227"/>
      <c r="E103" s="228"/>
      <c r="F103" s="229" t="str">
        <f>'MidTerm OVPAA-F-INS-055B CLASS'!BV108</f>
        <v/>
      </c>
      <c r="G103" s="228"/>
      <c r="H103" s="194" t="str">
        <f>'MidTerm OVPAA-F-INS-055B CLASS'!CR108</f>
        <v/>
      </c>
      <c r="I103" s="195" t="str">
        <f>'MidTerm OVPAA-F-INS-055B CLASS'!DD108</f>
        <v/>
      </c>
      <c r="J103" s="195" t="str">
        <f>'MidTerm OVPAA-F-INS-055B CLASS'!DI108</f>
        <v/>
      </c>
      <c r="K103" s="195" t="str">
        <f>'Finalterm OVPAA-F-INS-055B CLAS'!BV108</f>
        <v/>
      </c>
      <c r="L103" s="195" t="str">
        <f>'Finalterm OVPAA-F-INS-055B CLAS'!CR108</f>
        <v/>
      </c>
      <c r="M103" s="195" t="str">
        <f>'Finalterm OVPAA-F-INS-055B CLAS'!DD108</f>
        <v/>
      </c>
      <c r="N103" s="195" t="str">
        <f>'Finalterm OVPAA-F-INS-055B CLAS'!DI108</f>
        <v/>
      </c>
      <c r="O103" s="195" t="str">
        <f t="shared" si="0"/>
        <v/>
      </c>
      <c r="P103" s="195" t="str">
        <f t="shared" si="1"/>
        <v/>
      </c>
      <c r="Q103" s="197" t="str">
        <f t="shared" si="2"/>
        <v/>
      </c>
      <c r="R103" s="196" t="str">
        <f t="shared" si="3"/>
        <v/>
      </c>
      <c r="S103" s="177"/>
      <c r="T103" s="177"/>
      <c r="U103" s="177"/>
      <c r="V103" s="177"/>
      <c r="W103" s="177"/>
      <c r="X103" s="177"/>
      <c r="Y103" s="177"/>
      <c r="Z103" s="177"/>
      <c r="AA103" s="177"/>
      <c r="AB103" s="177"/>
      <c r="AC103" s="177"/>
      <c r="AD103" s="177"/>
      <c r="AE103" s="177"/>
      <c r="AF103" s="177"/>
      <c r="AG103" s="177"/>
    </row>
    <row r="104" spans="1:33" ht="15.75" hidden="1" customHeight="1">
      <c r="A104" s="193">
        <v>92</v>
      </c>
      <c r="B104" s="193" t="str">
        <f>IF(NOT(ISBLANK('Midterm OVPAA-F-INS-055A RAW SC'!F109)),'Midterm OVPAA-F-INS-055A RAW SC'!F109,"")</f>
        <v/>
      </c>
      <c r="C104" s="226" t="str">
        <f>IF(NOT(ISBLANK('Midterm OVPAA-F-INS-055A RAW SC'!G109)),'Midterm OVPAA-F-INS-055A RAW SC'!G109,"")</f>
        <v/>
      </c>
      <c r="D104" s="227"/>
      <c r="E104" s="228"/>
      <c r="F104" s="229" t="str">
        <f>'MidTerm OVPAA-F-INS-055B CLASS'!BV109</f>
        <v/>
      </c>
      <c r="G104" s="228"/>
      <c r="H104" s="194" t="str">
        <f>'MidTerm OVPAA-F-INS-055B CLASS'!CR109</f>
        <v/>
      </c>
      <c r="I104" s="195" t="str">
        <f>'MidTerm OVPAA-F-INS-055B CLASS'!DD109</f>
        <v/>
      </c>
      <c r="J104" s="195" t="str">
        <f>'MidTerm OVPAA-F-INS-055B CLASS'!DI109</f>
        <v/>
      </c>
      <c r="K104" s="195" t="str">
        <f>'Finalterm OVPAA-F-INS-055B CLAS'!BV109</f>
        <v/>
      </c>
      <c r="L104" s="195" t="str">
        <f>'Finalterm OVPAA-F-INS-055B CLAS'!CR109</f>
        <v/>
      </c>
      <c r="M104" s="195" t="str">
        <f>'Finalterm OVPAA-F-INS-055B CLAS'!DD109</f>
        <v/>
      </c>
      <c r="N104" s="195" t="str">
        <f>'Finalterm OVPAA-F-INS-055B CLAS'!DI109</f>
        <v/>
      </c>
      <c r="O104" s="195" t="str">
        <f t="shared" si="0"/>
        <v/>
      </c>
      <c r="P104" s="195" t="str">
        <f t="shared" si="1"/>
        <v/>
      </c>
      <c r="Q104" s="197" t="str">
        <f t="shared" si="2"/>
        <v/>
      </c>
      <c r="R104" s="196" t="str">
        <f t="shared" si="3"/>
        <v/>
      </c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</row>
    <row r="105" spans="1:33" ht="15.75" hidden="1" customHeight="1">
      <c r="A105" s="193">
        <v>93</v>
      </c>
      <c r="B105" s="193" t="str">
        <f>IF(NOT(ISBLANK('Midterm OVPAA-F-INS-055A RAW SC'!F110)),'Midterm OVPAA-F-INS-055A RAW SC'!F110,"")</f>
        <v/>
      </c>
      <c r="C105" s="226" t="str">
        <f>IF(NOT(ISBLANK('Midterm OVPAA-F-INS-055A RAW SC'!G110)),'Midterm OVPAA-F-INS-055A RAW SC'!G110,"")</f>
        <v/>
      </c>
      <c r="D105" s="227"/>
      <c r="E105" s="228"/>
      <c r="F105" s="229" t="str">
        <f>'MidTerm OVPAA-F-INS-055B CLASS'!BV110</f>
        <v/>
      </c>
      <c r="G105" s="228"/>
      <c r="H105" s="194" t="str">
        <f>'MidTerm OVPAA-F-INS-055B CLASS'!CR110</f>
        <v/>
      </c>
      <c r="I105" s="195" t="str">
        <f>'MidTerm OVPAA-F-INS-055B CLASS'!DD110</f>
        <v/>
      </c>
      <c r="J105" s="195" t="str">
        <f>'MidTerm OVPAA-F-INS-055B CLASS'!DI110</f>
        <v/>
      </c>
      <c r="K105" s="195" t="str">
        <f>'Finalterm OVPAA-F-INS-055B CLAS'!BV110</f>
        <v/>
      </c>
      <c r="L105" s="195" t="str">
        <f>'Finalterm OVPAA-F-INS-055B CLAS'!CR110</f>
        <v/>
      </c>
      <c r="M105" s="195" t="str">
        <f>'Finalterm OVPAA-F-INS-055B CLAS'!DD110</f>
        <v/>
      </c>
      <c r="N105" s="195" t="str">
        <f>'Finalterm OVPAA-F-INS-055B CLAS'!DI110</f>
        <v/>
      </c>
      <c r="O105" s="195" t="str">
        <f t="shared" si="0"/>
        <v/>
      </c>
      <c r="P105" s="195" t="str">
        <f t="shared" si="1"/>
        <v/>
      </c>
      <c r="Q105" s="197" t="str">
        <f t="shared" si="2"/>
        <v/>
      </c>
      <c r="R105" s="196" t="str">
        <f t="shared" si="3"/>
        <v/>
      </c>
      <c r="S105" s="177"/>
      <c r="T105" s="177"/>
      <c r="U105" s="177"/>
      <c r="V105" s="177"/>
      <c r="W105" s="177"/>
      <c r="X105" s="177"/>
      <c r="Y105" s="177"/>
      <c r="Z105" s="177"/>
      <c r="AA105" s="177"/>
      <c r="AB105" s="177"/>
      <c r="AC105" s="177"/>
      <c r="AD105" s="177"/>
      <c r="AE105" s="177"/>
      <c r="AF105" s="177"/>
      <c r="AG105" s="177"/>
    </row>
    <row r="106" spans="1:33" ht="15.75" hidden="1" customHeight="1">
      <c r="A106" s="193">
        <v>94</v>
      </c>
      <c r="B106" s="193" t="str">
        <f>IF(NOT(ISBLANK('Midterm OVPAA-F-INS-055A RAW SC'!F111)),'Midterm OVPAA-F-INS-055A RAW SC'!F111,"")</f>
        <v/>
      </c>
      <c r="C106" s="226" t="str">
        <f>IF(NOT(ISBLANK('Midterm OVPAA-F-INS-055A RAW SC'!G111)),'Midterm OVPAA-F-INS-055A RAW SC'!G111,"")</f>
        <v/>
      </c>
      <c r="D106" s="227"/>
      <c r="E106" s="228"/>
      <c r="F106" s="229" t="str">
        <f>'MidTerm OVPAA-F-INS-055B CLASS'!BV111</f>
        <v/>
      </c>
      <c r="G106" s="228"/>
      <c r="H106" s="194" t="str">
        <f>'MidTerm OVPAA-F-INS-055B CLASS'!CR111</f>
        <v/>
      </c>
      <c r="I106" s="195" t="str">
        <f>'MidTerm OVPAA-F-INS-055B CLASS'!DD111</f>
        <v/>
      </c>
      <c r="J106" s="195" t="str">
        <f>'MidTerm OVPAA-F-INS-055B CLASS'!DI111</f>
        <v/>
      </c>
      <c r="K106" s="195" t="str">
        <f>'Finalterm OVPAA-F-INS-055B CLAS'!BV111</f>
        <v/>
      </c>
      <c r="L106" s="195" t="str">
        <f>'Finalterm OVPAA-F-INS-055B CLAS'!CR111</f>
        <v/>
      </c>
      <c r="M106" s="195" t="str">
        <f>'Finalterm OVPAA-F-INS-055B CLAS'!DD111</f>
        <v/>
      </c>
      <c r="N106" s="195" t="str">
        <f>'Finalterm OVPAA-F-INS-055B CLAS'!DI111</f>
        <v/>
      </c>
      <c r="O106" s="195" t="str">
        <f t="shared" si="0"/>
        <v/>
      </c>
      <c r="P106" s="195" t="str">
        <f t="shared" si="1"/>
        <v/>
      </c>
      <c r="Q106" s="197" t="str">
        <f t="shared" si="2"/>
        <v/>
      </c>
      <c r="R106" s="196" t="str">
        <f t="shared" si="3"/>
        <v/>
      </c>
      <c r="S106" s="177"/>
      <c r="T106" s="177"/>
      <c r="U106" s="177"/>
      <c r="V106" s="177"/>
      <c r="W106" s="177"/>
      <c r="X106" s="177"/>
      <c r="Y106" s="177"/>
      <c r="Z106" s="177"/>
      <c r="AA106" s="177"/>
      <c r="AB106" s="177"/>
      <c r="AC106" s="177"/>
      <c r="AD106" s="177"/>
      <c r="AE106" s="177"/>
      <c r="AF106" s="177"/>
      <c r="AG106" s="177"/>
    </row>
    <row r="107" spans="1:33" ht="15.75" hidden="1" customHeight="1">
      <c r="A107" s="193">
        <v>95</v>
      </c>
      <c r="B107" s="193" t="str">
        <f>IF(NOT(ISBLANK('Midterm OVPAA-F-INS-055A RAW SC'!F112)),'Midterm OVPAA-F-INS-055A RAW SC'!F112,"")</f>
        <v/>
      </c>
      <c r="C107" s="226" t="str">
        <f>IF(NOT(ISBLANK('Midterm OVPAA-F-INS-055A RAW SC'!G112)),'Midterm OVPAA-F-INS-055A RAW SC'!G112,"")</f>
        <v/>
      </c>
      <c r="D107" s="227"/>
      <c r="E107" s="228"/>
      <c r="F107" s="229" t="str">
        <f>'MidTerm OVPAA-F-INS-055B CLASS'!BV112</f>
        <v/>
      </c>
      <c r="G107" s="228"/>
      <c r="H107" s="194" t="str">
        <f>'MidTerm OVPAA-F-INS-055B CLASS'!CR112</f>
        <v/>
      </c>
      <c r="I107" s="195" t="str">
        <f>'MidTerm OVPAA-F-INS-055B CLASS'!DD112</f>
        <v/>
      </c>
      <c r="J107" s="195" t="str">
        <f>'MidTerm OVPAA-F-INS-055B CLASS'!DI112</f>
        <v/>
      </c>
      <c r="K107" s="195" t="str">
        <f>'Finalterm OVPAA-F-INS-055B CLAS'!BV112</f>
        <v/>
      </c>
      <c r="L107" s="195" t="str">
        <f>'Finalterm OVPAA-F-INS-055B CLAS'!CR112</f>
        <v/>
      </c>
      <c r="M107" s="195" t="str">
        <f>'Finalterm OVPAA-F-INS-055B CLAS'!DD112</f>
        <v/>
      </c>
      <c r="N107" s="195" t="str">
        <f>'Finalterm OVPAA-F-INS-055B CLAS'!DI112</f>
        <v/>
      </c>
      <c r="O107" s="195" t="str">
        <f t="shared" si="0"/>
        <v/>
      </c>
      <c r="P107" s="195" t="str">
        <f t="shared" si="1"/>
        <v/>
      </c>
      <c r="Q107" s="197" t="str">
        <f t="shared" si="2"/>
        <v/>
      </c>
      <c r="R107" s="196" t="str">
        <f t="shared" si="3"/>
        <v/>
      </c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</row>
    <row r="108" spans="1:33" ht="15.75" hidden="1" customHeight="1">
      <c r="A108" s="193">
        <v>96</v>
      </c>
      <c r="B108" s="193" t="str">
        <f>IF(NOT(ISBLANK('Midterm OVPAA-F-INS-055A RAW SC'!F113)),'Midterm OVPAA-F-INS-055A RAW SC'!F113,"")</f>
        <v/>
      </c>
      <c r="C108" s="226" t="str">
        <f>IF(NOT(ISBLANK('Midterm OVPAA-F-INS-055A RAW SC'!G113)),'Midterm OVPAA-F-INS-055A RAW SC'!G113,"")</f>
        <v/>
      </c>
      <c r="D108" s="227"/>
      <c r="E108" s="228"/>
      <c r="F108" s="229" t="str">
        <f>'MidTerm OVPAA-F-INS-055B CLASS'!BV113</f>
        <v/>
      </c>
      <c r="G108" s="228"/>
      <c r="H108" s="194" t="str">
        <f>'MidTerm OVPAA-F-INS-055B CLASS'!CR113</f>
        <v/>
      </c>
      <c r="I108" s="195" t="str">
        <f>'MidTerm OVPAA-F-INS-055B CLASS'!DD113</f>
        <v/>
      </c>
      <c r="J108" s="195" t="str">
        <f>'MidTerm OVPAA-F-INS-055B CLASS'!DI113</f>
        <v/>
      </c>
      <c r="K108" s="195" t="str">
        <f>'Finalterm OVPAA-F-INS-055B CLAS'!BV113</f>
        <v/>
      </c>
      <c r="L108" s="195" t="str">
        <f>'Finalterm OVPAA-F-INS-055B CLAS'!CR113</f>
        <v/>
      </c>
      <c r="M108" s="195" t="str">
        <f>'Finalterm OVPAA-F-INS-055B CLAS'!DD113</f>
        <v/>
      </c>
      <c r="N108" s="195" t="str">
        <f>'Finalterm OVPAA-F-INS-055B CLAS'!DI113</f>
        <v/>
      </c>
      <c r="O108" s="195" t="str">
        <f t="shared" si="0"/>
        <v/>
      </c>
      <c r="P108" s="195" t="str">
        <f t="shared" si="1"/>
        <v/>
      </c>
      <c r="Q108" s="197" t="str">
        <f t="shared" si="2"/>
        <v/>
      </c>
      <c r="R108" s="196" t="str">
        <f t="shared" si="3"/>
        <v/>
      </c>
      <c r="S108" s="177"/>
      <c r="T108" s="177"/>
      <c r="U108" s="177"/>
      <c r="V108" s="177"/>
      <c r="W108" s="177"/>
      <c r="X108" s="177"/>
      <c r="Y108" s="177"/>
      <c r="Z108" s="177"/>
      <c r="AA108" s="177"/>
      <c r="AB108" s="177"/>
      <c r="AC108" s="177"/>
      <c r="AD108" s="177"/>
      <c r="AE108" s="177"/>
      <c r="AF108" s="177"/>
      <c r="AG108" s="177"/>
    </row>
    <row r="109" spans="1:33" ht="15.75" hidden="1" customHeight="1">
      <c r="A109" s="193">
        <v>97</v>
      </c>
      <c r="B109" s="193" t="str">
        <f>IF(NOT(ISBLANK('Midterm OVPAA-F-INS-055A RAW SC'!F114)),'Midterm OVPAA-F-INS-055A RAW SC'!F114,"")</f>
        <v/>
      </c>
      <c r="C109" s="226" t="str">
        <f>IF(NOT(ISBLANK('Midterm OVPAA-F-INS-055A RAW SC'!G114)),'Midterm OVPAA-F-INS-055A RAW SC'!G114,"")</f>
        <v/>
      </c>
      <c r="D109" s="227"/>
      <c r="E109" s="228"/>
      <c r="F109" s="229" t="str">
        <f>'MidTerm OVPAA-F-INS-055B CLASS'!BV114</f>
        <v/>
      </c>
      <c r="G109" s="228"/>
      <c r="H109" s="194" t="str">
        <f>'MidTerm OVPAA-F-INS-055B CLASS'!CR114</f>
        <v/>
      </c>
      <c r="I109" s="195" t="str">
        <f>'MidTerm OVPAA-F-INS-055B CLASS'!DD114</f>
        <v/>
      </c>
      <c r="J109" s="195" t="str">
        <f>'MidTerm OVPAA-F-INS-055B CLASS'!DI114</f>
        <v/>
      </c>
      <c r="K109" s="195" t="str">
        <f>'Finalterm OVPAA-F-INS-055B CLAS'!BV114</f>
        <v/>
      </c>
      <c r="L109" s="195" t="str">
        <f>'Finalterm OVPAA-F-INS-055B CLAS'!CR114</f>
        <v/>
      </c>
      <c r="M109" s="195" t="str">
        <f>'Finalterm OVPAA-F-INS-055B CLAS'!DD114</f>
        <v/>
      </c>
      <c r="N109" s="195" t="str">
        <f>'Finalterm OVPAA-F-INS-055B CLAS'!DI114</f>
        <v/>
      </c>
      <c r="O109" s="195" t="str">
        <f t="shared" si="0"/>
        <v/>
      </c>
      <c r="P109" s="195" t="str">
        <f t="shared" si="1"/>
        <v/>
      </c>
      <c r="Q109" s="197" t="str">
        <f t="shared" si="2"/>
        <v/>
      </c>
      <c r="R109" s="196" t="str">
        <f t="shared" si="3"/>
        <v/>
      </c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</row>
    <row r="110" spans="1:33" ht="15.75" hidden="1" customHeight="1">
      <c r="A110" s="193">
        <v>98</v>
      </c>
      <c r="B110" s="193" t="str">
        <f>IF(NOT(ISBLANK('Midterm OVPAA-F-INS-055A RAW SC'!F115)),'Midterm OVPAA-F-INS-055A RAW SC'!F115,"")</f>
        <v/>
      </c>
      <c r="C110" s="226" t="str">
        <f>IF(NOT(ISBLANK('Midterm OVPAA-F-INS-055A RAW SC'!G115)),'Midterm OVPAA-F-INS-055A RAW SC'!G115,"")</f>
        <v/>
      </c>
      <c r="D110" s="227"/>
      <c r="E110" s="228"/>
      <c r="F110" s="229" t="str">
        <f>'MidTerm OVPAA-F-INS-055B CLASS'!BV115</f>
        <v/>
      </c>
      <c r="G110" s="228"/>
      <c r="H110" s="194" t="str">
        <f>'MidTerm OVPAA-F-INS-055B CLASS'!CR115</f>
        <v/>
      </c>
      <c r="I110" s="195" t="str">
        <f>'MidTerm OVPAA-F-INS-055B CLASS'!DD115</f>
        <v/>
      </c>
      <c r="J110" s="195" t="str">
        <f>'MidTerm OVPAA-F-INS-055B CLASS'!DI115</f>
        <v/>
      </c>
      <c r="K110" s="195" t="str">
        <f>'Finalterm OVPAA-F-INS-055B CLAS'!BV115</f>
        <v/>
      </c>
      <c r="L110" s="195" t="str">
        <f>'Finalterm OVPAA-F-INS-055B CLAS'!CR115</f>
        <v/>
      </c>
      <c r="M110" s="195" t="str">
        <f>'Finalterm OVPAA-F-INS-055B CLAS'!DD115</f>
        <v/>
      </c>
      <c r="N110" s="195" t="str">
        <f>'Finalterm OVPAA-F-INS-055B CLAS'!DI115</f>
        <v/>
      </c>
      <c r="O110" s="195" t="str">
        <f t="shared" si="0"/>
        <v/>
      </c>
      <c r="P110" s="195" t="str">
        <f t="shared" si="1"/>
        <v/>
      </c>
      <c r="Q110" s="197" t="str">
        <f t="shared" si="2"/>
        <v/>
      </c>
      <c r="R110" s="196" t="str">
        <f t="shared" si="3"/>
        <v/>
      </c>
      <c r="S110" s="177"/>
      <c r="T110" s="177"/>
      <c r="U110" s="177"/>
      <c r="V110" s="177"/>
      <c r="W110" s="177"/>
      <c r="X110" s="177"/>
      <c r="Y110" s="177"/>
      <c r="Z110" s="177"/>
      <c r="AA110" s="177"/>
      <c r="AB110" s="177"/>
      <c r="AC110" s="177"/>
      <c r="AD110" s="177"/>
      <c r="AE110" s="177"/>
      <c r="AF110" s="177"/>
      <c r="AG110" s="177"/>
    </row>
    <row r="111" spans="1:33" ht="15.75" hidden="1" customHeight="1">
      <c r="A111" s="193">
        <v>99</v>
      </c>
      <c r="B111" s="193" t="str">
        <f>IF(NOT(ISBLANK('Midterm OVPAA-F-INS-055A RAW SC'!F116)),'Midterm OVPAA-F-INS-055A RAW SC'!F116,"")</f>
        <v/>
      </c>
      <c r="C111" s="226" t="str">
        <f>IF(NOT(ISBLANK('Midterm OVPAA-F-INS-055A RAW SC'!G116)),'Midterm OVPAA-F-INS-055A RAW SC'!G116,"")</f>
        <v/>
      </c>
      <c r="D111" s="227"/>
      <c r="E111" s="228"/>
      <c r="F111" s="229" t="str">
        <f>'MidTerm OVPAA-F-INS-055B CLASS'!BV116</f>
        <v/>
      </c>
      <c r="G111" s="228"/>
      <c r="H111" s="194" t="str">
        <f>'MidTerm OVPAA-F-INS-055B CLASS'!CR116</f>
        <v/>
      </c>
      <c r="I111" s="195" t="str">
        <f>'MidTerm OVPAA-F-INS-055B CLASS'!DD116</f>
        <v/>
      </c>
      <c r="J111" s="195" t="str">
        <f>'MidTerm OVPAA-F-INS-055B CLASS'!DI116</f>
        <v/>
      </c>
      <c r="K111" s="195" t="str">
        <f>'Finalterm OVPAA-F-INS-055B CLAS'!BV116</f>
        <v/>
      </c>
      <c r="L111" s="195" t="str">
        <f>'Finalterm OVPAA-F-INS-055B CLAS'!CR116</f>
        <v/>
      </c>
      <c r="M111" s="195" t="str">
        <f>'Finalterm OVPAA-F-INS-055B CLAS'!DD116</f>
        <v/>
      </c>
      <c r="N111" s="195" t="str">
        <f>'Finalterm OVPAA-F-INS-055B CLAS'!DI116</f>
        <v/>
      </c>
      <c r="O111" s="195" t="str">
        <f t="shared" si="0"/>
        <v/>
      </c>
      <c r="P111" s="195" t="str">
        <f t="shared" si="1"/>
        <v/>
      </c>
      <c r="Q111" s="197" t="str">
        <f t="shared" si="2"/>
        <v/>
      </c>
      <c r="R111" s="196" t="str">
        <f t="shared" si="3"/>
        <v/>
      </c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</row>
    <row r="112" spans="1:33" ht="15.75" hidden="1" customHeight="1">
      <c r="A112" s="193">
        <v>100</v>
      </c>
      <c r="B112" s="193" t="str">
        <f>IF(NOT(ISBLANK('Midterm OVPAA-F-INS-055A RAW SC'!F117)),'Midterm OVPAA-F-INS-055A RAW SC'!F117,"")</f>
        <v/>
      </c>
      <c r="C112" s="226" t="str">
        <f>IF(NOT(ISBLANK('Midterm OVPAA-F-INS-055A RAW SC'!G117)),'Midterm OVPAA-F-INS-055A RAW SC'!G117,"")</f>
        <v/>
      </c>
      <c r="D112" s="227"/>
      <c r="E112" s="228"/>
      <c r="F112" s="229" t="str">
        <f>'MidTerm OVPAA-F-INS-055B CLASS'!BV117</f>
        <v/>
      </c>
      <c r="G112" s="228"/>
      <c r="H112" s="194" t="str">
        <f>'MidTerm OVPAA-F-INS-055B CLASS'!CR117</f>
        <v/>
      </c>
      <c r="I112" s="195" t="str">
        <f>'MidTerm OVPAA-F-INS-055B CLASS'!DD117</f>
        <v/>
      </c>
      <c r="J112" s="195" t="str">
        <f>'MidTerm OVPAA-F-INS-055B CLASS'!DI117</f>
        <v/>
      </c>
      <c r="K112" s="195" t="str">
        <f>'Finalterm OVPAA-F-INS-055B CLAS'!BV117</f>
        <v/>
      </c>
      <c r="L112" s="195" t="str">
        <f>'Finalterm OVPAA-F-INS-055B CLAS'!CR117</f>
        <v/>
      </c>
      <c r="M112" s="195" t="str">
        <f>'Finalterm OVPAA-F-INS-055B CLAS'!DD117</f>
        <v/>
      </c>
      <c r="N112" s="195" t="str">
        <f>'Finalterm OVPAA-F-INS-055B CLAS'!DI117</f>
        <v/>
      </c>
      <c r="O112" s="195" t="str">
        <f t="shared" si="0"/>
        <v/>
      </c>
      <c r="P112" s="195" t="str">
        <f t="shared" si="1"/>
        <v/>
      </c>
      <c r="Q112" s="197" t="str">
        <f t="shared" si="2"/>
        <v/>
      </c>
      <c r="R112" s="196" t="str">
        <f t="shared" si="3"/>
        <v/>
      </c>
      <c r="S112" s="177"/>
      <c r="T112" s="177"/>
      <c r="U112" s="177"/>
      <c r="V112" s="177"/>
      <c r="W112" s="177"/>
      <c r="X112" s="177"/>
      <c r="Y112" s="177"/>
      <c r="Z112" s="177"/>
      <c r="AA112" s="177"/>
      <c r="AB112" s="177"/>
      <c r="AC112" s="177"/>
      <c r="AD112" s="177"/>
      <c r="AE112" s="177"/>
      <c r="AF112" s="177"/>
      <c r="AG112" s="177"/>
    </row>
    <row r="113" spans="1:33" ht="15.75" customHeight="1">
      <c r="A113" s="177"/>
      <c r="B113" s="177"/>
      <c r="C113" s="198"/>
      <c r="D113" s="177"/>
      <c r="E113" s="177"/>
      <c r="F113" s="177"/>
      <c r="G113" s="177"/>
      <c r="H113" s="177"/>
      <c r="I113" s="177"/>
      <c r="J113" s="177"/>
      <c r="K113" s="177"/>
      <c r="L113" s="177"/>
      <c r="M113" s="177"/>
      <c r="N113" s="177"/>
      <c r="O113" s="177"/>
      <c r="P113" s="177"/>
      <c r="Q113" s="177"/>
      <c r="R113" s="177"/>
      <c r="S113" s="177"/>
      <c r="T113" s="177"/>
      <c r="U113" s="177"/>
      <c r="V113" s="177"/>
      <c r="W113" s="177"/>
      <c r="X113" s="177"/>
      <c r="Y113" s="177"/>
      <c r="Z113" s="177"/>
      <c r="AA113" s="177"/>
      <c r="AB113" s="177"/>
      <c r="AC113" s="177"/>
      <c r="AD113" s="177"/>
      <c r="AE113" s="177"/>
      <c r="AF113" s="177"/>
      <c r="AG113" s="177"/>
    </row>
    <row r="114" spans="1:33" ht="15.75" customHeight="1">
      <c r="A114" s="243" t="s">
        <v>107</v>
      </c>
      <c r="B114" s="223"/>
      <c r="C114" s="181"/>
      <c r="D114" s="181" t="s">
        <v>108</v>
      </c>
      <c r="E114" s="181"/>
      <c r="F114" s="243"/>
      <c r="G114" s="223"/>
      <c r="H114" s="181"/>
      <c r="I114" s="177"/>
      <c r="J114" s="181"/>
      <c r="K114" s="181"/>
      <c r="L114" s="181" t="s">
        <v>109</v>
      </c>
      <c r="M114" s="181"/>
      <c r="N114" s="181"/>
      <c r="O114" s="181"/>
      <c r="P114" s="181"/>
      <c r="Q114" s="181"/>
      <c r="R114" s="181"/>
      <c r="S114" s="177"/>
      <c r="T114" s="177"/>
      <c r="U114" s="177"/>
      <c r="V114" s="177"/>
      <c r="W114" s="177"/>
      <c r="X114" s="177"/>
      <c r="Y114" s="177"/>
      <c r="Z114" s="177"/>
      <c r="AA114" s="177"/>
      <c r="AB114" s="177"/>
      <c r="AC114" s="177"/>
      <c r="AD114" s="177"/>
      <c r="AE114" s="177"/>
      <c r="AF114" s="177"/>
      <c r="AG114" s="177"/>
    </row>
    <row r="115" spans="1:33" ht="15.75" customHeight="1"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</row>
    <row r="116" spans="1:33" ht="15.75" customHeight="1"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</row>
    <row r="117" spans="1:33" ht="15.75" customHeight="1">
      <c r="A117" s="222" t="str">
        <f>'Midterm OVPAA-F-INS-055A RAW SC'!G12</f>
        <v>Czarissa Louise A. Navidad</v>
      </c>
      <c r="B117" s="223"/>
      <c r="C117" s="223"/>
      <c r="D117" s="222" t="str">
        <f>'Midterm OVPAA-F-INS-055A RAW SC'!K11</f>
        <v>Dr. Sales G. Aribe, Jr.</v>
      </c>
      <c r="E117" s="223"/>
      <c r="F117" s="223"/>
      <c r="G117" s="223"/>
      <c r="H117" s="200"/>
      <c r="I117" s="222" t="str">
        <f>'Midterm OVPAA-F-INS-055A RAW SC'!K12</f>
        <v>Dr. Marilou O. Espina</v>
      </c>
      <c r="J117" s="223"/>
      <c r="K117" s="223"/>
      <c r="L117" s="223"/>
      <c r="M117" s="223"/>
      <c r="N117" s="223"/>
      <c r="O117" s="223"/>
      <c r="P117" s="223"/>
      <c r="Q117" s="223"/>
      <c r="R117" s="223"/>
    </row>
    <row r="118" spans="1:33" ht="35.25" customHeight="1">
      <c r="A118" s="224" t="s">
        <v>110</v>
      </c>
      <c r="B118" s="223"/>
      <c r="C118" s="223"/>
      <c r="D118" s="224" t="str">
        <f>CONCATENATE("Department Head, ",'Midterm OVPAA-F-INS-055A RAW SC'!V10)</f>
        <v>Department Head, Information Technology</v>
      </c>
      <c r="E118" s="223"/>
      <c r="F118" s="223"/>
      <c r="G118" s="223"/>
      <c r="H118" s="201"/>
      <c r="I118" s="224" t="str">
        <f>CONCATENATE("Dean, ",'Midterm OVPAA-F-INS-055A RAW SC'!V11)</f>
        <v>Dean, College of Technologies</v>
      </c>
      <c r="J118" s="223"/>
      <c r="K118" s="223"/>
      <c r="L118" s="223"/>
      <c r="M118" s="223"/>
      <c r="N118" s="223"/>
      <c r="O118" s="223"/>
      <c r="P118" s="223"/>
      <c r="Q118" s="223"/>
      <c r="R118" s="223"/>
      <c r="S118" s="202"/>
      <c r="T118" s="202"/>
      <c r="U118" s="202"/>
      <c r="V118" s="202"/>
      <c r="W118" s="202"/>
      <c r="X118" s="202"/>
      <c r="Y118" s="202"/>
      <c r="Z118" s="202"/>
      <c r="AA118" s="202"/>
      <c r="AB118" s="202"/>
      <c r="AC118" s="202"/>
      <c r="AD118" s="202"/>
      <c r="AE118" s="202"/>
      <c r="AF118" s="202"/>
      <c r="AG118" s="202"/>
    </row>
    <row r="119" spans="1:33" ht="15.75" customHeight="1">
      <c r="A119" s="225" t="s">
        <v>111</v>
      </c>
      <c r="B119" s="223"/>
      <c r="C119" s="223"/>
      <c r="D119" s="225" t="s">
        <v>111</v>
      </c>
      <c r="E119" s="223"/>
      <c r="F119" s="223"/>
      <c r="G119" s="203"/>
      <c r="H119" s="203"/>
      <c r="I119" s="225" t="s">
        <v>111</v>
      </c>
      <c r="J119" s="223"/>
      <c r="K119" s="223"/>
      <c r="L119" s="223"/>
      <c r="M119" s="223"/>
      <c r="N119" s="223"/>
      <c r="O119" s="223"/>
      <c r="P119" s="223"/>
      <c r="Q119" s="223"/>
      <c r="R119" s="223"/>
    </row>
    <row r="120" spans="1:33" ht="15.75" customHeight="1"/>
    <row r="121" spans="1:33" ht="15.75" customHeight="1">
      <c r="A121" s="241"/>
      <c r="B121" s="223"/>
      <c r="C121" s="223"/>
      <c r="D121" s="242"/>
      <c r="E121" s="223"/>
      <c r="F121" s="204"/>
      <c r="G121" s="5"/>
      <c r="H121" s="5"/>
      <c r="I121" s="5"/>
      <c r="J121" s="204"/>
      <c r="K121" s="204"/>
      <c r="L121" s="204"/>
      <c r="M121" s="204"/>
      <c r="N121" s="204"/>
      <c r="O121" s="204"/>
      <c r="P121" s="204"/>
      <c r="Q121" s="204"/>
      <c r="R121" s="5"/>
      <c r="S121" s="5"/>
      <c r="T121" s="5"/>
      <c r="U121" s="5"/>
      <c r="V121" s="5"/>
    </row>
    <row r="122" spans="1:33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1:3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1:33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1:33" ht="15.75" customHeight="1"/>
    <row r="126" spans="1:33" ht="15.75" customHeight="1"/>
    <row r="127" spans="1:33" ht="15.75" customHeight="1"/>
    <row r="128" spans="1:33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0">
    <mergeCell ref="C100:E100"/>
    <mergeCell ref="F100:G100"/>
    <mergeCell ref="C101:E101"/>
    <mergeCell ref="F101:G101"/>
    <mergeCell ref="C92:E92"/>
    <mergeCell ref="F92:G92"/>
    <mergeCell ref="C93:E93"/>
    <mergeCell ref="F93:G93"/>
    <mergeCell ref="C94:E94"/>
    <mergeCell ref="F94:G94"/>
    <mergeCell ref="F95:G95"/>
    <mergeCell ref="C95:E95"/>
    <mergeCell ref="C96:E96"/>
    <mergeCell ref="F96:G96"/>
    <mergeCell ref="A121:C121"/>
    <mergeCell ref="D121:E121"/>
    <mergeCell ref="A114:B114"/>
    <mergeCell ref="F114:G114"/>
    <mergeCell ref="A117:C117"/>
    <mergeCell ref="D117:G117"/>
    <mergeCell ref="A118:C118"/>
    <mergeCell ref="D118:G118"/>
    <mergeCell ref="D119:F119"/>
    <mergeCell ref="A119:C119"/>
    <mergeCell ref="C29:E29"/>
    <mergeCell ref="F29:G29"/>
    <mergeCell ref="C30:E30"/>
    <mergeCell ref="F30:G30"/>
    <mergeCell ref="C31:E31"/>
    <mergeCell ref="F31:G31"/>
    <mergeCell ref="F32:G32"/>
    <mergeCell ref="C32:E32"/>
    <mergeCell ref="C33:E33"/>
    <mergeCell ref="F33:G33"/>
    <mergeCell ref="C34:E34"/>
    <mergeCell ref="F34:G34"/>
    <mergeCell ref="C35:E35"/>
    <mergeCell ref="F35:G35"/>
    <mergeCell ref="C36:E36"/>
    <mergeCell ref="F36:G36"/>
    <mergeCell ref="C37:E37"/>
    <mergeCell ref="F37:G37"/>
    <mergeCell ref="C38:E38"/>
    <mergeCell ref="F38:G38"/>
    <mergeCell ref="F39:G39"/>
    <mergeCell ref="C39:E39"/>
    <mergeCell ref="C40:E40"/>
    <mergeCell ref="F40:G40"/>
    <mergeCell ref="C41:E41"/>
    <mergeCell ref="F41:G41"/>
    <mergeCell ref="C42:E42"/>
    <mergeCell ref="F42:G42"/>
    <mergeCell ref="C43:E43"/>
    <mergeCell ref="F43:G43"/>
    <mergeCell ref="C44:E44"/>
    <mergeCell ref="F44:G44"/>
    <mergeCell ref="C45:E45"/>
    <mergeCell ref="F45:G45"/>
    <mergeCell ref="F46:G46"/>
    <mergeCell ref="C46:E46"/>
    <mergeCell ref="C47:E47"/>
    <mergeCell ref="F47:G47"/>
    <mergeCell ref="C48:E48"/>
    <mergeCell ref="F48:G48"/>
    <mergeCell ref="C49:E49"/>
    <mergeCell ref="F49:G49"/>
    <mergeCell ref="C109:E109"/>
    <mergeCell ref="C110:E110"/>
    <mergeCell ref="F110:G110"/>
    <mergeCell ref="C111:E111"/>
    <mergeCell ref="F111:G111"/>
    <mergeCell ref="C112:E112"/>
    <mergeCell ref="F112:G112"/>
    <mergeCell ref="C106:E106"/>
    <mergeCell ref="F106:G106"/>
    <mergeCell ref="C107:E107"/>
    <mergeCell ref="F107:G107"/>
    <mergeCell ref="C108:E108"/>
    <mergeCell ref="F108:G108"/>
    <mergeCell ref="F109:G109"/>
    <mergeCell ref="C50:E50"/>
    <mergeCell ref="F50:G50"/>
    <mergeCell ref="C51:E51"/>
    <mergeCell ref="F51:G51"/>
    <mergeCell ref="C52:E52"/>
    <mergeCell ref="F52:G52"/>
    <mergeCell ref="F53:G53"/>
    <mergeCell ref="C53:E53"/>
    <mergeCell ref="B2:R2"/>
    <mergeCell ref="B3:R3"/>
    <mergeCell ref="B4:R4"/>
    <mergeCell ref="B6:R6"/>
    <mergeCell ref="A7:B7"/>
    <mergeCell ref="F7:H7"/>
    <mergeCell ref="F8:H8"/>
    <mergeCell ref="A8:B8"/>
    <mergeCell ref="A9:B9"/>
    <mergeCell ref="F9:H9"/>
    <mergeCell ref="A10:B10"/>
    <mergeCell ref="F10:H10"/>
    <mergeCell ref="K11:N11"/>
    <mergeCell ref="O11:Q11"/>
    <mergeCell ref="F11:J11"/>
    <mergeCell ref="C12:E12"/>
    <mergeCell ref="F12:G12"/>
    <mergeCell ref="C13:E13"/>
    <mergeCell ref="F13:G13"/>
    <mergeCell ref="C14:E14"/>
    <mergeCell ref="F14:G14"/>
    <mergeCell ref="C15:E15"/>
    <mergeCell ref="F15:G15"/>
    <mergeCell ref="C16:E16"/>
    <mergeCell ref="F16:G16"/>
    <mergeCell ref="C17:E17"/>
    <mergeCell ref="F17:G17"/>
    <mergeCell ref="F18:G18"/>
    <mergeCell ref="C18:E18"/>
    <mergeCell ref="C19:E19"/>
    <mergeCell ref="F19:G19"/>
    <mergeCell ref="C20:E20"/>
    <mergeCell ref="F20:G20"/>
    <mergeCell ref="C21:E21"/>
    <mergeCell ref="F21:G21"/>
    <mergeCell ref="C22:E22"/>
    <mergeCell ref="F22:G22"/>
    <mergeCell ref="C23:E23"/>
    <mergeCell ref="F23:G23"/>
    <mergeCell ref="C24:E24"/>
    <mergeCell ref="F24:G24"/>
    <mergeCell ref="F25:G25"/>
    <mergeCell ref="C25:E25"/>
    <mergeCell ref="C26:E26"/>
    <mergeCell ref="F26:G26"/>
    <mergeCell ref="C27:E27"/>
    <mergeCell ref="F27:G27"/>
    <mergeCell ref="C28:E28"/>
    <mergeCell ref="F28:G28"/>
    <mergeCell ref="C54:E54"/>
    <mergeCell ref="F54:G54"/>
    <mergeCell ref="C55:E55"/>
    <mergeCell ref="F55:G55"/>
    <mergeCell ref="C56:E56"/>
    <mergeCell ref="F56:G56"/>
    <mergeCell ref="C57:E57"/>
    <mergeCell ref="F57:G57"/>
    <mergeCell ref="C58:E58"/>
    <mergeCell ref="F58:G58"/>
    <mergeCell ref="C59:E59"/>
    <mergeCell ref="F59:G59"/>
    <mergeCell ref="F60:G60"/>
    <mergeCell ref="C60:E60"/>
    <mergeCell ref="C61:E61"/>
    <mergeCell ref="F61:G61"/>
    <mergeCell ref="C62:E62"/>
    <mergeCell ref="F62:G62"/>
    <mergeCell ref="C63:E63"/>
    <mergeCell ref="F63:G63"/>
    <mergeCell ref="C64:E64"/>
    <mergeCell ref="F64:G64"/>
    <mergeCell ref="C65:E65"/>
    <mergeCell ref="F65:G65"/>
    <mergeCell ref="C66:E66"/>
    <mergeCell ref="F66:G66"/>
    <mergeCell ref="F67:G67"/>
    <mergeCell ref="C67:E67"/>
    <mergeCell ref="C68:E68"/>
    <mergeCell ref="F68:G68"/>
    <mergeCell ref="C69:E69"/>
    <mergeCell ref="F69:G69"/>
    <mergeCell ref="C70:E70"/>
    <mergeCell ref="F70:G70"/>
    <mergeCell ref="C71:E71"/>
    <mergeCell ref="F71:G71"/>
    <mergeCell ref="C72:E72"/>
    <mergeCell ref="F72:G72"/>
    <mergeCell ref="C73:E73"/>
    <mergeCell ref="F73:G73"/>
    <mergeCell ref="F74:G74"/>
    <mergeCell ref="C74:E74"/>
    <mergeCell ref="C75:E75"/>
    <mergeCell ref="F75:G75"/>
    <mergeCell ref="C76:E76"/>
    <mergeCell ref="F76:G76"/>
    <mergeCell ref="C77:E77"/>
    <mergeCell ref="F77:G77"/>
    <mergeCell ref="C78:E78"/>
    <mergeCell ref="F78:G78"/>
    <mergeCell ref="C79:E79"/>
    <mergeCell ref="F79:G79"/>
    <mergeCell ref="C80:E80"/>
    <mergeCell ref="F80:G80"/>
    <mergeCell ref="F81:G81"/>
    <mergeCell ref="C81:E81"/>
    <mergeCell ref="C82:E82"/>
    <mergeCell ref="F82:G82"/>
    <mergeCell ref="C83:E83"/>
    <mergeCell ref="F83:G83"/>
    <mergeCell ref="C84:E84"/>
    <mergeCell ref="F84:G84"/>
    <mergeCell ref="C85:E85"/>
    <mergeCell ref="F85:G85"/>
    <mergeCell ref="C86:E86"/>
    <mergeCell ref="F86:G86"/>
    <mergeCell ref="C87:E87"/>
    <mergeCell ref="F87:G87"/>
    <mergeCell ref="F88:G88"/>
    <mergeCell ref="I117:R117"/>
    <mergeCell ref="I118:R118"/>
    <mergeCell ref="I119:R119"/>
    <mergeCell ref="C88:E88"/>
    <mergeCell ref="C89:E89"/>
    <mergeCell ref="F89:G89"/>
    <mergeCell ref="C90:E90"/>
    <mergeCell ref="F90:G90"/>
    <mergeCell ref="C91:E91"/>
    <mergeCell ref="F91:G91"/>
    <mergeCell ref="F102:G102"/>
    <mergeCell ref="C102:E102"/>
    <mergeCell ref="C103:E103"/>
    <mergeCell ref="F103:G103"/>
    <mergeCell ref="C104:E104"/>
    <mergeCell ref="F104:G104"/>
    <mergeCell ref="C105:E105"/>
    <mergeCell ref="F105:G105"/>
    <mergeCell ref="C97:E97"/>
    <mergeCell ref="F97:G97"/>
    <mergeCell ref="C98:E98"/>
    <mergeCell ref="F98:G98"/>
    <mergeCell ref="C99:E99"/>
    <mergeCell ref="F99:G99"/>
  </mergeCells>
  <conditionalFormatting sqref="R13:R112">
    <cfRule type="cellIs" dxfId="6" priority="1" operator="equal">
      <formula>"Failed"</formula>
    </cfRule>
    <cfRule type="cellIs" dxfId="5" priority="2" operator="equal">
      <formula>"Passed"</formula>
    </cfRule>
    <cfRule type="cellIs" dxfId="4" priority="3" operator="equal">
      <formula>"INC"</formula>
    </cfRule>
    <cfRule type="cellIs" dxfId="3" priority="4" operator="equal">
      <formula>"DRP"</formula>
    </cfRule>
    <cfRule type="cellIs" dxfId="2" priority="5" operator="equal">
      <formula>"FA"</formula>
    </cfRule>
    <cfRule type="cellIs" dxfId="1" priority="6" operator="equal">
      <formula>"NA"</formula>
    </cfRule>
    <cfRule type="cellIs" dxfId="0" priority="7" operator="equal">
      <formula>"Withdrawn"</formula>
    </cfRule>
  </conditionalFormatting>
  <hyperlinks>
    <hyperlink ref="B4" r:id="rId1" xr:uid="{00000000-0004-0000-0400-000000000000}"/>
  </hyperlinks>
  <pageMargins left="0.31496062992125984" right="0.31496062992125984" top="0.74803149606299213" bottom="0.74803149606299213" header="0" footer="0"/>
  <pageSetup paperSize="9" orientation="landscape" r:id="rId2"/>
  <headerFooter>
    <oddFooter>&amp;LDocument Code: OVPAA-F-INS-056&amp;CRevision No.: 04                Issue Date: September 16, 2024&amp;R Page 1 of 1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prompt="Legend - INC - Incomplete_x000a_FA - Failure due to absences_x000a_DRP - Dropped" xr:uid="{00000000-0002-0000-0400-000000000000}">
          <x14:formula1>
            <xm:f>IF(R13="Failed",'COMBO BOX OPS'!$F$1,IF(R13="Passed",'COMBO BOX OPS'!$E$1,'COMBO BOX OPS'!$C$2:$C$6))</xm:f>
          </x14:formula1>
          <xm:sqref>R13:R112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E3BC"/>
  </sheetPr>
  <dimension ref="A1:F1000"/>
  <sheetViews>
    <sheetView workbookViewId="0"/>
  </sheetViews>
  <sheetFormatPr defaultColWidth="14.453125" defaultRowHeight="15" customHeight="1"/>
  <cols>
    <col min="1" max="1" width="8.7265625" customWidth="1"/>
    <col min="2" max="2" width="10.453125" customWidth="1"/>
    <col min="3" max="3" width="11.54296875" customWidth="1"/>
    <col min="4" max="6" width="8.7265625" customWidth="1"/>
  </cols>
  <sheetData>
    <row r="1" spans="1:6" ht="14.5">
      <c r="A1" s="5" t="s">
        <v>112</v>
      </c>
      <c r="B1" s="5" t="s">
        <v>113</v>
      </c>
      <c r="C1" s="5" t="s">
        <v>105</v>
      </c>
      <c r="D1" s="5" t="s">
        <v>114</v>
      </c>
      <c r="E1" s="5" t="s">
        <v>106</v>
      </c>
      <c r="F1" s="5" t="s">
        <v>115</v>
      </c>
    </row>
    <row r="2" spans="1:6" ht="14.5">
      <c r="A2" s="5" t="s">
        <v>13</v>
      </c>
      <c r="B2" s="5" t="s">
        <v>116</v>
      </c>
    </row>
    <row r="3" spans="1:6" ht="14.5">
      <c r="A3" s="5" t="s">
        <v>117</v>
      </c>
      <c r="B3" s="5" t="s">
        <v>118</v>
      </c>
      <c r="C3" s="2" t="s">
        <v>119</v>
      </c>
    </row>
    <row r="4" spans="1:6" ht="14.5">
      <c r="B4" s="5" t="s">
        <v>120</v>
      </c>
      <c r="C4" s="2" t="s">
        <v>121</v>
      </c>
    </row>
    <row r="5" spans="1:6" ht="14.5">
      <c r="C5" s="2" t="s">
        <v>122</v>
      </c>
    </row>
    <row r="6" spans="1:6" ht="14.5">
      <c r="C6" s="2" t="s">
        <v>115</v>
      </c>
    </row>
    <row r="7" spans="1:6" ht="14.5">
      <c r="C7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1000"/>
  <sheetViews>
    <sheetView workbookViewId="0"/>
  </sheetViews>
  <sheetFormatPr defaultColWidth="14.453125" defaultRowHeight="15" customHeight="1"/>
  <cols>
    <col min="1" max="1" width="0.7265625" customWidth="1"/>
    <col min="2" max="4" width="8.7265625" customWidth="1"/>
    <col min="5" max="5" width="5.54296875" customWidth="1"/>
    <col min="6" max="8" width="8.7265625" customWidth="1"/>
  </cols>
  <sheetData>
    <row r="1" spans="2:8" ht="15" customHeight="1">
      <c r="B1" s="282" t="s">
        <v>123</v>
      </c>
      <c r="C1" s="223"/>
      <c r="D1" s="223"/>
      <c r="F1" s="282" t="s">
        <v>124</v>
      </c>
      <c r="G1" s="223"/>
      <c r="H1" s="223"/>
    </row>
    <row r="2" spans="2:8" ht="15" customHeight="1">
      <c r="B2" s="223"/>
      <c r="C2" s="223"/>
      <c r="D2" s="223"/>
      <c r="F2" s="223"/>
      <c r="G2" s="223"/>
      <c r="H2" s="223"/>
    </row>
    <row r="3" spans="2:8" ht="14.5">
      <c r="C3" s="3" t="s">
        <v>125</v>
      </c>
      <c r="D3" s="3" t="s">
        <v>126</v>
      </c>
      <c r="G3" s="3" t="s">
        <v>125</v>
      </c>
      <c r="H3" s="3" t="s">
        <v>126</v>
      </c>
    </row>
    <row r="4" spans="2:8" ht="14.5">
      <c r="C4" s="205">
        <v>0</v>
      </c>
      <c r="D4" s="206">
        <v>5</v>
      </c>
      <c r="G4" s="205">
        <v>0</v>
      </c>
      <c r="H4" s="207">
        <v>5</v>
      </c>
    </row>
    <row r="5" spans="2:8" ht="14.5">
      <c r="C5" s="64">
        <v>26</v>
      </c>
      <c r="D5" s="208">
        <v>4</v>
      </c>
      <c r="G5" s="64">
        <v>40</v>
      </c>
      <c r="H5" s="209">
        <v>4</v>
      </c>
    </row>
    <row r="6" spans="2:8" ht="14.5">
      <c r="C6" s="64">
        <v>32</v>
      </c>
      <c r="D6" s="208">
        <v>3.75</v>
      </c>
      <c r="G6" s="64">
        <v>45</v>
      </c>
      <c r="H6" s="209">
        <v>3.75</v>
      </c>
    </row>
    <row r="7" spans="2:8" ht="14.5">
      <c r="C7" s="64">
        <v>38</v>
      </c>
      <c r="D7" s="208">
        <v>3.5</v>
      </c>
      <c r="G7" s="64">
        <v>50</v>
      </c>
      <c r="H7" s="209">
        <v>3.5</v>
      </c>
    </row>
    <row r="8" spans="2:8" ht="14.5">
      <c r="C8" s="64">
        <v>44</v>
      </c>
      <c r="D8" s="208">
        <v>3.25</v>
      </c>
      <c r="G8" s="64">
        <v>55</v>
      </c>
      <c r="H8" s="209">
        <v>3.25</v>
      </c>
    </row>
    <row r="9" spans="2:8" ht="14.5">
      <c r="C9" s="64">
        <v>50</v>
      </c>
      <c r="D9" s="208">
        <v>3</v>
      </c>
      <c r="G9" s="64">
        <v>60</v>
      </c>
      <c r="H9" s="209">
        <v>3</v>
      </c>
    </row>
    <row r="10" spans="2:8" ht="14.5">
      <c r="C10" s="64">
        <v>56</v>
      </c>
      <c r="D10" s="208">
        <v>2.75</v>
      </c>
      <c r="G10" s="64">
        <v>65</v>
      </c>
      <c r="H10" s="209">
        <v>2.75</v>
      </c>
    </row>
    <row r="11" spans="2:8" ht="14.5">
      <c r="C11" s="64">
        <v>62</v>
      </c>
      <c r="D11" s="208">
        <v>2.5</v>
      </c>
      <c r="G11" s="64">
        <v>70</v>
      </c>
      <c r="H11" s="209">
        <v>2.5</v>
      </c>
    </row>
    <row r="12" spans="2:8" ht="14.5">
      <c r="C12" s="64">
        <v>68</v>
      </c>
      <c r="D12" s="208">
        <v>2.25</v>
      </c>
      <c r="G12" s="64">
        <v>75</v>
      </c>
      <c r="H12" s="209">
        <v>2.25</v>
      </c>
    </row>
    <row r="13" spans="2:8" ht="14.5">
      <c r="C13" s="64">
        <v>74</v>
      </c>
      <c r="D13" s="208">
        <v>2</v>
      </c>
      <c r="G13" s="64">
        <v>80</v>
      </c>
      <c r="H13" s="209">
        <v>2</v>
      </c>
    </row>
    <row r="14" spans="2:8" ht="14.5">
      <c r="C14" s="64">
        <v>80</v>
      </c>
      <c r="D14" s="208">
        <v>1.75</v>
      </c>
      <c r="G14" s="64">
        <v>85</v>
      </c>
      <c r="H14" s="209">
        <v>1.75</v>
      </c>
    </row>
    <row r="15" spans="2:8" ht="14.5">
      <c r="C15" s="64">
        <v>86</v>
      </c>
      <c r="D15" s="208">
        <v>1.5</v>
      </c>
      <c r="G15" s="64">
        <v>89</v>
      </c>
      <c r="H15" s="209">
        <v>1.5</v>
      </c>
    </row>
    <row r="16" spans="2:8" ht="14.5">
      <c r="C16" s="64">
        <v>91</v>
      </c>
      <c r="D16" s="208">
        <v>1.25</v>
      </c>
      <c r="G16" s="64">
        <v>93</v>
      </c>
      <c r="H16" s="209">
        <v>1.25</v>
      </c>
    </row>
    <row r="17" spans="2:8" ht="14.5">
      <c r="C17" s="63">
        <v>96</v>
      </c>
      <c r="D17" s="210">
        <v>1</v>
      </c>
      <c r="G17" s="63">
        <v>97</v>
      </c>
      <c r="H17" s="211">
        <v>1</v>
      </c>
    </row>
    <row r="19" spans="2:8" ht="14.5">
      <c r="B19" s="3" t="s">
        <v>127</v>
      </c>
      <c r="C19" s="5" t="s">
        <v>128</v>
      </c>
      <c r="E19" s="212"/>
    </row>
    <row r="20" spans="2:8" ht="6" customHeight="1"/>
    <row r="21" spans="2:8" ht="15.75" customHeight="1">
      <c r="B21" s="3" t="s">
        <v>125</v>
      </c>
      <c r="C21" s="3" t="s">
        <v>129</v>
      </c>
      <c r="D21" s="3" t="s">
        <v>126</v>
      </c>
      <c r="E21" s="213"/>
      <c r="F21" s="3" t="s">
        <v>125</v>
      </c>
      <c r="G21" s="3" t="s">
        <v>129</v>
      </c>
      <c r="H21" s="3" t="s">
        <v>126</v>
      </c>
    </row>
    <row r="22" spans="2:8" ht="15.75" customHeight="1">
      <c r="B22" s="214">
        <f t="shared" ref="B22:B35" si="0">C4</f>
        <v>0</v>
      </c>
      <c r="C22" s="215">
        <f t="shared" ref="C22:C34" si="1">C5-1</f>
        <v>25</v>
      </c>
      <c r="D22" s="216">
        <f t="shared" ref="D22:D35" si="2">D4</f>
        <v>5</v>
      </c>
      <c r="E22" s="212"/>
      <c r="F22" s="214">
        <f t="shared" ref="F22:F35" si="3">G4</f>
        <v>0</v>
      </c>
      <c r="G22" s="215">
        <f t="shared" ref="G22:G34" si="4">G5-1</f>
        <v>39</v>
      </c>
      <c r="H22" s="216">
        <f t="shared" ref="H22:H35" si="5">H4</f>
        <v>5</v>
      </c>
    </row>
    <row r="23" spans="2:8" ht="15.75" customHeight="1">
      <c r="B23" s="217">
        <f t="shared" si="0"/>
        <v>26</v>
      </c>
      <c r="C23" s="2">
        <f t="shared" si="1"/>
        <v>31</v>
      </c>
      <c r="D23" s="218">
        <f t="shared" si="2"/>
        <v>4</v>
      </c>
      <c r="E23" s="212"/>
      <c r="F23" s="217">
        <f t="shared" si="3"/>
        <v>40</v>
      </c>
      <c r="G23" s="2">
        <f t="shared" si="4"/>
        <v>44</v>
      </c>
      <c r="H23" s="218">
        <f t="shared" si="5"/>
        <v>4</v>
      </c>
    </row>
    <row r="24" spans="2:8" ht="15.75" customHeight="1">
      <c r="B24" s="217">
        <f t="shared" si="0"/>
        <v>32</v>
      </c>
      <c r="C24" s="2">
        <f t="shared" si="1"/>
        <v>37</v>
      </c>
      <c r="D24" s="218">
        <f t="shared" si="2"/>
        <v>3.75</v>
      </c>
      <c r="E24" s="212"/>
      <c r="F24" s="217">
        <f t="shared" si="3"/>
        <v>45</v>
      </c>
      <c r="G24" s="2">
        <f t="shared" si="4"/>
        <v>49</v>
      </c>
      <c r="H24" s="218">
        <f t="shared" si="5"/>
        <v>3.75</v>
      </c>
    </row>
    <row r="25" spans="2:8" ht="15.75" customHeight="1">
      <c r="B25" s="217">
        <f t="shared" si="0"/>
        <v>38</v>
      </c>
      <c r="C25" s="2">
        <f t="shared" si="1"/>
        <v>43</v>
      </c>
      <c r="D25" s="218">
        <f t="shared" si="2"/>
        <v>3.5</v>
      </c>
      <c r="E25" s="212"/>
      <c r="F25" s="217">
        <f t="shared" si="3"/>
        <v>50</v>
      </c>
      <c r="G25" s="2">
        <f t="shared" si="4"/>
        <v>54</v>
      </c>
      <c r="H25" s="218">
        <f t="shared" si="5"/>
        <v>3.5</v>
      </c>
    </row>
    <row r="26" spans="2:8" ht="15.75" customHeight="1">
      <c r="B26" s="217">
        <f t="shared" si="0"/>
        <v>44</v>
      </c>
      <c r="C26" s="2">
        <f t="shared" si="1"/>
        <v>49</v>
      </c>
      <c r="D26" s="218">
        <f t="shared" si="2"/>
        <v>3.25</v>
      </c>
      <c r="E26" s="212"/>
      <c r="F26" s="217">
        <f t="shared" si="3"/>
        <v>55</v>
      </c>
      <c r="G26" s="2">
        <f t="shared" si="4"/>
        <v>59</v>
      </c>
      <c r="H26" s="218">
        <f t="shared" si="5"/>
        <v>3.25</v>
      </c>
    </row>
    <row r="27" spans="2:8" ht="15.75" customHeight="1">
      <c r="B27" s="217">
        <f t="shared" si="0"/>
        <v>50</v>
      </c>
      <c r="C27" s="2">
        <f t="shared" si="1"/>
        <v>55</v>
      </c>
      <c r="D27" s="218">
        <f t="shared" si="2"/>
        <v>3</v>
      </c>
      <c r="E27" s="212"/>
      <c r="F27" s="217">
        <f t="shared" si="3"/>
        <v>60</v>
      </c>
      <c r="G27" s="2">
        <f t="shared" si="4"/>
        <v>64</v>
      </c>
      <c r="H27" s="218">
        <f t="shared" si="5"/>
        <v>3</v>
      </c>
    </row>
    <row r="28" spans="2:8" ht="15.75" customHeight="1">
      <c r="B28" s="217">
        <f t="shared" si="0"/>
        <v>56</v>
      </c>
      <c r="C28" s="2">
        <f t="shared" si="1"/>
        <v>61</v>
      </c>
      <c r="D28" s="218">
        <f t="shared" si="2"/>
        <v>2.75</v>
      </c>
      <c r="E28" s="212"/>
      <c r="F28" s="217">
        <f t="shared" si="3"/>
        <v>65</v>
      </c>
      <c r="G28" s="2">
        <f t="shared" si="4"/>
        <v>69</v>
      </c>
      <c r="H28" s="218">
        <f t="shared" si="5"/>
        <v>2.75</v>
      </c>
    </row>
    <row r="29" spans="2:8" ht="15.75" customHeight="1">
      <c r="B29" s="217">
        <f t="shared" si="0"/>
        <v>62</v>
      </c>
      <c r="C29" s="2">
        <f t="shared" si="1"/>
        <v>67</v>
      </c>
      <c r="D29" s="218">
        <f t="shared" si="2"/>
        <v>2.5</v>
      </c>
      <c r="E29" s="212"/>
      <c r="F29" s="217">
        <f t="shared" si="3"/>
        <v>70</v>
      </c>
      <c r="G29" s="2">
        <f t="shared" si="4"/>
        <v>74</v>
      </c>
      <c r="H29" s="218">
        <f t="shared" si="5"/>
        <v>2.5</v>
      </c>
    </row>
    <row r="30" spans="2:8" ht="15.75" customHeight="1">
      <c r="B30" s="217">
        <f t="shared" si="0"/>
        <v>68</v>
      </c>
      <c r="C30" s="2">
        <f t="shared" si="1"/>
        <v>73</v>
      </c>
      <c r="D30" s="218">
        <f t="shared" si="2"/>
        <v>2.25</v>
      </c>
      <c r="E30" s="212"/>
      <c r="F30" s="217">
        <f t="shared" si="3"/>
        <v>75</v>
      </c>
      <c r="G30" s="2">
        <f t="shared" si="4"/>
        <v>79</v>
      </c>
      <c r="H30" s="218">
        <f t="shared" si="5"/>
        <v>2.25</v>
      </c>
    </row>
    <row r="31" spans="2:8" ht="15.75" customHeight="1">
      <c r="B31" s="217">
        <f t="shared" si="0"/>
        <v>74</v>
      </c>
      <c r="C31" s="2">
        <f t="shared" si="1"/>
        <v>79</v>
      </c>
      <c r="D31" s="218">
        <f t="shared" si="2"/>
        <v>2</v>
      </c>
      <c r="E31" s="212"/>
      <c r="F31" s="217">
        <f t="shared" si="3"/>
        <v>80</v>
      </c>
      <c r="G31" s="2">
        <f t="shared" si="4"/>
        <v>84</v>
      </c>
      <c r="H31" s="218">
        <f t="shared" si="5"/>
        <v>2</v>
      </c>
    </row>
    <row r="32" spans="2:8" ht="15.75" customHeight="1">
      <c r="B32" s="217">
        <f t="shared" si="0"/>
        <v>80</v>
      </c>
      <c r="C32" s="2">
        <f t="shared" si="1"/>
        <v>85</v>
      </c>
      <c r="D32" s="218">
        <f t="shared" si="2"/>
        <v>1.75</v>
      </c>
      <c r="E32" s="212"/>
      <c r="F32" s="217">
        <f t="shared" si="3"/>
        <v>85</v>
      </c>
      <c r="G32" s="2">
        <f t="shared" si="4"/>
        <v>88</v>
      </c>
      <c r="H32" s="218">
        <f t="shared" si="5"/>
        <v>1.75</v>
      </c>
    </row>
    <row r="33" spans="2:8" ht="15.75" customHeight="1">
      <c r="B33" s="217">
        <f t="shared" si="0"/>
        <v>86</v>
      </c>
      <c r="C33" s="2">
        <f t="shared" si="1"/>
        <v>90</v>
      </c>
      <c r="D33" s="218">
        <f t="shared" si="2"/>
        <v>1.5</v>
      </c>
      <c r="E33" s="212"/>
      <c r="F33" s="217">
        <f t="shared" si="3"/>
        <v>89</v>
      </c>
      <c r="G33" s="2">
        <f t="shared" si="4"/>
        <v>92</v>
      </c>
      <c r="H33" s="218">
        <f t="shared" si="5"/>
        <v>1.5</v>
      </c>
    </row>
    <row r="34" spans="2:8" ht="15.75" customHeight="1">
      <c r="B34" s="217">
        <f t="shared" si="0"/>
        <v>91</v>
      </c>
      <c r="C34" s="2">
        <f t="shared" si="1"/>
        <v>95</v>
      </c>
      <c r="D34" s="218">
        <f t="shared" si="2"/>
        <v>1.25</v>
      </c>
      <c r="E34" s="212"/>
      <c r="F34" s="217">
        <f t="shared" si="3"/>
        <v>93</v>
      </c>
      <c r="G34" s="2">
        <f t="shared" si="4"/>
        <v>96</v>
      </c>
      <c r="H34" s="218">
        <f t="shared" si="5"/>
        <v>1.25</v>
      </c>
    </row>
    <row r="35" spans="2:8" ht="15.75" customHeight="1">
      <c r="B35" s="219">
        <f t="shared" si="0"/>
        <v>96</v>
      </c>
      <c r="C35" s="16">
        <v>100</v>
      </c>
      <c r="D35" s="220">
        <f t="shared" si="2"/>
        <v>1</v>
      </c>
      <c r="E35" s="212"/>
      <c r="F35" s="219">
        <f t="shared" si="3"/>
        <v>97</v>
      </c>
      <c r="G35" s="16">
        <v>100</v>
      </c>
      <c r="H35" s="220">
        <f t="shared" si="5"/>
        <v>1</v>
      </c>
    </row>
    <row r="36" spans="2:8" ht="15.75" customHeight="1"/>
    <row r="37" spans="2:8" ht="15.75" customHeight="1"/>
    <row r="38" spans="2:8" ht="15.75" customHeight="1"/>
    <row r="39" spans="2:8" ht="15.75" customHeight="1">
      <c r="E39" s="212"/>
    </row>
    <row r="40" spans="2:8" ht="15.75" customHeight="1">
      <c r="E40" s="212"/>
    </row>
    <row r="41" spans="2:8" ht="15.75" customHeight="1">
      <c r="E41" s="212"/>
    </row>
    <row r="42" spans="2:8" ht="15.75" customHeight="1">
      <c r="E42" s="212"/>
    </row>
    <row r="43" spans="2:8" ht="15.75" customHeight="1">
      <c r="E43" s="212"/>
    </row>
    <row r="44" spans="2:8" ht="15.75" customHeight="1">
      <c r="E44" s="212"/>
    </row>
    <row r="45" spans="2:8" ht="15.75" customHeight="1">
      <c r="E45" s="212"/>
    </row>
    <row r="46" spans="2:8" ht="15.75" customHeight="1">
      <c r="E46" s="212"/>
    </row>
    <row r="47" spans="2:8" ht="15.75" customHeight="1">
      <c r="E47" s="212"/>
    </row>
    <row r="48" spans="2:8" ht="15.75" customHeight="1">
      <c r="E48" s="212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D2"/>
    <mergeCell ref="F1:H2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3</vt:i4>
      </vt:variant>
    </vt:vector>
  </HeadingPairs>
  <TitlesOfParts>
    <vt:vector size="10" baseType="lpstr">
      <vt:lpstr>Midterm OVPAA-F-INS-055A RAW SC</vt:lpstr>
      <vt:lpstr>MidTerm OVPAA-F-INS-055B CLASS</vt:lpstr>
      <vt:lpstr>Finalterm OVPAA-F-INS-055A RAW </vt:lpstr>
      <vt:lpstr>Finalterm OVPAA-F-INS-055B CLAS</vt:lpstr>
      <vt:lpstr>OVPAA-F-INS-056 HFL GRADE SHEET</vt:lpstr>
      <vt:lpstr>COMBO BOX OPS</vt:lpstr>
      <vt:lpstr>TRANSMUTATION</vt:lpstr>
      <vt:lpstr>remarks</vt:lpstr>
      <vt:lpstr>SchoolYear</vt:lpstr>
      <vt:lpstr>Semester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Records Management</dc:creator>
  <cp:lastModifiedBy>Kendrick Amparado</cp:lastModifiedBy>
  <dcterms:created xsi:type="dcterms:W3CDTF">2024-08-15T00:57:00Z</dcterms:created>
  <dcterms:modified xsi:type="dcterms:W3CDTF">2026-09-09T06:44:49Z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8192C3E4B33F4727BCC297BFBE783C32_12</vt:lpwstr>
  </property>
  <property fmtid="{D5CDD505-2E9C-101B-9397-08002B2CF9AE}" pid="3" name="KSOProductBuildVer">
    <vt:lpwstr>2057-12.2.0.17545</vt:lpwstr>
  </property>
</Properties>
</file>