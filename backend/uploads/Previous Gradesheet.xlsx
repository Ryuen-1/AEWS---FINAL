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an\Desktop\SYSTEM FOR 2ND SEM\stone\backend\uploads\"/>
    </mc:Choice>
  </mc:AlternateContent>
  <xr:revisionPtr revIDLastSave="0" documentId="13_ncr:1_{56BDA769-C19A-473F-9652-8BB98792EC4E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C10" i="5" l="1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G9" i="3"/>
  <c r="K8" i="3"/>
  <c r="G8" i="3"/>
  <c r="K7" i="3"/>
  <c r="G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G40" i="2"/>
  <c r="F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H39" i="2"/>
  <c r="BU39" i="2" s="1" a="1"/>
  <c r="BU39" i="2" s="1"/>
  <c r="BV39" i="2" s="1"/>
  <c r="G39" i="2"/>
  <c r="F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H38" i="2"/>
  <c r="G38" i="2"/>
  <c r="F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F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F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BU34" i="2" s="1" a="1"/>
  <c r="BU34" i="2" s="1"/>
  <c r="BV34" i="2" s="1"/>
  <c r="G34" i="2"/>
  <c r="F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F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F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F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F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U29" i="2" a="1"/>
  <c r="BU29" i="2" s="1"/>
  <c r="BV29" i="2" s="1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CQ21" i="2" s="1" a="1"/>
  <c r="CQ21" i="2" s="1"/>
  <c r="CR21" i="2" s="1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BU21" i="2" s="1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CQ19" i="2" s="1" a="1"/>
  <c r="CQ19" i="2" s="1"/>
  <c r="CR19" i="2" s="1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F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F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DC18" i="4" l="1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4" i="5"/>
  <c r="DF19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H13" i="5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I13" i="5"/>
  <c r="DG18" i="2"/>
  <c r="F13" i="5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DG18" i="4" l="1"/>
  <c r="DH18" i="2"/>
  <c r="DI18" i="2" s="1"/>
  <c r="J13" i="5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<sst xmlns="http://schemas.openxmlformats.org/spreadsheetml/2006/main" count="453" uniqueCount="135">
  <si>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</si>
  <si>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</si>
  <si>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</si>
  <si>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</si>
  <si>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T40</t>
  </si>
  <si>
    <t>Day:</t>
  </si>
  <si>
    <t>TF</t>
  </si>
  <si>
    <t>Subject Code:</t>
  </si>
  <si>
    <t>DA 142</t>
  </si>
  <si>
    <t>Time:</t>
  </si>
  <si>
    <t>7:30AM-10:00AM</t>
  </si>
  <si>
    <t>Descriptive Title:</t>
  </si>
  <si>
    <t>Animation Design and Production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</si>
  <si>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</si>
  <si>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</si>
  <si>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</si>
  <si>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</si>
  <si>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</si>
  <si>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</si>
  <si>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</si>
  <si>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</si>
  <si>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</si>
  <si>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</si>
  <si>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</si>
  <si>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</si>
  <si>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</si>
  <si>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</si>
  <si>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</si>
  <si>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</si>
  <si>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</si>
  <si>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</si>
  <si>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</si>
  <si>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</si>
  <si>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</si>
  <si>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</si>
  <si>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</si>
  <si>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</si>
  <si>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</si>
  <si>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</si>
  <si>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</si>
  <si>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</si>
  <si>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</si>
  <si>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</si>
  <si>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</si>
  <si>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</si>
  <si>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Albarracin, Donna Igar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</si>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</sst>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0" fontId="0" fillId="0" borderId="0" xfId="0"/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39" xfId="0" applyFont="1" applyBorder="1"/>
    <xf numFmtId="0" fontId="16" fillId="0" borderId="60" xfId="0" applyFont="1" applyBorder="1"/>
    <xf numFmtId="0" fontId="7" fillId="0" borderId="35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5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left"/>
    </xf>
    <xf numFmtId="0" fontId="6" fillId="0" borderId="0" xfId="0" applyFont="1"/>
    <xf numFmtId="0" fontId="1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3" xfId="0" applyFont="1" applyBorder="1"/>
    <xf numFmtId="0" fontId="7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0" xfId="0" applyFont="1" applyBorder="1"/>
    <xf numFmtId="0" fontId="7" fillId="0" borderId="12" xfId="0" applyFont="1" applyBorder="1"/>
    <xf numFmtId="0" fontId="7" fillId="0" borderId="13" xfId="0" applyFont="1" applyBorder="1"/>
    <xf numFmtId="0" fontId="1" fillId="4" borderId="8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/>
    </xf>
    <xf numFmtId="0" fontId="7" fillId="0" borderId="36" xfId="0" applyFont="1" applyBorder="1"/>
    <xf numFmtId="2" fontId="1" fillId="3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1" fillId="4" borderId="45" xfId="0" applyFont="1" applyFill="1" applyBorder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2" fontId="1" fillId="5" borderId="46" xfId="0" applyNumberFormat="1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7" zoomScale="79" workbookViewId="0">
      <selection activeCell="H36" sqref="H36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21" width="5.28515625" customWidth="1"/>
    <col min="22" max="22" width="5.85546875" customWidth="1"/>
    <col min="23" max="26" width="5.28515625" customWidth="1"/>
    <col min="27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5" width="5.5703125" customWidth="1"/>
    <col min="76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1" spans="5:102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>
      <c r="E2" s="233" t="s">
        <v>0</v>
      </c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E3" s="234" t="s">
        <v>1</v>
      </c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E4" s="235" t="s">
        <v>2</v>
      </c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244"/>
      <c r="F6" s="227"/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7" t="s">
        <v>3</v>
      </c>
      <c r="F7" s="227"/>
      <c r="G7" s="4" t="s">
        <v>4</v>
      </c>
      <c r="H7" s="5"/>
      <c r="I7" s="3" t="s">
        <v>5</v>
      </c>
      <c r="J7" s="5"/>
      <c r="K7" s="245" t="s">
        <v>6</v>
      </c>
      <c r="L7" s="237"/>
      <c r="M7" s="237"/>
      <c r="N7" s="237"/>
      <c r="O7" s="23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6"/>
      <c r="AC7" s="246"/>
      <c r="AD7" s="227"/>
      <c r="AE7" s="227"/>
      <c r="AF7" s="227"/>
      <c r="AG7" s="227"/>
      <c r="AH7" s="227"/>
      <c r="AI7" s="227"/>
      <c r="AJ7" s="227"/>
      <c r="AK7" s="227"/>
      <c r="AL7" s="227"/>
      <c r="AM7" s="227"/>
      <c r="AN7" s="227"/>
      <c r="AO7" s="227"/>
      <c r="AP7" s="227"/>
      <c r="AQ7" s="227"/>
      <c r="AR7" s="227"/>
      <c r="AS7" s="227"/>
      <c r="AT7" s="227"/>
      <c r="AU7" s="227"/>
      <c r="AV7" s="227"/>
      <c r="AW7" s="227"/>
      <c r="AX7" s="227"/>
      <c r="AY7" s="227"/>
      <c r="AZ7" s="227"/>
      <c r="BA7" s="227"/>
      <c r="BB7" s="227"/>
      <c r="BC7" s="227"/>
      <c r="BD7" s="227"/>
      <c r="BE7" s="227"/>
      <c r="BF7" s="227"/>
      <c r="BG7" s="227"/>
      <c r="BH7" s="227"/>
      <c r="BI7" s="227"/>
      <c r="BJ7" s="227"/>
      <c r="BK7" s="227"/>
      <c r="BL7" s="227"/>
      <c r="BM7" s="227"/>
      <c r="BN7" s="227"/>
      <c r="BO7" s="227"/>
      <c r="BP7" s="227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>
      <c r="E8" s="247" t="s">
        <v>7</v>
      </c>
      <c r="F8" s="227"/>
      <c r="G8" s="7" t="s">
        <v>8</v>
      </c>
      <c r="H8" s="5"/>
      <c r="I8" s="3" t="s">
        <v>9</v>
      </c>
      <c r="J8" s="5"/>
      <c r="K8" s="245" t="s">
        <v>10</v>
      </c>
      <c r="L8" s="237"/>
      <c r="M8" s="237"/>
      <c r="N8" s="237"/>
      <c r="O8" s="23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6"/>
      <c r="AC8" s="246"/>
      <c r="AD8" s="227"/>
      <c r="AE8" s="227"/>
      <c r="AF8" s="227"/>
      <c r="AG8" s="227"/>
      <c r="AH8" s="227"/>
      <c r="AI8" s="227"/>
      <c r="AJ8" s="227"/>
      <c r="AK8" s="227"/>
      <c r="AL8" s="227"/>
      <c r="AM8" s="227"/>
      <c r="AN8" s="227"/>
      <c r="AO8" s="227"/>
      <c r="AP8" s="227"/>
      <c r="AQ8" s="227"/>
      <c r="AR8" s="227"/>
      <c r="AS8" s="227"/>
      <c r="AT8" s="227"/>
      <c r="AU8" s="227"/>
      <c r="AV8" s="227"/>
      <c r="AW8" s="227"/>
      <c r="AX8" s="227"/>
      <c r="AY8" s="227"/>
      <c r="AZ8" s="227"/>
      <c r="BA8" s="227"/>
      <c r="BB8" s="227"/>
      <c r="BC8" s="227"/>
      <c r="BD8" s="227"/>
      <c r="BE8" s="227"/>
      <c r="BF8" s="227"/>
      <c r="BG8" s="227"/>
      <c r="BH8" s="227"/>
      <c r="BI8" s="227"/>
      <c r="BJ8" s="227"/>
      <c r="BK8" s="227"/>
      <c r="BL8" s="227"/>
      <c r="BM8" s="227"/>
      <c r="BN8" s="227"/>
      <c r="BO8" s="227"/>
      <c r="BP8" s="227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>
      <c r="E9" s="247" t="s">
        <v>11</v>
      </c>
      <c r="F9" s="227"/>
      <c r="G9" s="7" t="s">
        <v>12</v>
      </c>
      <c r="H9" s="5"/>
      <c r="I9" s="3" t="s">
        <v>13</v>
      </c>
      <c r="J9" s="5"/>
      <c r="K9" s="245" t="s">
        <v>14</v>
      </c>
      <c r="L9" s="237"/>
      <c r="M9" s="237"/>
      <c r="N9" s="237"/>
      <c r="O9" s="23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6"/>
      <c r="AC9" s="246"/>
      <c r="AD9" s="227"/>
      <c r="AE9" s="227"/>
      <c r="AF9" s="227"/>
      <c r="AG9" s="227"/>
      <c r="AH9" s="227"/>
      <c r="AI9" s="227"/>
      <c r="AJ9" s="227"/>
      <c r="AK9" s="227"/>
      <c r="AL9" s="227"/>
      <c r="AM9" s="227"/>
      <c r="AN9" s="227"/>
      <c r="AO9" s="227"/>
      <c r="AP9" s="227"/>
      <c r="AQ9" s="227"/>
      <c r="AR9" s="227"/>
      <c r="AS9" s="227"/>
      <c r="AT9" s="227"/>
      <c r="AU9" s="227"/>
      <c r="AV9" s="227"/>
      <c r="AW9" s="227"/>
      <c r="AX9" s="227"/>
      <c r="AY9" s="227"/>
      <c r="AZ9" s="227"/>
      <c r="BA9" s="227"/>
      <c r="BB9" s="227"/>
      <c r="BC9" s="227"/>
      <c r="BD9" s="227"/>
      <c r="BE9" s="227"/>
      <c r="BF9" s="227"/>
      <c r="BG9" s="227"/>
      <c r="BH9" s="227"/>
      <c r="BI9" s="227"/>
      <c r="BJ9" s="227"/>
      <c r="BK9" s="227"/>
      <c r="BL9" s="227"/>
      <c r="BM9" s="227"/>
      <c r="BN9" s="227"/>
      <c r="BO9" s="227"/>
      <c r="BP9" s="227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>
      <c r="E10" s="247" t="s">
        <v>15</v>
      </c>
      <c r="F10" s="227"/>
      <c r="G10" s="7" t="s">
        <v>16</v>
      </c>
      <c r="H10" s="5"/>
      <c r="I10" s="3" t="s">
        <v>17</v>
      </c>
      <c r="J10" s="5"/>
      <c r="K10" s="248">
        <v>3</v>
      </c>
      <c r="L10" s="237"/>
      <c r="M10" s="237"/>
      <c r="N10" s="237"/>
      <c r="O10" s="237"/>
      <c r="P10" s="5"/>
      <c r="Q10" s="2"/>
      <c r="R10" s="6"/>
      <c r="S10" s="249" t="s">
        <v>18</v>
      </c>
      <c r="T10" s="227"/>
      <c r="U10" s="227"/>
      <c r="V10" s="248" t="s">
        <v>19</v>
      </c>
      <c r="W10" s="237"/>
      <c r="X10" s="237"/>
      <c r="Y10" s="237"/>
      <c r="Z10" s="237"/>
      <c r="AA10" s="2"/>
      <c r="AB10" s="6"/>
      <c r="AC10" s="246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7"/>
      <c r="BK10" s="227"/>
      <c r="BL10" s="227"/>
      <c r="BM10" s="227"/>
      <c r="BN10" s="227"/>
      <c r="BO10" s="227"/>
      <c r="BP10" s="227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>
      <c r="E11" s="247" t="s">
        <v>20</v>
      </c>
      <c r="F11" s="227"/>
      <c r="G11" s="7" t="s">
        <v>21</v>
      </c>
      <c r="H11" s="5"/>
      <c r="I11" s="3" t="s">
        <v>22</v>
      </c>
      <c r="J11" s="5"/>
      <c r="K11" s="245" t="s">
        <v>23</v>
      </c>
      <c r="L11" s="237"/>
      <c r="M11" s="237"/>
      <c r="N11" s="237"/>
      <c r="O11" s="237"/>
      <c r="P11" s="5"/>
      <c r="Q11" s="2"/>
      <c r="R11" s="6"/>
      <c r="S11" s="249" t="s">
        <v>24</v>
      </c>
      <c r="T11" s="227"/>
      <c r="U11" s="227"/>
      <c r="V11" s="263" t="s">
        <v>25</v>
      </c>
      <c r="W11" s="223"/>
      <c r="X11" s="223"/>
      <c r="Y11" s="223"/>
      <c r="Z11" s="223"/>
      <c r="AA11" s="2"/>
      <c r="AB11" s="249"/>
      <c r="AC11" s="227"/>
      <c r="AD11" s="227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64"/>
      <c r="BR11" s="227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>
      <c r="E12" s="250" t="s">
        <v>26</v>
      </c>
      <c r="F12" s="251"/>
      <c r="G12" s="11" t="s">
        <v>27</v>
      </c>
      <c r="H12" s="5"/>
      <c r="I12" s="10" t="s">
        <v>28</v>
      </c>
      <c r="J12" s="11"/>
      <c r="K12" s="252" t="s">
        <v>29</v>
      </c>
      <c r="L12" s="251"/>
      <c r="M12" s="251"/>
      <c r="N12" s="251"/>
      <c r="O12" s="251"/>
      <c r="P12" s="2"/>
      <c r="Q12" s="2"/>
      <c r="R12" s="2"/>
      <c r="S12" s="12" t="s">
        <v>30</v>
      </c>
      <c r="T12" s="13"/>
      <c r="U12" s="13"/>
      <c r="V12" s="14">
        <v>0.5</v>
      </c>
      <c r="X12" s="265"/>
      <c r="Y12" s="251"/>
      <c r="Z12" s="11"/>
      <c r="AA12" s="16"/>
      <c r="AB12" s="266"/>
      <c r="AC12" s="251"/>
      <c r="AD12" s="251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65"/>
      <c r="BR12" s="251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53" t="s">
        <v>31</v>
      </c>
      <c r="F13" s="253" t="s">
        <v>32</v>
      </c>
      <c r="G13" s="253" t="s">
        <v>33</v>
      </c>
      <c r="H13" s="256" t="s">
        <v>34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35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36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6.75">
      <c r="E16" s="254"/>
      <c r="F16" s="254"/>
      <c r="G16" s="254"/>
      <c r="H16" s="28" t="s">
        <v>37</v>
      </c>
      <c r="I16" s="28" t="s">
        <v>38</v>
      </c>
      <c r="J16" s="28" t="s">
        <v>39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40</v>
      </c>
      <c r="BV16" s="33" t="s">
        <v>41</v>
      </c>
      <c r="BW16" s="33" t="s">
        <v>42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43</v>
      </c>
      <c r="CP16" s="34" t="s">
        <v>44</v>
      </c>
      <c r="CQ16" s="34"/>
      <c r="CR16" s="34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v>2201103564</v>
      </c>
      <c r="G18" s="51" t="s">
        <v>45</v>
      </c>
      <c r="H18" s="52">
        <v>0</v>
      </c>
      <c r="I18" s="50">
        <v>0</v>
      </c>
      <c r="J18" s="50">
        <v>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0</v>
      </c>
      <c r="BV18" s="52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0</v>
      </c>
      <c r="CP18" s="54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v>2201109992</v>
      </c>
      <c r="G19" s="61" t="s">
        <v>46</v>
      </c>
      <c r="H19" s="62">
        <v>70</v>
      </c>
      <c r="I19" s="63">
        <v>92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76</v>
      </c>
      <c r="CP19" s="67">
        <v>45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v>2001102089</v>
      </c>
      <c r="G20" s="61" t="s">
        <v>47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2201105829</v>
      </c>
      <c r="G21" s="61" t="s">
        <v>48</v>
      </c>
      <c r="H21" s="66">
        <v>72</v>
      </c>
      <c r="I21" s="63">
        <v>60</v>
      </c>
      <c r="J21" s="60">
        <v>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72</v>
      </c>
      <c r="BV21" s="66">
        <v>100</v>
      </c>
      <c r="BW21" s="60">
        <v>75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2201103056</v>
      </c>
      <c r="G22" s="61" t="s">
        <v>49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2201100446</v>
      </c>
      <c r="G23" s="61" t="s">
        <v>50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1801101449</v>
      </c>
      <c r="G24" s="61" t="s">
        <v>51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2201104090</v>
      </c>
      <c r="G25" s="61" t="s">
        <v>52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2201100596</v>
      </c>
      <c r="G26" s="61" t="s">
        <v>53</v>
      </c>
      <c r="H26" s="66">
        <v>72</v>
      </c>
      <c r="I26" s="63">
        <v>60</v>
      </c>
      <c r="J26" s="60">
        <v>0</v>
      </c>
      <c r="K26" s="60"/>
      <c r="L26" s="60"/>
      <c r="M26" s="60"/>
      <c r="N26" s="60"/>
      <c r="O26" s="60"/>
      <c r="P26" s="60" t="s">
        <v>54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1801104290</v>
      </c>
      <c r="G27" s="61" t="s">
        <v>55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2201104808</v>
      </c>
      <c r="G28" s="61" t="s">
        <v>56</v>
      </c>
      <c r="H28" s="62">
        <v>72</v>
      </c>
      <c r="I28" s="63">
        <v>60</v>
      </c>
      <c r="J28" s="63">
        <v>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1801102006</v>
      </c>
      <c r="G29" s="61" t="s">
        <v>57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2201104863</v>
      </c>
      <c r="G30" s="61" t="s">
        <v>58</v>
      </c>
      <c r="H30" s="66">
        <v>70</v>
      </c>
      <c r="I30" s="60">
        <v>0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2001103502</v>
      </c>
      <c r="G31" s="61" t="s">
        <v>59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2201101446</v>
      </c>
      <c r="G32" s="61" t="s">
        <v>60</v>
      </c>
      <c r="H32" s="66">
        <v>94</v>
      </c>
      <c r="I32" s="60">
        <v>0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2201101849</v>
      </c>
      <c r="G33" s="61" t="s">
        <v>61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2201105671</v>
      </c>
      <c r="G34" s="61" t="s">
        <v>62</v>
      </c>
      <c r="H34" s="62">
        <v>72</v>
      </c>
      <c r="I34" s="63">
        <v>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2201110117</v>
      </c>
      <c r="G35" s="61" t="s">
        <v>63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2201102197</v>
      </c>
      <c r="G36" s="61" t="s">
        <v>64</v>
      </c>
      <c r="H36" s="66">
        <v>0</v>
      </c>
      <c r="I36" s="60">
        <v>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2201104861</v>
      </c>
      <c r="G37" s="61" t="s">
        <v>65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2201106018</v>
      </c>
      <c r="G38" s="61" t="s">
        <v>66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2201100405</v>
      </c>
      <c r="G39" s="61" t="s">
        <v>67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2201108251</v>
      </c>
      <c r="G40" s="61" t="s">
        <v>68</v>
      </c>
      <c r="H40" s="62">
        <v>70</v>
      </c>
      <c r="I40" s="63">
        <v>92</v>
      </c>
      <c r="J40" s="63">
        <v>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70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  <mergeCell ref="E8:F8"/>
    <mergeCell ref="K8:O8"/>
    <mergeCell ref="S8:W8"/>
    <mergeCell ref="E9:F9"/>
    <mergeCell ref="S9:W9"/>
    <mergeCell ref="E10:F10"/>
    <mergeCell ref="E12:F12"/>
    <mergeCell ref="K12:O12"/>
    <mergeCell ref="E13:E17"/>
    <mergeCell ref="F13:F17"/>
    <mergeCell ref="G13:G17"/>
    <mergeCell ref="H13:BT14"/>
    <mergeCell ref="AC8:BP8"/>
    <mergeCell ref="AC9:BP9"/>
    <mergeCell ref="AC10:BP10"/>
    <mergeCell ref="K9:O9"/>
    <mergeCell ref="K10:O10"/>
    <mergeCell ref="S10:U10"/>
    <mergeCell ref="V10:Z10"/>
    <mergeCell ref="E2:CX2"/>
    <mergeCell ref="E3:CX3"/>
    <mergeCell ref="E4:CX4"/>
    <mergeCell ref="E6:CX6"/>
    <mergeCell ref="K7:O7"/>
    <mergeCell ref="S7:W7"/>
    <mergeCell ref="AC7:BP7"/>
    <mergeCell ref="E7:F7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abSelected="1" topLeftCell="E17" zoomScale="72" workbookViewId="0">
      <selection activeCell="W40" sqref="W40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69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T40</v>
      </c>
      <c r="H7" s="6"/>
      <c r="I7" s="3" t="s">
        <v>5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7</v>
      </c>
      <c r="F8" s="227"/>
      <c r="G8" s="5" t="str">
        <f>'Midterm OVPAA-F-INS-055A RAW SC'!G8</f>
        <v>DA 142</v>
      </c>
      <c r="H8" s="6"/>
      <c r="I8" s="3" t="s">
        <v>9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11</v>
      </c>
      <c r="F9" s="227"/>
      <c r="G9" s="5" t="str">
        <f>'Midterm OVPAA-F-INS-055A RAW SC'!G9</f>
        <v>Animation Design and Production</v>
      </c>
      <c r="H9" s="6"/>
      <c r="I9" s="3" t="s">
        <v>13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15</v>
      </c>
      <c r="F10" s="227"/>
      <c r="G10" s="5" t="str">
        <f>'Midterm OVPAA-F-INS-055A RAW SC'!G10</f>
        <v>1st Sem</v>
      </c>
      <c r="H10" s="6"/>
      <c r="I10" s="3" t="s">
        <v>17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18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20</v>
      </c>
      <c r="F11" s="227"/>
      <c r="G11" s="6" t="str">
        <f>'Midterm OVPAA-F-INS-055A RAW SC'!G11</f>
        <v>2025-2026</v>
      </c>
      <c r="H11" s="6"/>
      <c r="I11" s="3" t="s">
        <v>70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24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8" t="s">
        <v>26</v>
      </c>
      <c r="F12" s="251"/>
      <c r="G12" s="11" t="str">
        <f>'Midterm OVPAA-F-INS-055A RAW SC'!G12</f>
        <v>Czarissa Louise A. Navidad</v>
      </c>
      <c r="H12" s="2"/>
      <c r="I12" s="10" t="s">
        <v>28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31</v>
      </c>
      <c r="F13" s="253" t="s">
        <v>32</v>
      </c>
      <c r="G13" s="253" t="s">
        <v>33</v>
      </c>
      <c r="H13" s="269" t="s">
        <v>34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35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36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1" t="s">
        <v>71</v>
      </c>
      <c r="DF13" s="272"/>
      <c r="DG13" s="273"/>
      <c r="DH13" s="274" t="s">
        <v>72</v>
      </c>
      <c r="DI13" s="258"/>
    </row>
    <row r="14" spans="5:113" ht="15" customHeight="1">
      <c r="E14" s="254"/>
      <c r="F14" s="254"/>
      <c r="G14" s="254"/>
      <c r="H14" s="270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73</v>
      </c>
      <c r="DF14" s="78" t="s">
        <v>74</v>
      </c>
      <c r="DG14" s="79" t="s">
        <v>75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5" t="s">
        <v>76</v>
      </c>
      <c r="BV15" s="277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9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80" t="s">
        <v>76</v>
      </c>
      <c r="DD15" s="281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54"/>
      <c r="F16" s="254"/>
      <c r="G16" s="254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76"/>
      <c r="BV16" s="278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76"/>
      <c r="CR16" s="88" t="s">
        <v>80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76"/>
      <c r="DD16" s="278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75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75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v>0</v>
      </c>
      <c r="I19" s="126">
        <f>IF('Midterm OVPAA-F-INS-055A RAW SC'!I19="","",'Midterm OVPAA-F-INS-055A RAW SC'!I19/'Midterm OVPAA-F-INS-055A RAW SC'!I$17*100)</f>
        <v>92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59.333333333333336</v>
      </c>
      <c r="BV19" s="128">
        <f>IF(BU19="","",VLOOKUP(BU19,IF('Midterm OVPAA-F-INS-055A RAW SC'!$V$12=0.5,TRANSMUTATION!$C$4:$D$17,TRANSMUTATION!$G$4:$H$17),2,TRUE))</f>
        <v>2.75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76</v>
      </c>
      <c r="CT19" s="133">
        <f>IF('Midterm OVPAA-F-INS-055A RAW SC'!CP19="","",'Midterm OVPAA-F-INS-055A RAW SC'!CP19/'Midterm OVPAA-F-INS-055A RAW SC'!CP$17*100)</f>
        <v>90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83</v>
      </c>
      <c r="DD19" s="135">
        <f>IF(DC19="","",VLOOKUP(DC19,IF('Midterm OVPAA-F-INS-055A RAW SC'!$V$12=0.5,TRANSMUTATION!$C$4:$D$17,TRANSMUTATION!$G$4:$H$17),2,TRUE))</f>
        <v>1.75</v>
      </c>
      <c r="DE19" s="136">
        <f t="shared" si="1"/>
        <v>0.82499999999999996</v>
      </c>
      <c r="DF19" s="137">
        <f t="shared" si="2"/>
        <v>0.44999999999999996</v>
      </c>
      <c r="DG19" s="138">
        <f t="shared" si="3"/>
        <v>0.70000000000000007</v>
      </c>
      <c r="DH19" s="136">
        <f t="shared" si="4"/>
        <v>1.9750000000000001</v>
      </c>
      <c r="DI19" s="123" t="str">
        <f t="shared" si="5"/>
        <v>2.00</v>
      </c>
    </row>
    <row r="20" spans="5:113" ht="15.75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v>0</v>
      </c>
      <c r="I21" s="126">
        <v>0</v>
      </c>
      <c r="J21" s="126">
        <f>IF('Midterm OVPAA-F-INS-055A RAW SC'!J21="","",'Midterm OVPAA-F-INS-055A RAW SC'!J21/'Midterm OVPAA-F-INS-055A RAW SC'!J$17*100)</f>
        <v>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0</v>
      </c>
      <c r="BV21" s="128">
        <f>IF(BU21="","",VLOOKUP(BU21,IF('Midterm OVPAA-F-INS-055A RAW SC'!$V$12=0.5,TRANSMUTATION!$C$4:$D$17,TRANSMUTATION!$G$4:$H$17),2,TRUE))</f>
        <v>5</v>
      </c>
      <c r="BW21" s="129">
        <f>IF('Midterm OVPAA-F-INS-055A RAW SC'!BU21="","",'Midterm OVPAA-F-INS-055A RAW SC'!BU21/'Midterm OVPAA-F-INS-055A RAW SC'!BU$17*100)</f>
        <v>72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75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82.333333333333329</v>
      </c>
      <c r="CR21" s="132">
        <f>IF(CQ21="","",VLOOKUP(CQ21,IF('Midterm OVPAA-F-INS-055A RAW SC'!$V$12=0.5,TRANSMUTATION!$C$4:$D$17,TRANSMUTATION!$G$4:$H$17),2,TRUE))</f>
        <v>1.75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1.5</v>
      </c>
      <c r="DF21" s="137">
        <f t="shared" si="2"/>
        <v>0.52500000000000002</v>
      </c>
      <c r="DG21" s="138">
        <f t="shared" si="3"/>
        <v>0.9</v>
      </c>
      <c r="DH21" s="136">
        <f t="shared" si="4"/>
        <v>2.9249999999999998</v>
      </c>
      <c r="DI21" s="123" t="str">
        <f t="shared" si="5"/>
        <v>3.00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v>0</v>
      </c>
      <c r="I25" s="126">
        <v>0</v>
      </c>
      <c r="J25" s="126">
        <v>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0</v>
      </c>
      <c r="BV25" s="128">
        <f>IF(BU25="","",VLOOKUP(BU25,IF('Midterm OVPAA-F-INS-055A RAW SC'!$V$12=0.5,TRANSMUTATION!$C$4:$D$17,TRANSMUTATION!$G$4:$H$17),2,TRUE))</f>
        <v>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1.5</v>
      </c>
      <c r="DF25" s="137">
        <f t="shared" si="2"/>
        <v>0.375</v>
      </c>
      <c r="DG25" s="138">
        <f t="shared" si="3"/>
        <v>0.60000000000000009</v>
      </c>
      <c r="DH25" s="136">
        <f t="shared" si="4"/>
        <v>2.4750000000000001</v>
      </c>
      <c r="DI25" s="123" t="str">
        <f t="shared" si="5"/>
        <v>2.50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42.333333333333336</v>
      </c>
      <c r="BV26" s="128">
        <f>IF(BU26="","",VLOOKUP(BU26,IF('Midterm OVPAA-F-INS-055A RAW SC'!$V$12=0.5,TRANSMUTATION!$C$4:$D$17,TRANSMUTATION!$G$4:$H$17),2,TRUE))</f>
        <v>3.5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1.05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2.2750000000000004</v>
      </c>
      <c r="DI26" s="123" t="str">
        <f t="shared" si="5"/>
        <v>2.25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44</v>
      </c>
      <c r="BV28" s="128">
        <f>IF(BU28="","",VLOOKUP(BU28,IF('Midterm OVPAA-F-INS-055A RAW SC'!$V$12=0.5,TRANSMUTATION!$C$4:$D$17,TRANSMUTATION!$G$4:$H$17),2,TRUE))</f>
        <v>3.25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0.97499999999999998</v>
      </c>
      <c r="DF28" s="137">
        <f t="shared" si="2"/>
        <v>0.52500000000000002</v>
      </c>
      <c r="DG28" s="138">
        <f t="shared" si="3"/>
        <v>0.8</v>
      </c>
      <c r="DH28" s="136">
        <f t="shared" si="4"/>
        <v>2.2999999999999998</v>
      </c>
      <c r="DI28" s="123" t="str">
        <f t="shared" si="5"/>
        <v>2.25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v>0</v>
      </c>
      <c r="I29" s="126">
        <v>0</v>
      </c>
      <c r="J29" s="126">
        <v>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f t="array" ref="BU29">IF('Midterm OVPAA-F-INS-055A RAW SC'!$G29="","",IF((SUMPRODUCT(--ISBLANK('Midterm OVPAA-F-INS-055A RAW SC'!H29:BT29))=COLUMNS('Midterm OVPAA-F-INS-055A RAW SC'!H29:BT29))=TRUE,"",(((COUNTA('Midterm OVPAA-F-INS-055A RAW SC'!$H$17:$BT$17)+COUNTBLANK('Midterm OVPAA-F-INS-055A RAW SC'!H29:BT29))-COLUMNS('Midterm OVPAA-F-INS-055A RAW SC'!H29:BT29))*5+SUM(H29:BT29))/COUNTA('Midterm OVPAA-F-INS-055A RAW SC'!$H$17:$BT$17)))</f>
        <v>0</v>
      </c>
      <c r="BV29" s="128">
        <f>IF(BU29="","",VLOOKUP(BU29,IF('Midterm OVPAA-F-INS-055A RAW SC'!$V$12=0.5,TRANSMUTATION!$C$4:$D$17,TRANSMUTATION!$G$4:$H$17),2,TRUE))</f>
        <v>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1.5</v>
      </c>
      <c r="DF29" s="137">
        <f t="shared" si="2"/>
        <v>0.52500000000000002</v>
      </c>
      <c r="DG29" s="138">
        <f t="shared" si="3"/>
        <v>0.8</v>
      </c>
      <c r="DH29" s="136">
        <f t="shared" si="4"/>
        <v>2.8250000000000002</v>
      </c>
      <c r="DI29" s="123" t="str">
        <f t="shared" si="5"/>
        <v>2.75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0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53.333333333333336</v>
      </c>
      <c r="BV30" s="128">
        <f>IF(BU30="","",VLOOKUP(BU30,IF('Midterm OVPAA-F-INS-055A RAW SC'!$V$12=0.5,TRANSMUTATION!$C$4:$D$17,TRANSMUTATION!$G$4:$H$17),2,TRUE))</f>
        <v>3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0.89999999999999991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2.0499999999999998</v>
      </c>
      <c r="DI30" s="123" t="str">
        <f t="shared" si="5"/>
        <v>2.00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0</v>
      </c>
      <c r="J32" s="126">
        <v>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31.333333333333332</v>
      </c>
      <c r="BV32" s="128">
        <f>IF(BU32="","",VLOOKUP(BU32,IF('Midterm OVPAA-F-INS-055A RAW SC'!$V$12=0.5,TRANSMUTATION!$C$4:$D$17,TRANSMUTATION!$G$4:$H$17),2,TRUE))</f>
        <v>4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1.2</v>
      </c>
      <c r="DF32" s="137">
        <f t="shared" si="2"/>
        <v>0.3</v>
      </c>
      <c r="DG32" s="138">
        <f t="shared" si="3"/>
        <v>0.60000000000000009</v>
      </c>
      <c r="DH32" s="136">
        <f t="shared" si="4"/>
        <v>2.1</v>
      </c>
      <c r="DI32" s="123" t="str">
        <f t="shared" si="5"/>
        <v>2.00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0</v>
      </c>
      <c r="J33" s="126">
        <v>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24</v>
      </c>
      <c r="BV33" s="128">
        <f>IF(BU33="","",VLOOKUP(BU33,IF('Midterm OVPAA-F-INS-055A RAW SC'!$V$12=0.5,TRANSMUTATION!$C$4:$D$17,TRANSMUTATION!$G$4:$H$17),2,TRUE))</f>
        <v>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1.5</v>
      </c>
      <c r="DF33" s="137">
        <f t="shared" si="2"/>
        <v>0.52500000000000002</v>
      </c>
      <c r="DG33" s="138">
        <f t="shared" si="3"/>
        <v>0.8</v>
      </c>
      <c r="DH33" s="136">
        <f t="shared" si="4"/>
        <v>2.8250000000000002</v>
      </c>
      <c r="DI33" s="123" t="str">
        <f t="shared" si="5"/>
        <v>2.75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0</v>
      </c>
      <c r="J34" s="126">
        <f>IF('Midterm OVPAA-F-INS-055A RAW SC'!J34="","",'Midterm OVPAA-F-INS-055A RAW SC'!J34/'Midterm OVPAA-F-INS-055A RAW SC'!J$17*100)</f>
        <v>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24</v>
      </c>
      <c r="BV34" s="128">
        <f>IF(BU34="","",VLOOKUP(BU34,IF('Midterm OVPAA-F-INS-055A RAW SC'!$V$12=0.5,TRANSMUTATION!$C$4:$D$17,TRANSMUTATION!$G$4:$H$17),2,TRUE))</f>
        <v>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1.5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2.9249999999999998</v>
      </c>
      <c r="DI34" s="123" t="str">
        <f t="shared" si="5"/>
        <v>3.00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0</v>
      </c>
      <c r="I36" s="126">
        <f>IF('Midterm OVPAA-F-INS-055A RAW SC'!I36="","",'Midterm OVPAA-F-INS-055A RAW SC'!I36/'Midterm OVPAA-F-INS-055A RAW SC'!I$17*100)</f>
        <v>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33.333333333333336</v>
      </c>
      <c r="BV36" s="128">
        <f>IF(BU36="","",VLOOKUP(BU36,IF('Midterm OVPAA-F-INS-055A RAW SC'!$V$12=0.5,TRANSMUTATION!$C$4:$D$17,TRANSMUTATION!$G$4:$H$17),2,TRUE))</f>
        <v>3.75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1.125</v>
      </c>
      <c r="DF36" s="137">
        <f t="shared" si="2"/>
        <v>0.52500000000000002</v>
      </c>
      <c r="DG36" s="138">
        <f t="shared" si="3"/>
        <v>0.9</v>
      </c>
      <c r="DH36" s="136">
        <f t="shared" si="4"/>
        <v>2.5499999999999998</v>
      </c>
      <c r="DI36" s="123" t="str">
        <f t="shared" si="5"/>
        <v>2.50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v>0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60.666666666666664</v>
      </c>
      <c r="BV38" s="128">
        <f>IF(BU38="","",VLOOKUP(BU38,IF('Midterm OVPAA-F-INS-055A RAW SC'!$V$12=0.5,TRANSMUTATION!$C$4:$D$17,TRANSMUTATION!$G$4:$H$17),2,TRUE))</f>
        <v>2.75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0.82499999999999996</v>
      </c>
      <c r="DF38" s="137">
        <f t="shared" si="2"/>
        <v>0.3</v>
      </c>
      <c r="DG38" s="138">
        <f t="shared" si="3"/>
        <v>0.60000000000000009</v>
      </c>
      <c r="DH38" s="136">
        <f t="shared" si="4"/>
        <v>1.7250000000000001</v>
      </c>
      <c r="DI38" s="123" t="str">
        <f t="shared" si="5"/>
        <v>1.75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v>0</v>
      </c>
      <c r="J39" s="126">
        <v>0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31.333333333333332</v>
      </c>
      <c r="BV39" s="128">
        <f>IF(BU39="","",VLOOKUP(BU39,IF('Midterm OVPAA-F-INS-055A RAW SC'!$V$12=0.5,TRANSMUTATION!$C$4:$D$17,TRANSMUTATION!$G$4:$H$17),2,TRUE))</f>
        <v>4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1.2</v>
      </c>
      <c r="DF39" s="137">
        <f t="shared" si="2"/>
        <v>0.3</v>
      </c>
      <c r="DG39" s="138">
        <f t="shared" si="3"/>
        <v>0.5</v>
      </c>
      <c r="DH39" s="136">
        <f t="shared" si="4"/>
        <v>2</v>
      </c>
      <c r="DI39" s="123" t="str">
        <f t="shared" si="5"/>
        <v>2.00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v>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30.666666666666668</v>
      </c>
      <c r="BV40" s="128">
        <f>IF(BU40="","",VLOOKUP(BU40,IF('Midterm OVPAA-F-INS-055A RAW SC'!$V$12=0.5,TRANSMUTATION!$C$4:$D$17,TRANSMUTATION!$G$4:$H$17),2,TRUE))</f>
        <v>4</v>
      </c>
      <c r="BW40" s="129">
        <f>IF('Midterm OVPAA-F-INS-055A RAW SC'!BU40="","",'Midterm OVPAA-F-INS-055A RAW SC'!BU40/'Midterm OVPAA-F-INS-055A RAW SC'!BU$17*100)</f>
        <v>70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90</v>
      </c>
      <c r="CR40" s="132">
        <f>IF(CQ40="","",VLOOKUP(CQ40,IF('Midterm OVPAA-F-INS-055A RAW SC'!$V$12=0.5,TRANSMUTATION!$C$4:$D$17,TRANSMUTATION!$G$4:$H$17),2,TRUE))</f>
        <v>1.5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1.2</v>
      </c>
      <c r="DF40" s="137">
        <f t="shared" si="2"/>
        <v>0.44999999999999996</v>
      </c>
      <c r="DG40" s="138">
        <f t="shared" si="3"/>
        <v>0.8</v>
      </c>
      <c r="DH40" s="136">
        <f t="shared" si="4"/>
        <v>2.4500000000000002</v>
      </c>
      <c r="DI40" s="123" t="str">
        <f t="shared" si="5"/>
        <v>2.50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" workbookViewId="0">
      <selection activeCell="CZ18" sqref="CZ18"/>
    </sheetView>
  </sheetViews>
  <sheetFormatPr defaultColWidth="14.42578125" defaultRowHeight="15" customHeight="1"/>
  <cols>
    <col min="1" max="1" width="22.28515625" hidden="1" customWidth="1"/>
    <col min="2" max="2" width="18.7109375" hidden="1" customWidth="1"/>
    <col min="3" max="3" width="19.28515625" hidden="1" customWidth="1"/>
    <col min="4" max="4" width="26.7109375" hidden="1" customWidth="1"/>
    <col min="5" max="5" width="4" customWidth="1"/>
    <col min="6" max="6" width="14" customWidth="1"/>
    <col min="7" max="7" width="31.85546875" customWidth="1"/>
    <col min="8" max="14" width="5.28515625" customWidth="1"/>
    <col min="15" max="21" width="5.28515625" hidden="1" customWidth="1"/>
    <col min="22" max="22" width="5.85546875" hidden="1" customWidth="1"/>
    <col min="23" max="30" width="5.28515625" hidden="1" customWidth="1"/>
    <col min="31" max="31" width="6.28515625" hidden="1" customWidth="1"/>
    <col min="32" max="36" width="5.28515625" hidden="1" customWidth="1"/>
    <col min="37" max="72" width="5.5703125" hidden="1" customWidth="1"/>
    <col min="73" max="77" width="5.5703125" customWidth="1"/>
    <col min="78" max="91" width="5.5703125" hidden="1" customWidth="1"/>
    <col min="92" max="92" width="0.140625" customWidth="1"/>
    <col min="93" max="93" width="5.5703125" customWidth="1"/>
    <col min="94" max="94" width="5.28515625" customWidth="1"/>
    <col min="95" max="102" width="5.28515625" hidden="1" customWidth="1"/>
  </cols>
  <sheetData>
    <row r="2" spans="5:102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</row>
    <row r="3" spans="5:102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</row>
    <row r="4" spans="5:102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</row>
    <row r="5" spans="5:102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75">
      <c r="E6" s="5"/>
      <c r="F6" s="244" t="s">
        <v>69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</row>
    <row r="7" spans="5:102">
      <c r="E7" s="249" t="s">
        <v>3</v>
      </c>
      <c r="F7" s="227"/>
      <c r="G7" s="5" t="str">
        <f>'Midterm OVPAA-F-INS-055A RAW SC'!G7</f>
        <v>T40</v>
      </c>
      <c r="H7" s="6"/>
      <c r="I7" s="3" t="s">
        <v>5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</row>
    <row r="8" spans="5:102">
      <c r="E8" s="249" t="s">
        <v>7</v>
      </c>
      <c r="F8" s="227"/>
      <c r="G8" s="5" t="str">
        <f>'Midterm OVPAA-F-INS-055A RAW SC'!G8</f>
        <v>DA 142</v>
      </c>
      <c r="H8" s="6"/>
      <c r="I8" s="3" t="s">
        <v>9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</row>
    <row r="9" spans="5:102">
      <c r="E9" s="249" t="s">
        <v>11</v>
      </c>
      <c r="F9" s="227"/>
      <c r="G9" s="5" t="str">
        <f>'Midterm OVPAA-F-INS-055A RAW SC'!G9</f>
        <v>Animation Design and Production</v>
      </c>
      <c r="H9" s="6"/>
      <c r="I9" s="3" t="s">
        <v>13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</row>
    <row r="10" spans="5:102">
      <c r="E10" s="249" t="s">
        <v>15</v>
      </c>
      <c r="F10" s="227"/>
      <c r="G10" s="5" t="str">
        <f>'Midterm OVPAA-F-INS-055A RAW SC'!G10</f>
        <v>1st Sem</v>
      </c>
      <c r="H10" s="6"/>
      <c r="I10" s="3" t="s">
        <v>17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18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</row>
    <row r="11" spans="5:102">
      <c r="E11" s="249" t="s">
        <v>20</v>
      </c>
      <c r="F11" s="227"/>
      <c r="G11" s="6" t="str">
        <f>'Midterm OVPAA-F-INS-055A RAW SC'!G11</f>
        <v>2025-2026</v>
      </c>
      <c r="H11" s="6"/>
      <c r="I11" s="3" t="s">
        <v>70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24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</row>
    <row r="12" spans="5:102">
      <c r="E12" s="268" t="s">
        <v>26</v>
      </c>
      <c r="F12" s="251"/>
      <c r="G12" s="11" t="str">
        <f>'Midterm OVPAA-F-INS-055A RAW SC'!G12</f>
        <v>Czarissa Louise A. Navidad</v>
      </c>
      <c r="H12" s="2"/>
      <c r="I12" s="10" t="s">
        <v>28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</row>
    <row r="13" spans="5:102" ht="15" customHeight="1">
      <c r="E13" s="253" t="s">
        <v>31</v>
      </c>
      <c r="F13" s="253" t="s">
        <v>32</v>
      </c>
      <c r="G13" s="253" t="s">
        <v>33</v>
      </c>
      <c r="H13" s="256" t="s">
        <v>34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8"/>
      <c r="BU13" s="261" t="s">
        <v>35</v>
      </c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62" t="s">
        <v>36</v>
      </c>
      <c r="CP13" s="257"/>
      <c r="CQ13" s="257"/>
      <c r="CR13" s="257"/>
      <c r="CS13" s="257"/>
      <c r="CT13" s="257"/>
      <c r="CU13" s="257"/>
      <c r="CV13" s="257"/>
      <c r="CW13" s="257"/>
      <c r="CX13" s="258"/>
    </row>
    <row r="14" spans="5:102" ht="15" customHeight="1">
      <c r="E14" s="254"/>
      <c r="F14" s="254"/>
      <c r="G14" s="254"/>
      <c r="H14" s="259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60"/>
      <c r="BU14" s="259"/>
      <c r="BV14" s="251"/>
      <c r="BW14" s="251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9"/>
      <c r="CP14" s="251"/>
      <c r="CQ14" s="251"/>
      <c r="CR14" s="251"/>
      <c r="CS14" s="251"/>
      <c r="CT14" s="251"/>
      <c r="CU14" s="251"/>
      <c r="CV14" s="251"/>
      <c r="CW14" s="251"/>
      <c r="CX14" s="260"/>
    </row>
    <row r="15" spans="5:102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42.5">
      <c r="E16" s="254"/>
      <c r="F16" s="254"/>
      <c r="G16" s="254"/>
      <c r="H16" s="28" t="s">
        <v>82</v>
      </c>
      <c r="I16" s="28" t="s">
        <v>83</v>
      </c>
      <c r="J16" s="28" t="s">
        <v>84</v>
      </c>
      <c r="K16" s="28" t="s">
        <v>85</v>
      </c>
      <c r="L16" s="28" t="s">
        <v>86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87</v>
      </c>
      <c r="BV16" s="33" t="s">
        <v>88</v>
      </c>
      <c r="BW16" s="33" t="s">
        <v>89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90</v>
      </c>
      <c r="CP16" s="34" t="s">
        <v>91</v>
      </c>
      <c r="CQ16" s="89"/>
      <c r="CR16" s="89"/>
      <c r="CS16" s="35"/>
      <c r="CT16" s="35"/>
      <c r="CU16" s="35"/>
      <c r="CV16" s="35"/>
      <c r="CW16" s="35"/>
      <c r="CX16" s="36"/>
    </row>
    <row r="17" spans="1:102">
      <c r="E17" s="255"/>
      <c r="F17" s="255"/>
      <c r="G17" s="255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>
      <c r="A19" s="58"/>
      <c r="E19" s="59">
        <v>2</v>
      </c>
      <c r="F19" s="60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>
      <c r="A20" s="58"/>
      <c r="E20" s="59">
        <v>3</v>
      </c>
      <c r="F20" s="60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  <mergeCell ref="BU13:CN14"/>
    <mergeCell ref="CO13:CX14"/>
    <mergeCell ref="E13:E17"/>
    <mergeCell ref="F13:F17"/>
    <mergeCell ref="G13:G17"/>
    <mergeCell ref="H13:BT14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F2:CX2"/>
    <mergeCell ref="F3:CX3"/>
    <mergeCell ref="F4:CX4"/>
    <mergeCell ref="F6:CX6"/>
    <mergeCell ref="E7:F7"/>
    <mergeCell ref="S7:W7"/>
    <mergeCell ref="BL7:BP7"/>
    <mergeCell ref="BV7:CO7"/>
    <mergeCell ref="K7:O7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AJ7" zoomScale="71" workbookViewId="0">
      <selection activeCell="DE14" sqref="DE1:DE1048576"/>
    </sheetView>
  </sheetViews>
  <sheetFormatPr defaultColWidth="14.42578125" defaultRowHeight="15" customHeight="1"/>
  <cols>
    <col min="1" max="4" width="9.140625" hidden="1" customWidth="1"/>
    <col min="5" max="5" width="4" customWidth="1"/>
    <col min="6" max="6" width="14" customWidth="1"/>
    <col min="7" max="7" width="31.85546875" customWidth="1"/>
    <col min="8" max="37" width="5.7109375" customWidth="1"/>
    <col min="38" max="72" width="5.7109375" hidden="1" customWidth="1"/>
    <col min="73" max="84" width="5.7109375" customWidth="1"/>
    <col min="85" max="94" width="5.7109375" hidden="1" customWidth="1"/>
    <col min="95" max="113" width="5.7109375" customWidth="1"/>
  </cols>
  <sheetData>
    <row r="2" spans="5:113">
      <c r="F2" s="233" t="s">
        <v>0</v>
      </c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7"/>
      <c r="AG2" s="227"/>
      <c r="AH2" s="227"/>
      <c r="AI2" s="227"/>
      <c r="AJ2" s="227"/>
      <c r="AK2" s="227"/>
      <c r="AL2" s="227"/>
      <c r="AM2" s="227"/>
      <c r="AN2" s="227"/>
      <c r="AO2" s="227"/>
      <c r="AP2" s="227"/>
      <c r="AQ2" s="227"/>
      <c r="AR2" s="227"/>
      <c r="AS2" s="227"/>
      <c r="AT2" s="227"/>
      <c r="AU2" s="227"/>
      <c r="AV2" s="227"/>
      <c r="AW2" s="227"/>
      <c r="AX2" s="227"/>
      <c r="AY2" s="227"/>
      <c r="AZ2" s="227"/>
      <c r="BA2" s="227"/>
      <c r="BB2" s="227"/>
      <c r="BC2" s="227"/>
      <c r="BD2" s="227"/>
      <c r="BE2" s="227"/>
      <c r="BF2" s="227"/>
      <c r="BG2" s="227"/>
      <c r="BH2" s="227"/>
      <c r="BI2" s="227"/>
      <c r="BJ2" s="227"/>
      <c r="BK2" s="227"/>
      <c r="BL2" s="227"/>
      <c r="BM2" s="227"/>
      <c r="BN2" s="227"/>
      <c r="BO2" s="227"/>
      <c r="BP2" s="227"/>
      <c r="BQ2" s="227"/>
      <c r="BR2" s="227"/>
      <c r="BS2" s="227"/>
      <c r="BT2" s="227"/>
      <c r="BU2" s="227"/>
      <c r="BV2" s="227"/>
      <c r="BW2" s="227"/>
      <c r="BX2" s="227"/>
      <c r="BY2" s="227"/>
      <c r="BZ2" s="227"/>
      <c r="CA2" s="227"/>
      <c r="CB2" s="227"/>
      <c r="CC2" s="227"/>
      <c r="CD2" s="227"/>
      <c r="CE2" s="227"/>
      <c r="CF2" s="227"/>
      <c r="CG2" s="227"/>
      <c r="CH2" s="227"/>
      <c r="CI2" s="227"/>
      <c r="CJ2" s="227"/>
      <c r="CK2" s="227"/>
      <c r="CL2" s="227"/>
      <c r="CM2" s="227"/>
      <c r="CN2" s="227"/>
      <c r="CO2" s="227"/>
      <c r="CP2" s="227"/>
      <c r="CQ2" s="227"/>
      <c r="CR2" s="227"/>
      <c r="CS2" s="227"/>
      <c r="CT2" s="227"/>
      <c r="CU2" s="227"/>
      <c r="CV2" s="227"/>
      <c r="CW2" s="227"/>
      <c r="CX2" s="227"/>
      <c r="CY2" s="227"/>
      <c r="CZ2" s="227"/>
      <c r="DA2" s="227"/>
      <c r="DB2" s="227"/>
      <c r="DC2" s="227"/>
      <c r="DD2" s="227"/>
      <c r="DE2" s="227"/>
      <c r="DF2" s="227"/>
      <c r="DG2" s="227"/>
      <c r="DH2" s="227"/>
      <c r="DI2" s="72"/>
    </row>
    <row r="3" spans="5:113" ht="16.5">
      <c r="F3" s="234" t="s">
        <v>1</v>
      </c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7"/>
      <c r="AP3" s="227"/>
      <c r="AQ3" s="227"/>
      <c r="AR3" s="227"/>
      <c r="AS3" s="227"/>
      <c r="AT3" s="227"/>
      <c r="AU3" s="227"/>
      <c r="AV3" s="227"/>
      <c r="AW3" s="227"/>
      <c r="AX3" s="227"/>
      <c r="AY3" s="227"/>
      <c r="AZ3" s="227"/>
      <c r="BA3" s="227"/>
      <c r="BB3" s="227"/>
      <c r="BC3" s="227"/>
      <c r="BD3" s="227"/>
      <c r="BE3" s="227"/>
      <c r="BF3" s="227"/>
      <c r="BG3" s="227"/>
      <c r="BH3" s="227"/>
      <c r="BI3" s="227"/>
      <c r="BJ3" s="227"/>
      <c r="BK3" s="227"/>
      <c r="BL3" s="227"/>
      <c r="BM3" s="227"/>
      <c r="BN3" s="227"/>
      <c r="BO3" s="227"/>
      <c r="BP3" s="227"/>
      <c r="BQ3" s="227"/>
      <c r="BR3" s="227"/>
      <c r="BS3" s="227"/>
      <c r="BT3" s="227"/>
      <c r="BU3" s="227"/>
      <c r="BV3" s="227"/>
      <c r="BW3" s="227"/>
      <c r="BX3" s="227"/>
      <c r="BY3" s="227"/>
      <c r="BZ3" s="227"/>
      <c r="CA3" s="227"/>
      <c r="CB3" s="227"/>
      <c r="CC3" s="227"/>
      <c r="CD3" s="227"/>
      <c r="CE3" s="227"/>
      <c r="CF3" s="227"/>
      <c r="CG3" s="227"/>
      <c r="CH3" s="227"/>
      <c r="CI3" s="227"/>
      <c r="CJ3" s="227"/>
      <c r="CK3" s="227"/>
      <c r="CL3" s="227"/>
      <c r="CM3" s="227"/>
      <c r="CN3" s="227"/>
      <c r="CO3" s="227"/>
      <c r="CP3" s="227"/>
      <c r="CQ3" s="227"/>
      <c r="CR3" s="227"/>
      <c r="CS3" s="227"/>
      <c r="CT3" s="227"/>
      <c r="CU3" s="227"/>
      <c r="CV3" s="227"/>
      <c r="CW3" s="227"/>
      <c r="CX3" s="227"/>
      <c r="CY3" s="227"/>
      <c r="CZ3" s="227"/>
      <c r="DA3" s="227"/>
      <c r="DB3" s="227"/>
      <c r="DC3" s="227"/>
      <c r="DD3" s="227"/>
      <c r="DE3" s="227"/>
      <c r="DF3" s="227"/>
      <c r="DG3" s="227"/>
      <c r="DH3" s="227"/>
      <c r="DI3" s="73"/>
    </row>
    <row r="4" spans="5:113">
      <c r="F4" s="235" t="s">
        <v>2</v>
      </c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227"/>
      <c r="AD4" s="227"/>
      <c r="AE4" s="227"/>
      <c r="AF4" s="227"/>
      <c r="AG4" s="227"/>
      <c r="AH4" s="227"/>
      <c r="AI4" s="227"/>
      <c r="AJ4" s="227"/>
      <c r="AK4" s="227"/>
      <c r="AL4" s="227"/>
      <c r="AM4" s="227"/>
      <c r="AN4" s="227"/>
      <c r="AO4" s="227"/>
      <c r="AP4" s="227"/>
      <c r="AQ4" s="227"/>
      <c r="AR4" s="227"/>
      <c r="AS4" s="227"/>
      <c r="AT4" s="227"/>
      <c r="AU4" s="227"/>
      <c r="AV4" s="227"/>
      <c r="AW4" s="227"/>
      <c r="AX4" s="227"/>
      <c r="AY4" s="227"/>
      <c r="AZ4" s="227"/>
      <c r="BA4" s="227"/>
      <c r="BB4" s="227"/>
      <c r="BC4" s="227"/>
      <c r="BD4" s="227"/>
      <c r="BE4" s="227"/>
      <c r="BF4" s="227"/>
      <c r="BG4" s="227"/>
      <c r="BH4" s="227"/>
      <c r="BI4" s="227"/>
      <c r="BJ4" s="227"/>
      <c r="BK4" s="227"/>
      <c r="BL4" s="227"/>
      <c r="BM4" s="227"/>
      <c r="BN4" s="227"/>
      <c r="BO4" s="227"/>
      <c r="BP4" s="227"/>
      <c r="BQ4" s="227"/>
      <c r="BR4" s="227"/>
      <c r="BS4" s="227"/>
      <c r="BT4" s="227"/>
      <c r="BU4" s="227"/>
      <c r="BV4" s="227"/>
      <c r="BW4" s="227"/>
      <c r="BX4" s="227"/>
      <c r="BY4" s="227"/>
      <c r="BZ4" s="227"/>
      <c r="CA4" s="227"/>
      <c r="CB4" s="227"/>
      <c r="CC4" s="227"/>
      <c r="CD4" s="227"/>
      <c r="CE4" s="227"/>
      <c r="CF4" s="227"/>
      <c r="CG4" s="227"/>
      <c r="CH4" s="227"/>
      <c r="CI4" s="227"/>
      <c r="CJ4" s="227"/>
      <c r="CK4" s="227"/>
      <c r="CL4" s="227"/>
      <c r="CM4" s="227"/>
      <c r="CN4" s="227"/>
      <c r="CO4" s="227"/>
      <c r="CP4" s="227"/>
      <c r="CQ4" s="227"/>
      <c r="CR4" s="227"/>
      <c r="CS4" s="227"/>
      <c r="CT4" s="227"/>
      <c r="CU4" s="227"/>
      <c r="CV4" s="227"/>
      <c r="CW4" s="227"/>
      <c r="CX4" s="227"/>
      <c r="CY4" s="227"/>
      <c r="CZ4" s="227"/>
      <c r="DA4" s="227"/>
      <c r="DB4" s="227"/>
      <c r="DC4" s="227"/>
      <c r="DD4" s="227"/>
      <c r="DE4" s="227"/>
      <c r="DF4" s="227"/>
      <c r="DG4" s="227"/>
      <c r="DH4" s="227"/>
      <c r="DI4" s="74"/>
    </row>
    <row r="5" spans="5:113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75">
      <c r="E6" s="5"/>
      <c r="F6" s="244" t="s">
        <v>69</v>
      </c>
      <c r="G6" s="227"/>
      <c r="H6" s="227"/>
      <c r="I6" s="227"/>
      <c r="J6" s="227"/>
      <c r="K6" s="227"/>
      <c r="L6" s="227"/>
      <c r="M6" s="227"/>
      <c r="N6" s="227"/>
      <c r="O6" s="227"/>
      <c r="P6" s="227"/>
      <c r="Q6" s="227"/>
      <c r="R6" s="227"/>
      <c r="S6" s="227"/>
      <c r="T6" s="227"/>
      <c r="U6" s="227"/>
      <c r="V6" s="227"/>
      <c r="W6" s="227"/>
      <c r="X6" s="227"/>
      <c r="Y6" s="227"/>
      <c r="Z6" s="227"/>
      <c r="AA6" s="227"/>
      <c r="AB6" s="227"/>
      <c r="AC6" s="227"/>
      <c r="AD6" s="227"/>
      <c r="AE6" s="227"/>
      <c r="AF6" s="227"/>
      <c r="AG6" s="227"/>
      <c r="AH6" s="227"/>
      <c r="AI6" s="227"/>
      <c r="AJ6" s="227"/>
      <c r="AK6" s="227"/>
      <c r="AL6" s="227"/>
      <c r="AM6" s="227"/>
      <c r="AN6" s="227"/>
      <c r="AO6" s="227"/>
      <c r="AP6" s="227"/>
      <c r="AQ6" s="227"/>
      <c r="AR6" s="227"/>
      <c r="AS6" s="227"/>
      <c r="AT6" s="227"/>
      <c r="AU6" s="227"/>
      <c r="AV6" s="227"/>
      <c r="AW6" s="227"/>
      <c r="AX6" s="227"/>
      <c r="AY6" s="227"/>
      <c r="AZ6" s="227"/>
      <c r="BA6" s="227"/>
      <c r="BB6" s="227"/>
      <c r="BC6" s="227"/>
      <c r="BD6" s="227"/>
      <c r="BE6" s="227"/>
      <c r="BF6" s="227"/>
      <c r="BG6" s="227"/>
      <c r="BH6" s="227"/>
      <c r="BI6" s="227"/>
      <c r="BJ6" s="227"/>
      <c r="BK6" s="227"/>
      <c r="BL6" s="227"/>
      <c r="BM6" s="227"/>
      <c r="BN6" s="227"/>
      <c r="BO6" s="227"/>
      <c r="BP6" s="227"/>
      <c r="BQ6" s="227"/>
      <c r="BR6" s="227"/>
      <c r="BS6" s="227"/>
      <c r="BT6" s="227"/>
      <c r="BU6" s="227"/>
      <c r="BV6" s="227"/>
      <c r="BW6" s="227"/>
      <c r="BX6" s="227"/>
      <c r="BY6" s="227"/>
      <c r="BZ6" s="227"/>
      <c r="CA6" s="227"/>
      <c r="CB6" s="227"/>
      <c r="CC6" s="227"/>
      <c r="CD6" s="227"/>
      <c r="CE6" s="227"/>
      <c r="CF6" s="227"/>
      <c r="CG6" s="227"/>
      <c r="CH6" s="227"/>
      <c r="CI6" s="227"/>
      <c r="CJ6" s="227"/>
      <c r="CK6" s="227"/>
      <c r="CL6" s="227"/>
      <c r="CM6" s="227"/>
      <c r="CN6" s="227"/>
      <c r="CO6" s="227"/>
      <c r="CP6" s="227"/>
      <c r="CQ6" s="227"/>
      <c r="CR6" s="227"/>
      <c r="CS6" s="227"/>
      <c r="CT6" s="227"/>
      <c r="CU6" s="227"/>
      <c r="CV6" s="227"/>
      <c r="CW6" s="227"/>
      <c r="CX6" s="227"/>
      <c r="CY6" s="227"/>
      <c r="CZ6" s="227"/>
      <c r="DA6" s="227"/>
      <c r="DB6" s="227"/>
      <c r="DC6" s="227"/>
      <c r="DD6" s="227"/>
      <c r="DE6" s="227"/>
      <c r="DF6" s="227"/>
      <c r="DG6" s="227"/>
      <c r="DH6" s="227"/>
      <c r="DI6" s="75"/>
    </row>
    <row r="7" spans="5:113">
      <c r="E7" s="249" t="s">
        <v>3</v>
      </c>
      <c r="F7" s="227"/>
      <c r="G7" s="5" t="str">
        <f>'Midterm OVPAA-F-INS-055A RAW SC'!G7</f>
        <v>T40</v>
      </c>
      <c r="H7" s="6"/>
      <c r="I7" s="3" t="s">
        <v>5</v>
      </c>
      <c r="J7" s="5"/>
      <c r="K7" s="246" t="str">
        <f>'Midterm OVPAA-F-INS-055A RAW SC'!K7</f>
        <v>TF</v>
      </c>
      <c r="L7" s="227"/>
      <c r="M7" s="227"/>
      <c r="N7" s="227"/>
      <c r="O7" s="227"/>
      <c r="P7" s="5"/>
      <c r="Q7" s="2"/>
      <c r="R7" s="6"/>
      <c r="S7" s="246"/>
      <c r="T7" s="227"/>
      <c r="U7" s="227"/>
      <c r="V7" s="227"/>
      <c r="W7" s="227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46"/>
      <c r="BM7" s="227"/>
      <c r="BN7" s="227"/>
      <c r="BO7" s="227"/>
      <c r="BP7" s="227"/>
      <c r="BQ7" s="5"/>
      <c r="BR7" s="5"/>
      <c r="BS7" s="5"/>
      <c r="BT7" s="2"/>
      <c r="BU7" s="6"/>
      <c r="BV7" s="246"/>
      <c r="BW7" s="227"/>
      <c r="BX7" s="227"/>
      <c r="BY7" s="227"/>
      <c r="BZ7" s="227"/>
      <c r="CA7" s="227"/>
      <c r="CB7" s="227"/>
      <c r="CC7" s="227"/>
      <c r="CD7" s="227"/>
      <c r="CE7" s="227"/>
      <c r="CF7" s="227"/>
      <c r="CG7" s="227"/>
      <c r="CH7" s="227"/>
      <c r="CI7" s="227"/>
      <c r="CJ7" s="227"/>
      <c r="CK7" s="227"/>
      <c r="CL7" s="227"/>
      <c r="CM7" s="227"/>
      <c r="CN7" s="227"/>
      <c r="CO7" s="227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46"/>
      <c r="DD7" s="227"/>
      <c r="DE7" s="227"/>
      <c r="DF7" s="227"/>
      <c r="DG7" s="227"/>
      <c r="DH7" s="5"/>
      <c r="DI7" s="5"/>
    </row>
    <row r="8" spans="5:113">
      <c r="E8" s="249" t="s">
        <v>7</v>
      </c>
      <c r="F8" s="227"/>
      <c r="G8" s="5" t="str">
        <f>'Midterm OVPAA-F-INS-055A RAW SC'!G8</f>
        <v>DA 142</v>
      </c>
      <c r="H8" s="6"/>
      <c r="I8" s="3" t="s">
        <v>9</v>
      </c>
      <c r="J8" s="5"/>
      <c r="K8" s="246" t="str">
        <f>'Midterm OVPAA-F-INS-055A RAW SC'!K8</f>
        <v>7:30AM-10:00AM</v>
      </c>
      <c r="L8" s="227"/>
      <c r="M8" s="227"/>
      <c r="N8" s="227"/>
      <c r="O8" s="227"/>
      <c r="P8" s="5"/>
      <c r="Q8" s="2"/>
      <c r="R8" s="6"/>
      <c r="S8" s="246"/>
      <c r="T8" s="227"/>
      <c r="U8" s="227"/>
      <c r="V8" s="227"/>
      <c r="W8" s="227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46"/>
      <c r="BM8" s="227"/>
      <c r="BN8" s="227"/>
      <c r="BO8" s="227"/>
      <c r="BP8" s="227"/>
      <c r="BQ8" s="5"/>
      <c r="BR8" s="5"/>
      <c r="BS8" s="5"/>
      <c r="BT8" s="2"/>
      <c r="BU8" s="6"/>
      <c r="BV8" s="246"/>
      <c r="BW8" s="227"/>
      <c r="BX8" s="227"/>
      <c r="BY8" s="227"/>
      <c r="BZ8" s="227"/>
      <c r="CA8" s="227"/>
      <c r="CB8" s="227"/>
      <c r="CC8" s="227"/>
      <c r="CD8" s="227"/>
      <c r="CE8" s="227"/>
      <c r="CF8" s="227"/>
      <c r="CG8" s="227"/>
      <c r="CH8" s="227"/>
      <c r="CI8" s="227"/>
      <c r="CJ8" s="227"/>
      <c r="CK8" s="227"/>
      <c r="CL8" s="227"/>
      <c r="CM8" s="227"/>
      <c r="CN8" s="227"/>
      <c r="CO8" s="227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46"/>
      <c r="DD8" s="227"/>
      <c r="DE8" s="227"/>
      <c r="DF8" s="227"/>
      <c r="DG8" s="227"/>
      <c r="DH8" s="5"/>
      <c r="DI8" s="5"/>
    </row>
    <row r="9" spans="5:113">
      <c r="E9" s="249" t="s">
        <v>11</v>
      </c>
      <c r="F9" s="227"/>
      <c r="G9" s="5" t="str">
        <f>'Midterm OVPAA-F-INS-055A RAW SC'!G9</f>
        <v>Animation Design and Production</v>
      </c>
      <c r="H9" s="6"/>
      <c r="I9" s="3" t="s">
        <v>13</v>
      </c>
      <c r="J9" s="5"/>
      <c r="K9" s="246" t="str">
        <f>'Midterm OVPAA-F-INS-055A RAW SC'!K9</f>
        <v>Lab 7</v>
      </c>
      <c r="L9" s="227"/>
      <c r="M9" s="227"/>
      <c r="N9" s="227"/>
      <c r="O9" s="227"/>
      <c r="P9" s="5"/>
      <c r="Q9" s="2"/>
      <c r="R9" s="6"/>
      <c r="S9" s="246"/>
      <c r="T9" s="227"/>
      <c r="U9" s="227"/>
      <c r="V9" s="227"/>
      <c r="W9" s="227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46"/>
      <c r="BM9" s="227"/>
      <c r="BN9" s="227"/>
      <c r="BO9" s="227"/>
      <c r="BP9" s="227"/>
      <c r="BQ9" s="5"/>
      <c r="BR9" s="5"/>
      <c r="BS9" s="5"/>
      <c r="BT9" s="2"/>
      <c r="BU9" s="6"/>
      <c r="BV9" s="246"/>
      <c r="BW9" s="227"/>
      <c r="BX9" s="227"/>
      <c r="BY9" s="227"/>
      <c r="BZ9" s="227"/>
      <c r="CA9" s="227"/>
      <c r="CB9" s="227"/>
      <c r="CC9" s="227"/>
      <c r="CD9" s="227"/>
      <c r="CE9" s="227"/>
      <c r="CF9" s="227"/>
      <c r="CG9" s="227"/>
      <c r="CH9" s="227"/>
      <c r="CI9" s="227"/>
      <c r="CJ9" s="227"/>
      <c r="CK9" s="227"/>
      <c r="CL9" s="227"/>
      <c r="CM9" s="227"/>
      <c r="CN9" s="227"/>
      <c r="CO9" s="227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46"/>
      <c r="DD9" s="227"/>
      <c r="DE9" s="227"/>
      <c r="DF9" s="227"/>
      <c r="DG9" s="227"/>
      <c r="DH9" s="5"/>
      <c r="DI9" s="5"/>
    </row>
    <row r="10" spans="5:113">
      <c r="E10" s="249" t="s">
        <v>15</v>
      </c>
      <c r="F10" s="227"/>
      <c r="G10" s="5" t="str">
        <f>'Midterm OVPAA-F-INS-055A RAW SC'!G10</f>
        <v>1st Sem</v>
      </c>
      <c r="H10" s="6"/>
      <c r="I10" s="3" t="s">
        <v>17</v>
      </c>
      <c r="J10" s="5"/>
      <c r="K10" s="246">
        <f>'Midterm OVPAA-F-INS-055A RAW SC'!K10</f>
        <v>3</v>
      </c>
      <c r="L10" s="227"/>
      <c r="M10" s="227"/>
      <c r="N10" s="227"/>
      <c r="O10" s="227"/>
      <c r="P10" s="5"/>
      <c r="Q10" s="2"/>
      <c r="R10" s="6"/>
      <c r="S10" s="249" t="s">
        <v>18</v>
      </c>
      <c r="T10" s="227"/>
      <c r="U10" s="227"/>
      <c r="V10" s="246" t="str">
        <f>'Midterm OVPAA-F-INS-055A RAW SC'!V10</f>
        <v>Information Technology</v>
      </c>
      <c r="W10" s="227"/>
      <c r="X10" s="227"/>
      <c r="Y10" s="227"/>
      <c r="Z10" s="227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46"/>
      <c r="BM10" s="227"/>
      <c r="BN10" s="227"/>
      <c r="BO10" s="227"/>
      <c r="BP10" s="227"/>
      <c r="BQ10" s="5"/>
      <c r="BR10" s="5"/>
      <c r="BS10" s="5"/>
      <c r="BT10" s="2"/>
      <c r="BU10" s="6"/>
      <c r="BV10" s="246"/>
      <c r="BW10" s="227"/>
      <c r="BX10" s="227"/>
      <c r="BY10" s="227"/>
      <c r="BZ10" s="227"/>
      <c r="CA10" s="227"/>
      <c r="CB10" s="227"/>
      <c r="CC10" s="227"/>
      <c r="CD10" s="227"/>
      <c r="CE10" s="227"/>
      <c r="CF10" s="227"/>
      <c r="CG10" s="227"/>
      <c r="CH10" s="227"/>
      <c r="CI10" s="227"/>
      <c r="CJ10" s="227"/>
      <c r="CK10" s="227"/>
      <c r="CL10" s="227"/>
      <c r="CM10" s="227"/>
      <c r="CN10" s="227"/>
      <c r="CO10" s="227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46"/>
      <c r="DD10" s="227"/>
      <c r="DE10" s="227"/>
      <c r="DF10" s="227"/>
      <c r="DG10" s="227"/>
      <c r="DH10" s="5"/>
      <c r="DI10" s="5"/>
    </row>
    <row r="11" spans="5:113">
      <c r="E11" s="249" t="s">
        <v>20</v>
      </c>
      <c r="F11" s="227"/>
      <c r="G11" s="6" t="str">
        <f>'Midterm OVPAA-F-INS-055A RAW SC'!G11</f>
        <v>2025-2026</v>
      </c>
      <c r="H11" s="6"/>
      <c r="I11" s="3" t="s">
        <v>70</v>
      </c>
      <c r="J11" s="5"/>
      <c r="K11" s="246" t="str">
        <f>'Midterm OVPAA-F-INS-055A RAW SC'!K11</f>
        <v>Dr. Sales G. Aribe, Jr.</v>
      </c>
      <c r="L11" s="227"/>
      <c r="M11" s="227"/>
      <c r="N11" s="227"/>
      <c r="O11" s="227"/>
      <c r="P11" s="5"/>
      <c r="Q11" s="2"/>
      <c r="R11" s="6"/>
      <c r="S11" s="249" t="s">
        <v>24</v>
      </c>
      <c r="T11" s="227"/>
      <c r="U11" s="227"/>
      <c r="V11" s="246" t="str">
        <f>'Midterm OVPAA-F-INS-055A RAW SC'!V11</f>
        <v>College of Technologies</v>
      </c>
      <c r="W11" s="227"/>
      <c r="X11" s="227"/>
      <c r="Y11" s="227"/>
      <c r="Z11" s="227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46"/>
      <c r="BM11" s="227"/>
      <c r="BN11" s="227"/>
      <c r="BO11" s="227"/>
      <c r="BP11" s="227"/>
      <c r="BQ11" s="264"/>
      <c r="BR11" s="227"/>
      <c r="BS11" s="5"/>
      <c r="BT11" s="2"/>
      <c r="BU11" s="6"/>
      <c r="BV11" s="246"/>
      <c r="BW11" s="227"/>
      <c r="BX11" s="227"/>
      <c r="BY11" s="227"/>
      <c r="BZ11" s="227"/>
      <c r="CA11" s="227"/>
      <c r="CB11" s="227"/>
      <c r="CC11" s="227"/>
      <c r="CD11" s="227"/>
      <c r="CE11" s="227"/>
      <c r="CF11" s="227"/>
      <c r="CG11" s="227"/>
      <c r="CH11" s="227"/>
      <c r="CI11" s="227"/>
      <c r="CJ11" s="227"/>
      <c r="CK11" s="227"/>
      <c r="CL11" s="227"/>
      <c r="CM11" s="227"/>
      <c r="CN11" s="227"/>
      <c r="CO11" s="227"/>
      <c r="CP11" s="264"/>
      <c r="CQ11" s="227"/>
      <c r="CR11" s="227"/>
      <c r="CS11" s="227"/>
      <c r="CT11" s="9"/>
      <c r="CU11" s="9"/>
      <c r="CV11" s="9"/>
      <c r="CW11" s="9"/>
      <c r="CX11" s="5"/>
      <c r="CY11" s="5"/>
      <c r="CZ11" s="5"/>
      <c r="DA11" s="2"/>
      <c r="DB11" s="6"/>
      <c r="DC11" s="246"/>
      <c r="DD11" s="227"/>
      <c r="DE11" s="227"/>
      <c r="DF11" s="227"/>
      <c r="DG11" s="227"/>
      <c r="DH11" s="264"/>
      <c r="DI11" s="227"/>
    </row>
    <row r="12" spans="5:113">
      <c r="E12" s="268" t="s">
        <v>26</v>
      </c>
      <c r="F12" s="251"/>
      <c r="G12" s="11" t="str">
        <f>'Midterm OVPAA-F-INS-055A RAW SC'!G12</f>
        <v>Czarissa Louise A. Navidad</v>
      </c>
      <c r="H12" s="2"/>
      <c r="I12" s="10" t="s">
        <v>28</v>
      </c>
      <c r="J12" s="11"/>
      <c r="K12" s="267" t="str">
        <f>'Midterm OVPAA-F-INS-055A RAW SC'!K12</f>
        <v>Dr. Marilou O. Espina</v>
      </c>
      <c r="L12" s="251"/>
      <c r="M12" s="251"/>
      <c r="N12" s="251"/>
      <c r="O12" s="251"/>
      <c r="P12" s="2"/>
      <c r="Q12" s="2"/>
      <c r="R12" s="2"/>
      <c r="S12" s="12" t="s">
        <v>30</v>
      </c>
      <c r="T12" s="13"/>
      <c r="U12" s="13"/>
      <c r="V12" s="14">
        <f>'Midterm OVPAA-F-INS-055A RAW SC'!V12</f>
        <v>0.5</v>
      </c>
      <c r="W12" s="5"/>
      <c r="X12" s="265"/>
      <c r="Y12" s="251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67"/>
      <c r="BM12" s="251"/>
      <c r="BN12" s="251"/>
      <c r="BO12" s="251"/>
      <c r="BP12" s="251"/>
      <c r="BQ12" s="265"/>
      <c r="BR12" s="251"/>
      <c r="BS12" s="11"/>
      <c r="BT12" s="16"/>
      <c r="BU12" s="76"/>
      <c r="BV12" s="267"/>
      <c r="BW12" s="251"/>
      <c r="BX12" s="251"/>
      <c r="BY12" s="251"/>
      <c r="BZ12" s="251"/>
      <c r="CA12" s="251"/>
      <c r="CB12" s="251"/>
      <c r="CC12" s="251"/>
      <c r="CD12" s="251"/>
      <c r="CE12" s="251"/>
      <c r="CF12" s="251"/>
      <c r="CG12" s="251"/>
      <c r="CH12" s="251"/>
      <c r="CI12" s="251"/>
      <c r="CJ12" s="251"/>
      <c r="CK12" s="251"/>
      <c r="CL12" s="251"/>
      <c r="CM12" s="251"/>
      <c r="CN12" s="251"/>
      <c r="CO12" s="251"/>
      <c r="CP12" s="265"/>
      <c r="CQ12" s="251"/>
      <c r="CR12" s="251"/>
      <c r="CS12" s="251"/>
      <c r="CT12" s="15"/>
      <c r="CU12" s="15"/>
      <c r="CV12" s="15"/>
      <c r="CW12" s="15"/>
      <c r="CX12" s="11"/>
      <c r="CY12" s="11"/>
      <c r="CZ12" s="11"/>
      <c r="DA12" s="16"/>
      <c r="DB12" s="76"/>
      <c r="DC12" s="267"/>
      <c r="DD12" s="251"/>
      <c r="DE12" s="251"/>
      <c r="DF12" s="251"/>
      <c r="DG12" s="251"/>
      <c r="DH12" s="265"/>
      <c r="DI12" s="251"/>
    </row>
    <row r="13" spans="5:113" ht="15" customHeight="1">
      <c r="E13" s="253" t="s">
        <v>31</v>
      </c>
      <c r="F13" s="253" t="s">
        <v>32</v>
      </c>
      <c r="G13" s="253" t="s">
        <v>33</v>
      </c>
      <c r="H13" s="269" t="s">
        <v>34</v>
      </c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8"/>
      <c r="BW13" s="261" t="s">
        <v>35</v>
      </c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8"/>
      <c r="CS13" s="262" t="s">
        <v>36</v>
      </c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8"/>
      <c r="DE13" s="271" t="s">
        <v>71</v>
      </c>
      <c r="DF13" s="272"/>
      <c r="DG13" s="273"/>
      <c r="DH13" s="274" t="s">
        <v>92</v>
      </c>
      <c r="DI13" s="258"/>
    </row>
    <row r="14" spans="5:113" ht="15" customHeight="1">
      <c r="E14" s="254"/>
      <c r="F14" s="254"/>
      <c r="G14" s="254"/>
      <c r="H14" s="270"/>
      <c r="I14" s="251"/>
      <c r="J14" s="251"/>
      <c r="K14" s="251"/>
      <c r="L14" s="251"/>
      <c r="M14" s="251"/>
      <c r="N14" s="251"/>
      <c r="O14" s="251"/>
      <c r="P14" s="251"/>
      <c r="Q14" s="251"/>
      <c r="R14" s="251"/>
      <c r="S14" s="251"/>
      <c r="T14" s="251"/>
      <c r="U14" s="251"/>
      <c r="V14" s="251"/>
      <c r="W14" s="251"/>
      <c r="X14" s="251"/>
      <c r="Y14" s="251"/>
      <c r="Z14" s="251"/>
      <c r="AA14" s="251"/>
      <c r="AB14" s="251"/>
      <c r="AC14" s="251"/>
      <c r="AD14" s="251"/>
      <c r="AE14" s="251"/>
      <c r="AF14" s="251"/>
      <c r="AG14" s="251"/>
      <c r="AH14" s="251"/>
      <c r="AI14" s="251"/>
      <c r="AJ14" s="251"/>
      <c r="AK14" s="251"/>
      <c r="AL14" s="251"/>
      <c r="AM14" s="251"/>
      <c r="AN14" s="251"/>
      <c r="AO14" s="251"/>
      <c r="AP14" s="251"/>
      <c r="AQ14" s="251"/>
      <c r="AR14" s="251"/>
      <c r="AS14" s="251"/>
      <c r="AT14" s="251"/>
      <c r="AU14" s="251"/>
      <c r="AV14" s="251"/>
      <c r="AW14" s="251"/>
      <c r="AX14" s="251"/>
      <c r="AY14" s="251"/>
      <c r="AZ14" s="251"/>
      <c r="BA14" s="251"/>
      <c r="BB14" s="251"/>
      <c r="BC14" s="251"/>
      <c r="BD14" s="251"/>
      <c r="BE14" s="251"/>
      <c r="BF14" s="251"/>
      <c r="BG14" s="251"/>
      <c r="BH14" s="251"/>
      <c r="BI14" s="251"/>
      <c r="BJ14" s="251"/>
      <c r="BK14" s="251"/>
      <c r="BL14" s="251"/>
      <c r="BM14" s="251"/>
      <c r="BN14" s="251"/>
      <c r="BO14" s="251"/>
      <c r="BP14" s="251"/>
      <c r="BQ14" s="251"/>
      <c r="BR14" s="251"/>
      <c r="BS14" s="251"/>
      <c r="BT14" s="251"/>
      <c r="BU14" s="251"/>
      <c r="BV14" s="260"/>
      <c r="BW14" s="259"/>
      <c r="BX14" s="251"/>
      <c r="BY14" s="251"/>
      <c r="BZ14" s="251"/>
      <c r="CA14" s="251"/>
      <c r="CB14" s="251"/>
      <c r="CC14" s="251"/>
      <c r="CD14" s="251"/>
      <c r="CE14" s="251"/>
      <c r="CF14" s="251"/>
      <c r="CG14" s="251"/>
      <c r="CH14" s="251"/>
      <c r="CI14" s="251"/>
      <c r="CJ14" s="251"/>
      <c r="CK14" s="251"/>
      <c r="CL14" s="251"/>
      <c r="CM14" s="251"/>
      <c r="CN14" s="251"/>
      <c r="CO14" s="251"/>
      <c r="CP14" s="251"/>
      <c r="CQ14" s="251"/>
      <c r="CR14" s="260"/>
      <c r="CS14" s="259"/>
      <c r="CT14" s="251"/>
      <c r="CU14" s="251"/>
      <c r="CV14" s="251"/>
      <c r="CW14" s="251"/>
      <c r="CX14" s="251"/>
      <c r="CY14" s="251"/>
      <c r="CZ14" s="251"/>
      <c r="DA14" s="251"/>
      <c r="DB14" s="251"/>
      <c r="DC14" s="251"/>
      <c r="DD14" s="260"/>
      <c r="DE14" s="77" t="s">
        <v>73</v>
      </c>
      <c r="DF14" s="78" t="s">
        <v>74</v>
      </c>
      <c r="DG14" s="79" t="s">
        <v>75</v>
      </c>
      <c r="DH14" s="259"/>
      <c r="DI14" s="260"/>
    </row>
    <row r="15" spans="5:113">
      <c r="E15" s="254"/>
      <c r="F15" s="254"/>
      <c r="G15" s="254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5" t="s">
        <v>76</v>
      </c>
      <c r="BV15" s="277" t="s">
        <v>77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79" t="s">
        <v>76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80" t="s">
        <v>76</v>
      </c>
      <c r="DD15" s="281" t="s">
        <v>77</v>
      </c>
      <c r="DE15" s="81">
        <v>0.3</v>
      </c>
      <c r="DF15" s="82">
        <v>0.3</v>
      </c>
      <c r="DG15" s="83">
        <v>0.4</v>
      </c>
      <c r="DH15" s="84" t="s">
        <v>78</v>
      </c>
      <c r="DI15" s="85" t="s">
        <v>79</v>
      </c>
    </row>
    <row r="16" spans="5:113" ht="88.5" customHeight="1">
      <c r="E16" s="254"/>
      <c r="F16" s="254"/>
      <c r="G16" s="254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76"/>
      <c r="BV16" s="278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76"/>
      <c r="CR16" s="88" t="s">
        <v>80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76"/>
      <c r="DD16" s="278"/>
      <c r="DE16" s="90"/>
      <c r="DF16" s="91"/>
      <c r="DG16" s="92"/>
      <c r="DH16" s="93"/>
      <c r="DI16" s="94"/>
    </row>
    <row r="17" spans="5:113">
      <c r="E17" s="255"/>
      <c r="F17" s="255"/>
      <c r="G17" s="255"/>
      <c r="H17" s="37" t="s">
        <v>81</v>
      </c>
      <c r="I17" s="38" t="s">
        <v>81</v>
      </c>
      <c r="J17" s="38" t="s">
        <v>81</v>
      </c>
      <c r="K17" s="38" t="s">
        <v>81</v>
      </c>
      <c r="L17" s="38" t="s">
        <v>81</v>
      </c>
      <c r="M17" s="38" t="s">
        <v>81</v>
      </c>
      <c r="N17" s="38" t="s">
        <v>81</v>
      </c>
      <c r="O17" s="38" t="s">
        <v>81</v>
      </c>
      <c r="P17" s="38" t="s">
        <v>81</v>
      </c>
      <c r="Q17" s="38" t="s">
        <v>81</v>
      </c>
      <c r="R17" s="38" t="s">
        <v>81</v>
      </c>
      <c r="S17" s="38" t="s">
        <v>81</v>
      </c>
      <c r="T17" s="38" t="s">
        <v>81</v>
      </c>
      <c r="U17" s="38" t="s">
        <v>81</v>
      </c>
      <c r="V17" s="38" t="s">
        <v>81</v>
      </c>
      <c r="W17" s="38" t="s">
        <v>81</v>
      </c>
      <c r="X17" s="38" t="s">
        <v>81</v>
      </c>
      <c r="Y17" s="38" t="s">
        <v>81</v>
      </c>
      <c r="Z17" s="38" t="s">
        <v>81</v>
      </c>
      <c r="AA17" s="38" t="s">
        <v>81</v>
      </c>
      <c r="AB17" s="38" t="s">
        <v>81</v>
      </c>
      <c r="AC17" s="38" t="s">
        <v>81</v>
      </c>
      <c r="AD17" s="38" t="s">
        <v>81</v>
      </c>
      <c r="AE17" s="38" t="s">
        <v>81</v>
      </c>
      <c r="AF17" s="38" t="s">
        <v>81</v>
      </c>
      <c r="AG17" s="38" t="s">
        <v>81</v>
      </c>
      <c r="AH17" s="38" t="s">
        <v>81</v>
      </c>
      <c r="AI17" s="38" t="s">
        <v>81</v>
      </c>
      <c r="AJ17" s="38" t="s">
        <v>81</v>
      </c>
      <c r="AK17" s="38" t="s">
        <v>81</v>
      </c>
      <c r="AL17" s="38" t="s">
        <v>81</v>
      </c>
      <c r="AM17" s="38" t="s">
        <v>81</v>
      </c>
      <c r="AN17" s="38" t="s">
        <v>81</v>
      </c>
      <c r="AO17" s="38" t="s">
        <v>81</v>
      </c>
      <c r="AP17" s="38" t="s">
        <v>81</v>
      </c>
      <c r="AQ17" s="38" t="s">
        <v>81</v>
      </c>
      <c r="AR17" s="38" t="s">
        <v>81</v>
      </c>
      <c r="AS17" s="38" t="s">
        <v>81</v>
      </c>
      <c r="AT17" s="38" t="s">
        <v>81</v>
      </c>
      <c r="AU17" s="38" t="s">
        <v>81</v>
      </c>
      <c r="AV17" s="38" t="s">
        <v>81</v>
      </c>
      <c r="AW17" s="38" t="s">
        <v>81</v>
      </c>
      <c r="AX17" s="38" t="s">
        <v>81</v>
      </c>
      <c r="AY17" s="38" t="s">
        <v>81</v>
      </c>
      <c r="AZ17" s="38" t="s">
        <v>81</v>
      </c>
      <c r="BA17" s="38" t="s">
        <v>81</v>
      </c>
      <c r="BB17" s="38" t="s">
        <v>81</v>
      </c>
      <c r="BC17" s="38" t="s">
        <v>81</v>
      </c>
      <c r="BD17" s="38" t="s">
        <v>81</v>
      </c>
      <c r="BE17" s="38" t="s">
        <v>81</v>
      </c>
      <c r="BF17" s="38" t="s">
        <v>81</v>
      </c>
      <c r="BG17" s="38" t="s">
        <v>81</v>
      </c>
      <c r="BH17" s="38" t="s">
        <v>81</v>
      </c>
      <c r="BI17" s="38" t="s">
        <v>81</v>
      </c>
      <c r="BJ17" s="38" t="s">
        <v>81</v>
      </c>
      <c r="BK17" s="38" t="s">
        <v>81</v>
      </c>
      <c r="BL17" s="38" t="s">
        <v>81</v>
      </c>
      <c r="BM17" s="38" t="s">
        <v>81</v>
      </c>
      <c r="BN17" s="38" t="s">
        <v>81</v>
      </c>
      <c r="BO17" s="38" t="s">
        <v>81</v>
      </c>
      <c r="BP17" s="38" t="s">
        <v>81</v>
      </c>
      <c r="BQ17" s="38" t="s">
        <v>81</v>
      </c>
      <c r="BR17" s="38" t="s">
        <v>81</v>
      </c>
      <c r="BS17" s="38" t="s">
        <v>81</v>
      </c>
      <c r="BT17" s="38" t="s">
        <v>81</v>
      </c>
      <c r="BU17" s="95">
        <v>100</v>
      </c>
      <c r="BV17" s="96">
        <v>1</v>
      </c>
      <c r="BW17" s="42" t="s">
        <v>81</v>
      </c>
      <c r="BX17" s="97" t="s">
        <v>81</v>
      </c>
      <c r="BY17" s="97" t="s">
        <v>81</v>
      </c>
      <c r="BZ17" s="97" t="s">
        <v>81</v>
      </c>
      <c r="CA17" s="97" t="s">
        <v>81</v>
      </c>
      <c r="CB17" s="97" t="s">
        <v>81</v>
      </c>
      <c r="CC17" s="97" t="s">
        <v>81</v>
      </c>
      <c r="CD17" s="97" t="s">
        <v>81</v>
      </c>
      <c r="CE17" s="97" t="s">
        <v>81</v>
      </c>
      <c r="CF17" s="97" t="s">
        <v>81</v>
      </c>
      <c r="CG17" s="97" t="s">
        <v>81</v>
      </c>
      <c r="CH17" s="97" t="s">
        <v>81</v>
      </c>
      <c r="CI17" s="97" t="s">
        <v>81</v>
      </c>
      <c r="CJ17" s="97" t="s">
        <v>81</v>
      </c>
      <c r="CK17" s="97" t="s">
        <v>81</v>
      </c>
      <c r="CL17" s="97" t="s">
        <v>81</v>
      </c>
      <c r="CM17" s="97" t="s">
        <v>81</v>
      </c>
      <c r="CN17" s="97" t="s">
        <v>81</v>
      </c>
      <c r="CO17" s="97" t="s">
        <v>81</v>
      </c>
      <c r="CP17" s="97" t="s">
        <v>81</v>
      </c>
      <c r="CQ17" s="98">
        <v>100</v>
      </c>
      <c r="CR17" s="99">
        <v>1</v>
      </c>
      <c r="CS17" s="44" t="s">
        <v>81</v>
      </c>
      <c r="CT17" s="100" t="s">
        <v>81</v>
      </c>
      <c r="CU17" s="100" t="s">
        <v>81</v>
      </c>
      <c r="CV17" s="100" t="s">
        <v>81</v>
      </c>
      <c r="CW17" s="100" t="s">
        <v>81</v>
      </c>
      <c r="CX17" s="100" t="s">
        <v>81</v>
      </c>
      <c r="CY17" s="100" t="s">
        <v>81</v>
      </c>
      <c r="CZ17" s="100" t="s">
        <v>81</v>
      </c>
      <c r="DA17" s="100" t="s">
        <v>81</v>
      </c>
      <c r="DB17" s="100" t="s">
        <v>81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>
      <c r="E18" s="49">
        <v>1</v>
      </c>
      <c r="F18" s="108">
        <f>IF(NOT(ISBLANK('Midterm OVPAA-F-INS-055A RAW SC'!F18)),'Midterm OVPAA-F-INS-055A RAW SC'!F18,"")</f>
        <v>2201103564</v>
      </c>
      <c r="G18" s="51" t="str">
        <f>IF(NOT(ISBLANK('Midterm OVPAA-F-INS-055A RAW SC'!G18)),'Midterm OVPAA-F-INS-055A RAW SC'!G18,"")</f>
        <v>Albarracin, Donna Igar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>
      <c r="E19" s="59">
        <v>2</v>
      </c>
      <c r="F19" s="124">
        <f>IF(NOT(ISBLANK('Midterm OVPAA-F-INS-055A RAW SC'!F19)),'Midterm OVPAA-F-INS-055A RAW SC'!F19,"")</f>
        <v>2201109992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>
      <c r="E20" s="59">
        <v>3</v>
      </c>
      <c r="F20" s="124">
        <f>IF(NOT(ISBLANK('Midterm OVPAA-F-INS-055A RAW SC'!F20)),'Midterm OVPAA-F-INS-055A RAW SC'!F20,"")</f>
        <v>2001102089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2201105829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2201103056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2201100446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1801101449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2201104090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2201100596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1801104290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2201104808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1801102006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2201104863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2001103502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2201101446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2201101849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2201105671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2201110117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2201102197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2201104861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2201106018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2201100405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2201108251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DC15:DC16"/>
    <mergeCell ref="DD15:DD16"/>
    <mergeCell ref="BV9:CO9"/>
    <mergeCell ref="DC9:DG9"/>
    <mergeCell ref="CS13:DD14"/>
    <mergeCell ref="DE13:DG13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K11:O11"/>
    <mergeCell ref="S11:U11"/>
    <mergeCell ref="V11:Z11"/>
    <mergeCell ref="BL11:BP11"/>
    <mergeCell ref="BL7:BP7"/>
    <mergeCell ref="S10:U10"/>
    <mergeCell ref="V10:Z10"/>
    <mergeCell ref="BL9:BP9"/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zoomScale="72" workbookViewId="0">
      <selection activeCell="C10" sqref="C10"/>
    </sheetView>
  </sheetViews>
  <sheetFormatPr defaultColWidth="14.42578125" defaultRowHeight="15" customHeight="1"/>
  <cols>
    <col min="1" max="1" width="9" customWidth="1"/>
    <col min="2" max="2" width="18.7109375" customWidth="1"/>
    <col min="3" max="3" width="10.85546875" customWidth="1"/>
    <col min="4" max="4" width="18" customWidth="1"/>
    <col min="5" max="5" width="15.42578125" customWidth="1"/>
    <col min="6" max="6" width="7.42578125" customWidth="1"/>
    <col min="7" max="7" width="3.7109375" customWidth="1"/>
    <col min="8" max="8" width="12.28515625" customWidth="1"/>
    <col min="9" max="9" width="12" customWidth="1"/>
    <col min="10" max="11" width="10.7109375" customWidth="1"/>
    <col min="12" max="12" width="13.85546875" customWidth="1"/>
    <col min="13" max="13" width="12.140625" customWidth="1"/>
    <col min="14" max="14" width="10.7109375" customWidth="1"/>
    <col min="15" max="16" width="11.85546875" customWidth="1"/>
    <col min="17" max="17" width="10.7109375" customWidth="1"/>
    <col min="19" max="33" width="9" customWidth="1"/>
  </cols>
  <sheetData>
    <row r="1" spans="1:33">
      <c r="A1" s="174" t="s">
        <v>54</v>
      </c>
    </row>
    <row r="2" spans="1:33">
      <c r="B2" s="233" t="s">
        <v>0</v>
      </c>
      <c r="C2" s="227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</row>
    <row r="3" spans="1:33" ht="16.5">
      <c r="B3" s="234" t="s">
        <v>1</v>
      </c>
      <c r="C3" s="227"/>
      <c r="D3" s="227"/>
      <c r="E3" s="227"/>
      <c r="F3" s="227"/>
      <c r="G3" s="227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</row>
    <row r="4" spans="1:33">
      <c r="B4" s="235" t="s">
        <v>2</v>
      </c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</row>
    <row r="5" spans="1:33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.25">
      <c r="A6" s="177"/>
      <c r="B6" s="236" t="s">
        <v>93</v>
      </c>
      <c r="C6" s="23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7"/>
      <c r="P6" s="237"/>
      <c r="Q6" s="237"/>
      <c r="R6" s="23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.25">
      <c r="A7" s="222" t="s">
        <v>3</v>
      </c>
      <c r="B7" s="224"/>
      <c r="C7" s="178" t="str">
        <f>IF('Midterm OVPAA-F-INS-055A RAW SC'!G7="","",'Midterm OVPAA-F-INS-055A RAW SC'!G7)</f>
        <v>T40</v>
      </c>
      <c r="D7" s="179"/>
      <c r="E7" s="179"/>
      <c r="F7" s="238" t="s">
        <v>94</v>
      </c>
      <c r="G7" s="223"/>
      <c r="H7" s="223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.25">
      <c r="A8" s="222" t="s">
        <v>7</v>
      </c>
      <c r="B8" s="224"/>
      <c r="C8" s="183" t="str">
        <f>IF('Midterm OVPAA-F-INS-055A RAW SC'!G8="","",'Midterm OVPAA-F-INS-055A RAW SC'!G8)</f>
        <v>DA 142</v>
      </c>
      <c r="D8" s="184"/>
      <c r="E8" s="184"/>
      <c r="F8" s="238" t="s">
        <v>95</v>
      </c>
      <c r="G8" s="223"/>
      <c r="H8" s="223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.25">
      <c r="A9" s="222" t="s">
        <v>96</v>
      </c>
      <c r="B9" s="224"/>
      <c r="C9" s="183" t="str">
        <f>IF('Midterm OVPAA-F-INS-055A RAW SC'!G9="","",'Midterm OVPAA-F-INS-055A RAW SC'!G9)</f>
        <v>Animation Design and Production</v>
      </c>
      <c r="D9" s="184"/>
      <c r="E9" s="184"/>
      <c r="F9" s="239" t="s">
        <v>97</v>
      </c>
      <c r="G9" s="237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.25">
      <c r="A10" s="222" t="s">
        <v>98</v>
      </c>
      <c r="B10" s="224"/>
      <c r="C10" s="178" t="str">
        <f>'Midterm OVPAA-F-INS-055A RAW SC'!G10&amp;"/"&amp;'Midterm OVPAA-F-INS-055A RAW SC'!G11</f>
        <v>1st Sem/2025-2026</v>
      </c>
      <c r="D10" s="179"/>
      <c r="E10" s="186"/>
      <c r="F10" s="238"/>
      <c r="G10" s="223"/>
      <c r="H10" s="224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.25">
      <c r="A11" s="189"/>
      <c r="B11" s="189"/>
      <c r="C11" s="181"/>
      <c r="D11" s="181"/>
      <c r="E11" s="181"/>
      <c r="F11" s="241" t="s">
        <v>99</v>
      </c>
      <c r="G11" s="223"/>
      <c r="H11" s="223"/>
      <c r="I11" s="223"/>
      <c r="J11" s="224"/>
      <c r="K11" s="241" t="s">
        <v>100</v>
      </c>
      <c r="L11" s="223"/>
      <c r="M11" s="223"/>
      <c r="N11" s="224"/>
      <c r="O11" s="242" t="s">
        <v>101</v>
      </c>
      <c r="P11" s="227"/>
      <c r="Q11" s="24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.25">
      <c r="A12" s="191" t="s">
        <v>102</v>
      </c>
      <c r="B12" s="191" t="s">
        <v>103</v>
      </c>
      <c r="C12" s="241" t="s">
        <v>104</v>
      </c>
      <c r="D12" s="223"/>
      <c r="E12" s="224"/>
      <c r="F12" s="241" t="str">
        <f>_xlfn.CONCAT(_xlfn.CONCAT("CS (",'Finalterm OVPAA-F-INS-055B CLAS'!DE15*100),"%)")</f>
        <v>CS (30%)</v>
      </c>
      <c r="G12" s="224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105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106</v>
      </c>
      <c r="O12" s="191" t="s">
        <v>107</v>
      </c>
      <c r="P12" s="191" t="s">
        <v>108</v>
      </c>
      <c r="Q12" s="191" t="s">
        <v>79</v>
      </c>
      <c r="R12" s="191" t="s">
        <v>109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.25">
      <c r="A13" s="193">
        <v>1</v>
      </c>
      <c r="B13" s="193">
        <f>IF(NOT(ISBLANK('Midterm OVPAA-F-INS-055A RAW SC'!F18)),'Midterm OVPAA-F-INS-055A RAW SC'!F18,"")</f>
        <v>2201103564</v>
      </c>
      <c r="C13" s="222" t="str">
        <f>IF(NOT(ISBLANK('Midterm OVPAA-F-INS-055A RAW SC'!G18)),'Midterm OVPAA-F-INS-055A RAW SC'!G18,"")</f>
        <v>Albarracin, Donna Igar</v>
      </c>
      <c r="D13" s="223"/>
      <c r="E13" s="224"/>
      <c r="F13" s="225">
        <f>'MidTerm OVPAA-F-INS-055B CLASS'!BV18</f>
        <v>5</v>
      </c>
      <c r="G13" s="224"/>
      <c r="H13" s="194">
        <f>'MidTerm OVPAA-F-INS-055B CLASS'!CR18</f>
        <v>5</v>
      </c>
      <c r="I13" s="195">
        <f>'MidTerm OVPAA-F-INS-055B CLASS'!DD18</f>
        <v>5</v>
      </c>
      <c r="J13" s="195" t="str">
        <f>'MidTerm OVPAA-F-INS-055B CLASS'!DI18</f>
        <v>5.00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 t="str">
        <f t="shared" ref="O13:O112" si="0">J13</f>
        <v>5.00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134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.25">
      <c r="A14" s="193">
        <v>2</v>
      </c>
      <c r="B14" s="193">
        <f>IF(NOT(ISBLANK('Midterm OVPAA-F-INS-055A RAW SC'!F19)),'Midterm OVPAA-F-INS-055A RAW SC'!F19,"")</f>
        <v>2201109992</v>
      </c>
      <c r="C14" s="222" t="str">
        <f>IF(NOT(ISBLANK('Midterm OVPAA-F-INS-055A RAW SC'!G19)),'Midterm OVPAA-F-INS-055A RAW SC'!G19,"")</f>
        <v>Añonuevo, Thomas Franz</v>
      </c>
      <c r="D14" s="223"/>
      <c r="E14" s="224"/>
      <c r="F14" s="225">
        <f>'MidTerm OVPAA-F-INS-055B CLASS'!BV19</f>
        <v>2.75</v>
      </c>
      <c r="G14" s="224"/>
      <c r="H14" s="194">
        <f>'MidTerm OVPAA-F-INS-055B CLASS'!CR19</f>
        <v>1.5</v>
      </c>
      <c r="I14" s="195">
        <f>'MidTerm OVPAA-F-INS-055B CLASS'!DD19</f>
        <v>1.75</v>
      </c>
      <c r="J14" s="195" t="str">
        <f>'MidTerm OVPAA-F-INS-055B CLASS'!DI19</f>
        <v>2.00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2.00</v>
      </c>
      <c r="P14" s="195" t="str">
        <f t="shared" si="1"/>
        <v>3.00</v>
      </c>
      <c r="Q14" s="195" t="str">
        <f t="shared" si="2"/>
        <v>2.75</v>
      </c>
      <c r="R14" s="196" t="s">
        <v>110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.25">
      <c r="A15" s="193">
        <v>3</v>
      </c>
      <c r="B15" s="193">
        <f>IF(NOT(ISBLANK('Midterm OVPAA-F-INS-055A RAW SC'!F20)),'Midterm OVPAA-F-INS-055A RAW SC'!F20,"")</f>
        <v>2001102089</v>
      </c>
      <c r="C15" s="222" t="str">
        <f>IF(NOT(ISBLANK('Midterm OVPAA-F-INS-055A RAW SC'!G20)),'Midterm OVPAA-F-INS-055A RAW SC'!G20,"")</f>
        <v>Cabuco, Dean Krist A.</v>
      </c>
      <c r="D15" s="223"/>
      <c r="E15" s="224"/>
      <c r="F15" s="225">
        <f>'MidTerm OVPAA-F-INS-055B CLASS'!BV20</f>
        <v>2.75</v>
      </c>
      <c r="G15" s="224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110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.25">
      <c r="A16" s="193">
        <v>4</v>
      </c>
      <c r="B16" s="193">
        <f>IF(NOT(ISBLANK('Midterm OVPAA-F-INS-055A RAW SC'!F21)),'Midterm OVPAA-F-INS-055A RAW SC'!F21,"")</f>
        <v>2201105829</v>
      </c>
      <c r="C16" s="222" t="str">
        <f>IF(NOT(ISBLANK('Midterm OVPAA-F-INS-055A RAW SC'!G21)),'Midterm OVPAA-F-INS-055A RAW SC'!G21,"")</f>
        <v>De Guzman, Jim Dale Manong</v>
      </c>
      <c r="D16" s="223"/>
      <c r="E16" s="224"/>
      <c r="F16" s="225">
        <f>'MidTerm OVPAA-F-INS-055B CLASS'!BV21</f>
        <v>5</v>
      </c>
      <c r="G16" s="224"/>
      <c r="H16" s="194">
        <f>'MidTerm OVPAA-F-INS-055B CLASS'!CR21</f>
        <v>1.75</v>
      </c>
      <c r="I16" s="195">
        <f>'MidTerm OVPAA-F-INS-055B CLASS'!DD21</f>
        <v>2.25</v>
      </c>
      <c r="J16" s="195" t="str">
        <f>'MidTerm OVPAA-F-INS-055B CLASS'!DI21</f>
        <v>3.00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3.00</v>
      </c>
      <c r="P16" s="195" t="str">
        <f t="shared" si="1"/>
        <v>2.75</v>
      </c>
      <c r="Q16" s="195" t="str">
        <f t="shared" si="2"/>
        <v>2.75</v>
      </c>
      <c r="R16" s="196" t="s">
        <v>110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.25">
      <c r="A17" s="193">
        <v>5</v>
      </c>
      <c r="B17" s="193">
        <f>IF(NOT(ISBLANK('Midterm OVPAA-F-INS-055A RAW SC'!F22)),'Midterm OVPAA-F-INS-055A RAW SC'!F22,"")</f>
        <v>2201103056</v>
      </c>
      <c r="C17" s="222" t="str">
        <f>IF(NOT(ISBLANK('Midterm OVPAA-F-INS-055A RAW SC'!G22)),'Midterm OVPAA-F-INS-055A RAW SC'!G22,"")</f>
        <v>Dela Cerna, Johann Derek Javier</v>
      </c>
      <c r="D17" s="223"/>
      <c r="E17" s="224"/>
      <c r="F17" s="225">
        <f>'MidTerm OVPAA-F-INS-055B CLASS'!BV22</f>
        <v>1.75</v>
      </c>
      <c r="G17" s="224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110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.25">
      <c r="A18" s="193">
        <v>6</v>
      </c>
      <c r="B18" s="193">
        <f>IF(NOT(ISBLANK('Midterm OVPAA-F-INS-055A RAW SC'!F23)),'Midterm OVPAA-F-INS-055A RAW SC'!F23,"")</f>
        <v>2201100446</v>
      </c>
      <c r="C18" s="222" t="str">
        <f>IF(NOT(ISBLANK('Midterm OVPAA-F-INS-055A RAW SC'!G23)),'Midterm OVPAA-F-INS-055A RAW SC'!G23,"")</f>
        <v>Delfin, Kyle Arnie Jopson</v>
      </c>
      <c r="D18" s="223"/>
      <c r="E18" s="224"/>
      <c r="F18" s="225">
        <f>'MidTerm OVPAA-F-INS-055B CLASS'!BV23</f>
        <v>3</v>
      </c>
      <c r="G18" s="224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110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.25">
      <c r="A19" s="193">
        <v>7</v>
      </c>
      <c r="B19" s="193">
        <f>IF(NOT(ISBLANK('Midterm OVPAA-F-INS-055A RAW SC'!F24)),'Midterm OVPAA-F-INS-055A RAW SC'!F24,"")</f>
        <v>1801101449</v>
      </c>
      <c r="C19" s="222" t="str">
        <f>IF(NOT(ISBLANK('Midterm OVPAA-F-INS-055A RAW SC'!G24)),'Midterm OVPAA-F-INS-055A RAW SC'!G24,"")</f>
        <v>Gumapac, Jannerie</v>
      </c>
      <c r="D19" s="223"/>
      <c r="E19" s="224"/>
      <c r="F19" s="225">
        <f>'MidTerm OVPAA-F-INS-055B CLASS'!BV24</f>
        <v>2.75</v>
      </c>
      <c r="G19" s="224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110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.25">
      <c r="A20" s="193">
        <v>8</v>
      </c>
      <c r="B20" s="193">
        <f>IF(NOT(ISBLANK('Midterm OVPAA-F-INS-055A RAW SC'!F25)),'Midterm OVPAA-F-INS-055A RAW SC'!F25,"")</f>
        <v>2201104090</v>
      </c>
      <c r="C20" s="222" t="str">
        <f>IF(NOT(ISBLANK('Midterm OVPAA-F-INS-055A RAW SC'!G25)),'Midterm OVPAA-F-INS-055A RAW SC'!G25,"")</f>
        <v>Lantinay, Pol Edison</v>
      </c>
      <c r="D20" s="223"/>
      <c r="E20" s="224"/>
      <c r="F20" s="225">
        <f>'MidTerm OVPAA-F-INS-055B CLASS'!BV25</f>
        <v>5</v>
      </c>
      <c r="G20" s="224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2.50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2.50</v>
      </c>
      <c r="P20" s="195" t="str">
        <f t="shared" si="1"/>
        <v>2.25</v>
      </c>
      <c r="Q20" s="195" t="str">
        <f t="shared" si="2"/>
        <v>2.25</v>
      </c>
      <c r="R20" s="196" t="s">
        <v>110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2201100596</v>
      </c>
      <c r="C21" s="222" t="str">
        <f>IF(NOT(ISBLANK('Midterm OVPAA-F-INS-055A RAW SC'!G26)),'Midterm OVPAA-F-INS-055A RAW SC'!G26,"")</f>
        <v>Lintawahan, Maria Elisabeth</v>
      </c>
      <c r="D21" s="223"/>
      <c r="E21" s="224"/>
      <c r="F21" s="225">
        <f>'MidTerm OVPAA-F-INS-055B CLASS'!BV26</f>
        <v>3.5</v>
      </c>
      <c r="G21" s="224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2.25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2.25</v>
      </c>
      <c r="P21" s="195" t="str">
        <f t="shared" si="1"/>
        <v>5.00</v>
      </c>
      <c r="Q21" s="195" t="str">
        <f t="shared" si="2"/>
        <v>5.00</v>
      </c>
      <c r="R21" s="196" t="s">
        <v>134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1801104290</v>
      </c>
      <c r="C22" s="222" t="str">
        <f>IF(NOT(ISBLANK('Midterm OVPAA-F-INS-055A RAW SC'!G27)),'Midterm OVPAA-F-INS-055A RAW SC'!G27,"")</f>
        <v>Lisondra, Christian Earl</v>
      </c>
      <c r="D22" s="223"/>
      <c r="E22" s="224"/>
      <c r="F22" s="225">
        <f>'MidTerm OVPAA-F-INS-055B CLASS'!BV27</f>
        <v>2.25</v>
      </c>
      <c r="G22" s="224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110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2201104808</v>
      </c>
      <c r="C23" s="222" t="str">
        <f>IF(NOT(ISBLANK('Midterm OVPAA-F-INS-055A RAW SC'!G28)),'Midterm OVPAA-F-INS-055A RAW SC'!G28,"")</f>
        <v>Magante, Jerson</v>
      </c>
      <c r="D23" s="223"/>
      <c r="E23" s="224"/>
      <c r="F23" s="225">
        <f>'MidTerm OVPAA-F-INS-055B CLASS'!BV28</f>
        <v>3.25</v>
      </c>
      <c r="G23" s="224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2.25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2.25</v>
      </c>
      <c r="P23" s="195" t="str">
        <f t="shared" si="1"/>
        <v>1.75</v>
      </c>
      <c r="Q23" s="195" t="str">
        <f t="shared" si="2"/>
        <v>2.00</v>
      </c>
      <c r="R23" s="196" t="s">
        <v>110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1801102006</v>
      </c>
      <c r="C24" s="222" t="str">
        <f>IF(NOT(ISBLANK('Midterm OVPAA-F-INS-055A RAW SC'!G29)),'Midterm OVPAA-F-INS-055A RAW SC'!G29,"")</f>
        <v>Maraon, EJ Kate</v>
      </c>
      <c r="D24" s="223"/>
      <c r="E24" s="224"/>
      <c r="F24" s="225">
        <f>'MidTerm OVPAA-F-INS-055B CLASS'!BV29</f>
        <v>5</v>
      </c>
      <c r="G24" s="224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2.75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2.75</v>
      </c>
      <c r="P24" s="195" t="str">
        <f t="shared" si="1"/>
        <v>1.75</v>
      </c>
      <c r="Q24" s="195" t="str">
        <f t="shared" si="2"/>
        <v>2.00</v>
      </c>
      <c r="R24" s="196" t="s">
        <v>110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2201104863</v>
      </c>
      <c r="C25" s="222" t="str">
        <f>IF(NOT(ISBLANK('Midterm OVPAA-F-INS-055A RAW SC'!G30)),'Midterm OVPAA-F-INS-055A RAW SC'!G30,"")</f>
        <v>Melendez, Jeter Giambi</v>
      </c>
      <c r="D25" s="223"/>
      <c r="E25" s="224"/>
      <c r="F25" s="225">
        <f>'MidTerm OVPAA-F-INS-055B CLASS'!BV30</f>
        <v>3</v>
      </c>
      <c r="G25" s="224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2.00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2.00</v>
      </c>
      <c r="P25" s="195" t="str">
        <f t="shared" si="1"/>
        <v>1.25</v>
      </c>
      <c r="Q25" s="195" t="str">
        <f t="shared" si="2"/>
        <v>1.50</v>
      </c>
      <c r="R25" s="196" t="s">
        <v>110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2001103502</v>
      </c>
      <c r="C26" s="222" t="str">
        <f>IF(NOT(ISBLANK('Midterm OVPAA-F-INS-055A RAW SC'!G31)),'Midterm OVPAA-F-INS-055A RAW SC'!G31,"")</f>
        <v>Merina, Meljon G.</v>
      </c>
      <c r="D26" s="223"/>
      <c r="E26" s="224"/>
      <c r="F26" s="225">
        <f>'MidTerm OVPAA-F-INS-055B CLASS'!BV31</f>
        <v>1.25</v>
      </c>
      <c r="G26" s="224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110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2201101446</v>
      </c>
      <c r="C27" s="222" t="str">
        <f>IF(NOT(ISBLANK('Midterm OVPAA-F-INS-055A RAW SC'!G32)),'Midterm OVPAA-F-INS-055A RAW SC'!G32,"")</f>
        <v>Neri, Jaira Greist</v>
      </c>
      <c r="D27" s="223"/>
      <c r="E27" s="224"/>
      <c r="F27" s="225">
        <f>'MidTerm OVPAA-F-INS-055B CLASS'!BV32</f>
        <v>4</v>
      </c>
      <c r="G27" s="224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2.00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2.00</v>
      </c>
      <c r="P27" s="195" t="str">
        <f t="shared" si="1"/>
        <v>1.50</v>
      </c>
      <c r="Q27" s="195" t="str">
        <f t="shared" si="2"/>
        <v>1.75</v>
      </c>
      <c r="R27" s="196" t="s">
        <v>110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2201101849</v>
      </c>
      <c r="C28" s="222" t="str">
        <f>IF(NOT(ISBLANK('Midterm OVPAA-F-INS-055A RAW SC'!G33)),'Midterm OVPAA-F-INS-055A RAW SC'!G33,"")</f>
        <v>Noval, Miky</v>
      </c>
      <c r="D28" s="223"/>
      <c r="E28" s="224"/>
      <c r="F28" s="225">
        <f>'MidTerm OVPAA-F-INS-055B CLASS'!BV33</f>
        <v>5</v>
      </c>
      <c r="G28" s="224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2.75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2.75</v>
      </c>
      <c r="P28" s="195" t="str">
        <f t="shared" si="1"/>
        <v>1.75</v>
      </c>
      <c r="Q28" s="195" t="str">
        <f t="shared" si="2"/>
        <v>2.00</v>
      </c>
      <c r="R28" s="196" t="s">
        <v>110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2201105671</v>
      </c>
      <c r="C29" s="222" t="str">
        <f>IF(NOT(ISBLANK('Midterm OVPAA-F-INS-055A RAW SC'!G34)),'Midterm OVPAA-F-INS-055A RAW SC'!G34,"")</f>
        <v>Nuer, Jaymarc</v>
      </c>
      <c r="D29" s="223"/>
      <c r="E29" s="224"/>
      <c r="F29" s="225">
        <f>'MidTerm OVPAA-F-INS-055B CLASS'!BV34</f>
        <v>5</v>
      </c>
      <c r="G29" s="224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3.00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3.00</v>
      </c>
      <c r="P29" s="195" t="str">
        <f t="shared" si="1"/>
        <v>1.75</v>
      </c>
      <c r="Q29" s="195" t="str">
        <f t="shared" si="2"/>
        <v>2.25</v>
      </c>
      <c r="R29" s="196" t="s">
        <v>110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2201110117</v>
      </c>
      <c r="C30" s="222" t="str">
        <f>IF(NOT(ISBLANK('Midterm OVPAA-F-INS-055A RAW SC'!G35)),'Midterm OVPAA-F-INS-055A RAW SC'!G35,"")</f>
        <v>Publico, Rogelio</v>
      </c>
      <c r="D30" s="223"/>
      <c r="E30" s="224"/>
      <c r="F30" s="225">
        <f>'MidTerm OVPAA-F-INS-055B CLASS'!BV35</f>
        <v>1.5</v>
      </c>
      <c r="G30" s="224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110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2201102197</v>
      </c>
      <c r="C31" s="222" t="str">
        <f>IF(NOT(ISBLANK('Midterm OVPAA-F-INS-055A RAW SC'!G36)),'Midterm OVPAA-F-INS-055A RAW SC'!G36,"")</f>
        <v>Rivera, Juvel</v>
      </c>
      <c r="D31" s="223"/>
      <c r="E31" s="224"/>
      <c r="F31" s="225">
        <f>'MidTerm OVPAA-F-INS-055B CLASS'!BV36</f>
        <v>3.75</v>
      </c>
      <c r="G31" s="224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2.50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2.50</v>
      </c>
      <c r="P31" s="195" t="str">
        <f t="shared" si="1"/>
        <v>1.75</v>
      </c>
      <c r="Q31" s="195" t="str">
        <f t="shared" si="2"/>
        <v>2.00</v>
      </c>
      <c r="R31" s="196" t="s">
        <v>110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2201104861</v>
      </c>
      <c r="C32" s="222" t="str">
        <f>IF(NOT(ISBLANK('Midterm OVPAA-F-INS-055A RAW SC'!G37)),'Midterm OVPAA-F-INS-055A RAW SC'!G37,"")</f>
        <v>Rubio, Pia Pilar</v>
      </c>
      <c r="D32" s="223"/>
      <c r="E32" s="224"/>
      <c r="F32" s="225">
        <f>'MidTerm OVPAA-F-INS-055B CLASS'!BV37</f>
        <v>1.75</v>
      </c>
      <c r="G32" s="224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110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2201106018</v>
      </c>
      <c r="C33" s="222" t="str">
        <f>IF(NOT(ISBLANK('Midterm OVPAA-F-INS-055A RAW SC'!G38)),'Midterm OVPAA-F-INS-055A RAW SC'!G38,"")</f>
        <v>Salto, Mary Natalie</v>
      </c>
      <c r="D33" s="223"/>
      <c r="E33" s="224"/>
      <c r="F33" s="225">
        <f>'MidTerm OVPAA-F-INS-055B CLASS'!BV38</f>
        <v>2.75</v>
      </c>
      <c r="G33" s="224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1.75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1.75</v>
      </c>
      <c r="P33" s="195" t="str">
        <f t="shared" si="1"/>
        <v>1.50</v>
      </c>
      <c r="Q33" s="195" t="str">
        <f t="shared" si="2"/>
        <v>1.50</v>
      </c>
      <c r="R33" s="196" t="s">
        <v>110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2201100405</v>
      </c>
      <c r="C34" s="222" t="str">
        <f>IF(NOT(ISBLANK('Midterm OVPAA-F-INS-055A RAW SC'!G39)),'Midterm OVPAA-F-INS-055A RAW SC'!G39,"")</f>
        <v>Tilanduca, Khiara</v>
      </c>
      <c r="D34" s="223"/>
      <c r="E34" s="224"/>
      <c r="F34" s="225">
        <f>'MidTerm OVPAA-F-INS-055B CLASS'!BV39</f>
        <v>4</v>
      </c>
      <c r="G34" s="224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2.00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2.00</v>
      </c>
      <c r="P34" s="195" t="str">
        <f t="shared" si="1"/>
        <v>1.50</v>
      </c>
      <c r="Q34" s="195" t="str">
        <f t="shared" si="2"/>
        <v>1.75</v>
      </c>
      <c r="R34" s="196" t="s">
        <v>110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2201108251</v>
      </c>
      <c r="C35" s="222" t="str">
        <f>IF(NOT(ISBLANK('Midterm OVPAA-F-INS-055A RAW SC'!G40)),'Midterm OVPAA-F-INS-055A RAW SC'!G40,"")</f>
        <v>Valdez, John Winchel</v>
      </c>
      <c r="D35" s="223"/>
      <c r="E35" s="224"/>
      <c r="F35" s="225">
        <f>'MidTerm OVPAA-F-INS-055B CLASS'!BV40</f>
        <v>4</v>
      </c>
      <c r="G35" s="224"/>
      <c r="H35" s="194">
        <f>'MidTerm OVPAA-F-INS-055B CLASS'!CR40</f>
        <v>1.5</v>
      </c>
      <c r="I35" s="195">
        <f>'MidTerm OVPAA-F-INS-055B CLASS'!DD40</f>
        <v>2</v>
      </c>
      <c r="J35" s="195" t="str">
        <f>'MidTerm OVPAA-F-INS-055B CLASS'!DI40</f>
        <v>2.50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2.50</v>
      </c>
      <c r="P35" s="195" t="str">
        <f t="shared" si="1"/>
        <v>1.25</v>
      </c>
      <c r="Q35" s="195" t="str">
        <f t="shared" si="2"/>
        <v>1.75</v>
      </c>
      <c r="R35" s="196" t="s">
        <v>110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2" t="str">
        <f>IF(NOT(ISBLANK('Midterm OVPAA-F-INS-055A RAW SC'!G41)),'Midterm OVPAA-F-INS-055A RAW SC'!G41,"")</f>
        <v/>
      </c>
      <c r="D36" s="223"/>
      <c r="E36" s="224"/>
      <c r="F36" s="225" t="str">
        <f>'MidTerm OVPAA-F-INS-055B CLASS'!BV41</f>
        <v/>
      </c>
      <c r="G36" s="224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2" t="str">
        <f>IF(NOT(ISBLANK('Midterm OVPAA-F-INS-055A RAW SC'!G42)),'Midterm OVPAA-F-INS-055A RAW SC'!G42,"")</f>
        <v/>
      </c>
      <c r="D37" s="223"/>
      <c r="E37" s="224"/>
      <c r="F37" s="225" t="str">
        <f>'MidTerm OVPAA-F-INS-055B CLASS'!BV42</f>
        <v/>
      </c>
      <c r="G37" s="224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2" t="str">
        <f>IF(NOT(ISBLANK('Midterm OVPAA-F-INS-055A RAW SC'!G43)),'Midterm OVPAA-F-INS-055A RAW SC'!G43,"")</f>
        <v/>
      </c>
      <c r="D38" s="223"/>
      <c r="E38" s="224"/>
      <c r="F38" s="225" t="str">
        <f>'MidTerm OVPAA-F-INS-055B CLASS'!BV43</f>
        <v/>
      </c>
      <c r="G38" s="224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2" t="str">
        <f>IF(NOT(ISBLANK('Midterm OVPAA-F-INS-055A RAW SC'!G44)),'Midterm OVPAA-F-INS-055A RAW SC'!G44,"")</f>
        <v/>
      </c>
      <c r="D39" s="223"/>
      <c r="E39" s="224"/>
      <c r="F39" s="225" t="str">
        <f>'MidTerm OVPAA-F-INS-055B CLASS'!BV44</f>
        <v/>
      </c>
      <c r="G39" s="224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2" t="str">
        <f>IF(NOT(ISBLANK('Midterm OVPAA-F-INS-055A RAW SC'!G45)),'Midterm OVPAA-F-INS-055A RAW SC'!G45,"")</f>
        <v/>
      </c>
      <c r="D40" s="223"/>
      <c r="E40" s="224"/>
      <c r="F40" s="225" t="str">
        <f>'MidTerm OVPAA-F-INS-055B CLASS'!BV45</f>
        <v/>
      </c>
      <c r="G40" s="224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2" t="str">
        <f>IF(NOT(ISBLANK('Midterm OVPAA-F-INS-055A RAW SC'!G46)),'Midterm OVPAA-F-INS-055A RAW SC'!G46,"")</f>
        <v/>
      </c>
      <c r="D41" s="223"/>
      <c r="E41" s="224"/>
      <c r="F41" s="225" t="str">
        <f>'MidTerm OVPAA-F-INS-055B CLASS'!BV46</f>
        <v/>
      </c>
      <c r="G41" s="224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2" t="str">
        <f>IF(NOT(ISBLANK('Midterm OVPAA-F-INS-055A RAW SC'!G47)),'Midterm OVPAA-F-INS-055A RAW SC'!G47,"")</f>
        <v/>
      </c>
      <c r="D42" s="223"/>
      <c r="E42" s="224"/>
      <c r="F42" s="225" t="str">
        <f>'MidTerm OVPAA-F-INS-055B CLASS'!BV47</f>
        <v/>
      </c>
      <c r="G42" s="224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2" t="str">
        <f>IF(NOT(ISBLANK('Midterm OVPAA-F-INS-055A RAW SC'!G48)),'Midterm OVPAA-F-INS-055A RAW SC'!G48,"")</f>
        <v/>
      </c>
      <c r="D43" s="223"/>
      <c r="E43" s="224"/>
      <c r="F43" s="225" t="str">
        <f>'MidTerm OVPAA-F-INS-055B CLASS'!BV48</f>
        <v/>
      </c>
      <c r="G43" s="224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2" t="str">
        <f>IF(NOT(ISBLANK('Midterm OVPAA-F-INS-055A RAW SC'!G49)),'Midterm OVPAA-F-INS-055A RAW SC'!G49,"")</f>
        <v/>
      </c>
      <c r="D44" s="223"/>
      <c r="E44" s="224"/>
      <c r="F44" s="225" t="str">
        <f>'MidTerm OVPAA-F-INS-055B CLASS'!BV49</f>
        <v/>
      </c>
      <c r="G44" s="224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2" t="str">
        <f>IF(NOT(ISBLANK('Midterm OVPAA-F-INS-055A RAW SC'!G50)),'Midterm OVPAA-F-INS-055A RAW SC'!G50,"")</f>
        <v/>
      </c>
      <c r="D45" s="223"/>
      <c r="E45" s="224"/>
      <c r="F45" s="225" t="str">
        <f>'MidTerm OVPAA-F-INS-055B CLASS'!BV50</f>
        <v/>
      </c>
      <c r="G45" s="224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2" t="str">
        <f>IF(NOT(ISBLANK('Midterm OVPAA-F-INS-055A RAW SC'!G51)),'Midterm OVPAA-F-INS-055A RAW SC'!G51,"")</f>
        <v/>
      </c>
      <c r="D46" s="223"/>
      <c r="E46" s="224"/>
      <c r="F46" s="225" t="str">
        <f>'MidTerm OVPAA-F-INS-055B CLASS'!BV51</f>
        <v/>
      </c>
      <c r="G46" s="224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2" t="str">
        <f>IF(NOT(ISBLANK('Midterm OVPAA-F-INS-055A RAW SC'!G52)),'Midterm OVPAA-F-INS-055A RAW SC'!G52,"")</f>
        <v/>
      </c>
      <c r="D47" s="223"/>
      <c r="E47" s="224"/>
      <c r="F47" s="225" t="str">
        <f>'MidTerm OVPAA-F-INS-055B CLASS'!BV52</f>
        <v/>
      </c>
      <c r="G47" s="224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2" t="str">
        <f>IF(NOT(ISBLANK('Midterm OVPAA-F-INS-055A RAW SC'!G53)),'Midterm OVPAA-F-INS-055A RAW SC'!G53,"")</f>
        <v/>
      </c>
      <c r="D48" s="223"/>
      <c r="E48" s="224"/>
      <c r="F48" s="225" t="str">
        <f>'MidTerm OVPAA-F-INS-055B CLASS'!BV53</f>
        <v/>
      </c>
      <c r="G48" s="224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2" t="str">
        <f>IF(NOT(ISBLANK('Midterm OVPAA-F-INS-055A RAW SC'!G54)),'Midterm OVPAA-F-INS-055A RAW SC'!G54,"")</f>
        <v/>
      </c>
      <c r="D49" s="223"/>
      <c r="E49" s="224"/>
      <c r="F49" s="225" t="str">
        <f>'MidTerm OVPAA-F-INS-055B CLASS'!BV54</f>
        <v/>
      </c>
      <c r="G49" s="224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2" t="str">
        <f>IF(NOT(ISBLANK('Midterm OVPAA-F-INS-055A RAW SC'!G55)),'Midterm OVPAA-F-INS-055A RAW SC'!G55,"")</f>
        <v/>
      </c>
      <c r="D50" s="223"/>
      <c r="E50" s="224"/>
      <c r="F50" s="225" t="str">
        <f>'MidTerm OVPAA-F-INS-055B CLASS'!BV55</f>
        <v/>
      </c>
      <c r="G50" s="224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2" t="str">
        <f>IF(NOT(ISBLANK('Midterm OVPAA-F-INS-055A RAW SC'!G56)),'Midterm OVPAA-F-INS-055A RAW SC'!G56,"")</f>
        <v/>
      </c>
      <c r="D51" s="223"/>
      <c r="E51" s="224"/>
      <c r="F51" s="225" t="str">
        <f>'MidTerm OVPAA-F-INS-055B CLASS'!BV56</f>
        <v/>
      </c>
      <c r="G51" s="224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2" t="str">
        <f>IF(NOT(ISBLANK('Midterm OVPAA-F-INS-055A RAW SC'!G57)),'Midterm OVPAA-F-INS-055A RAW SC'!G57,"")</f>
        <v/>
      </c>
      <c r="D52" s="223"/>
      <c r="E52" s="224"/>
      <c r="F52" s="225" t="str">
        <f>'MidTerm OVPAA-F-INS-055B CLASS'!BV57</f>
        <v/>
      </c>
      <c r="G52" s="224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2" t="str">
        <f>IF(NOT(ISBLANK('Midterm OVPAA-F-INS-055A RAW SC'!G58)),'Midterm OVPAA-F-INS-055A RAW SC'!G58,"")</f>
        <v/>
      </c>
      <c r="D53" s="223"/>
      <c r="E53" s="224"/>
      <c r="F53" s="225" t="str">
        <f>'MidTerm OVPAA-F-INS-055B CLASS'!BV58</f>
        <v/>
      </c>
      <c r="G53" s="224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2" t="str">
        <f>IF(NOT(ISBLANK('Midterm OVPAA-F-INS-055A RAW SC'!G59)),'Midterm OVPAA-F-INS-055A RAW SC'!G59,"")</f>
        <v/>
      </c>
      <c r="D54" s="223"/>
      <c r="E54" s="224"/>
      <c r="F54" s="225" t="str">
        <f>'MidTerm OVPAA-F-INS-055B CLASS'!BV59</f>
        <v/>
      </c>
      <c r="G54" s="224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2" t="str">
        <f>IF(NOT(ISBLANK('Midterm OVPAA-F-INS-055A RAW SC'!G60)),'Midterm OVPAA-F-INS-055A RAW SC'!G60,"")</f>
        <v/>
      </c>
      <c r="D55" s="223"/>
      <c r="E55" s="224"/>
      <c r="F55" s="225" t="str">
        <f>'MidTerm OVPAA-F-INS-055B CLASS'!BV60</f>
        <v/>
      </c>
      <c r="G55" s="224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2" t="str">
        <f>IF(NOT(ISBLANK('Midterm OVPAA-F-INS-055A RAW SC'!G61)),'Midterm OVPAA-F-INS-055A RAW SC'!G61,"")</f>
        <v/>
      </c>
      <c r="D56" s="223"/>
      <c r="E56" s="224"/>
      <c r="F56" s="225" t="str">
        <f>'MidTerm OVPAA-F-INS-055B CLASS'!BV61</f>
        <v/>
      </c>
      <c r="G56" s="224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2" t="str">
        <f>IF(NOT(ISBLANK('Midterm OVPAA-F-INS-055A RAW SC'!G62)),'Midterm OVPAA-F-INS-055A RAW SC'!G62,"")</f>
        <v/>
      </c>
      <c r="D57" s="223"/>
      <c r="E57" s="224"/>
      <c r="F57" s="225" t="str">
        <f>'MidTerm OVPAA-F-INS-055B CLASS'!BV62</f>
        <v/>
      </c>
      <c r="G57" s="224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2" t="str">
        <f>IF(NOT(ISBLANK('Midterm OVPAA-F-INS-055A RAW SC'!G63)),'Midterm OVPAA-F-INS-055A RAW SC'!G63,"")</f>
        <v/>
      </c>
      <c r="D58" s="223"/>
      <c r="E58" s="224"/>
      <c r="F58" s="225" t="str">
        <f>'MidTerm OVPAA-F-INS-055B CLASS'!BV63</f>
        <v/>
      </c>
      <c r="G58" s="224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2" t="str">
        <f>IF(NOT(ISBLANK('Midterm OVPAA-F-INS-055A RAW SC'!G64)),'Midterm OVPAA-F-INS-055A RAW SC'!G64,"")</f>
        <v/>
      </c>
      <c r="D59" s="223"/>
      <c r="E59" s="224"/>
      <c r="F59" s="225" t="str">
        <f>'MidTerm OVPAA-F-INS-055B CLASS'!BV64</f>
        <v/>
      </c>
      <c r="G59" s="224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2" t="str">
        <f>IF(NOT(ISBLANK('Midterm OVPAA-F-INS-055A RAW SC'!G65)),'Midterm OVPAA-F-INS-055A RAW SC'!G65,"")</f>
        <v/>
      </c>
      <c r="D60" s="223"/>
      <c r="E60" s="224"/>
      <c r="F60" s="225" t="str">
        <f>'MidTerm OVPAA-F-INS-055B CLASS'!BV65</f>
        <v/>
      </c>
      <c r="G60" s="224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2" t="str">
        <f>IF(NOT(ISBLANK('Midterm OVPAA-F-INS-055A RAW SC'!G66)),'Midterm OVPAA-F-INS-055A RAW SC'!G66,"")</f>
        <v/>
      </c>
      <c r="D61" s="223"/>
      <c r="E61" s="224"/>
      <c r="F61" s="225" t="str">
        <f>'MidTerm OVPAA-F-INS-055B CLASS'!BV66</f>
        <v/>
      </c>
      <c r="G61" s="224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2" t="str">
        <f>IF(NOT(ISBLANK('Midterm OVPAA-F-INS-055A RAW SC'!G67)),'Midterm OVPAA-F-INS-055A RAW SC'!G67,"")</f>
        <v/>
      </c>
      <c r="D62" s="223"/>
      <c r="E62" s="224"/>
      <c r="F62" s="225" t="str">
        <f>'MidTerm OVPAA-F-INS-055B CLASS'!BV67</f>
        <v/>
      </c>
      <c r="G62" s="224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2" t="str">
        <f>IF(NOT(ISBLANK('Midterm OVPAA-F-INS-055A RAW SC'!G68)),'Midterm OVPAA-F-INS-055A RAW SC'!G68,"")</f>
        <v/>
      </c>
      <c r="D63" s="223"/>
      <c r="E63" s="224"/>
      <c r="F63" s="225" t="str">
        <f>'MidTerm OVPAA-F-INS-055B CLASS'!BV68</f>
        <v/>
      </c>
      <c r="G63" s="224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2" t="str">
        <f>IF(NOT(ISBLANK('Midterm OVPAA-F-INS-055A RAW SC'!G69)),'Midterm OVPAA-F-INS-055A RAW SC'!G69,"")</f>
        <v/>
      </c>
      <c r="D64" s="223"/>
      <c r="E64" s="224"/>
      <c r="F64" s="225" t="str">
        <f>'MidTerm OVPAA-F-INS-055B CLASS'!BV69</f>
        <v/>
      </c>
      <c r="G64" s="224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2" t="str">
        <f>IF(NOT(ISBLANK('Midterm OVPAA-F-INS-055A RAW SC'!G70)),'Midterm OVPAA-F-INS-055A RAW SC'!G70,"")</f>
        <v/>
      </c>
      <c r="D65" s="223"/>
      <c r="E65" s="224"/>
      <c r="F65" s="225" t="str">
        <f>'MidTerm OVPAA-F-INS-055B CLASS'!BV70</f>
        <v/>
      </c>
      <c r="G65" s="224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2" t="str">
        <f>IF(NOT(ISBLANK('Midterm OVPAA-F-INS-055A RAW SC'!G71)),'Midterm OVPAA-F-INS-055A RAW SC'!G71,"")</f>
        <v/>
      </c>
      <c r="D66" s="223"/>
      <c r="E66" s="224"/>
      <c r="F66" s="225" t="str">
        <f>'MidTerm OVPAA-F-INS-055B CLASS'!BV71</f>
        <v/>
      </c>
      <c r="G66" s="224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2" t="str">
        <f>IF(NOT(ISBLANK('Midterm OVPAA-F-INS-055A RAW SC'!G72)),'Midterm OVPAA-F-INS-055A RAW SC'!G72,"")</f>
        <v/>
      </c>
      <c r="D67" s="223"/>
      <c r="E67" s="224"/>
      <c r="F67" s="225" t="str">
        <f>'MidTerm OVPAA-F-INS-055B CLASS'!BV72</f>
        <v/>
      </c>
      <c r="G67" s="224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2" t="str">
        <f>IF(NOT(ISBLANK('Midterm OVPAA-F-INS-055A RAW SC'!G73)),'Midterm OVPAA-F-INS-055A RAW SC'!G73,"")</f>
        <v/>
      </c>
      <c r="D68" s="223"/>
      <c r="E68" s="224"/>
      <c r="F68" s="225" t="str">
        <f>'MidTerm OVPAA-F-INS-055B CLASS'!BV73</f>
        <v/>
      </c>
      <c r="G68" s="224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2" t="str">
        <f>IF(NOT(ISBLANK('Midterm OVPAA-F-INS-055A RAW SC'!G74)),'Midterm OVPAA-F-INS-055A RAW SC'!G74,"")</f>
        <v/>
      </c>
      <c r="D69" s="223"/>
      <c r="E69" s="224"/>
      <c r="F69" s="225" t="str">
        <f>'MidTerm OVPAA-F-INS-055B CLASS'!BV74</f>
        <v/>
      </c>
      <c r="G69" s="224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2" t="str">
        <f>IF(NOT(ISBLANK('Midterm OVPAA-F-INS-055A RAW SC'!G75)),'Midterm OVPAA-F-INS-055A RAW SC'!G75,"")</f>
        <v/>
      </c>
      <c r="D70" s="223"/>
      <c r="E70" s="224"/>
      <c r="F70" s="225" t="str">
        <f>'MidTerm OVPAA-F-INS-055B CLASS'!BV75</f>
        <v/>
      </c>
      <c r="G70" s="224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2" t="str">
        <f>IF(NOT(ISBLANK('Midterm OVPAA-F-INS-055A RAW SC'!G76)),'Midterm OVPAA-F-INS-055A RAW SC'!G76,"")</f>
        <v/>
      </c>
      <c r="D71" s="223"/>
      <c r="E71" s="224"/>
      <c r="F71" s="225" t="str">
        <f>'MidTerm OVPAA-F-INS-055B CLASS'!BV76</f>
        <v/>
      </c>
      <c r="G71" s="224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2" t="str">
        <f>IF(NOT(ISBLANK('Midterm OVPAA-F-INS-055A RAW SC'!G77)),'Midterm OVPAA-F-INS-055A RAW SC'!G77,"")</f>
        <v/>
      </c>
      <c r="D72" s="223"/>
      <c r="E72" s="224"/>
      <c r="F72" s="225" t="str">
        <f>'MidTerm OVPAA-F-INS-055B CLASS'!BV77</f>
        <v/>
      </c>
      <c r="G72" s="224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2" t="str">
        <f>IF(NOT(ISBLANK('Midterm OVPAA-F-INS-055A RAW SC'!G78)),'Midterm OVPAA-F-INS-055A RAW SC'!G78,"")</f>
        <v/>
      </c>
      <c r="D73" s="223"/>
      <c r="E73" s="224"/>
      <c r="F73" s="225" t="str">
        <f>'MidTerm OVPAA-F-INS-055B CLASS'!BV78</f>
        <v/>
      </c>
      <c r="G73" s="224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2" t="str">
        <f>IF(NOT(ISBLANK('Midterm OVPAA-F-INS-055A RAW SC'!G79)),'Midterm OVPAA-F-INS-055A RAW SC'!G79,"")</f>
        <v/>
      </c>
      <c r="D74" s="223"/>
      <c r="E74" s="224"/>
      <c r="F74" s="225" t="str">
        <f>'MidTerm OVPAA-F-INS-055B CLASS'!BV79</f>
        <v/>
      </c>
      <c r="G74" s="224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2" t="str">
        <f>IF(NOT(ISBLANK('Midterm OVPAA-F-INS-055A RAW SC'!G80)),'Midterm OVPAA-F-INS-055A RAW SC'!G80,"")</f>
        <v/>
      </c>
      <c r="D75" s="223"/>
      <c r="E75" s="224"/>
      <c r="F75" s="225" t="str">
        <f>'MidTerm OVPAA-F-INS-055B CLASS'!BV80</f>
        <v/>
      </c>
      <c r="G75" s="224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2" t="str">
        <f>IF(NOT(ISBLANK('Midterm OVPAA-F-INS-055A RAW SC'!G81)),'Midterm OVPAA-F-INS-055A RAW SC'!G81,"")</f>
        <v/>
      </c>
      <c r="D76" s="223"/>
      <c r="E76" s="224"/>
      <c r="F76" s="225" t="str">
        <f>'MidTerm OVPAA-F-INS-055B CLASS'!BV81</f>
        <v/>
      </c>
      <c r="G76" s="224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2" t="str">
        <f>IF(NOT(ISBLANK('Midterm OVPAA-F-INS-055A RAW SC'!G82)),'Midterm OVPAA-F-INS-055A RAW SC'!G82,"")</f>
        <v/>
      </c>
      <c r="D77" s="223"/>
      <c r="E77" s="224"/>
      <c r="F77" s="225" t="str">
        <f>'MidTerm OVPAA-F-INS-055B CLASS'!BV82</f>
        <v/>
      </c>
      <c r="G77" s="224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2" t="str">
        <f>IF(NOT(ISBLANK('Midterm OVPAA-F-INS-055A RAW SC'!G83)),'Midterm OVPAA-F-INS-055A RAW SC'!G83,"")</f>
        <v/>
      </c>
      <c r="D78" s="223"/>
      <c r="E78" s="224"/>
      <c r="F78" s="225" t="str">
        <f>'MidTerm OVPAA-F-INS-055B CLASS'!BV83</f>
        <v/>
      </c>
      <c r="G78" s="224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2" t="str">
        <f>IF(NOT(ISBLANK('Midterm OVPAA-F-INS-055A RAW SC'!G84)),'Midterm OVPAA-F-INS-055A RAW SC'!G84,"")</f>
        <v/>
      </c>
      <c r="D79" s="223"/>
      <c r="E79" s="224"/>
      <c r="F79" s="225" t="str">
        <f>'MidTerm OVPAA-F-INS-055B CLASS'!BV84</f>
        <v/>
      </c>
      <c r="G79" s="224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2" t="str">
        <f>IF(NOT(ISBLANK('Midterm OVPAA-F-INS-055A RAW SC'!G85)),'Midterm OVPAA-F-INS-055A RAW SC'!G85,"")</f>
        <v/>
      </c>
      <c r="D80" s="223"/>
      <c r="E80" s="224"/>
      <c r="F80" s="225" t="str">
        <f>'MidTerm OVPAA-F-INS-055B CLASS'!BV85</f>
        <v/>
      </c>
      <c r="G80" s="224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2" t="str">
        <f>IF(NOT(ISBLANK('Midterm OVPAA-F-INS-055A RAW SC'!G86)),'Midterm OVPAA-F-INS-055A RAW SC'!G86,"")</f>
        <v/>
      </c>
      <c r="D81" s="223"/>
      <c r="E81" s="224"/>
      <c r="F81" s="225" t="str">
        <f>'MidTerm OVPAA-F-INS-055B CLASS'!BV86</f>
        <v/>
      </c>
      <c r="G81" s="224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2" t="str">
        <f>IF(NOT(ISBLANK('Midterm OVPAA-F-INS-055A RAW SC'!G87)),'Midterm OVPAA-F-INS-055A RAW SC'!G87,"")</f>
        <v/>
      </c>
      <c r="D82" s="223"/>
      <c r="E82" s="224"/>
      <c r="F82" s="225" t="str">
        <f>'MidTerm OVPAA-F-INS-055B CLASS'!BV87</f>
        <v/>
      </c>
      <c r="G82" s="224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2" t="str">
        <f>IF(NOT(ISBLANK('Midterm OVPAA-F-INS-055A RAW SC'!G88)),'Midterm OVPAA-F-INS-055A RAW SC'!G88,"")</f>
        <v/>
      </c>
      <c r="D83" s="223"/>
      <c r="E83" s="224"/>
      <c r="F83" s="225" t="str">
        <f>'MidTerm OVPAA-F-INS-055B CLASS'!BV88</f>
        <v/>
      </c>
      <c r="G83" s="224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2" t="str">
        <f>IF(NOT(ISBLANK('Midterm OVPAA-F-INS-055A RAW SC'!G89)),'Midterm OVPAA-F-INS-055A RAW SC'!G89,"")</f>
        <v/>
      </c>
      <c r="D84" s="223"/>
      <c r="E84" s="224"/>
      <c r="F84" s="225" t="str">
        <f>'MidTerm OVPAA-F-INS-055B CLASS'!BV89</f>
        <v/>
      </c>
      <c r="G84" s="224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2" t="str">
        <f>IF(NOT(ISBLANK('Midterm OVPAA-F-INS-055A RAW SC'!G90)),'Midterm OVPAA-F-INS-055A RAW SC'!G90,"")</f>
        <v/>
      </c>
      <c r="D85" s="223"/>
      <c r="E85" s="224"/>
      <c r="F85" s="225" t="str">
        <f>'MidTerm OVPAA-F-INS-055B CLASS'!BV90</f>
        <v/>
      </c>
      <c r="G85" s="224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2" t="str">
        <f>IF(NOT(ISBLANK('Midterm OVPAA-F-INS-055A RAW SC'!G91)),'Midterm OVPAA-F-INS-055A RAW SC'!G91,"")</f>
        <v/>
      </c>
      <c r="D86" s="223"/>
      <c r="E86" s="224"/>
      <c r="F86" s="225" t="str">
        <f>'MidTerm OVPAA-F-INS-055B CLASS'!BV91</f>
        <v/>
      </c>
      <c r="G86" s="224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2" t="str">
        <f>IF(NOT(ISBLANK('Midterm OVPAA-F-INS-055A RAW SC'!G92)),'Midterm OVPAA-F-INS-055A RAW SC'!G92,"")</f>
        <v/>
      </c>
      <c r="D87" s="223"/>
      <c r="E87" s="224"/>
      <c r="F87" s="225" t="str">
        <f>'MidTerm OVPAA-F-INS-055B CLASS'!BV92</f>
        <v/>
      </c>
      <c r="G87" s="224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2" t="str">
        <f>IF(NOT(ISBLANK('Midterm OVPAA-F-INS-055A RAW SC'!G93)),'Midterm OVPAA-F-INS-055A RAW SC'!G93,"")</f>
        <v/>
      </c>
      <c r="D88" s="223"/>
      <c r="E88" s="224"/>
      <c r="F88" s="225" t="str">
        <f>'MidTerm OVPAA-F-INS-055B CLASS'!BV93</f>
        <v/>
      </c>
      <c r="G88" s="224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2" t="str">
        <f>IF(NOT(ISBLANK('Midterm OVPAA-F-INS-055A RAW SC'!G94)),'Midterm OVPAA-F-INS-055A RAW SC'!G94,"")</f>
        <v/>
      </c>
      <c r="D89" s="223"/>
      <c r="E89" s="224"/>
      <c r="F89" s="225" t="str">
        <f>'MidTerm OVPAA-F-INS-055B CLASS'!BV94</f>
        <v/>
      </c>
      <c r="G89" s="224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2" t="str">
        <f>IF(NOT(ISBLANK('Midterm OVPAA-F-INS-055A RAW SC'!G95)),'Midterm OVPAA-F-INS-055A RAW SC'!G95,"")</f>
        <v/>
      </c>
      <c r="D90" s="223"/>
      <c r="E90" s="224"/>
      <c r="F90" s="225" t="str">
        <f>'MidTerm OVPAA-F-INS-055B CLASS'!BV95</f>
        <v/>
      </c>
      <c r="G90" s="224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2" t="str">
        <f>IF(NOT(ISBLANK('Midterm OVPAA-F-INS-055A RAW SC'!G96)),'Midterm OVPAA-F-INS-055A RAW SC'!G96,"")</f>
        <v/>
      </c>
      <c r="D91" s="223"/>
      <c r="E91" s="224"/>
      <c r="F91" s="225" t="str">
        <f>'MidTerm OVPAA-F-INS-055B CLASS'!BV96</f>
        <v/>
      </c>
      <c r="G91" s="224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2" t="str">
        <f>IF(NOT(ISBLANK('Midterm OVPAA-F-INS-055A RAW SC'!G97)),'Midterm OVPAA-F-INS-055A RAW SC'!G97,"")</f>
        <v/>
      </c>
      <c r="D92" s="223"/>
      <c r="E92" s="224"/>
      <c r="F92" s="225" t="str">
        <f>'MidTerm OVPAA-F-INS-055B CLASS'!BV97</f>
        <v/>
      </c>
      <c r="G92" s="224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2" t="str">
        <f>IF(NOT(ISBLANK('Midterm OVPAA-F-INS-055A RAW SC'!G98)),'Midterm OVPAA-F-INS-055A RAW SC'!G98,"")</f>
        <v/>
      </c>
      <c r="D93" s="223"/>
      <c r="E93" s="224"/>
      <c r="F93" s="225" t="str">
        <f>'MidTerm OVPAA-F-INS-055B CLASS'!BV98</f>
        <v/>
      </c>
      <c r="G93" s="224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2" t="str">
        <f>IF(NOT(ISBLANK('Midterm OVPAA-F-INS-055A RAW SC'!G99)),'Midterm OVPAA-F-INS-055A RAW SC'!G99,"")</f>
        <v/>
      </c>
      <c r="D94" s="223"/>
      <c r="E94" s="224"/>
      <c r="F94" s="225" t="str">
        <f>'MidTerm OVPAA-F-INS-055B CLASS'!BV99</f>
        <v/>
      </c>
      <c r="G94" s="224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2" t="str">
        <f>IF(NOT(ISBLANK('Midterm OVPAA-F-INS-055A RAW SC'!G100)),'Midterm OVPAA-F-INS-055A RAW SC'!G100,"")</f>
        <v/>
      </c>
      <c r="D95" s="223"/>
      <c r="E95" s="224"/>
      <c r="F95" s="225" t="str">
        <f>'MidTerm OVPAA-F-INS-055B CLASS'!BV100</f>
        <v/>
      </c>
      <c r="G95" s="224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2" t="str">
        <f>IF(NOT(ISBLANK('Midterm OVPAA-F-INS-055A RAW SC'!G101)),'Midterm OVPAA-F-INS-055A RAW SC'!G101,"")</f>
        <v/>
      </c>
      <c r="D96" s="223"/>
      <c r="E96" s="224"/>
      <c r="F96" s="225" t="str">
        <f>'MidTerm OVPAA-F-INS-055B CLASS'!BV101</f>
        <v/>
      </c>
      <c r="G96" s="224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2" t="str">
        <f>IF(NOT(ISBLANK('Midterm OVPAA-F-INS-055A RAW SC'!G102)),'Midterm OVPAA-F-INS-055A RAW SC'!G102,"")</f>
        <v/>
      </c>
      <c r="D97" s="223"/>
      <c r="E97" s="224"/>
      <c r="F97" s="225" t="str">
        <f>'MidTerm OVPAA-F-INS-055B CLASS'!BV102</f>
        <v/>
      </c>
      <c r="G97" s="224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2" t="str">
        <f>IF(NOT(ISBLANK('Midterm OVPAA-F-INS-055A RAW SC'!G103)),'Midterm OVPAA-F-INS-055A RAW SC'!G103,"")</f>
        <v/>
      </c>
      <c r="D98" s="223"/>
      <c r="E98" s="224"/>
      <c r="F98" s="225" t="str">
        <f>'MidTerm OVPAA-F-INS-055B CLASS'!BV103</f>
        <v/>
      </c>
      <c r="G98" s="224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2" t="str">
        <f>IF(NOT(ISBLANK('Midterm OVPAA-F-INS-055A RAW SC'!G104)),'Midterm OVPAA-F-INS-055A RAW SC'!G104,"")</f>
        <v/>
      </c>
      <c r="D99" s="223"/>
      <c r="E99" s="224"/>
      <c r="F99" s="225" t="str">
        <f>'MidTerm OVPAA-F-INS-055B CLASS'!BV104</f>
        <v/>
      </c>
      <c r="G99" s="224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2" t="str">
        <f>IF(NOT(ISBLANK('Midterm OVPAA-F-INS-055A RAW SC'!G105)),'Midterm OVPAA-F-INS-055A RAW SC'!G105,"")</f>
        <v/>
      </c>
      <c r="D100" s="223"/>
      <c r="E100" s="224"/>
      <c r="F100" s="225" t="str">
        <f>'MidTerm OVPAA-F-INS-055B CLASS'!BV105</f>
        <v/>
      </c>
      <c r="G100" s="224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2" t="str">
        <f>IF(NOT(ISBLANK('Midterm OVPAA-F-INS-055A RAW SC'!G106)),'Midterm OVPAA-F-INS-055A RAW SC'!G106,"")</f>
        <v/>
      </c>
      <c r="D101" s="223"/>
      <c r="E101" s="224"/>
      <c r="F101" s="225" t="str">
        <f>'MidTerm OVPAA-F-INS-055B CLASS'!BV106</f>
        <v/>
      </c>
      <c r="G101" s="224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2" t="str">
        <f>IF(NOT(ISBLANK('Midterm OVPAA-F-INS-055A RAW SC'!G107)),'Midterm OVPAA-F-INS-055A RAW SC'!G107,"")</f>
        <v/>
      </c>
      <c r="D102" s="223"/>
      <c r="E102" s="224"/>
      <c r="F102" s="225" t="str">
        <f>'MidTerm OVPAA-F-INS-055B CLASS'!BV107</f>
        <v/>
      </c>
      <c r="G102" s="224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2" t="str">
        <f>IF(NOT(ISBLANK('Midterm OVPAA-F-INS-055A RAW SC'!G108)),'Midterm OVPAA-F-INS-055A RAW SC'!G108,"")</f>
        <v/>
      </c>
      <c r="D103" s="223"/>
      <c r="E103" s="224"/>
      <c r="F103" s="225" t="str">
        <f>'MidTerm OVPAA-F-INS-055B CLASS'!BV108</f>
        <v/>
      </c>
      <c r="G103" s="224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2" t="str">
        <f>IF(NOT(ISBLANK('Midterm OVPAA-F-INS-055A RAW SC'!G109)),'Midterm OVPAA-F-INS-055A RAW SC'!G109,"")</f>
        <v/>
      </c>
      <c r="D104" s="223"/>
      <c r="E104" s="224"/>
      <c r="F104" s="225" t="str">
        <f>'MidTerm OVPAA-F-INS-055B CLASS'!BV109</f>
        <v/>
      </c>
      <c r="G104" s="224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2" t="str">
        <f>IF(NOT(ISBLANK('Midterm OVPAA-F-INS-055A RAW SC'!G110)),'Midterm OVPAA-F-INS-055A RAW SC'!G110,"")</f>
        <v/>
      </c>
      <c r="D105" s="223"/>
      <c r="E105" s="224"/>
      <c r="F105" s="225" t="str">
        <f>'MidTerm OVPAA-F-INS-055B CLASS'!BV110</f>
        <v/>
      </c>
      <c r="G105" s="224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2" t="str">
        <f>IF(NOT(ISBLANK('Midterm OVPAA-F-INS-055A RAW SC'!G111)),'Midterm OVPAA-F-INS-055A RAW SC'!G111,"")</f>
        <v/>
      </c>
      <c r="D106" s="223"/>
      <c r="E106" s="224"/>
      <c r="F106" s="225" t="str">
        <f>'MidTerm OVPAA-F-INS-055B CLASS'!BV111</f>
        <v/>
      </c>
      <c r="G106" s="224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2" t="str">
        <f>IF(NOT(ISBLANK('Midterm OVPAA-F-INS-055A RAW SC'!G112)),'Midterm OVPAA-F-INS-055A RAW SC'!G112,"")</f>
        <v/>
      </c>
      <c r="D107" s="223"/>
      <c r="E107" s="224"/>
      <c r="F107" s="225" t="str">
        <f>'MidTerm OVPAA-F-INS-055B CLASS'!BV112</f>
        <v/>
      </c>
      <c r="G107" s="224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2" t="str">
        <f>IF(NOT(ISBLANK('Midterm OVPAA-F-INS-055A RAW SC'!G113)),'Midterm OVPAA-F-INS-055A RAW SC'!G113,"")</f>
        <v/>
      </c>
      <c r="D108" s="223"/>
      <c r="E108" s="224"/>
      <c r="F108" s="225" t="str">
        <f>'MidTerm OVPAA-F-INS-055B CLASS'!BV113</f>
        <v/>
      </c>
      <c r="G108" s="224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2" t="str">
        <f>IF(NOT(ISBLANK('Midterm OVPAA-F-INS-055A RAW SC'!G114)),'Midterm OVPAA-F-INS-055A RAW SC'!G114,"")</f>
        <v/>
      </c>
      <c r="D109" s="223"/>
      <c r="E109" s="224"/>
      <c r="F109" s="225" t="str">
        <f>'MidTerm OVPAA-F-INS-055B CLASS'!BV114</f>
        <v/>
      </c>
      <c r="G109" s="224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2" t="str">
        <f>IF(NOT(ISBLANK('Midterm OVPAA-F-INS-055A RAW SC'!G115)),'Midterm OVPAA-F-INS-055A RAW SC'!G115,"")</f>
        <v/>
      </c>
      <c r="D110" s="223"/>
      <c r="E110" s="224"/>
      <c r="F110" s="225" t="str">
        <f>'MidTerm OVPAA-F-INS-055B CLASS'!BV115</f>
        <v/>
      </c>
      <c r="G110" s="224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2" t="str">
        <f>IF(NOT(ISBLANK('Midterm OVPAA-F-INS-055A RAW SC'!G116)),'Midterm OVPAA-F-INS-055A RAW SC'!G116,"")</f>
        <v/>
      </c>
      <c r="D111" s="223"/>
      <c r="E111" s="224"/>
      <c r="F111" s="225" t="str">
        <f>'MidTerm OVPAA-F-INS-055B CLASS'!BV116</f>
        <v/>
      </c>
      <c r="G111" s="224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2" t="str">
        <f>IF(NOT(ISBLANK('Midterm OVPAA-F-INS-055A RAW SC'!G117)),'Midterm OVPAA-F-INS-055A RAW SC'!G117,"")</f>
        <v/>
      </c>
      <c r="D112" s="223"/>
      <c r="E112" s="224"/>
      <c r="F112" s="225" t="str">
        <f>'MidTerm OVPAA-F-INS-055B CLASS'!BV117</f>
        <v/>
      </c>
      <c r="G112" s="224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29" t="s">
        <v>111</v>
      </c>
      <c r="B114" s="227"/>
      <c r="C114" s="181"/>
      <c r="D114" s="181" t="s">
        <v>112</v>
      </c>
      <c r="E114" s="181"/>
      <c r="F114" s="229"/>
      <c r="G114" s="227"/>
      <c r="H114" s="181"/>
      <c r="I114" s="177"/>
      <c r="J114" s="181"/>
      <c r="K114" s="181"/>
      <c r="L114" s="181" t="s">
        <v>113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30" t="str">
        <f>'Midterm OVPAA-F-INS-055A RAW SC'!G12</f>
        <v>Czarissa Louise A. Navidad</v>
      </c>
      <c r="B117" s="227"/>
      <c r="C117" s="227"/>
      <c r="D117" s="230" t="str">
        <f>'Midterm OVPAA-F-INS-055A RAW SC'!K11</f>
        <v>Dr. Sales G. Aribe, Jr.</v>
      </c>
      <c r="E117" s="227"/>
      <c r="F117" s="227"/>
      <c r="G117" s="227"/>
      <c r="H117" s="200"/>
      <c r="I117" s="230" t="str">
        <f>'Midterm OVPAA-F-INS-055A RAW SC'!K12</f>
        <v>Dr. Marilou O. Espina</v>
      </c>
      <c r="J117" s="227"/>
      <c r="K117" s="227"/>
      <c r="L117" s="227"/>
      <c r="M117" s="227"/>
      <c r="N117" s="227"/>
      <c r="O117" s="227"/>
      <c r="P117" s="227"/>
      <c r="Q117" s="227"/>
      <c r="R117" s="227"/>
    </row>
    <row r="118" spans="1:33" ht="35.25" customHeight="1">
      <c r="A118" s="231" t="s">
        <v>114</v>
      </c>
      <c r="B118" s="227"/>
      <c r="C118" s="227"/>
      <c r="D118" s="231" t="str">
        <f>CONCATENATE("Department Head, ",'Midterm OVPAA-F-INS-055A RAW SC'!V10)</f>
        <v>Department Head, Information Technology</v>
      </c>
      <c r="E118" s="227"/>
      <c r="F118" s="227"/>
      <c r="G118" s="227"/>
      <c r="H118" s="201"/>
      <c r="I118" s="231" t="str">
        <f>CONCATENATE("Dean, ",'Midterm OVPAA-F-INS-055A RAW SC'!V11)</f>
        <v>Dean, College of Technologies</v>
      </c>
      <c r="J118" s="227"/>
      <c r="K118" s="227"/>
      <c r="L118" s="227"/>
      <c r="M118" s="227"/>
      <c r="N118" s="227"/>
      <c r="O118" s="227"/>
      <c r="P118" s="227"/>
      <c r="Q118" s="227"/>
      <c r="R118" s="227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32" t="s">
        <v>115</v>
      </c>
      <c r="B119" s="227"/>
      <c r="C119" s="227"/>
      <c r="D119" s="232" t="s">
        <v>115</v>
      </c>
      <c r="E119" s="227"/>
      <c r="F119" s="227"/>
      <c r="G119" s="203"/>
      <c r="H119" s="203"/>
      <c r="I119" s="232" t="s">
        <v>115</v>
      </c>
      <c r="J119" s="227"/>
      <c r="K119" s="227"/>
      <c r="L119" s="227"/>
      <c r="M119" s="227"/>
      <c r="N119" s="227"/>
      <c r="O119" s="227"/>
      <c r="P119" s="227"/>
      <c r="Q119" s="227"/>
      <c r="R119" s="227"/>
    </row>
    <row r="120" spans="1:33" ht="15.75" customHeight="1"/>
    <row r="121" spans="1:33" ht="15.75" customHeight="1">
      <c r="A121" s="226"/>
      <c r="B121" s="227"/>
      <c r="C121" s="227"/>
      <c r="D121" s="228"/>
      <c r="E121" s="227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2578125" defaultRowHeight="15" customHeight="1"/>
  <cols>
    <col min="1" max="1" width="8.7109375" customWidth="1"/>
    <col min="2" max="2" width="10.42578125" customWidth="1"/>
    <col min="3" max="3" width="11.5703125" customWidth="1"/>
    <col min="4" max="6" width="8.7109375" customWidth="1"/>
  </cols>
  <sheetData>
    <row r="1" spans="1:6">
      <c r="A1" s="5" t="s">
        <v>116</v>
      </c>
      <c r="B1" s="5" t="s">
        <v>117</v>
      </c>
      <c r="C1" s="5" t="s">
        <v>109</v>
      </c>
      <c r="D1" s="5" t="s">
        <v>118</v>
      </c>
      <c r="E1" s="5" t="s">
        <v>110</v>
      </c>
      <c r="F1" s="5" t="s">
        <v>119</v>
      </c>
    </row>
    <row r="2" spans="1:6">
      <c r="A2" s="5" t="s">
        <v>16</v>
      </c>
      <c r="B2" s="5" t="s">
        <v>120</v>
      </c>
    </row>
    <row r="3" spans="1:6">
      <c r="A3" s="5" t="s">
        <v>121</v>
      </c>
      <c r="B3" s="5" t="s">
        <v>122</v>
      </c>
      <c r="C3" s="2" t="s">
        <v>123</v>
      </c>
    </row>
    <row r="4" spans="1:6">
      <c r="B4" s="5" t="s">
        <v>124</v>
      </c>
      <c r="C4" s="2" t="s">
        <v>125</v>
      </c>
    </row>
    <row r="5" spans="1:6">
      <c r="C5" s="2" t="s">
        <v>126</v>
      </c>
    </row>
    <row r="6" spans="1:6">
      <c r="C6" s="2" t="s">
        <v>119</v>
      </c>
    </row>
    <row r="7" spans="1:6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2578125" defaultRowHeight="15" customHeight="1"/>
  <cols>
    <col min="1" max="1" width="0.7109375" customWidth="1"/>
    <col min="2" max="4" width="8.7109375" customWidth="1"/>
    <col min="5" max="5" width="5.5703125" customWidth="1"/>
    <col min="6" max="8" width="8.7109375" customWidth="1"/>
  </cols>
  <sheetData>
    <row r="1" spans="2:8" ht="15" customHeight="1">
      <c r="B1" s="282" t="s">
        <v>127</v>
      </c>
      <c r="C1" s="227"/>
      <c r="D1" s="227"/>
      <c r="F1" s="282" t="s">
        <v>128</v>
      </c>
      <c r="G1" s="227"/>
      <c r="H1" s="227"/>
    </row>
    <row r="2" spans="2:8" ht="15" customHeight="1">
      <c r="B2" s="227"/>
      <c r="C2" s="227"/>
      <c r="D2" s="227"/>
      <c r="F2" s="227"/>
      <c r="G2" s="227"/>
      <c r="H2" s="227"/>
    </row>
    <row r="3" spans="2:8">
      <c r="C3" s="3" t="s">
        <v>129</v>
      </c>
      <c r="D3" s="3" t="s">
        <v>130</v>
      </c>
      <c r="G3" s="3" t="s">
        <v>129</v>
      </c>
      <c r="H3" s="3" t="s">
        <v>130</v>
      </c>
    </row>
    <row r="4" spans="2:8">
      <c r="C4" s="205">
        <v>0</v>
      </c>
      <c r="D4" s="206">
        <v>5</v>
      </c>
      <c r="G4" s="205">
        <v>0</v>
      </c>
      <c r="H4" s="207">
        <v>5</v>
      </c>
    </row>
    <row r="5" spans="2:8">
      <c r="C5" s="64">
        <v>26</v>
      </c>
      <c r="D5" s="208">
        <v>4</v>
      </c>
      <c r="G5" s="64">
        <v>40</v>
      </c>
      <c r="H5" s="209">
        <v>4</v>
      </c>
    </row>
    <row r="6" spans="2:8">
      <c r="C6" s="64">
        <v>32</v>
      </c>
      <c r="D6" s="208">
        <v>3.75</v>
      </c>
      <c r="G6" s="64">
        <v>45</v>
      </c>
      <c r="H6" s="209">
        <v>3.75</v>
      </c>
    </row>
    <row r="7" spans="2:8">
      <c r="C7" s="64">
        <v>38</v>
      </c>
      <c r="D7" s="208">
        <v>3.5</v>
      </c>
      <c r="G7" s="64">
        <v>50</v>
      </c>
      <c r="H7" s="209">
        <v>3.5</v>
      </c>
    </row>
    <row r="8" spans="2:8">
      <c r="C8" s="64">
        <v>44</v>
      </c>
      <c r="D8" s="208">
        <v>3.25</v>
      </c>
      <c r="G8" s="64">
        <v>55</v>
      </c>
      <c r="H8" s="209">
        <v>3.25</v>
      </c>
    </row>
    <row r="9" spans="2:8">
      <c r="C9" s="64">
        <v>50</v>
      </c>
      <c r="D9" s="208">
        <v>3</v>
      </c>
      <c r="G9" s="64">
        <v>60</v>
      </c>
      <c r="H9" s="209">
        <v>3</v>
      </c>
    </row>
    <row r="10" spans="2:8">
      <c r="C10" s="64">
        <v>56</v>
      </c>
      <c r="D10" s="208">
        <v>2.75</v>
      </c>
      <c r="G10" s="64">
        <v>65</v>
      </c>
      <c r="H10" s="209">
        <v>2.75</v>
      </c>
    </row>
    <row r="11" spans="2:8">
      <c r="C11" s="64">
        <v>62</v>
      </c>
      <c r="D11" s="208">
        <v>2.5</v>
      </c>
      <c r="G11" s="64">
        <v>70</v>
      </c>
      <c r="H11" s="209">
        <v>2.5</v>
      </c>
    </row>
    <row r="12" spans="2:8">
      <c r="C12" s="64">
        <v>68</v>
      </c>
      <c r="D12" s="208">
        <v>2.25</v>
      </c>
      <c r="G12" s="64">
        <v>75</v>
      </c>
      <c r="H12" s="209">
        <v>2.25</v>
      </c>
    </row>
    <row r="13" spans="2:8">
      <c r="C13" s="64">
        <v>74</v>
      </c>
      <c r="D13" s="208">
        <v>2</v>
      </c>
      <c r="G13" s="64">
        <v>80</v>
      </c>
      <c r="H13" s="209">
        <v>2</v>
      </c>
    </row>
    <row r="14" spans="2:8">
      <c r="C14" s="64">
        <v>80</v>
      </c>
      <c r="D14" s="208">
        <v>1.75</v>
      </c>
      <c r="G14" s="64">
        <v>85</v>
      </c>
      <c r="H14" s="209">
        <v>1.75</v>
      </c>
    </row>
    <row r="15" spans="2:8">
      <c r="C15" s="64">
        <v>86</v>
      </c>
      <c r="D15" s="208">
        <v>1.5</v>
      </c>
      <c r="G15" s="64">
        <v>89</v>
      </c>
      <c r="H15" s="209">
        <v>1.5</v>
      </c>
    </row>
    <row r="16" spans="2:8">
      <c r="C16" s="64">
        <v>91</v>
      </c>
      <c r="D16" s="208">
        <v>1.25</v>
      </c>
      <c r="G16" s="64">
        <v>93</v>
      </c>
      <c r="H16" s="209">
        <v>1.25</v>
      </c>
    </row>
    <row r="17" spans="2:8">
      <c r="C17" s="63">
        <v>96</v>
      </c>
      <c r="D17" s="210">
        <v>1</v>
      </c>
      <c r="G17" s="63">
        <v>97</v>
      </c>
      <c r="H17" s="211">
        <v>1</v>
      </c>
    </row>
    <row r="19" spans="2:8">
      <c r="B19" s="3" t="s">
        <v>131</v>
      </c>
      <c r="C19" s="5" t="s">
        <v>132</v>
      </c>
      <c r="E19" s="212"/>
    </row>
    <row r="20" spans="2:8" ht="6" customHeight="1"/>
    <row r="21" spans="2:8" ht="15.75" customHeight="1">
      <c r="B21" s="3" t="s">
        <v>129</v>
      </c>
      <c r="C21" s="3" t="s">
        <v>133</v>
      </c>
      <c r="D21" s="3" t="s">
        <v>130</v>
      </c>
      <c r="E21" s="213"/>
      <c r="F21" s="3" t="s">
        <v>129</v>
      </c>
      <c r="G21" s="3" t="s">
        <v>133</v>
      </c>
      <c r="H21" s="3" t="s">
        <v>130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Ian Carlo Quimbo</cp:lastModifiedBy>
  <dcterms:created xsi:type="dcterms:W3CDTF">2024-08-15T00:57:00Z</dcterms:created>
  <dcterms:modified xsi:type="dcterms:W3CDTF">2026-03-31T06:44:35Z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