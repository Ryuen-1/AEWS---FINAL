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424AFDF7-CA20-414B-9D0D-B500297035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Sheet1" sheetId="8" r:id="rId6"/>
    <sheet name="COMBO BOX OPS" sheetId="6" state="hidden" r:id="rId7"/>
    <sheet name="TRANSMUTATION" sheetId="7" state="hidden" r:id="rId8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B13" i="5" l="1"/>
  <c r="B14" i="5"/>
  <c r="C16" i="5"/>
  <c r="CS18" i="2"/>
  <c r="CT18" i="2"/>
  <c r="BW18" i="2"/>
  <c r="BX18" i="2"/>
  <c r="BY18" i="2"/>
  <c r="BW19" i="2"/>
  <c r="BX19" i="2"/>
  <c r="H18" i="2"/>
  <c r="I18" i="2"/>
  <c r="J18" i="2"/>
  <c r="H19" i="2"/>
  <c r="I1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B16" i="5"/>
  <c r="C15" i="5"/>
  <c r="B15" i="5"/>
  <c r="C14" i="5"/>
  <c r="C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F21" i="4" l="1"/>
  <c r="L16" i="5"/>
  <c r="K16" i="5"/>
  <c r="DE21" i="4"/>
  <c r="H14" i="5"/>
  <c r="DF19" i="2"/>
  <c r="DH19" i="2" s="1"/>
  <c r="DI19" i="2" s="1"/>
  <c r="J14" i="5" s="1"/>
  <c r="O14" i="5" s="1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<sst xmlns="http://schemas.openxmlformats.org/spreadsheetml/2006/main" count="456" uniqueCount="136">
  <si>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</si>
  <si>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</si>
  <si>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</si>
  <si>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</si>
  <si>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</si>
  <si>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</si>
  <si>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</si>
  <si>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</si>
  <si>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</si>
  <si>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</si>
  <si>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</si>
  <si>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</si>
  <si>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</si>
  <si>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</si>
  <si>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</si>
  <si>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</si>
  <si>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</si>
  <si>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</si>
  <si>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</si>
  <si>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</si>
  <si>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</si>
  <si>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</si>
  <si>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</si>
  <si>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</si>
  <si>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</si>
  <si>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</si>
  <si>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</si>
  <si>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</si>
  <si>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</si>
  <si>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</si>
  <si>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</si>
  <si>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</si>
  <si>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</si>
  <si>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</si>
  <si>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</si>
  <si>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</si>
  <si>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</si>
  <si>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</si>
  <si>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</si>
  <si>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</si>
  <si>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</si>
  <si>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</si>
  <si>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</si>
  <si>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</si>
  <si>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</si>
  <si>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</si>
  <si>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</si>
  <si>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</si>
  <si>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</si>
  <si>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</si>
  <si>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</si>
  <si>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</si>
  <si>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</si>
  <si>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</si>
  <si>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</si>
  <si>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</si>
  <si>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</si>
  <si>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</si>
  <si>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</si>
  <si>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</si>
  <si>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</si>
  <si>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</si>
  <si>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</si>
  <si>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</si>
  <si>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</si>
  <si>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</si>
  <si>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</si>
  <si>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</si>
  <si>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</si>
  <si>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</si>
  <si>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</si>
  <si>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</si>
  <si>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</si>
  <si>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</si>
  <si>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</si>
  <si>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</si>
  <si>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</si>
  <si>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</si>
  <si>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</si>
  <si>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</si>
  <si>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</si>
  <si>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</si>
  <si>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</si>
  <si>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</si>
  <si>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</si>
  <si>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</si>
  <si>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</si>
  <si>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</si>
  <si>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</si>
  <si>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</si>
  <si>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</si>
  <si>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</si>
  <si>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</si>
  <si>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</si>
  <si>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</si>
  <si>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</si>
  <si>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</si>
  <si>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</si>
  <si>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</si>
  <si>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</si>
  <si>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</si>
  <si>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</si>
  <si>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</si>
  <si>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</si>
  <si>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</si>
  <si>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</si>
  <si>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</si>
  <si>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</si>
  <si>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</si>
  <si>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</si>
  <si>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</si>
  <si>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</si>
  <si>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</si>
  <si>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</si>
  <si>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</si>
  <si>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</si>
  <si>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</si>
  <si>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</si>
  <si>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</si>
  <si>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</si>
  <si>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</si>
  <si>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</si>
  <si>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</si>
  <si>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</si>
  <si>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</si>
  <si>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</si>
  <si>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</si>
  <si>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</si>
  <si>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</si>
  <si>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</si>
  <si>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</si>
  <si>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</si>
  <si>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</si>
  <si>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</si>
  <si>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</si>
  <si>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YANYAN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</si>
</sst>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5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3" xfId="0" applyFont="1" applyBorder="1"/>
    <xf numFmtId="0" fontId="7" fillId="0" borderId="1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0" zoomScale="79" workbookViewId="0">
      <selection activeCell="G21" sqref="G2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50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E3" s="251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E4" s="252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3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56" t="s">
        <v>3</v>
      </c>
      <c r="F7" s="227"/>
      <c r="G7" s="4" t="s">
        <v>131</v>
      </c>
      <c r="H7" s="5"/>
      <c r="I7" s="3" t="s">
        <v>4</v>
      </c>
      <c r="J7" s="5"/>
      <c r="K7" s="257" t="s">
        <v>5</v>
      </c>
      <c r="L7" s="258"/>
      <c r="M7" s="258"/>
      <c r="N7" s="258"/>
      <c r="O7" s="258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6"/>
      <c r="AC7" s="22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6" t="s">
        <v>6</v>
      </c>
      <c r="F8" s="227"/>
      <c r="G8" s="7" t="s">
        <v>132</v>
      </c>
      <c r="H8" s="5"/>
      <c r="I8" s="3" t="s">
        <v>7</v>
      </c>
      <c r="J8" s="5"/>
      <c r="K8" s="257" t="s">
        <v>8</v>
      </c>
      <c r="L8" s="258"/>
      <c r="M8" s="258"/>
      <c r="N8" s="258"/>
      <c r="O8" s="258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6"/>
      <c r="AC8" s="22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6" t="s">
        <v>9</v>
      </c>
      <c r="F9" s="227"/>
      <c r="G9" s="7" t="s">
        <v>134</v>
      </c>
      <c r="H9" s="5"/>
      <c r="I9" s="3" t="s">
        <v>10</v>
      </c>
      <c r="J9" s="5"/>
      <c r="K9" s="257" t="s">
        <v>11</v>
      </c>
      <c r="L9" s="258"/>
      <c r="M9" s="258"/>
      <c r="N9" s="258"/>
      <c r="O9" s="258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6"/>
      <c r="AC9" s="22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6" t="s">
        <v>12</v>
      </c>
      <c r="F10" s="227"/>
      <c r="G10" s="7" t="s">
        <v>117</v>
      </c>
      <c r="H10" s="5"/>
      <c r="I10" s="3" t="s">
        <v>14</v>
      </c>
      <c r="J10" s="5"/>
      <c r="K10" s="265">
        <v>3</v>
      </c>
      <c r="L10" s="258"/>
      <c r="M10" s="258"/>
      <c r="N10" s="258"/>
      <c r="O10" s="258"/>
      <c r="P10" s="5"/>
      <c r="Q10" s="2"/>
      <c r="R10" s="6"/>
      <c r="S10" s="254" t="s">
        <v>15</v>
      </c>
      <c r="T10" s="227"/>
      <c r="U10" s="227"/>
      <c r="V10" s="265" t="s">
        <v>16</v>
      </c>
      <c r="W10" s="258"/>
      <c r="X10" s="258"/>
      <c r="Y10" s="258"/>
      <c r="Z10" s="258"/>
      <c r="AA10" s="2"/>
      <c r="AB10" s="6"/>
      <c r="AC10" s="22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6" t="s">
        <v>17</v>
      </c>
      <c r="F11" s="227"/>
      <c r="G11" s="7" t="s">
        <v>18</v>
      </c>
      <c r="H11" s="5"/>
      <c r="I11" s="3" t="s">
        <v>19</v>
      </c>
      <c r="J11" s="5"/>
      <c r="K11" s="257" t="s">
        <v>20</v>
      </c>
      <c r="L11" s="258"/>
      <c r="M11" s="258"/>
      <c r="N11" s="258"/>
      <c r="O11" s="258"/>
      <c r="P11" s="5"/>
      <c r="Q11" s="2"/>
      <c r="R11" s="6"/>
      <c r="S11" s="254" t="s">
        <v>21</v>
      </c>
      <c r="T11" s="227"/>
      <c r="U11" s="227"/>
      <c r="V11" s="259" t="s">
        <v>22</v>
      </c>
      <c r="W11" s="260"/>
      <c r="X11" s="260"/>
      <c r="Y11" s="260"/>
      <c r="Z11" s="260"/>
      <c r="AA11" s="2"/>
      <c r="AB11" s="254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2" t="s">
        <v>23</v>
      </c>
      <c r="F12" s="232"/>
      <c r="G12" s="11" t="s">
        <v>24</v>
      </c>
      <c r="H12" s="5"/>
      <c r="I12" s="10" t="s">
        <v>25</v>
      </c>
      <c r="J12" s="11"/>
      <c r="K12" s="263" t="s">
        <v>26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v>0.5</v>
      </c>
      <c r="X12" s="240"/>
      <c r="Y12" s="232"/>
      <c r="Z12" s="11"/>
      <c r="AA12" s="16"/>
      <c r="AB12" s="261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0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100</v>
      </c>
      <c r="I18" s="50">
        <v>50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1423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135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DX15" zoomScale="81" zoomScaleNormal="100" workbookViewId="0">
      <selection activeCell="CT19" sqref="CS18:CT19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67</v>
      </c>
      <c r="DF13" s="235"/>
      <c r="DG13" s="236"/>
      <c r="DH13" s="237" t="s">
        <v>68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69</v>
      </c>
      <c r="DF14" s="78" t="s">
        <v>70</v>
      </c>
      <c r="DG14" s="79" t="s">
        <v>71</v>
      </c>
      <c r="DH14" s="231"/>
      <c r="DI14" s="233"/>
    </row>
    <row r="15" spans="5:113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72</v>
      </c>
      <c r="BV15" s="24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72</v>
      </c>
      <c r="DD15" s="224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23"/>
      <c r="BV16" s="22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23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23"/>
      <c r="DD16" s="225"/>
      <c r="DE16" s="90"/>
      <c r="DF16" s="91"/>
      <c r="DG16" s="92"/>
      <c r="DH16" s="93"/>
      <c r="DI16" s="94"/>
    </row>
    <row r="17" spans="5:113" ht="15.75" thickBot="1">
      <c r="E17" s="243"/>
      <c r="F17" s="243"/>
      <c r="G17" s="24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26">
        <f>IF('Midterm OVPAA-F-INS-055A RAW SC'!H18="","",'Midterm OVPAA-F-INS-055A RAW SC'!H18/'Midterm OVPAA-F-INS-055A RAW SC'!H$17*100)</f>
        <v>100</v>
      </c>
      <c r="I18" s="126">
        <f>IF('Midterm OVPAA-F-INS-055A RAW SC'!I18="","",'Midterm OVPAA-F-INS-055A RAW SC'!I18/'Midterm OVPAA-F-INS-055A RAW SC'!I$17*100)</f>
        <v>50</v>
      </c>
      <c r="J18" s="126">
        <f>IF('Midterm OVPAA-F-INS-055A RAW SC'!J18="","",'Midterm OVPAA-F-INS-055A RAW SC'!J18/'Midterm OVPAA-F-INS-055A RAW SC'!J$17*100)</f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50</v>
      </c>
      <c r="BV18" s="111">
        <f>IF(BU18="","",VLOOKUP(BU18,IF('Midterm OVPAA-F-INS-055A RAW SC'!$V$12=0.5,TRANSMUTATION!$C$4:$D$17,TRANSMUTATION!$G$4:$H$17),2,TRUE))</f>
        <v>3</v>
      </c>
      <c r="BW18" s="130">
        <f>IF('Midterm OVPAA-F-INS-055A RAW SC'!BU18="","",'Midterm OVPAA-F-INS-055A RAW SC'!BU18/'Midterm OVPAA-F-INS-055A RAW SC'!BU$17*100)</f>
        <v>0</v>
      </c>
      <c r="BX18" s="130">
        <f>IF('Midterm OVPAA-F-INS-055A RAW SC'!BV18="","",'Midterm OVPAA-F-INS-055A RAW SC'!BV18/'Midterm OVPAA-F-INS-055A RAW SC'!BV$17*100)</f>
        <v>0</v>
      </c>
      <c r="BY18" s="130">
        <f>IF('Midterm OVPAA-F-INS-055A RAW SC'!BW18="","",'Midterm OVPAA-F-INS-055A RAW SC'!BW18/'Midterm OVPAA-F-INS-055A RAW SC'!BW$17*100)</f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33">
        <f>IF('Midterm OVPAA-F-INS-055A RAW SC'!CO18="","",'Midterm OVPAA-F-INS-055A RAW SC'!CO18/'Midterm OVPAA-F-INS-055A RAW SC'!CO$17*100)</f>
        <v>0</v>
      </c>
      <c r="CT18" s="133">
        <f>IF('Midterm OVPAA-F-INS-055A RAW SC'!CP18="","",'Midterm OVPAA-F-INS-055A RAW SC'!CP18/'Midterm OVPAA-F-INS-055A RAW SC'!CP$17*100)</f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0.89999999999999991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4.4000000000000004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f>IF('Midterm OVPAA-F-INS-055A RAW SC'!H19="","",'Midterm OVPAA-F-INS-055A RAW SC'!H19/'Midterm OVPAA-F-INS-055A RAW SC'!H$17*100)</f>
        <v>50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62</v>
      </c>
      <c r="BV19" s="128">
        <f>IF(BU19="","",VLOOKUP(BU19,IF('Midterm OVPAA-F-INS-055A RAW SC'!$V$12=0.5,TRANSMUTATION!$C$4:$D$17,TRANSMUTATION!$G$4:$H$17),2,TRUE))</f>
        <v>2.5</v>
      </c>
      <c r="BW19" s="130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0.75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2.4000000000000004</v>
      </c>
      <c r="DI19" s="123" t="str">
        <f t="shared" si="5"/>
        <v>2.50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YANYAN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54" t="s">
        <v>3</v>
      </c>
      <c r="F7" s="227"/>
      <c r="G7" s="5" t="s">
        <v>131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54" t="s">
        <v>6</v>
      </c>
      <c r="F8" s="227"/>
      <c r="G8" s="5" t="s">
        <v>132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54" t="s">
        <v>9</v>
      </c>
      <c r="F9" s="227"/>
      <c r="G9" s="5" t="s">
        <v>133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</row>
    <row r="12" spans="5:102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2"/>
      <c r="F16" s="242"/>
      <c r="G16" s="24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1423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YANYAN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H18" sqref="H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67</v>
      </c>
      <c r="DF13" s="235"/>
      <c r="DG13" s="236"/>
      <c r="DH13" s="237" t="s">
        <v>88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69</v>
      </c>
      <c r="DF14" s="78" t="s">
        <v>70</v>
      </c>
      <c r="DG14" s="79" t="s">
        <v>71</v>
      </c>
      <c r="DH14" s="231"/>
      <c r="DI14" s="233"/>
    </row>
    <row r="15" spans="5:113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72</v>
      </c>
      <c r="BV15" s="24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72</v>
      </c>
      <c r="DD15" s="224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23"/>
      <c r="BV16" s="22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23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23"/>
      <c r="DD16" s="225"/>
      <c r="DE16" s="90"/>
      <c r="DF16" s="91"/>
      <c r="DG16" s="92"/>
      <c r="DH16" s="93"/>
      <c r="DI16" s="94"/>
    </row>
    <row r="17" spans="5:113">
      <c r="E17" s="243"/>
      <c r="F17" s="243"/>
      <c r="G17" s="24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1423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YANYAN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64" workbookViewId="0">
      <selection activeCell="C21" sqref="C21:E2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50</v>
      </c>
    </row>
    <row r="2" spans="1:33">
      <c r="B2" s="250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6.5">
      <c r="B3" s="251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>
      <c r="B4" s="252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6" t="s">
        <v>89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90</v>
      </c>
      <c r="G7" s="260"/>
      <c r="H7" s="260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91</v>
      </c>
      <c r="G8" s="260"/>
      <c r="H8" s="260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9" t="s">
        <v>92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93</v>
      </c>
      <c r="G9" s="25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9" t="s">
        <v>94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60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3" t="s">
        <v>95</v>
      </c>
      <c r="G11" s="260"/>
      <c r="H11" s="260"/>
      <c r="I11" s="260"/>
      <c r="J11" s="270"/>
      <c r="K11" s="273" t="s">
        <v>96</v>
      </c>
      <c r="L11" s="260"/>
      <c r="M11" s="260"/>
      <c r="N11" s="270"/>
      <c r="O11" s="274" t="s">
        <v>97</v>
      </c>
      <c r="P11" s="227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98</v>
      </c>
      <c r="B12" s="191" t="s">
        <v>99</v>
      </c>
      <c r="C12" s="273" t="s">
        <v>100</v>
      </c>
      <c r="D12" s="260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9" t="str">
        <f>IF(NOT(ISBLANK('Midterm OVPAA-F-INS-055A RAW SC'!G18)),'Midterm OVPAA-F-INS-055A RAW SC'!G18,"")</f>
        <v>Albarracin, Donna Igar</v>
      </c>
      <c r="D13" s="260"/>
      <c r="E13" s="270"/>
      <c r="F13" s="271">
        <f>'MidTerm OVPAA-F-INS-055B CLASS'!BV18</f>
        <v>3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1423</v>
      </c>
      <c r="C14" s="269" t="str">
        <f>IF(NOT(ISBLANK('Midterm OVPAA-F-INS-055A RAW SC'!G19)),'Midterm OVPAA-F-INS-055A RAW SC'!G19,"")</f>
        <v>Añonuevo, Thomas Franz</v>
      </c>
      <c r="D14" s="260"/>
      <c r="E14" s="270"/>
      <c r="F14" s="271">
        <f>'MidTerm OVPAA-F-INS-055B CLASS'!BV19</f>
        <v>2.5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2.50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2.50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69" t="str">
        <f>IF(NOT(ISBLANK('Midterm OVPAA-F-INS-055A RAW SC'!G20)),'Midterm OVPAA-F-INS-055A RAW SC'!G20,"")</f>
        <v>Cabuco, Dean Krist A.</v>
      </c>
      <c r="D15" s="260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9" t="str">
        <f>IF(NOT(ISBLANK('Midterm OVPAA-F-INS-055A RAW SC'!G21)),'Midterm OVPAA-F-INS-055A RAW SC'!G21,"")</f>
        <v>YANYAN</v>
      </c>
      <c r="D16" s="260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9" t="str">
        <f>IF(NOT(ISBLANK('Midterm OVPAA-F-INS-055A RAW SC'!G22)),'Midterm OVPAA-F-INS-055A RAW SC'!G22,"")</f>
        <v>Dela Cerna, Johann Derek Javier</v>
      </c>
      <c r="D17" s="260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9" t="str">
        <f>IF(NOT(ISBLANK('Midterm OVPAA-F-INS-055A RAW SC'!G23)),'Midterm OVPAA-F-INS-055A RAW SC'!G23,"")</f>
        <v>Delfin, Kyle Arnie Jopson</v>
      </c>
      <c r="D18" s="260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9" t="str">
        <f>IF(NOT(ISBLANK('Midterm OVPAA-F-INS-055A RAW SC'!G24)),'Midterm OVPAA-F-INS-055A RAW SC'!G24,"")</f>
        <v>Gumapac, Jannerie</v>
      </c>
      <c r="D19" s="260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9" t="str">
        <f>IF(NOT(ISBLANK('Midterm OVPAA-F-INS-055A RAW SC'!G25)),'Midterm OVPAA-F-INS-055A RAW SC'!G25,"")</f>
        <v>Lantinay, Pol Edison</v>
      </c>
      <c r="D20" s="260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9" t="str">
        <f>IF(NOT(ISBLANK('Midterm OVPAA-F-INS-055A RAW SC'!G26)),'Midterm OVPAA-F-INS-055A RAW SC'!G26,"")</f>
        <v>Lintawahan, Maria Elisabeth</v>
      </c>
      <c r="D21" s="260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9" t="str">
        <f>IF(NOT(ISBLANK('Midterm OVPAA-F-INS-055A RAW SC'!G27)),'Midterm OVPAA-F-INS-055A RAW SC'!G27,"")</f>
        <v>Lisondra, Christian Earl</v>
      </c>
      <c r="D22" s="260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9" t="str">
        <f>IF(NOT(ISBLANK('Midterm OVPAA-F-INS-055A RAW SC'!G28)),'Midterm OVPAA-F-INS-055A RAW SC'!G28,"")</f>
        <v>Magante, Jerson</v>
      </c>
      <c r="D23" s="260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9" t="str">
        <f>IF(NOT(ISBLANK('Midterm OVPAA-F-INS-055A RAW SC'!G29)),'Midterm OVPAA-F-INS-055A RAW SC'!G29,"")</f>
        <v>Maraon, EJ Kate</v>
      </c>
      <c r="D24" s="260"/>
      <c r="E24" s="270"/>
      <c r="F24" s="271">
        <f>'MidTerm OVPAA-F-INS-055B CLASS'!BV29</f>
        <v>2.25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9" t="str">
        <f>IF(NOT(ISBLANK('Midterm OVPAA-F-INS-055A RAW SC'!G30)),'Midterm OVPAA-F-INS-055A RAW SC'!G30,"")</f>
        <v>Melendez, Jeter Giambi</v>
      </c>
      <c r="D25" s="260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9" t="str">
        <f>IF(NOT(ISBLANK('Midterm OVPAA-F-INS-055A RAW SC'!G31)),'Midterm OVPAA-F-INS-055A RAW SC'!G31,"")</f>
        <v>Merina, Meljon G.</v>
      </c>
      <c r="D26" s="260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9" t="str">
        <f>IF(NOT(ISBLANK('Midterm OVPAA-F-INS-055A RAW SC'!G32)),'Midterm OVPAA-F-INS-055A RAW SC'!G32,"")</f>
        <v>Neri, Jaira Greist</v>
      </c>
      <c r="D27" s="260"/>
      <c r="E27" s="270"/>
      <c r="F27" s="271">
        <f>'MidTerm OVPAA-F-INS-055B CLASS'!BV32</f>
        <v>1.5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9" t="str">
        <f>IF(NOT(ISBLANK('Midterm OVPAA-F-INS-055A RAW SC'!G33)),'Midterm OVPAA-F-INS-055A RAW SC'!G33,"")</f>
        <v>Noval, Miky</v>
      </c>
      <c r="D28" s="260"/>
      <c r="E28" s="270"/>
      <c r="F28" s="271">
        <f>'MidTerm OVPAA-F-INS-055B CLASS'!BV33</f>
        <v>1.75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9" t="str">
        <f>IF(NOT(ISBLANK('Midterm OVPAA-F-INS-055A RAW SC'!G34)),'Midterm OVPAA-F-INS-055A RAW SC'!G34,"")</f>
        <v>Nuer, Jaymarc</v>
      </c>
      <c r="D29" s="260"/>
      <c r="E29" s="270"/>
      <c r="F29" s="271">
        <f>'MidTerm OVPAA-F-INS-055B CLASS'!BV34</f>
        <v>2.5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9" t="str">
        <f>IF(NOT(ISBLANK('Midterm OVPAA-F-INS-055A RAW SC'!G35)),'Midterm OVPAA-F-INS-055A RAW SC'!G35,"")</f>
        <v>Publico, Rogelio</v>
      </c>
      <c r="D30" s="260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9" t="str">
        <f>IF(NOT(ISBLANK('Midterm OVPAA-F-INS-055A RAW SC'!G36)),'Midterm OVPAA-F-INS-055A RAW SC'!G36,"")</f>
        <v>Rivera, Juvel</v>
      </c>
      <c r="D31" s="260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9" t="str">
        <f>IF(NOT(ISBLANK('Midterm OVPAA-F-INS-055A RAW SC'!G37)),'Midterm OVPAA-F-INS-055A RAW SC'!G37,"")</f>
        <v>Rubio, Pia Pilar</v>
      </c>
      <c r="D32" s="260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9" t="str">
        <f>IF(NOT(ISBLANK('Midterm OVPAA-F-INS-055A RAW SC'!G38)),'Midterm OVPAA-F-INS-055A RAW SC'!G38,"")</f>
        <v>Salto, Mary Natalie</v>
      </c>
      <c r="D33" s="260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9" t="str">
        <f>IF(NOT(ISBLANK('Midterm OVPAA-F-INS-055A RAW SC'!G39)),'Midterm OVPAA-F-INS-055A RAW SC'!G39,"")</f>
        <v>Tilanduca, Khiara</v>
      </c>
      <c r="D34" s="260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9" t="str">
        <f>IF(NOT(ISBLANK('Midterm OVPAA-F-INS-055A RAW SC'!G40)),'Midterm OVPAA-F-INS-055A RAW SC'!G40,"")</f>
        <v>Valdez, John Winchel</v>
      </c>
      <c r="D35" s="260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60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60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60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60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60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60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60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60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60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60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60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60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60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60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60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60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60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60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60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60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60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60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60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60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60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60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60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60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60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60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60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60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60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60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60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60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60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60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60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60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60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60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60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60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60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60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60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60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60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60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60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60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60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60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60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60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60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60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60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60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60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60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60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60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60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60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60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60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60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60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60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60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60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60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60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60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60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107</v>
      </c>
      <c r="B114" s="227"/>
      <c r="C114" s="181"/>
      <c r="D114" s="181" t="s">
        <v>108</v>
      </c>
      <c r="E114" s="181"/>
      <c r="F114" s="281"/>
      <c r="G114" s="227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27"/>
      <c r="C117" s="227"/>
      <c r="D117" s="266" t="str">
        <f>'Midterm OVPAA-F-INS-055A RAW SC'!K11</f>
        <v>Dr. Sales G. Aribe, Jr.</v>
      </c>
      <c r="E117" s="227"/>
      <c r="F117" s="227"/>
      <c r="G117" s="227"/>
      <c r="H117" s="200"/>
      <c r="I117" s="266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67" t="s">
        <v>110</v>
      </c>
      <c r="B118" s="227"/>
      <c r="C118" s="227"/>
      <c r="D118" s="267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67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111</v>
      </c>
      <c r="B119" s="227"/>
      <c r="C119" s="227"/>
      <c r="D119" s="268" t="s">
        <v>111</v>
      </c>
      <c r="E119" s="227"/>
      <c r="F119" s="227"/>
      <c r="G119" s="203"/>
      <c r="H119" s="203"/>
      <c r="I119" s="268" t="s">
        <v>111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79"/>
      <c r="B121" s="227"/>
      <c r="C121" s="227"/>
      <c r="D121" s="280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7994-5506-4979-9586-754D110F85D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>
      <c r="A2" s="5" t="s">
        <v>13</v>
      </c>
      <c r="B2" s="5" t="s">
        <v>116</v>
      </c>
    </row>
    <row r="3" spans="1:6">
      <c r="A3" s="5" t="s">
        <v>117</v>
      </c>
      <c r="B3" s="5" t="s">
        <v>118</v>
      </c>
      <c r="C3" s="2" t="s">
        <v>119</v>
      </c>
    </row>
    <row r="4" spans="1:6">
      <c r="B4" s="5" t="s">
        <v>120</v>
      </c>
      <c r="C4" s="2" t="s">
        <v>121</v>
      </c>
    </row>
    <row r="5" spans="1:6">
      <c r="C5" s="2" t="s">
        <v>122</v>
      </c>
    </row>
    <row r="6" spans="1:6">
      <c r="C6" s="2" t="s">
        <v>115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123</v>
      </c>
      <c r="C1" s="227"/>
      <c r="D1" s="227"/>
      <c r="F1" s="282" t="s">
        <v>124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>
      <c r="C3" s="3" t="s">
        <v>125</v>
      </c>
      <c r="D3" s="3" t="s">
        <v>126</v>
      </c>
      <c r="G3" s="3" t="s">
        <v>125</v>
      </c>
      <c r="H3" s="3" t="s">
        <v>126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Sheet1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2026-09-09T08:15:05Z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