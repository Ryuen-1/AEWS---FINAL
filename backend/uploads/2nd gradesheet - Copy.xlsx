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C2A48CE4-5999-4A18-9940-06D9F55231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<sst xmlns="http://schemas.openxmlformats.org/spreadsheetml/2006/main" count="456" uniqueCount="137">
  <si>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</si>
  <si>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</si>
  <si>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</si>
  <si>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</si>
  <si>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</si>
  <si>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</si>
  <si>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</si>
  <si>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</si>
  <si>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</si>
  <si>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</si>
  <si>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</si>
  <si>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</si>
  <si>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</si>
  <si>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</si>
  <si>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</si>
  <si>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</si>
  <si>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</si>
  <si>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</si>
  <si>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</si>
  <si>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</si>
  <si>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</si>
  <si>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</si>
  <si>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</si>
  <si>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</si>
  <si>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</si>
  <si>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</si>
  <si>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</si>
  <si>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</si>
  <si>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</si>
  <si>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</si>
  <si>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</si>
  <si>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</si>
  <si>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</si>
  <si>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</si>
  <si>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</si>
  <si>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</si>
  <si>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</si>
  <si>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</si>
  <si>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</si>
  <si>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</si>
  <si>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</si>
  <si>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</si>
  <si>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</si>
  <si>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</si>
  <si>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</si>
  <si>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</si>
  <si>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</si>
  <si>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</si>
  <si>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</si>
  <si>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</si>
  <si>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</si>
  <si>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</si>
  <si>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</si>
  <si>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</si>
  <si>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</si>
  <si>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</si>
  <si>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</si>
  <si>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</si>
  <si>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</si>
  <si>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</si>
  <si>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</si>
  <si>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</si>
  <si>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</si>
  <si>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</si>
  <si>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</si>
  <si>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</si>
  <si>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</si>
  <si>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</si>
  <si>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</si>
  <si>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</si>
  <si>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</si>
  <si>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</si>
  <si>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</si>
  <si>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</si>
  <si>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</si>
  <si>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</si>
  <si>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</si>
  <si>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</si>
  <si>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</si>
  <si>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</si>
  <si>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</si>
  <si>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</si>
  <si>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</si>
  <si>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</si>
  <si>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</si>
  <si>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</si>
  <si>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</si>
  <si>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</si>
  <si>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</si>
  <si>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</si>
  <si>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</si>
  <si>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</si>
  <si>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</si>
  <si>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</si>
  <si>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</si>
  <si>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</si>
  <si>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</si>
  <si>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</si>
  <si>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</si>
  <si>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</si>
  <si>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</si>
  <si>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</si>
  <si>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</si>
  <si>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</si>
  <si>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</si>
  <si>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</si>
  <si>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</si>
  <si>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</si>
  <si>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</si>
  <si>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</si>
  <si>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</si>
  <si>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</si>
  <si>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</si>
  <si>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</si>
  <si>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</si>
  <si>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</si>
  <si>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</si>
  <si>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</si>
  <si>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</si>
  <si>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</si>
  <si>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</si>
  <si>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</si>
  <si>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</si>
  <si>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</si>
  <si>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</si>
  <si>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</si>
  <si>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</si>
  <si>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</si>
  <si>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</si>
  <si>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</si>
  <si>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</si>
  <si>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</si>
  <si>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</si>
  <si>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</si>
  <si>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</si>
  <si>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T321</t>
  </si>
  <si>
    <t>HAHAH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</si>
</sst>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2" zoomScale="79" workbookViewId="0">
      <selection activeCell="F28" sqref="F2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0" t="s">
        <v>3</v>
      </c>
      <c r="F7" s="223"/>
      <c r="G7" s="4" t="s">
        <v>135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30" t="s">
        <v>6</v>
      </c>
      <c r="F8" s="223"/>
      <c r="G8" s="7" t="s">
        <v>133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30" t="s">
        <v>9</v>
      </c>
      <c r="F9" s="223"/>
      <c r="G9" s="7" t="s">
        <v>136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30" t="s">
        <v>12</v>
      </c>
      <c r="F10" s="223"/>
      <c r="G10" s="7" t="s">
        <v>118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3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4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5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6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7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8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9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10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G17" zoomScaleNormal="100" workbookViewId="0">
      <selection activeCell="BU28" sqref="BU2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T321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HAHAH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68</v>
      </c>
      <c r="DF13" s="264"/>
      <c r="DG13" s="265"/>
      <c r="DH13" s="252" t="s">
        <v>69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70</v>
      </c>
      <c r="DF14" s="78" t="s">
        <v>71</v>
      </c>
      <c r="DG14" s="79" t="s">
        <v>72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73</v>
      </c>
      <c r="BV15" s="25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73</v>
      </c>
      <c r="DD15" s="262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2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3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4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5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6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7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8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9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10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50</v>
      </c>
      <c r="J29" s="126">
        <v>50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30</v>
      </c>
      <c r="BV29" s="128">
        <f>IF(BU29="","",VLOOKUP(BU29,IF('Midterm OVPAA-F-INS-055A RAW SC'!$V$12=0.5,TRANSMUTATION!$C$4:$D$17,TRANSMUTATION!$G$4:$H$17),2,TRUE))</f>
        <v>4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1.2</v>
      </c>
      <c r="DF29" s="137">
        <f t="shared" si="2"/>
        <v>0.52500000000000002</v>
      </c>
      <c r="DG29" s="138">
        <f t="shared" si="3"/>
        <v>0.8</v>
      </c>
      <c r="DH29" s="136">
        <f t="shared" si="4"/>
        <v>2.5250000000000004</v>
      </c>
      <c r="DI29" s="123" t="str">
        <f t="shared" si="5"/>
        <v>2.50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32" t="s">
        <v>3</v>
      </c>
      <c r="F7" s="223"/>
      <c r="G7" s="5" t="s">
        <v>132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32" t="s">
        <v>6</v>
      </c>
      <c r="F8" s="223"/>
      <c r="G8" s="5" t="s">
        <v>133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32" t="s">
        <v>9</v>
      </c>
      <c r="F9" s="223"/>
      <c r="G9" s="5" t="s">
        <v>134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7"/>
      <c r="F16" s="237"/>
      <c r="G16" s="237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1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3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4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5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6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7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8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9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10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26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32" t="s">
        <v>3</v>
      </c>
      <c r="F7" s="223"/>
      <c r="G7" s="5" t="str">
        <f>'Midterm OVPAA-F-INS-055A RAW SC'!G7</f>
        <v>T321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>
      <c r="E9" s="232" t="s">
        <v>9</v>
      </c>
      <c r="F9" s="223"/>
      <c r="G9" s="5" t="str">
        <f>'Midterm OVPAA-F-INS-055A RAW SC'!G9</f>
        <v>HAHAH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>
      <c r="E11" s="232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68</v>
      </c>
      <c r="DF13" s="264"/>
      <c r="DG13" s="265"/>
      <c r="DH13" s="252" t="s">
        <v>89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70</v>
      </c>
      <c r="DF14" s="78" t="s">
        <v>71</v>
      </c>
      <c r="DG14" s="79" t="s">
        <v>72</v>
      </c>
      <c r="DH14" s="242"/>
      <c r="DI14" s="243"/>
    </row>
    <row r="15" spans="5:113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73</v>
      </c>
      <c r="BV15" s="25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73</v>
      </c>
      <c r="DD15" s="262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>
      <c r="E17" s="238"/>
      <c r="F17" s="238"/>
      <c r="G17" s="238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1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3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4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5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6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7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8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9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10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90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T321</v>
      </c>
      <c r="D7" s="179"/>
      <c r="E7" s="179"/>
      <c r="F7" s="276" t="s">
        <v>91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92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93</v>
      </c>
      <c r="B9" s="267"/>
      <c r="C9" s="183" t="str">
        <f>IF('Midterm OVPAA-F-INS-055A RAW SC'!G9="","",'Midterm OVPAA-F-INS-055A RAW SC'!G9)</f>
        <v>HAHAH</v>
      </c>
      <c r="D9" s="184"/>
      <c r="E9" s="184"/>
      <c r="F9" s="277" t="s">
        <v>94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95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96</v>
      </c>
      <c r="G11" s="247"/>
      <c r="H11" s="247"/>
      <c r="I11" s="247"/>
      <c r="J11" s="267"/>
      <c r="K11" s="279" t="s">
        <v>97</v>
      </c>
      <c r="L11" s="247"/>
      <c r="M11" s="247"/>
      <c r="N11" s="267"/>
      <c r="O11" s="280" t="s">
        <v>98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9" t="s">
        <v>101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1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</v>
      </c>
      <c r="C15" s="266" t="str">
        <f>IF(NOT(ISBLANK('Midterm OVPAA-F-INS-055A RAW SC'!G20)),'Midterm OVPAA-F-INS-055A RAW SC'!G20,"")</f>
        <v>Cabuco, Dean Krist A.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3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4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5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6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7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8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9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10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4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2.50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2.50</v>
      </c>
      <c r="P24" s="195" t="str">
        <f t="shared" si="1"/>
        <v>1.75</v>
      </c>
      <c r="Q24" s="195" t="str">
        <f t="shared" si="2"/>
        <v>2.00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108</v>
      </c>
      <c r="B114" s="223"/>
      <c r="C114" s="181"/>
      <c r="D114" s="181" t="s">
        <v>109</v>
      </c>
      <c r="E114" s="181"/>
      <c r="F114" s="271"/>
      <c r="G114" s="223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111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112</v>
      </c>
      <c r="B119" s="223"/>
      <c r="C119" s="223"/>
      <c r="D119" s="274" t="s">
        <v>112</v>
      </c>
      <c r="E119" s="223"/>
      <c r="F119" s="223"/>
      <c r="G119" s="203"/>
      <c r="H119" s="203"/>
      <c r="I119" s="274" t="s">
        <v>112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23"/>
      <c r="D1" s="223"/>
      <c r="F1" s="282" t="s">
        <v>125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2026-09-08T06:48:04Z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