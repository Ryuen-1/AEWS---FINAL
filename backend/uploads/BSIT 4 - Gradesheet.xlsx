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4D1BD1FE-39E4-4303-95DE-EA07204B31B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G10" i="2" l="1"/>
  <c r="F19" i="2"/>
  <c r="G19" i="2"/>
  <c r="F20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<sst xmlns="http://schemas.openxmlformats.org/spreadsheetml/2006/main" count="456" uniqueCount="136">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</sst>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3" xfId="0" applyFont="1" applyBorder="1"/>
    <xf numFmtId="0" fontId="1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1" fillId="7" borderId="8" xfId="0" applyNumberFormat="1" applyFont="1" applyFill="1" applyBorder="1" applyAlignment="1">
      <alignment horizontal="center" vertical="center" wrapText="1"/>
    </xf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4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" fillId="0" borderId="1" xfId="0" applyFont="1" applyBorder="1"/>
    <xf numFmtId="0" fontId="7" fillId="0" borderId="1" xfId="0" applyFont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7" zoomScale="79" workbookViewId="0">
      <selection activeCell="G10" sqref="G10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29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E3" s="230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E4" s="231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32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58" t="s">
        <v>3</v>
      </c>
      <c r="F7" s="223"/>
      <c r="G7" s="4" t="s">
        <v>132</v>
      </c>
      <c r="H7" s="5"/>
      <c r="I7" s="3" t="s">
        <v>4</v>
      </c>
      <c r="J7" s="5"/>
      <c r="K7" s="256" t="s">
        <v>5</v>
      </c>
      <c r="L7" s="257"/>
      <c r="M7" s="257"/>
      <c r="N7" s="257"/>
      <c r="O7" s="257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6"/>
      <c r="AC7" s="224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58" t="s">
        <v>6</v>
      </c>
      <c r="F8" s="223"/>
      <c r="G8" s="7" t="s">
        <v>133</v>
      </c>
      <c r="H8" s="5"/>
      <c r="I8" s="3" t="s">
        <v>7</v>
      </c>
      <c r="J8" s="5"/>
      <c r="K8" s="256" t="s">
        <v>8</v>
      </c>
      <c r="L8" s="257"/>
      <c r="M8" s="257"/>
      <c r="N8" s="257"/>
      <c r="O8" s="257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6"/>
      <c r="AC8" s="224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58" t="s">
        <v>9</v>
      </c>
      <c r="F9" s="223"/>
      <c r="G9" s="7" t="s">
        <v>135</v>
      </c>
      <c r="H9" s="5"/>
      <c r="I9" s="3" t="s">
        <v>10</v>
      </c>
      <c r="J9" s="5"/>
      <c r="K9" s="256" t="s">
        <v>11</v>
      </c>
      <c r="L9" s="257"/>
      <c r="M9" s="257"/>
      <c r="N9" s="257"/>
      <c r="O9" s="257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6"/>
      <c r="AC9" s="224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58" t="s">
        <v>12</v>
      </c>
      <c r="F10" s="223"/>
      <c r="G10" s="7" t="s">
        <v>13</v>
      </c>
      <c r="H10" s="5"/>
      <c r="I10" s="3" t="s">
        <v>14</v>
      </c>
      <c r="J10" s="5"/>
      <c r="K10" s="259">
        <v>3</v>
      </c>
      <c r="L10" s="257"/>
      <c r="M10" s="257"/>
      <c r="N10" s="257"/>
      <c r="O10" s="257"/>
      <c r="P10" s="5"/>
      <c r="Q10" s="2"/>
      <c r="R10" s="6"/>
      <c r="S10" s="228" t="s">
        <v>15</v>
      </c>
      <c r="T10" s="223"/>
      <c r="U10" s="223"/>
      <c r="V10" s="259" t="s">
        <v>16</v>
      </c>
      <c r="W10" s="257"/>
      <c r="X10" s="257"/>
      <c r="Y10" s="257"/>
      <c r="Z10" s="257"/>
      <c r="AA10" s="2"/>
      <c r="AB10" s="6"/>
      <c r="AC10" s="224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58" t="s">
        <v>17</v>
      </c>
      <c r="F11" s="223"/>
      <c r="G11" s="7" t="s">
        <v>18</v>
      </c>
      <c r="H11" s="5"/>
      <c r="I11" s="3" t="s">
        <v>19</v>
      </c>
      <c r="J11" s="5"/>
      <c r="K11" s="256" t="s">
        <v>20</v>
      </c>
      <c r="L11" s="257"/>
      <c r="M11" s="257"/>
      <c r="N11" s="257"/>
      <c r="O11" s="257"/>
      <c r="P11" s="5"/>
      <c r="Q11" s="2"/>
      <c r="R11" s="6"/>
      <c r="S11" s="228" t="s">
        <v>21</v>
      </c>
      <c r="T11" s="223"/>
      <c r="U11" s="223"/>
      <c r="V11" s="263" t="s">
        <v>22</v>
      </c>
      <c r="W11" s="264"/>
      <c r="X11" s="264"/>
      <c r="Y11" s="264"/>
      <c r="Z11" s="264"/>
      <c r="AA11" s="2"/>
      <c r="AB11" s="228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22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60" t="s">
        <v>23</v>
      </c>
      <c r="F12" s="226"/>
      <c r="G12" s="11" t="s">
        <v>24</v>
      </c>
      <c r="H12" s="5"/>
      <c r="I12" s="10" t="s">
        <v>25</v>
      </c>
      <c r="J12" s="11"/>
      <c r="K12" s="261" t="s">
        <v>26</v>
      </c>
      <c r="L12" s="226"/>
      <c r="M12" s="226"/>
      <c r="N12" s="226"/>
      <c r="O12" s="226"/>
      <c r="P12" s="2"/>
      <c r="Q12" s="2"/>
      <c r="R12" s="2"/>
      <c r="S12" s="12" t="s">
        <v>27</v>
      </c>
      <c r="T12" s="13"/>
      <c r="U12" s="13"/>
      <c r="V12" s="14">
        <v>0.5</v>
      </c>
      <c r="X12" s="227"/>
      <c r="Y12" s="226"/>
      <c r="Z12" s="11"/>
      <c r="AA12" s="16"/>
      <c r="AB12" s="265"/>
      <c r="AC12" s="226"/>
      <c r="AD12" s="226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27"/>
      <c r="BR12" s="226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8" t="s">
        <v>28</v>
      </c>
      <c r="F13" s="238" t="s">
        <v>29</v>
      </c>
      <c r="G13" s="238" t="s">
        <v>30</v>
      </c>
      <c r="H13" s="262" t="s">
        <v>31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34"/>
      <c r="BU13" s="244" t="s">
        <v>32</v>
      </c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52" t="s">
        <v>33</v>
      </c>
      <c r="CP13" s="242"/>
      <c r="CQ13" s="242"/>
      <c r="CR13" s="242"/>
      <c r="CS13" s="242"/>
      <c r="CT13" s="242"/>
      <c r="CU13" s="242"/>
      <c r="CV13" s="242"/>
      <c r="CW13" s="242"/>
      <c r="CX13" s="234"/>
    </row>
    <row r="14" spans="5:102" ht="15" customHeight="1">
      <c r="E14" s="239"/>
      <c r="F14" s="239"/>
      <c r="G14" s="239"/>
      <c r="H14" s="235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36"/>
      <c r="BU14" s="235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35"/>
      <c r="CP14" s="226"/>
      <c r="CQ14" s="226"/>
      <c r="CR14" s="226"/>
      <c r="CS14" s="226"/>
      <c r="CT14" s="226"/>
      <c r="CU14" s="226"/>
      <c r="CV14" s="226"/>
      <c r="CW14" s="226"/>
      <c r="CX14" s="236"/>
    </row>
    <row r="15" spans="5:102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39"/>
      <c r="F16" s="239"/>
      <c r="G16" s="239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40"/>
      <c r="F17" s="240"/>
      <c r="G17" s="240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2301102644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10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11</v>
      </c>
      <c r="G20" s="61" t="s">
        <v>44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45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46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47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48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49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50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51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52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53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54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55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56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57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58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59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60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61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62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63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64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65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" zoomScale="56" zoomScaleNormal="100" workbookViewId="0">
      <selection activeCell="G10" sqref="G10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2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8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4"/>
      <c r="DD7" s="223"/>
      <c r="DE7" s="223"/>
      <c r="DF7" s="223"/>
      <c r="DG7" s="223"/>
      <c r="DH7" s="5"/>
      <c r="DI7" s="5"/>
    </row>
    <row r="8" spans="5:113">
      <c r="E8" s="228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4"/>
      <c r="DD8" s="223"/>
      <c r="DE8" s="223"/>
      <c r="DF8" s="223"/>
      <c r="DG8" s="223"/>
      <c r="DH8" s="5"/>
      <c r="DI8" s="5"/>
    </row>
    <row r="9" spans="5:113">
      <c r="E9" s="228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4"/>
      <c r="DD9" s="223"/>
      <c r="DE9" s="223"/>
      <c r="DF9" s="223"/>
      <c r="DG9" s="223"/>
      <c r="DH9" s="5"/>
      <c r="DI9" s="5"/>
    </row>
    <row r="10" spans="5:113">
      <c r="E10" s="228" t="s">
        <v>12</v>
      </c>
      <c r="F10" s="223"/>
      <c r="G10" s="5" t="str">
        <f>'Midterm OVPAA-F-INS-055A RAW SC'!G10</f>
        <v>1st Sem</v>
      </c>
      <c r="H10" s="6"/>
      <c r="I10" s="3" t="s">
        <v>14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15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4"/>
      <c r="DD10" s="223"/>
      <c r="DE10" s="223"/>
      <c r="DF10" s="223"/>
      <c r="DG10" s="223"/>
      <c r="DH10" s="5"/>
      <c r="DI10" s="5"/>
    </row>
    <row r="11" spans="5:113">
      <c r="E11" s="228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21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4"/>
      <c r="DD11" s="223"/>
      <c r="DE11" s="223"/>
      <c r="DF11" s="223"/>
      <c r="DG11" s="223"/>
      <c r="DH11" s="222"/>
      <c r="DI11" s="223"/>
    </row>
    <row r="12" spans="5:113">
      <c r="E12" s="237" t="s">
        <v>23</v>
      </c>
      <c r="F12" s="226"/>
      <c r="G12" s="11" t="str">
        <f>'Midterm OVPAA-F-INS-055A RAW SC'!G12</f>
        <v>Czarissa Louise A. Navidad</v>
      </c>
      <c r="H12" s="2"/>
      <c r="I12" s="10" t="s">
        <v>25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  <c r="CY12" s="11"/>
      <c r="CZ12" s="11"/>
      <c r="DA12" s="16"/>
      <c r="DB12" s="76"/>
      <c r="DC12" s="225"/>
      <c r="DD12" s="226"/>
      <c r="DE12" s="226"/>
      <c r="DF12" s="226"/>
      <c r="DG12" s="226"/>
      <c r="DH12" s="227"/>
      <c r="DI12" s="226"/>
    </row>
    <row r="13" spans="5:113" ht="15" customHeight="1">
      <c r="E13" s="238" t="s">
        <v>28</v>
      </c>
      <c r="F13" s="238" t="s">
        <v>29</v>
      </c>
      <c r="G13" s="238" t="s">
        <v>30</v>
      </c>
      <c r="H13" s="241" t="s">
        <v>31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34"/>
      <c r="BW13" s="244" t="s">
        <v>32</v>
      </c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42"/>
      <c r="CP13" s="242"/>
      <c r="CQ13" s="242"/>
      <c r="CR13" s="234"/>
      <c r="CS13" s="252" t="s">
        <v>33</v>
      </c>
      <c r="CT13" s="242"/>
      <c r="CU13" s="242"/>
      <c r="CV13" s="242"/>
      <c r="CW13" s="242"/>
      <c r="CX13" s="242"/>
      <c r="CY13" s="242"/>
      <c r="CZ13" s="242"/>
      <c r="DA13" s="242"/>
      <c r="DB13" s="242"/>
      <c r="DC13" s="242"/>
      <c r="DD13" s="234"/>
      <c r="DE13" s="253" t="s">
        <v>68</v>
      </c>
      <c r="DF13" s="254"/>
      <c r="DG13" s="255"/>
      <c r="DH13" s="233" t="s">
        <v>69</v>
      </c>
      <c r="DI13" s="234"/>
    </row>
    <row r="14" spans="5:113" ht="15" customHeight="1">
      <c r="E14" s="239"/>
      <c r="F14" s="239"/>
      <c r="G14" s="239"/>
      <c r="H14" s="243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36"/>
      <c r="BW14" s="235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36"/>
      <c r="CS14" s="235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36"/>
      <c r="DE14" s="77" t="s">
        <v>70</v>
      </c>
      <c r="DF14" s="78" t="s">
        <v>71</v>
      </c>
      <c r="DG14" s="79" t="s">
        <v>72</v>
      </c>
      <c r="DH14" s="235"/>
      <c r="DI14" s="236"/>
    </row>
    <row r="15" spans="5:113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5" t="s">
        <v>73</v>
      </c>
      <c r="BV15" s="247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73</v>
      </c>
      <c r="DD15" s="251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39"/>
      <c r="F16" s="239"/>
      <c r="G16" s="239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46"/>
      <c r="BV16" s="248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46"/>
      <c r="CR16" s="88" t="s">
        <v>77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46"/>
      <c r="DD16" s="248"/>
      <c r="DE16" s="90"/>
      <c r="DF16" s="91"/>
      <c r="DG16" s="92"/>
      <c r="DH16" s="93"/>
      <c r="DI16" s="94"/>
    </row>
    <row r="17" spans="5:113">
      <c r="E17" s="240"/>
      <c r="F17" s="240"/>
      <c r="G17" s="240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v>2301102644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7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3" workbookViewId="0">
      <selection activeCell="G9" sqref="G9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32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>
      <c r="E7" s="228" t="s">
        <v>3</v>
      </c>
      <c r="F7" s="223"/>
      <c r="G7" s="5" t="s">
        <v>132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28" t="s">
        <v>6</v>
      </c>
      <c r="F8" s="223"/>
      <c r="G8" s="5" t="s">
        <v>133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28" t="s">
        <v>9</v>
      </c>
      <c r="F9" s="223"/>
      <c r="G9" s="5" t="s">
        <v>134</v>
      </c>
      <c r="H9" s="6"/>
      <c r="I9" s="3" t="s">
        <v>10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28" t="s">
        <v>12</v>
      </c>
      <c r="F10" s="223"/>
      <c r="G10" s="5" t="str">
        <f>'Midterm OVPAA-F-INS-055A RAW SC'!G10</f>
        <v>1st Sem</v>
      </c>
      <c r="H10" s="6"/>
      <c r="I10" s="3" t="s">
        <v>14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15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28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21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</row>
    <row r="12" spans="5:102">
      <c r="E12" s="237" t="s">
        <v>23</v>
      </c>
      <c r="F12" s="226"/>
      <c r="G12" s="11" t="str">
        <f>'Midterm OVPAA-F-INS-055A RAW SC'!G12</f>
        <v>Czarissa Louise A. Navidad</v>
      </c>
      <c r="H12" s="2"/>
      <c r="I12" s="10" t="s">
        <v>25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</row>
    <row r="13" spans="5:102" ht="15" customHeight="1">
      <c r="E13" s="238" t="s">
        <v>28</v>
      </c>
      <c r="F13" s="238" t="s">
        <v>29</v>
      </c>
      <c r="G13" s="238" t="s">
        <v>30</v>
      </c>
      <c r="H13" s="262" t="s">
        <v>31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34"/>
      <c r="BU13" s="244" t="s">
        <v>32</v>
      </c>
      <c r="BV13" s="242"/>
      <c r="BW13" s="242"/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52" t="s">
        <v>33</v>
      </c>
      <c r="CP13" s="242"/>
      <c r="CQ13" s="242"/>
      <c r="CR13" s="242"/>
      <c r="CS13" s="242"/>
      <c r="CT13" s="242"/>
      <c r="CU13" s="242"/>
      <c r="CV13" s="242"/>
      <c r="CW13" s="242"/>
      <c r="CX13" s="234"/>
    </row>
    <row r="14" spans="5:102" ht="15" customHeight="1">
      <c r="E14" s="239"/>
      <c r="F14" s="239"/>
      <c r="G14" s="239"/>
      <c r="H14" s="235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36"/>
      <c r="BU14" s="235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35"/>
      <c r="CP14" s="226"/>
      <c r="CQ14" s="226"/>
      <c r="CR14" s="226"/>
      <c r="CS14" s="226"/>
      <c r="CT14" s="226"/>
      <c r="CU14" s="226"/>
      <c r="CV14" s="226"/>
      <c r="CW14" s="226"/>
      <c r="CX14" s="236"/>
    </row>
    <row r="15" spans="5:102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39"/>
      <c r="F16" s="239"/>
      <c r="G16" s="239"/>
      <c r="H16" s="28" t="s">
        <v>79</v>
      </c>
      <c r="I16" s="28" t="s">
        <v>80</v>
      </c>
      <c r="J16" s="28" t="s">
        <v>81</v>
      </c>
      <c r="K16" s="28" t="s">
        <v>82</v>
      </c>
      <c r="L16" s="28" t="s">
        <v>83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84</v>
      </c>
      <c r="BV16" s="33" t="s">
        <v>85</v>
      </c>
      <c r="BW16" s="33" t="s">
        <v>86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87</v>
      </c>
      <c r="CP16" s="34" t="s">
        <v>88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40"/>
      <c r="F17" s="240"/>
      <c r="G17" s="240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29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6.5">
      <c r="F3" s="230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>
      <c r="F4" s="231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32" t="s">
        <v>66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>
      <c r="E7" s="228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4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4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4"/>
      <c r="BM7" s="223"/>
      <c r="BN7" s="223"/>
      <c r="BO7" s="223"/>
      <c r="BP7" s="223"/>
      <c r="BQ7" s="5"/>
      <c r="BR7" s="5"/>
      <c r="BS7" s="5"/>
      <c r="BT7" s="2"/>
      <c r="BU7" s="6"/>
      <c r="BV7" s="224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4"/>
      <c r="DD7" s="223"/>
      <c r="DE7" s="223"/>
      <c r="DF7" s="223"/>
      <c r="DG7" s="223"/>
      <c r="DH7" s="5"/>
      <c r="DI7" s="5"/>
    </row>
    <row r="8" spans="5:113">
      <c r="E8" s="228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4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4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4"/>
      <c r="BM8" s="223"/>
      <c r="BN8" s="223"/>
      <c r="BO8" s="223"/>
      <c r="BP8" s="223"/>
      <c r="BQ8" s="5"/>
      <c r="BR8" s="5"/>
      <c r="BS8" s="5"/>
      <c r="BT8" s="2"/>
      <c r="BU8" s="6"/>
      <c r="BV8" s="224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4"/>
      <c r="DD8" s="223"/>
      <c r="DE8" s="223"/>
      <c r="DF8" s="223"/>
      <c r="DG8" s="223"/>
      <c r="DH8" s="5"/>
      <c r="DI8" s="5"/>
    </row>
    <row r="9" spans="5:113">
      <c r="E9" s="228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4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4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4"/>
      <c r="BM9" s="223"/>
      <c r="BN9" s="223"/>
      <c r="BO9" s="223"/>
      <c r="BP9" s="223"/>
      <c r="BQ9" s="5"/>
      <c r="BR9" s="5"/>
      <c r="BS9" s="5"/>
      <c r="BT9" s="2"/>
      <c r="BU9" s="6"/>
      <c r="BV9" s="224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4"/>
      <c r="DD9" s="223"/>
      <c r="DE9" s="223"/>
      <c r="DF9" s="223"/>
      <c r="DG9" s="223"/>
      <c r="DH9" s="5"/>
      <c r="DI9" s="5"/>
    </row>
    <row r="10" spans="5:113">
      <c r="E10" s="228" t="s">
        <v>12</v>
      </c>
      <c r="F10" s="223"/>
      <c r="G10" s="5" t="str">
        <f>'Midterm OVPAA-F-INS-055A RAW SC'!G10</f>
        <v>1st Sem</v>
      </c>
      <c r="H10" s="6"/>
      <c r="I10" s="3" t="s">
        <v>14</v>
      </c>
      <c r="J10" s="5"/>
      <c r="K10" s="224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28" t="s">
        <v>15</v>
      </c>
      <c r="T10" s="223"/>
      <c r="U10" s="223"/>
      <c r="V10" s="224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4"/>
      <c r="BM10" s="223"/>
      <c r="BN10" s="223"/>
      <c r="BO10" s="223"/>
      <c r="BP10" s="223"/>
      <c r="BQ10" s="5"/>
      <c r="BR10" s="5"/>
      <c r="BS10" s="5"/>
      <c r="BT10" s="2"/>
      <c r="BU10" s="6"/>
      <c r="BV10" s="224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4"/>
      <c r="DD10" s="223"/>
      <c r="DE10" s="223"/>
      <c r="DF10" s="223"/>
      <c r="DG10" s="223"/>
      <c r="DH10" s="5"/>
      <c r="DI10" s="5"/>
    </row>
    <row r="11" spans="5:113">
      <c r="E11" s="228" t="s">
        <v>17</v>
      </c>
      <c r="F11" s="223"/>
      <c r="G11" s="6" t="str">
        <f>'Midterm OVPAA-F-INS-055A RAW SC'!G11</f>
        <v>2025-2026</v>
      </c>
      <c r="H11" s="6"/>
      <c r="I11" s="3" t="s">
        <v>67</v>
      </c>
      <c r="J11" s="5"/>
      <c r="K11" s="224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28" t="s">
        <v>21</v>
      </c>
      <c r="T11" s="223"/>
      <c r="U11" s="223"/>
      <c r="V11" s="224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4"/>
      <c r="BM11" s="223"/>
      <c r="BN11" s="223"/>
      <c r="BO11" s="223"/>
      <c r="BP11" s="223"/>
      <c r="BQ11" s="222"/>
      <c r="BR11" s="223"/>
      <c r="BS11" s="5"/>
      <c r="BT11" s="2"/>
      <c r="BU11" s="6"/>
      <c r="BV11" s="224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22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4"/>
      <c r="DD11" s="223"/>
      <c r="DE11" s="223"/>
      <c r="DF11" s="223"/>
      <c r="DG11" s="223"/>
      <c r="DH11" s="222"/>
      <c r="DI11" s="223"/>
    </row>
    <row r="12" spans="5:113">
      <c r="E12" s="237" t="s">
        <v>23</v>
      </c>
      <c r="F12" s="226"/>
      <c r="G12" s="11" t="str">
        <f>'Midterm OVPAA-F-INS-055A RAW SC'!G12</f>
        <v>Czarissa Louise A. Navidad</v>
      </c>
      <c r="H12" s="2"/>
      <c r="I12" s="10" t="s">
        <v>25</v>
      </c>
      <c r="J12" s="11"/>
      <c r="K12" s="225" t="str">
        <f>'Midterm OVPAA-F-INS-055A RAW SC'!K12</f>
        <v>Dr. Marilou O. Espina</v>
      </c>
      <c r="L12" s="226"/>
      <c r="M12" s="226"/>
      <c r="N12" s="226"/>
      <c r="O12" s="226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27"/>
      <c r="Y12" s="226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25"/>
      <c r="BM12" s="226"/>
      <c r="BN12" s="226"/>
      <c r="BO12" s="226"/>
      <c r="BP12" s="226"/>
      <c r="BQ12" s="227"/>
      <c r="BR12" s="226"/>
      <c r="BS12" s="11"/>
      <c r="BT12" s="16"/>
      <c r="BU12" s="76"/>
      <c r="BV12" s="225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7"/>
      <c r="CQ12" s="226"/>
      <c r="CR12" s="226"/>
      <c r="CS12" s="226"/>
      <c r="CT12" s="15"/>
      <c r="CU12" s="15"/>
      <c r="CV12" s="15"/>
      <c r="CW12" s="15"/>
      <c r="CX12" s="11"/>
      <c r="CY12" s="11"/>
      <c r="CZ12" s="11"/>
      <c r="DA12" s="16"/>
      <c r="DB12" s="76"/>
      <c r="DC12" s="225"/>
      <c r="DD12" s="226"/>
      <c r="DE12" s="226"/>
      <c r="DF12" s="226"/>
      <c r="DG12" s="226"/>
      <c r="DH12" s="227"/>
      <c r="DI12" s="226"/>
    </row>
    <row r="13" spans="5:113" ht="15" customHeight="1">
      <c r="E13" s="238" t="s">
        <v>28</v>
      </c>
      <c r="F13" s="238" t="s">
        <v>29</v>
      </c>
      <c r="G13" s="238" t="s">
        <v>30</v>
      </c>
      <c r="H13" s="241" t="s">
        <v>31</v>
      </c>
      <c r="I13" s="242"/>
      <c r="J13" s="242"/>
      <c r="K13" s="242"/>
      <c r="L13" s="242"/>
      <c r="M13" s="242"/>
      <c r="N13" s="242"/>
      <c r="O13" s="242"/>
      <c r="P13" s="242"/>
      <c r="Q13" s="242"/>
      <c r="R13" s="242"/>
      <c r="S13" s="242"/>
      <c r="T13" s="242"/>
      <c r="U13" s="242"/>
      <c r="V13" s="242"/>
      <c r="W13" s="242"/>
      <c r="X13" s="242"/>
      <c r="Y13" s="242"/>
      <c r="Z13" s="242"/>
      <c r="AA13" s="242"/>
      <c r="AB13" s="242"/>
      <c r="AC13" s="242"/>
      <c r="AD13" s="242"/>
      <c r="AE13" s="242"/>
      <c r="AF13" s="242"/>
      <c r="AG13" s="242"/>
      <c r="AH13" s="242"/>
      <c r="AI13" s="242"/>
      <c r="AJ13" s="242"/>
      <c r="AK13" s="242"/>
      <c r="AL13" s="242"/>
      <c r="AM13" s="242"/>
      <c r="AN13" s="242"/>
      <c r="AO13" s="242"/>
      <c r="AP13" s="242"/>
      <c r="AQ13" s="242"/>
      <c r="AR13" s="242"/>
      <c r="AS13" s="242"/>
      <c r="AT13" s="242"/>
      <c r="AU13" s="242"/>
      <c r="AV13" s="242"/>
      <c r="AW13" s="242"/>
      <c r="AX13" s="242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2"/>
      <c r="BU13" s="242"/>
      <c r="BV13" s="234"/>
      <c r="BW13" s="244" t="s">
        <v>32</v>
      </c>
      <c r="BX13" s="242"/>
      <c r="BY13" s="242"/>
      <c r="BZ13" s="242"/>
      <c r="CA13" s="242"/>
      <c r="CB13" s="242"/>
      <c r="CC13" s="242"/>
      <c r="CD13" s="242"/>
      <c r="CE13" s="242"/>
      <c r="CF13" s="242"/>
      <c r="CG13" s="242"/>
      <c r="CH13" s="242"/>
      <c r="CI13" s="242"/>
      <c r="CJ13" s="242"/>
      <c r="CK13" s="242"/>
      <c r="CL13" s="242"/>
      <c r="CM13" s="242"/>
      <c r="CN13" s="242"/>
      <c r="CO13" s="242"/>
      <c r="CP13" s="242"/>
      <c r="CQ13" s="242"/>
      <c r="CR13" s="234"/>
      <c r="CS13" s="252" t="s">
        <v>33</v>
      </c>
      <c r="CT13" s="242"/>
      <c r="CU13" s="242"/>
      <c r="CV13" s="242"/>
      <c r="CW13" s="242"/>
      <c r="CX13" s="242"/>
      <c r="CY13" s="242"/>
      <c r="CZ13" s="242"/>
      <c r="DA13" s="242"/>
      <c r="DB13" s="242"/>
      <c r="DC13" s="242"/>
      <c r="DD13" s="234"/>
      <c r="DE13" s="253" t="s">
        <v>68</v>
      </c>
      <c r="DF13" s="254"/>
      <c r="DG13" s="255"/>
      <c r="DH13" s="233" t="s">
        <v>89</v>
      </c>
      <c r="DI13" s="234"/>
    </row>
    <row r="14" spans="5:113" ht="15" customHeight="1">
      <c r="E14" s="239"/>
      <c r="F14" s="239"/>
      <c r="G14" s="239"/>
      <c r="H14" s="243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36"/>
      <c r="BW14" s="235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36"/>
      <c r="CS14" s="235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36"/>
      <c r="DE14" s="77" t="s">
        <v>70</v>
      </c>
      <c r="DF14" s="78" t="s">
        <v>71</v>
      </c>
      <c r="DG14" s="79" t="s">
        <v>72</v>
      </c>
      <c r="DH14" s="235"/>
      <c r="DI14" s="236"/>
    </row>
    <row r="15" spans="5:113">
      <c r="E15" s="239"/>
      <c r="F15" s="239"/>
      <c r="G15" s="239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5" t="s">
        <v>73</v>
      </c>
      <c r="BV15" s="247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50" t="s">
        <v>73</v>
      </c>
      <c r="DD15" s="251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39"/>
      <c r="F16" s="239"/>
      <c r="G16" s="239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46"/>
      <c r="BV16" s="248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46"/>
      <c r="CR16" s="88" t="s">
        <v>77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46"/>
      <c r="DD16" s="248"/>
      <c r="DE16" s="90"/>
      <c r="DF16" s="91"/>
      <c r="DG16" s="92"/>
      <c r="DH16" s="93"/>
      <c r="DI16" s="94"/>
    </row>
    <row r="17" spans="5:113">
      <c r="E17" s="240"/>
      <c r="F17" s="240"/>
      <c r="G17" s="240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2301102644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51</v>
      </c>
    </row>
    <row r="2" spans="1:33">
      <c r="B2" s="229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6.5">
      <c r="B3" s="230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>
      <c r="B4" s="231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75" t="s">
        <v>90</v>
      </c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66" t="s">
        <v>3</v>
      </c>
      <c r="B7" s="267"/>
      <c r="C7" s="178" t="str">
        <f>IF('Midterm OVPAA-F-INS-055A RAW SC'!G7="","",'Midterm OVPAA-F-INS-055A RAW SC'!G7)</f>
        <v>T205</v>
      </c>
      <c r="D7" s="179"/>
      <c r="E7" s="179"/>
      <c r="F7" s="276" t="s">
        <v>91</v>
      </c>
      <c r="G7" s="264"/>
      <c r="H7" s="264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66" t="s">
        <v>6</v>
      </c>
      <c r="B8" s="267"/>
      <c r="C8" s="183" t="str">
        <f>IF('Midterm OVPAA-F-INS-055A RAW SC'!G8="","",'Midterm OVPAA-F-INS-055A RAW SC'!G8)</f>
        <v>BA 13131</v>
      </c>
      <c r="D8" s="184"/>
      <c r="E8" s="184"/>
      <c r="F8" s="276" t="s">
        <v>92</v>
      </c>
      <c r="G8" s="264"/>
      <c r="H8" s="264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66" t="s">
        <v>93</v>
      </c>
      <c r="B9" s="267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94</v>
      </c>
      <c r="G9" s="257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66" t="s">
        <v>95</v>
      </c>
      <c r="B10" s="267"/>
      <c r="C10" s="178" t="str">
        <f>'Midterm OVPAA-F-INS-055A RAW SC'!G10&amp;"/"&amp;'Midterm OVPAA-F-INS-055A RAW SC'!G11</f>
        <v>1st Sem/2025-2026</v>
      </c>
      <c r="D10" s="179"/>
      <c r="E10" s="186"/>
      <c r="F10" s="276"/>
      <c r="G10" s="264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79" t="s">
        <v>96</v>
      </c>
      <c r="G11" s="264"/>
      <c r="H11" s="264"/>
      <c r="I11" s="264"/>
      <c r="J11" s="267"/>
      <c r="K11" s="279" t="s">
        <v>97</v>
      </c>
      <c r="L11" s="264"/>
      <c r="M11" s="264"/>
      <c r="N11" s="267"/>
      <c r="O11" s="280" t="s">
        <v>98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99</v>
      </c>
      <c r="B12" s="191" t="s">
        <v>100</v>
      </c>
      <c r="C12" s="279" t="s">
        <v>101</v>
      </c>
      <c r="D12" s="264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102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103</v>
      </c>
      <c r="O12" s="191" t="s">
        <v>104</v>
      </c>
      <c r="P12" s="191" t="s">
        <v>105</v>
      </c>
      <c r="Q12" s="191" t="s">
        <v>76</v>
      </c>
      <c r="R12" s="191" t="s">
        <v>106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2301102644</v>
      </c>
      <c r="C13" s="266" t="str">
        <f>IF(NOT(ISBLANK('Midterm OVPAA-F-INS-055A RAW SC'!G18)),'Midterm OVPAA-F-INS-055A RAW SC'!G18,"")</f>
        <v>Albarracin, Donna Igar</v>
      </c>
      <c r="D13" s="264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131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10</v>
      </c>
      <c r="C14" s="266" t="str">
        <f>IF(NOT(ISBLANK('Midterm OVPAA-F-INS-055A RAW SC'!G19)),'Midterm OVPAA-F-INS-055A RAW SC'!G19,"")</f>
        <v>Añonuevo, Thomas Franz</v>
      </c>
      <c r="D14" s="264"/>
      <c r="E14" s="267"/>
      <c r="F14" s="268">
        <f>'MidTerm OVPAA-F-INS-055B CLASS'!BV19</f>
        <v>2.25</v>
      </c>
      <c r="G14" s="267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107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11</v>
      </c>
      <c r="C15" s="266" t="str">
        <f>IF(NOT(ISBLANK('Midterm OVPAA-F-INS-055A RAW SC'!G20)),'Midterm OVPAA-F-INS-055A RAW SC'!G20,"")</f>
        <v>Cabuco, Dean Krist A.</v>
      </c>
      <c r="D15" s="264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107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12</v>
      </c>
      <c r="C16" s="266" t="str">
        <f>IF(NOT(ISBLANK('Midterm OVPAA-F-INS-055A RAW SC'!G21)),'Midterm OVPAA-F-INS-055A RAW SC'!G21,"")</f>
        <v>De Guzman, Jim Dale Manong</v>
      </c>
      <c r="D16" s="264"/>
      <c r="E16" s="267"/>
      <c r="F16" s="268">
        <f>'MidTerm OVPAA-F-INS-055B CLASS'!BV21</f>
        <v>2.25</v>
      </c>
      <c r="G16" s="267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107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13</v>
      </c>
      <c r="C17" s="266" t="str">
        <f>IF(NOT(ISBLANK('Midterm OVPAA-F-INS-055A RAW SC'!G22)),'Midterm OVPAA-F-INS-055A RAW SC'!G22,"")</f>
        <v>Dela Cerna, Johann Derek Javier</v>
      </c>
      <c r="D17" s="264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107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14</v>
      </c>
      <c r="C18" s="266" t="str">
        <f>IF(NOT(ISBLANK('Midterm OVPAA-F-INS-055A RAW SC'!G23)),'Midterm OVPAA-F-INS-055A RAW SC'!G23,"")</f>
        <v>Delfin, Kyle Arnie Jopson</v>
      </c>
      <c r="D18" s="264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107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15</v>
      </c>
      <c r="C19" s="266" t="str">
        <f>IF(NOT(ISBLANK('Midterm OVPAA-F-INS-055A RAW SC'!G24)),'Midterm OVPAA-F-INS-055A RAW SC'!G24,"")</f>
        <v>Gumapac, Jannerie</v>
      </c>
      <c r="D19" s="264"/>
      <c r="E19" s="267"/>
      <c r="F19" s="268">
        <f>'MidTerm OVPAA-F-INS-055B CLASS'!BV24</f>
        <v>2.75</v>
      </c>
      <c r="G19" s="267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107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16</v>
      </c>
      <c r="C20" s="266" t="str">
        <f>IF(NOT(ISBLANK('Midterm OVPAA-F-INS-055A RAW SC'!G25)),'Midterm OVPAA-F-INS-055A RAW SC'!G25,"")</f>
        <v>Lantinay, Pol Edison</v>
      </c>
      <c r="D20" s="264"/>
      <c r="E20" s="267"/>
      <c r="F20" s="268">
        <f>'MidTerm OVPAA-F-INS-055B CLASS'!BV25</f>
        <v>2.25</v>
      </c>
      <c r="G20" s="267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107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66" t="str">
        <f>IF(NOT(ISBLANK('Midterm OVPAA-F-INS-055A RAW SC'!G26)),'Midterm OVPAA-F-INS-055A RAW SC'!G26,"")</f>
        <v>Lintawahan, Maria Elisabeth</v>
      </c>
      <c r="D21" s="264"/>
      <c r="E21" s="267"/>
      <c r="F21" s="268">
        <f>'MidTerm OVPAA-F-INS-055B CLASS'!BV26</f>
        <v>2</v>
      </c>
      <c r="G21" s="267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131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66" t="str">
        <f>IF(NOT(ISBLANK('Midterm OVPAA-F-INS-055A RAW SC'!G27)),'Midterm OVPAA-F-INS-055A RAW SC'!G27,"")</f>
        <v>Lisondra, Christian Earl</v>
      </c>
      <c r="D22" s="264"/>
      <c r="E22" s="267"/>
      <c r="F22" s="268">
        <f>'MidTerm OVPAA-F-INS-055B CLASS'!BV27</f>
        <v>2.25</v>
      </c>
      <c r="G22" s="267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107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66" t="str">
        <f>IF(NOT(ISBLANK('Midterm OVPAA-F-INS-055A RAW SC'!G28)),'Midterm OVPAA-F-INS-055A RAW SC'!G28,"")</f>
        <v>Magante, Jerson</v>
      </c>
      <c r="D23" s="264"/>
      <c r="E23" s="267"/>
      <c r="F23" s="268">
        <f>'MidTerm OVPAA-F-INS-055B CLASS'!BV28</f>
        <v>2</v>
      </c>
      <c r="G23" s="267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107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66" t="str">
        <f>IF(NOT(ISBLANK('Midterm OVPAA-F-INS-055A RAW SC'!G29)),'Midterm OVPAA-F-INS-055A RAW SC'!G29,"")</f>
        <v>Maraon, EJ Kate</v>
      </c>
      <c r="D24" s="264"/>
      <c r="E24" s="267"/>
      <c r="F24" s="268">
        <f>'MidTerm OVPAA-F-INS-055B CLASS'!BV29</f>
        <v>2.25</v>
      </c>
      <c r="G24" s="267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107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66" t="str">
        <f>IF(NOT(ISBLANK('Midterm OVPAA-F-INS-055A RAW SC'!G30)),'Midterm OVPAA-F-INS-055A RAW SC'!G30,"")</f>
        <v>Melendez, Jeter Giambi</v>
      </c>
      <c r="D25" s="264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107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66" t="str">
        <f>IF(NOT(ISBLANK('Midterm OVPAA-F-INS-055A RAW SC'!G31)),'Midterm OVPAA-F-INS-055A RAW SC'!G31,"")</f>
        <v>Merina, Meljon G.</v>
      </c>
      <c r="D26" s="264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107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66" t="str">
        <f>IF(NOT(ISBLANK('Midterm OVPAA-F-INS-055A RAW SC'!G32)),'Midterm OVPAA-F-INS-055A RAW SC'!G32,"")</f>
        <v>Neri, Jaira Greist</v>
      </c>
      <c r="D27" s="264"/>
      <c r="E27" s="267"/>
      <c r="F27" s="268">
        <f>'MidTerm OVPAA-F-INS-055B CLASS'!BV32</f>
        <v>1.5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107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66" t="str">
        <f>IF(NOT(ISBLANK('Midterm OVPAA-F-INS-055A RAW SC'!G33)),'Midterm OVPAA-F-INS-055A RAW SC'!G33,"")</f>
        <v>Noval, Miky</v>
      </c>
      <c r="D28" s="264"/>
      <c r="E28" s="267"/>
      <c r="F28" s="268">
        <f>'MidTerm OVPAA-F-INS-055B CLASS'!BV33</f>
        <v>1.75</v>
      </c>
      <c r="G28" s="267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107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66" t="str">
        <f>IF(NOT(ISBLANK('Midterm OVPAA-F-INS-055A RAW SC'!G34)),'Midterm OVPAA-F-INS-055A RAW SC'!G34,"")</f>
        <v>Nuer, Jaymarc</v>
      </c>
      <c r="D29" s="264"/>
      <c r="E29" s="267"/>
      <c r="F29" s="268">
        <f>'MidTerm OVPAA-F-INS-055B CLASS'!BV34</f>
        <v>2.5</v>
      </c>
      <c r="G29" s="267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107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66" t="str">
        <f>IF(NOT(ISBLANK('Midterm OVPAA-F-INS-055A RAW SC'!G35)),'Midterm OVPAA-F-INS-055A RAW SC'!G35,"")</f>
        <v>Publico, Rogelio</v>
      </c>
      <c r="D30" s="264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107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66" t="str">
        <f>IF(NOT(ISBLANK('Midterm OVPAA-F-INS-055A RAW SC'!G36)),'Midterm OVPAA-F-INS-055A RAW SC'!G36,"")</f>
        <v>Rivera, Juvel</v>
      </c>
      <c r="D31" s="264"/>
      <c r="E31" s="267"/>
      <c r="F31" s="268">
        <f>'MidTerm OVPAA-F-INS-055B CLASS'!BV36</f>
        <v>1.5</v>
      </c>
      <c r="G31" s="267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107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66" t="str">
        <f>IF(NOT(ISBLANK('Midterm OVPAA-F-INS-055A RAW SC'!G37)),'Midterm OVPAA-F-INS-055A RAW SC'!G37,"")</f>
        <v>Rubio, Pia Pilar</v>
      </c>
      <c r="D32" s="264"/>
      <c r="E32" s="267"/>
      <c r="F32" s="268">
        <f>'MidTerm OVPAA-F-INS-055B CLASS'!BV37</f>
        <v>1.75</v>
      </c>
      <c r="G32" s="267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107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66" t="str">
        <f>IF(NOT(ISBLANK('Midterm OVPAA-F-INS-055A RAW SC'!G38)),'Midterm OVPAA-F-INS-055A RAW SC'!G38,"")</f>
        <v>Salto, Mary Natalie</v>
      </c>
      <c r="D33" s="264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107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66" t="str">
        <f>IF(NOT(ISBLANK('Midterm OVPAA-F-INS-055A RAW SC'!G39)),'Midterm OVPAA-F-INS-055A RAW SC'!G39,"")</f>
        <v>Tilanduca, Khiara</v>
      </c>
      <c r="D34" s="264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107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66" t="str">
        <f>IF(NOT(ISBLANK('Midterm OVPAA-F-INS-055A RAW SC'!G40)),'Midterm OVPAA-F-INS-055A RAW SC'!G40,"")</f>
        <v>Valdez, John Winchel</v>
      </c>
      <c r="D35" s="264"/>
      <c r="E35" s="267"/>
      <c r="F35" s="268">
        <f>'MidTerm OVPAA-F-INS-055B CLASS'!BV40</f>
        <v>1.5</v>
      </c>
      <c r="G35" s="267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107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64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64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64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64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64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64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64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64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64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64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64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64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64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64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64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64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64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64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64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64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64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64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64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64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64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64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64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64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64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64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64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64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64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64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64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64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64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64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64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64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64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64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64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64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64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64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64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64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64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64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64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64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64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64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64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64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64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64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64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64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64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64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64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64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64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64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64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64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64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64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64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64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64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64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64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64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64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108</v>
      </c>
      <c r="B114" s="223"/>
      <c r="C114" s="181"/>
      <c r="D114" s="181" t="s">
        <v>109</v>
      </c>
      <c r="E114" s="181"/>
      <c r="F114" s="271"/>
      <c r="G114" s="223"/>
      <c r="H114" s="181"/>
      <c r="I114" s="177"/>
      <c r="J114" s="181"/>
      <c r="K114" s="181"/>
      <c r="L114" s="181" t="s">
        <v>110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111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112</v>
      </c>
      <c r="B119" s="223"/>
      <c r="C119" s="223"/>
      <c r="D119" s="274" t="s">
        <v>112</v>
      </c>
      <c r="E119" s="223"/>
      <c r="F119" s="223"/>
      <c r="G119" s="203"/>
      <c r="H119" s="203"/>
      <c r="I119" s="274" t="s">
        <v>112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113</v>
      </c>
      <c r="B1" s="5" t="s">
        <v>114</v>
      </c>
      <c r="C1" s="5" t="s">
        <v>106</v>
      </c>
      <c r="D1" s="5" t="s">
        <v>115</v>
      </c>
      <c r="E1" s="5" t="s">
        <v>107</v>
      </c>
      <c r="F1" s="5" t="s">
        <v>116</v>
      </c>
    </row>
    <row r="2" spans="1:6">
      <c r="A2" s="5" t="s">
        <v>13</v>
      </c>
      <c r="B2" s="5" t="s">
        <v>117</v>
      </c>
    </row>
    <row r="3" spans="1:6">
      <c r="A3" s="5" t="s">
        <v>118</v>
      </c>
      <c r="B3" s="5" t="s">
        <v>119</v>
      </c>
      <c r="C3" s="2" t="s">
        <v>120</v>
      </c>
    </row>
    <row r="4" spans="1:6">
      <c r="B4" s="5" t="s">
        <v>121</v>
      </c>
      <c r="C4" s="2" t="s">
        <v>122</v>
      </c>
    </row>
    <row r="5" spans="1:6">
      <c r="C5" s="2" t="s">
        <v>123</v>
      </c>
    </row>
    <row r="6" spans="1:6">
      <c r="C6" s="2" t="s">
        <v>116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124</v>
      </c>
      <c r="C1" s="223"/>
      <c r="D1" s="223"/>
      <c r="F1" s="282" t="s">
        <v>125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>
      <c r="C3" s="3" t="s">
        <v>126</v>
      </c>
      <c r="D3" s="3" t="s">
        <v>127</v>
      </c>
      <c r="G3" s="3" t="s">
        <v>126</v>
      </c>
      <c r="H3" s="3" t="s">
        <v>127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128</v>
      </c>
      <c r="C19" s="5" t="s">
        <v>129</v>
      </c>
      <c r="E19" s="212"/>
    </row>
    <row r="20" spans="2:8" ht="6" customHeight="1"/>
    <row r="21" spans="2:8" ht="15.75" customHeight="1">
      <c r="B21" s="3" t="s">
        <v>126</v>
      </c>
      <c r="C21" s="3" t="s">
        <v>130</v>
      </c>
      <c r="D21" s="3" t="s">
        <v>127</v>
      </c>
      <c r="E21" s="213"/>
      <c r="F21" s="3" t="s">
        <v>126</v>
      </c>
      <c r="G21" s="3" t="s">
        <v>130</v>
      </c>
      <c r="H21" s="3" t="s">
        <v>127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2026-10-05T02:43:30Z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