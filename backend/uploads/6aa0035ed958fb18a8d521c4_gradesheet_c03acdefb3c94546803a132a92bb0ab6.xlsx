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ocuments\exampledataforcapstone\"/>
    </mc:Choice>
  </mc:AlternateContent>
  <xr:revisionPtr revIDLastSave="0" documentId="13_ncr:1_{F77420D0-0BA6-4F40-BB20-F694F98E86B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<sst xmlns="http://schemas.openxmlformats.org/spreadsheetml/2006/main" count="456" uniqueCount="136">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</sst>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0" borderId="0" xfId="0" applyFont="1" applyAlignment="1">
      <alignment horizontal="left"/>
    </xf>
    <xf numFmtId="0" fontId="0" fillId="0" borderId="0" xfId="0"/>
    <xf numFmtId="0" fontId="1" fillId="5" borderId="8" xfId="0" applyFont="1" applyFill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3" xfId="0" applyFont="1" applyBorder="1"/>
    <xf numFmtId="0" fontId="7" fillId="0" borderId="1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6" fillId="0" borderId="0" xfId="0" applyFont="1"/>
    <xf numFmtId="0" fontId="1" fillId="0" borderId="1" xfId="0" applyFont="1" applyBorder="1"/>
    <xf numFmtId="0" fontId="7" fillId="0" borderId="1" xfId="0" applyFont="1" applyBorder="1"/>
    <xf numFmtId="0" fontId="1" fillId="0" borderId="2" xfId="0" applyFont="1" applyBorder="1" applyAlignment="1">
      <alignment horizontal="left"/>
    </xf>
    <xf numFmtId="0" fontId="7" fillId="0" borderId="2" xfId="0" applyFont="1" applyBorder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15" fillId="0" borderId="1" xfId="0" applyFont="1" applyBorder="1" applyAlignment="1">
      <alignment horizontal="center"/>
    </xf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abSelected="1" topLeftCell="E10" zoomScale="79" workbookViewId="0">
      <selection activeCell="F18" sqref="F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50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4.5">
      <c r="E3" s="251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 ht="14.5">
      <c r="E4" s="252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53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 ht="14.5">
      <c r="E7" s="256" t="s">
        <v>3</v>
      </c>
      <c r="F7" s="227"/>
      <c r="G7" s="4" t="s">
        <v>132</v>
      </c>
      <c r="H7" s="5"/>
      <c r="I7" s="3" t="s">
        <v>4</v>
      </c>
      <c r="J7" s="5"/>
      <c r="K7" s="257" t="s">
        <v>5</v>
      </c>
      <c r="L7" s="258"/>
      <c r="M7" s="258"/>
      <c r="N7" s="258"/>
      <c r="O7" s="258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6"/>
      <c r="AC7" s="22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6" t="s">
        <v>6</v>
      </c>
      <c r="F8" s="227"/>
      <c r="G8" s="7" t="s">
        <v>133</v>
      </c>
      <c r="H8" s="5"/>
      <c r="I8" s="3" t="s">
        <v>7</v>
      </c>
      <c r="J8" s="5"/>
      <c r="K8" s="257" t="s">
        <v>8</v>
      </c>
      <c r="L8" s="258"/>
      <c r="M8" s="258"/>
      <c r="N8" s="258"/>
      <c r="O8" s="258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6"/>
      <c r="AC8" s="22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6" t="s">
        <v>9</v>
      </c>
      <c r="F9" s="227"/>
      <c r="G9" s="7" t="s">
        <v>135</v>
      </c>
      <c r="H9" s="5"/>
      <c r="I9" s="3" t="s">
        <v>10</v>
      </c>
      <c r="J9" s="5"/>
      <c r="K9" s="257" t="s">
        <v>11</v>
      </c>
      <c r="L9" s="258"/>
      <c r="M9" s="258"/>
      <c r="N9" s="258"/>
      <c r="O9" s="258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6"/>
      <c r="AC9" s="22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6" t="s">
        <v>12</v>
      </c>
      <c r="F10" s="227"/>
      <c r="G10" s="7" t="s">
        <v>118</v>
      </c>
      <c r="H10" s="5"/>
      <c r="I10" s="3" t="s">
        <v>14</v>
      </c>
      <c r="J10" s="5"/>
      <c r="K10" s="265">
        <v>3</v>
      </c>
      <c r="L10" s="258"/>
      <c r="M10" s="258"/>
      <c r="N10" s="258"/>
      <c r="O10" s="258"/>
      <c r="P10" s="5"/>
      <c r="Q10" s="2"/>
      <c r="R10" s="6"/>
      <c r="S10" s="254" t="s">
        <v>15</v>
      </c>
      <c r="T10" s="227"/>
      <c r="U10" s="227"/>
      <c r="V10" s="265" t="s">
        <v>16</v>
      </c>
      <c r="W10" s="258"/>
      <c r="X10" s="258"/>
      <c r="Y10" s="258"/>
      <c r="Z10" s="258"/>
      <c r="AA10" s="2"/>
      <c r="AB10" s="6"/>
      <c r="AC10" s="22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6" t="s">
        <v>17</v>
      </c>
      <c r="F11" s="227"/>
      <c r="G11" s="7" t="s">
        <v>18</v>
      </c>
      <c r="H11" s="5"/>
      <c r="I11" s="3" t="s">
        <v>19</v>
      </c>
      <c r="J11" s="5"/>
      <c r="K11" s="257" t="s">
        <v>20</v>
      </c>
      <c r="L11" s="258"/>
      <c r="M11" s="258"/>
      <c r="N11" s="258"/>
      <c r="O11" s="258"/>
      <c r="P11" s="5"/>
      <c r="Q11" s="2"/>
      <c r="R11" s="6"/>
      <c r="S11" s="254" t="s">
        <v>21</v>
      </c>
      <c r="T11" s="227"/>
      <c r="U11" s="227"/>
      <c r="V11" s="259" t="s">
        <v>22</v>
      </c>
      <c r="W11" s="260"/>
      <c r="X11" s="260"/>
      <c r="Y11" s="260"/>
      <c r="Z11" s="260"/>
      <c r="AA11" s="2"/>
      <c r="AB11" s="254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62" t="s">
        <v>23</v>
      </c>
      <c r="F12" s="232"/>
      <c r="G12" s="11" t="s">
        <v>24</v>
      </c>
      <c r="H12" s="5"/>
      <c r="I12" s="10" t="s">
        <v>25</v>
      </c>
      <c r="J12" s="11"/>
      <c r="K12" s="263" t="s">
        <v>26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v>0.5</v>
      </c>
      <c r="X12" s="240"/>
      <c r="Y12" s="232"/>
      <c r="Z12" s="11"/>
      <c r="AA12" s="16"/>
      <c r="AB12" s="261"/>
      <c r="AC12" s="232"/>
      <c r="AD12" s="232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40"/>
      <c r="BR12" s="232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42"/>
      <c r="F16" s="242"/>
      <c r="G16" s="24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42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43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44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45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46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47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48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49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50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51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52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53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54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55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56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57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58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59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60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61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62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63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64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65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7" zoomScale="116" zoomScaleNormal="100" workbookViewId="0">
      <selection activeCell="F19" sqref="F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 ht="14.5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 ht="14.5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 ht="14.5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68</v>
      </c>
      <c r="DF13" s="235"/>
      <c r="DG13" s="236"/>
      <c r="DH13" s="237" t="s">
        <v>69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70</v>
      </c>
      <c r="DF14" s="78" t="s">
        <v>71</v>
      </c>
      <c r="DG14" s="79" t="s">
        <v>72</v>
      </c>
      <c r="DH14" s="231"/>
      <c r="DI14" s="233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73</v>
      </c>
      <c r="BV15" s="24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73</v>
      </c>
      <c r="DD15" s="224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2"/>
      <c r="F16" s="242"/>
      <c r="G16" s="24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23"/>
      <c r="BV16" s="225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23"/>
      <c r="CR16" s="88" t="s">
        <v>77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23"/>
      <c r="DD16" s="225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 ht="14.5">
      <c r="E7" s="254" t="s">
        <v>3</v>
      </c>
      <c r="F7" s="227"/>
      <c r="G7" s="5" t="s">
        <v>132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4" t="s">
        <v>6</v>
      </c>
      <c r="F8" s="227"/>
      <c r="G8" s="5" t="s">
        <v>133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4" t="s">
        <v>9</v>
      </c>
      <c r="F9" s="227"/>
      <c r="G9" s="5" t="s">
        <v>134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</row>
    <row r="12" spans="5:102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</row>
    <row r="13" spans="5:102" ht="15" customHeight="1">
      <c r="E13" s="241" t="s">
        <v>28</v>
      </c>
      <c r="F13" s="241" t="s">
        <v>29</v>
      </c>
      <c r="G13" s="241" t="s">
        <v>30</v>
      </c>
      <c r="H13" s="26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30"/>
      <c r="BU13" s="246" t="s">
        <v>32</v>
      </c>
      <c r="BV13" s="229"/>
      <c r="BW13" s="229"/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8" t="s">
        <v>33</v>
      </c>
      <c r="CP13" s="229"/>
      <c r="CQ13" s="229"/>
      <c r="CR13" s="229"/>
      <c r="CS13" s="229"/>
      <c r="CT13" s="229"/>
      <c r="CU13" s="229"/>
      <c r="CV13" s="229"/>
      <c r="CW13" s="229"/>
      <c r="CX13" s="230"/>
    </row>
    <row r="14" spans="5:102" ht="15" customHeight="1">
      <c r="E14" s="242"/>
      <c r="F14" s="242"/>
      <c r="G14" s="242"/>
      <c r="H14" s="231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3"/>
      <c r="BU14" s="231"/>
      <c r="BV14" s="232"/>
      <c r="BW14" s="232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1"/>
      <c r="CP14" s="232"/>
      <c r="CQ14" s="232"/>
      <c r="CR14" s="232"/>
      <c r="CS14" s="232"/>
      <c r="CT14" s="232"/>
      <c r="CU14" s="232"/>
      <c r="CV14" s="232"/>
      <c r="CW14" s="232"/>
      <c r="CX14" s="233"/>
    </row>
    <row r="15" spans="5:102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42"/>
      <c r="F16" s="242"/>
      <c r="G16" s="242"/>
      <c r="H16" s="28" t="s">
        <v>79</v>
      </c>
      <c r="I16" s="28" t="s">
        <v>80</v>
      </c>
      <c r="J16" s="28" t="s">
        <v>81</v>
      </c>
      <c r="K16" s="28" t="s">
        <v>82</v>
      </c>
      <c r="L16" s="28" t="s">
        <v>83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84</v>
      </c>
      <c r="BV16" s="33" t="s">
        <v>85</v>
      </c>
      <c r="BW16" s="33" t="s">
        <v>86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87</v>
      </c>
      <c r="CP16" s="34" t="s">
        <v>88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43"/>
      <c r="F17" s="243"/>
      <c r="G17" s="24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E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50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4.5">
      <c r="F3" s="251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 ht="14.5">
      <c r="F4" s="252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53" t="s">
        <v>66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 ht="14.5">
      <c r="E7" s="254" t="s">
        <v>3</v>
      </c>
      <c r="F7" s="227"/>
      <c r="G7" s="5" t="str">
        <f>'Midterm OVPAA-F-INS-055A RAW SC'!G7</f>
        <v>T205</v>
      </c>
      <c r="H7" s="6"/>
      <c r="I7" s="3" t="s">
        <v>4</v>
      </c>
      <c r="J7" s="5"/>
      <c r="K7" s="22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2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26"/>
      <c r="BM7" s="227"/>
      <c r="BN7" s="227"/>
      <c r="BO7" s="227"/>
      <c r="BP7" s="227"/>
      <c r="BQ7" s="5"/>
      <c r="BR7" s="5"/>
      <c r="BS7" s="5"/>
      <c r="BT7" s="2"/>
      <c r="BU7" s="6"/>
      <c r="BV7" s="22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26"/>
      <c r="DD7" s="227"/>
      <c r="DE7" s="227"/>
      <c r="DF7" s="227"/>
      <c r="DG7" s="227"/>
      <c r="DH7" s="5"/>
      <c r="DI7" s="5"/>
    </row>
    <row r="8" spans="5:113" ht="14.5">
      <c r="E8" s="254" t="s">
        <v>6</v>
      </c>
      <c r="F8" s="227"/>
      <c r="G8" s="5" t="str">
        <f>'Midterm OVPAA-F-INS-055A RAW SC'!G8</f>
        <v>BA 13131</v>
      </c>
      <c r="H8" s="6"/>
      <c r="I8" s="3" t="s">
        <v>7</v>
      </c>
      <c r="J8" s="5"/>
      <c r="K8" s="22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2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26"/>
      <c r="BM8" s="227"/>
      <c r="BN8" s="227"/>
      <c r="BO8" s="227"/>
      <c r="BP8" s="227"/>
      <c r="BQ8" s="5"/>
      <c r="BR8" s="5"/>
      <c r="BS8" s="5"/>
      <c r="BT8" s="2"/>
      <c r="BU8" s="6"/>
      <c r="BV8" s="22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26"/>
      <c r="DD8" s="227"/>
      <c r="DE8" s="227"/>
      <c r="DF8" s="227"/>
      <c r="DG8" s="227"/>
      <c r="DH8" s="5"/>
      <c r="DI8" s="5"/>
    </row>
    <row r="9" spans="5:113" ht="14.5">
      <c r="E9" s="254" t="s">
        <v>9</v>
      </c>
      <c r="F9" s="227"/>
      <c r="G9" s="5" t="str">
        <f>'Midterm OVPAA-F-INS-055A RAW SC'!G9</f>
        <v>Computer Programming 1</v>
      </c>
      <c r="H9" s="6"/>
      <c r="I9" s="3" t="s">
        <v>10</v>
      </c>
      <c r="J9" s="5"/>
      <c r="K9" s="22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2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26"/>
      <c r="BM9" s="227"/>
      <c r="BN9" s="227"/>
      <c r="BO9" s="227"/>
      <c r="BP9" s="227"/>
      <c r="BQ9" s="5"/>
      <c r="BR9" s="5"/>
      <c r="BS9" s="5"/>
      <c r="BT9" s="2"/>
      <c r="BU9" s="6"/>
      <c r="BV9" s="22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26"/>
      <c r="DD9" s="227"/>
      <c r="DE9" s="227"/>
      <c r="DF9" s="227"/>
      <c r="DG9" s="227"/>
      <c r="DH9" s="5"/>
      <c r="DI9" s="5"/>
    </row>
    <row r="10" spans="5:113" ht="14.5">
      <c r="E10" s="254" t="s">
        <v>12</v>
      </c>
      <c r="F10" s="227"/>
      <c r="G10" s="5" t="str">
        <f>'Midterm OVPAA-F-INS-055A RAW SC'!G10</f>
        <v>2nd Sem</v>
      </c>
      <c r="H10" s="6"/>
      <c r="I10" s="3" t="s">
        <v>14</v>
      </c>
      <c r="J10" s="5"/>
      <c r="K10" s="22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54" t="s">
        <v>15</v>
      </c>
      <c r="T10" s="227"/>
      <c r="U10" s="227"/>
      <c r="V10" s="22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26"/>
      <c r="BM10" s="227"/>
      <c r="BN10" s="227"/>
      <c r="BO10" s="227"/>
      <c r="BP10" s="227"/>
      <c r="BQ10" s="5"/>
      <c r="BR10" s="5"/>
      <c r="BS10" s="5"/>
      <c r="BT10" s="2"/>
      <c r="BU10" s="6"/>
      <c r="BV10" s="22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26"/>
      <c r="DD10" s="227"/>
      <c r="DE10" s="227"/>
      <c r="DF10" s="227"/>
      <c r="DG10" s="227"/>
      <c r="DH10" s="5"/>
      <c r="DI10" s="5"/>
    </row>
    <row r="11" spans="5:113" ht="14.5">
      <c r="E11" s="254" t="s">
        <v>17</v>
      </c>
      <c r="F11" s="227"/>
      <c r="G11" s="6" t="str">
        <f>'Midterm OVPAA-F-INS-055A RAW SC'!G11</f>
        <v>2025-2026</v>
      </c>
      <c r="H11" s="6"/>
      <c r="I11" s="3" t="s">
        <v>67</v>
      </c>
      <c r="J11" s="5"/>
      <c r="K11" s="22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54" t="s">
        <v>21</v>
      </c>
      <c r="T11" s="227"/>
      <c r="U11" s="227"/>
      <c r="V11" s="22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26"/>
      <c r="BM11" s="227"/>
      <c r="BN11" s="227"/>
      <c r="BO11" s="227"/>
      <c r="BP11" s="227"/>
      <c r="BQ11" s="255"/>
      <c r="BR11" s="227"/>
      <c r="BS11" s="5"/>
      <c r="BT11" s="2"/>
      <c r="BU11" s="6"/>
      <c r="BV11" s="22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55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26"/>
      <c r="DD11" s="227"/>
      <c r="DE11" s="227"/>
      <c r="DF11" s="227"/>
      <c r="DG11" s="227"/>
      <c r="DH11" s="255"/>
      <c r="DI11" s="227"/>
    </row>
    <row r="12" spans="5:113" ht="14.5">
      <c r="E12" s="238" t="s">
        <v>23</v>
      </c>
      <c r="F12" s="232"/>
      <c r="G12" s="11" t="str">
        <f>'Midterm OVPAA-F-INS-055A RAW SC'!G12</f>
        <v>Czarissa Louise A. Navidad</v>
      </c>
      <c r="H12" s="2"/>
      <c r="I12" s="10" t="s">
        <v>25</v>
      </c>
      <c r="J12" s="11"/>
      <c r="K12" s="239" t="str">
        <f>'Midterm OVPAA-F-INS-055A RAW SC'!K12</f>
        <v>Dr. Marilou O. Espina</v>
      </c>
      <c r="L12" s="232"/>
      <c r="M12" s="232"/>
      <c r="N12" s="232"/>
      <c r="O12" s="232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40"/>
      <c r="Y12" s="232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39"/>
      <c r="BM12" s="232"/>
      <c r="BN12" s="232"/>
      <c r="BO12" s="232"/>
      <c r="BP12" s="232"/>
      <c r="BQ12" s="240"/>
      <c r="BR12" s="232"/>
      <c r="BS12" s="11"/>
      <c r="BT12" s="16"/>
      <c r="BU12" s="76"/>
      <c r="BV12" s="239"/>
      <c r="BW12" s="232"/>
      <c r="BX12" s="232"/>
      <c r="BY12" s="232"/>
      <c r="BZ12" s="232"/>
      <c r="CA12" s="232"/>
      <c r="CB12" s="232"/>
      <c r="CC12" s="232"/>
      <c r="CD12" s="232"/>
      <c r="CE12" s="232"/>
      <c r="CF12" s="232"/>
      <c r="CG12" s="232"/>
      <c r="CH12" s="232"/>
      <c r="CI12" s="232"/>
      <c r="CJ12" s="232"/>
      <c r="CK12" s="232"/>
      <c r="CL12" s="232"/>
      <c r="CM12" s="232"/>
      <c r="CN12" s="232"/>
      <c r="CO12" s="232"/>
      <c r="CP12" s="240"/>
      <c r="CQ12" s="232"/>
      <c r="CR12" s="232"/>
      <c r="CS12" s="232"/>
      <c r="CT12" s="15"/>
      <c r="CU12" s="15"/>
      <c r="CV12" s="15"/>
      <c r="CW12" s="15"/>
      <c r="CX12" s="11"/>
      <c r="CY12" s="11"/>
      <c r="CZ12" s="11"/>
      <c r="DA12" s="16"/>
      <c r="DB12" s="76"/>
      <c r="DC12" s="239"/>
      <c r="DD12" s="232"/>
      <c r="DE12" s="232"/>
      <c r="DF12" s="232"/>
      <c r="DG12" s="232"/>
      <c r="DH12" s="240"/>
      <c r="DI12" s="232"/>
    </row>
    <row r="13" spans="5:113" ht="15" customHeight="1">
      <c r="E13" s="241" t="s">
        <v>28</v>
      </c>
      <c r="F13" s="241" t="s">
        <v>29</v>
      </c>
      <c r="G13" s="241" t="s">
        <v>30</v>
      </c>
      <c r="H13" s="244" t="s">
        <v>31</v>
      </c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  <c r="AX13" s="229"/>
      <c r="AY13" s="229"/>
      <c r="AZ13" s="229"/>
      <c r="BA13" s="229"/>
      <c r="BB13" s="229"/>
      <c r="BC13" s="229"/>
      <c r="BD13" s="229"/>
      <c r="BE13" s="229"/>
      <c r="BF13" s="229"/>
      <c r="BG13" s="229"/>
      <c r="BH13" s="229"/>
      <c r="BI13" s="229"/>
      <c r="BJ13" s="229"/>
      <c r="BK13" s="229"/>
      <c r="BL13" s="229"/>
      <c r="BM13" s="229"/>
      <c r="BN13" s="229"/>
      <c r="BO13" s="229"/>
      <c r="BP13" s="229"/>
      <c r="BQ13" s="229"/>
      <c r="BR13" s="229"/>
      <c r="BS13" s="229"/>
      <c r="BT13" s="229"/>
      <c r="BU13" s="229"/>
      <c r="BV13" s="230"/>
      <c r="BW13" s="246" t="s">
        <v>32</v>
      </c>
      <c r="BX13" s="229"/>
      <c r="BY13" s="229"/>
      <c r="BZ13" s="229"/>
      <c r="CA13" s="229"/>
      <c r="CB13" s="229"/>
      <c r="CC13" s="229"/>
      <c r="CD13" s="229"/>
      <c r="CE13" s="229"/>
      <c r="CF13" s="229"/>
      <c r="CG13" s="229"/>
      <c r="CH13" s="229"/>
      <c r="CI13" s="229"/>
      <c r="CJ13" s="229"/>
      <c r="CK13" s="229"/>
      <c r="CL13" s="229"/>
      <c r="CM13" s="229"/>
      <c r="CN13" s="229"/>
      <c r="CO13" s="229"/>
      <c r="CP13" s="229"/>
      <c r="CQ13" s="229"/>
      <c r="CR13" s="230"/>
      <c r="CS13" s="228" t="s">
        <v>33</v>
      </c>
      <c r="CT13" s="229"/>
      <c r="CU13" s="229"/>
      <c r="CV13" s="229"/>
      <c r="CW13" s="229"/>
      <c r="CX13" s="229"/>
      <c r="CY13" s="229"/>
      <c r="CZ13" s="229"/>
      <c r="DA13" s="229"/>
      <c r="DB13" s="229"/>
      <c r="DC13" s="229"/>
      <c r="DD13" s="230"/>
      <c r="DE13" s="234" t="s">
        <v>68</v>
      </c>
      <c r="DF13" s="235"/>
      <c r="DG13" s="236"/>
      <c r="DH13" s="237" t="s">
        <v>89</v>
      </c>
      <c r="DI13" s="230"/>
    </row>
    <row r="14" spans="5:113" ht="15" customHeight="1">
      <c r="E14" s="242"/>
      <c r="F14" s="242"/>
      <c r="G14" s="242"/>
      <c r="H14" s="245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2"/>
      <c r="BA14" s="232"/>
      <c r="BB14" s="232"/>
      <c r="BC14" s="232"/>
      <c r="BD14" s="232"/>
      <c r="BE14" s="232"/>
      <c r="BF14" s="232"/>
      <c r="BG14" s="232"/>
      <c r="BH14" s="232"/>
      <c r="BI14" s="232"/>
      <c r="BJ14" s="232"/>
      <c r="BK14" s="232"/>
      <c r="BL14" s="232"/>
      <c r="BM14" s="232"/>
      <c r="BN14" s="232"/>
      <c r="BO14" s="232"/>
      <c r="BP14" s="232"/>
      <c r="BQ14" s="232"/>
      <c r="BR14" s="232"/>
      <c r="BS14" s="232"/>
      <c r="BT14" s="232"/>
      <c r="BU14" s="232"/>
      <c r="BV14" s="233"/>
      <c r="BW14" s="231"/>
      <c r="BX14" s="232"/>
      <c r="BY14" s="232"/>
      <c r="BZ14" s="232"/>
      <c r="CA14" s="232"/>
      <c r="CB14" s="232"/>
      <c r="CC14" s="232"/>
      <c r="CD14" s="232"/>
      <c r="CE14" s="232"/>
      <c r="CF14" s="232"/>
      <c r="CG14" s="232"/>
      <c r="CH14" s="232"/>
      <c r="CI14" s="232"/>
      <c r="CJ14" s="232"/>
      <c r="CK14" s="232"/>
      <c r="CL14" s="232"/>
      <c r="CM14" s="232"/>
      <c r="CN14" s="232"/>
      <c r="CO14" s="232"/>
      <c r="CP14" s="232"/>
      <c r="CQ14" s="232"/>
      <c r="CR14" s="233"/>
      <c r="CS14" s="231"/>
      <c r="CT14" s="232"/>
      <c r="CU14" s="232"/>
      <c r="CV14" s="232"/>
      <c r="CW14" s="232"/>
      <c r="CX14" s="232"/>
      <c r="CY14" s="232"/>
      <c r="CZ14" s="232"/>
      <c r="DA14" s="232"/>
      <c r="DB14" s="232"/>
      <c r="DC14" s="232"/>
      <c r="DD14" s="233"/>
      <c r="DE14" s="77" t="s">
        <v>70</v>
      </c>
      <c r="DF14" s="78" t="s">
        <v>71</v>
      </c>
      <c r="DG14" s="79" t="s">
        <v>72</v>
      </c>
      <c r="DH14" s="231"/>
      <c r="DI14" s="233"/>
    </row>
    <row r="15" spans="5:113" ht="14.5">
      <c r="E15" s="242"/>
      <c r="F15" s="242"/>
      <c r="G15" s="24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47" t="s">
        <v>73</v>
      </c>
      <c r="BV15" s="248" t="s">
        <v>74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49" t="s">
        <v>73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22" t="s">
        <v>73</v>
      </c>
      <c r="DD15" s="224" t="s">
        <v>74</v>
      </c>
      <c r="DE15" s="81">
        <v>0.3</v>
      </c>
      <c r="DF15" s="82">
        <v>0.3</v>
      </c>
      <c r="DG15" s="83">
        <v>0.4</v>
      </c>
      <c r="DH15" s="84" t="s">
        <v>75</v>
      </c>
      <c r="DI15" s="85" t="s">
        <v>76</v>
      </c>
    </row>
    <row r="16" spans="5:113" ht="88.5" customHeight="1">
      <c r="E16" s="242"/>
      <c r="F16" s="242"/>
      <c r="G16" s="24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23"/>
      <c r="BV16" s="225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23"/>
      <c r="CR16" s="88" t="s">
        <v>77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23"/>
      <c r="DD16" s="225"/>
      <c r="DE16" s="90"/>
      <c r="DF16" s="91"/>
      <c r="DG16" s="92"/>
      <c r="DH16" s="93"/>
      <c r="DI16" s="94"/>
    </row>
    <row r="17" spans="5:113" ht="14.5">
      <c r="E17" s="243"/>
      <c r="F17" s="243"/>
      <c r="G17" s="243"/>
      <c r="H17" s="37" t="s">
        <v>78</v>
      </c>
      <c r="I17" s="38" t="s">
        <v>78</v>
      </c>
      <c r="J17" s="38" t="s">
        <v>78</v>
      </c>
      <c r="K17" s="38" t="s">
        <v>78</v>
      </c>
      <c r="L17" s="38" t="s">
        <v>78</v>
      </c>
      <c r="M17" s="38" t="s">
        <v>78</v>
      </c>
      <c r="N17" s="38" t="s">
        <v>78</v>
      </c>
      <c r="O17" s="38" t="s">
        <v>78</v>
      </c>
      <c r="P17" s="38" t="s">
        <v>78</v>
      </c>
      <c r="Q17" s="38" t="s">
        <v>78</v>
      </c>
      <c r="R17" s="38" t="s">
        <v>78</v>
      </c>
      <c r="S17" s="38" t="s">
        <v>78</v>
      </c>
      <c r="T17" s="38" t="s">
        <v>78</v>
      </c>
      <c r="U17" s="38" t="s">
        <v>78</v>
      </c>
      <c r="V17" s="38" t="s">
        <v>78</v>
      </c>
      <c r="W17" s="38" t="s">
        <v>78</v>
      </c>
      <c r="X17" s="38" t="s">
        <v>78</v>
      </c>
      <c r="Y17" s="38" t="s">
        <v>78</v>
      </c>
      <c r="Z17" s="38" t="s">
        <v>78</v>
      </c>
      <c r="AA17" s="38" t="s">
        <v>78</v>
      </c>
      <c r="AB17" s="38" t="s">
        <v>78</v>
      </c>
      <c r="AC17" s="38" t="s">
        <v>78</v>
      </c>
      <c r="AD17" s="38" t="s">
        <v>78</v>
      </c>
      <c r="AE17" s="38" t="s">
        <v>78</v>
      </c>
      <c r="AF17" s="38" t="s">
        <v>78</v>
      </c>
      <c r="AG17" s="38" t="s">
        <v>78</v>
      </c>
      <c r="AH17" s="38" t="s">
        <v>78</v>
      </c>
      <c r="AI17" s="38" t="s">
        <v>78</v>
      </c>
      <c r="AJ17" s="38" t="s">
        <v>78</v>
      </c>
      <c r="AK17" s="38" t="s">
        <v>78</v>
      </c>
      <c r="AL17" s="38" t="s">
        <v>78</v>
      </c>
      <c r="AM17" s="38" t="s">
        <v>78</v>
      </c>
      <c r="AN17" s="38" t="s">
        <v>78</v>
      </c>
      <c r="AO17" s="38" t="s">
        <v>78</v>
      </c>
      <c r="AP17" s="38" t="s">
        <v>78</v>
      </c>
      <c r="AQ17" s="38" t="s">
        <v>78</v>
      </c>
      <c r="AR17" s="38" t="s">
        <v>78</v>
      </c>
      <c r="AS17" s="38" t="s">
        <v>78</v>
      </c>
      <c r="AT17" s="38" t="s">
        <v>78</v>
      </c>
      <c r="AU17" s="38" t="s">
        <v>78</v>
      </c>
      <c r="AV17" s="38" t="s">
        <v>78</v>
      </c>
      <c r="AW17" s="38" t="s">
        <v>78</v>
      </c>
      <c r="AX17" s="38" t="s">
        <v>78</v>
      </c>
      <c r="AY17" s="38" t="s">
        <v>78</v>
      </c>
      <c r="AZ17" s="38" t="s">
        <v>78</v>
      </c>
      <c r="BA17" s="38" t="s">
        <v>78</v>
      </c>
      <c r="BB17" s="38" t="s">
        <v>78</v>
      </c>
      <c r="BC17" s="38" t="s">
        <v>78</v>
      </c>
      <c r="BD17" s="38" t="s">
        <v>78</v>
      </c>
      <c r="BE17" s="38" t="s">
        <v>78</v>
      </c>
      <c r="BF17" s="38" t="s">
        <v>78</v>
      </c>
      <c r="BG17" s="38" t="s">
        <v>78</v>
      </c>
      <c r="BH17" s="38" t="s">
        <v>78</v>
      </c>
      <c r="BI17" s="38" t="s">
        <v>78</v>
      </c>
      <c r="BJ17" s="38" t="s">
        <v>78</v>
      </c>
      <c r="BK17" s="38" t="s">
        <v>78</v>
      </c>
      <c r="BL17" s="38" t="s">
        <v>78</v>
      </c>
      <c r="BM17" s="38" t="s">
        <v>78</v>
      </c>
      <c r="BN17" s="38" t="s">
        <v>78</v>
      </c>
      <c r="BO17" s="38" t="s">
        <v>78</v>
      </c>
      <c r="BP17" s="38" t="s">
        <v>78</v>
      </c>
      <c r="BQ17" s="38" t="s">
        <v>78</v>
      </c>
      <c r="BR17" s="38" t="s">
        <v>78</v>
      </c>
      <c r="BS17" s="38" t="s">
        <v>78</v>
      </c>
      <c r="BT17" s="38" t="s">
        <v>78</v>
      </c>
      <c r="BU17" s="95">
        <v>100</v>
      </c>
      <c r="BV17" s="96">
        <v>1</v>
      </c>
      <c r="BW17" s="42" t="s">
        <v>78</v>
      </c>
      <c r="BX17" s="97" t="s">
        <v>78</v>
      </c>
      <c r="BY17" s="97" t="s">
        <v>78</v>
      </c>
      <c r="BZ17" s="97" t="s">
        <v>78</v>
      </c>
      <c r="CA17" s="97" t="s">
        <v>78</v>
      </c>
      <c r="CB17" s="97" t="s">
        <v>78</v>
      </c>
      <c r="CC17" s="97" t="s">
        <v>78</v>
      </c>
      <c r="CD17" s="97" t="s">
        <v>78</v>
      </c>
      <c r="CE17" s="97" t="s">
        <v>78</v>
      </c>
      <c r="CF17" s="97" t="s">
        <v>78</v>
      </c>
      <c r="CG17" s="97" t="s">
        <v>78</v>
      </c>
      <c r="CH17" s="97" t="s">
        <v>78</v>
      </c>
      <c r="CI17" s="97" t="s">
        <v>78</v>
      </c>
      <c r="CJ17" s="97" t="s">
        <v>78</v>
      </c>
      <c r="CK17" s="97" t="s">
        <v>78</v>
      </c>
      <c r="CL17" s="97" t="s">
        <v>78</v>
      </c>
      <c r="CM17" s="97" t="s">
        <v>78</v>
      </c>
      <c r="CN17" s="97" t="s">
        <v>78</v>
      </c>
      <c r="CO17" s="97" t="s">
        <v>78</v>
      </c>
      <c r="CP17" s="97" t="s">
        <v>78</v>
      </c>
      <c r="CQ17" s="98">
        <v>100</v>
      </c>
      <c r="CR17" s="99">
        <v>1</v>
      </c>
      <c r="CS17" s="44" t="s">
        <v>78</v>
      </c>
      <c r="CT17" s="100" t="s">
        <v>78</v>
      </c>
      <c r="CU17" s="100" t="s">
        <v>78</v>
      </c>
      <c r="CV17" s="100" t="s">
        <v>78</v>
      </c>
      <c r="CW17" s="100" t="s">
        <v>78</v>
      </c>
      <c r="CX17" s="100" t="s">
        <v>78</v>
      </c>
      <c r="CY17" s="100" t="s">
        <v>78</v>
      </c>
      <c r="CZ17" s="100" t="s">
        <v>78</v>
      </c>
      <c r="DA17" s="100" t="s">
        <v>78</v>
      </c>
      <c r="DB17" s="100" t="s">
        <v>78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opLeftCell="A8" zoomScale="72" workbookViewId="0">
      <selection activeCell="F11" sqref="F11:J11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51</v>
      </c>
    </row>
    <row r="2" spans="1:33" ht="14.5">
      <c r="B2" s="250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4.5">
      <c r="B3" s="251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 ht="14.5">
      <c r="B4" s="252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76" t="s">
        <v>90</v>
      </c>
      <c r="C6" s="258"/>
      <c r="D6" s="258"/>
      <c r="E6" s="258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69" t="s">
        <v>3</v>
      </c>
      <c r="B7" s="270"/>
      <c r="C7" s="178" t="str">
        <f>IF('Midterm OVPAA-F-INS-055A RAW SC'!G7="","",'Midterm OVPAA-F-INS-055A RAW SC'!G7)</f>
        <v>T205</v>
      </c>
      <c r="D7" s="179"/>
      <c r="E7" s="179"/>
      <c r="F7" s="272" t="s">
        <v>91</v>
      </c>
      <c r="G7" s="260"/>
      <c r="H7" s="260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69" t="s">
        <v>6</v>
      </c>
      <c r="B8" s="270"/>
      <c r="C8" s="183" t="str">
        <f>IF('Midterm OVPAA-F-INS-055A RAW SC'!G8="","",'Midterm OVPAA-F-INS-055A RAW SC'!G8)</f>
        <v>BA 13131</v>
      </c>
      <c r="D8" s="184"/>
      <c r="E8" s="184"/>
      <c r="F8" s="272" t="s">
        <v>92</v>
      </c>
      <c r="G8" s="260"/>
      <c r="H8" s="260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69" t="s">
        <v>93</v>
      </c>
      <c r="B9" s="270"/>
      <c r="C9" s="183" t="str">
        <f>IF('Midterm OVPAA-F-INS-055A RAW SC'!G9="","",'Midterm OVPAA-F-INS-055A RAW SC'!G9)</f>
        <v>Computer Programming 1</v>
      </c>
      <c r="D9" s="184"/>
      <c r="E9" s="184"/>
      <c r="F9" s="277" t="s">
        <v>94</v>
      </c>
      <c r="G9" s="258"/>
      <c r="H9" s="278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69" t="s">
        <v>95</v>
      </c>
      <c r="B10" s="270"/>
      <c r="C10" s="178" t="str">
        <f>'Midterm OVPAA-F-INS-055A RAW SC'!G10&amp;"/"&amp;'Midterm OVPAA-F-INS-055A RAW SC'!G11</f>
        <v>2nd Sem/2025-2026</v>
      </c>
      <c r="D10" s="179"/>
      <c r="E10" s="186"/>
      <c r="F10" s="272"/>
      <c r="G10" s="260"/>
      <c r="H10" s="270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73" t="s">
        <v>96</v>
      </c>
      <c r="G11" s="260"/>
      <c r="H11" s="260"/>
      <c r="I11" s="260"/>
      <c r="J11" s="270"/>
      <c r="K11" s="273" t="s">
        <v>97</v>
      </c>
      <c r="L11" s="260"/>
      <c r="M11" s="260"/>
      <c r="N11" s="270"/>
      <c r="O11" s="274" t="s">
        <v>98</v>
      </c>
      <c r="P11" s="227"/>
      <c r="Q11" s="275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99</v>
      </c>
      <c r="B12" s="191" t="s">
        <v>100</v>
      </c>
      <c r="C12" s="273" t="s">
        <v>101</v>
      </c>
      <c r="D12" s="260"/>
      <c r="E12" s="270"/>
      <c r="F12" s="273" t="str">
        <f>_xlfn.CONCAT(_xlfn.CONCAT("CS (",'Finalterm OVPAA-F-INS-055B CLAS'!DE15*100),"%)")</f>
        <v>CS (30%)</v>
      </c>
      <c r="G12" s="270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102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103</v>
      </c>
      <c r="O12" s="191" t="s">
        <v>104</v>
      </c>
      <c r="P12" s="191" t="s">
        <v>105</v>
      </c>
      <c r="Q12" s="191" t="s">
        <v>76</v>
      </c>
      <c r="R12" s="191" t="s">
        <v>106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69" t="str">
        <f>IF(NOT(ISBLANK('Midterm OVPAA-F-INS-055A RAW SC'!G18)),'Midterm OVPAA-F-INS-055A RAW SC'!G18,"")</f>
        <v>Albarracin, Donna Igar</v>
      </c>
      <c r="D13" s="260"/>
      <c r="E13" s="270"/>
      <c r="F13" s="271">
        <f>'MidTerm OVPAA-F-INS-055B CLASS'!BV18</f>
        <v>5</v>
      </c>
      <c r="G13" s="270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131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69" t="str">
        <f>IF(NOT(ISBLANK('Midterm OVPAA-F-INS-055A RAW SC'!G19)),'Midterm OVPAA-F-INS-055A RAW SC'!G19,"")</f>
        <v>Añonuevo, Thomas Franz</v>
      </c>
      <c r="D14" s="260"/>
      <c r="E14" s="270"/>
      <c r="F14" s="271">
        <f>'MidTerm OVPAA-F-INS-055B CLASS'!BV19</f>
        <v>2.25</v>
      </c>
      <c r="G14" s="270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107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69" t="str">
        <f>IF(NOT(ISBLANK('Midterm OVPAA-F-INS-055A RAW SC'!G20)),'Midterm OVPAA-F-INS-055A RAW SC'!G20,"")</f>
        <v>Cabuco, Dean Krist A.</v>
      </c>
      <c r="D15" s="260"/>
      <c r="E15" s="270"/>
      <c r="F15" s="271">
        <f>'MidTerm OVPAA-F-INS-055B CLASS'!BV20</f>
        <v>2.75</v>
      </c>
      <c r="G15" s="270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107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69" t="str">
        <f>IF(NOT(ISBLANK('Midterm OVPAA-F-INS-055A RAW SC'!G21)),'Midterm OVPAA-F-INS-055A RAW SC'!G21,"")</f>
        <v>De Guzman, Jim Dale Manong</v>
      </c>
      <c r="D16" s="260"/>
      <c r="E16" s="270"/>
      <c r="F16" s="271">
        <f>'MidTerm OVPAA-F-INS-055B CLASS'!BV21</f>
        <v>2.25</v>
      </c>
      <c r="G16" s="270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107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69" t="str">
        <f>IF(NOT(ISBLANK('Midterm OVPAA-F-INS-055A RAW SC'!G22)),'Midterm OVPAA-F-INS-055A RAW SC'!G22,"")</f>
        <v>Dela Cerna, Johann Derek Javier</v>
      </c>
      <c r="D17" s="260"/>
      <c r="E17" s="270"/>
      <c r="F17" s="271">
        <f>'MidTerm OVPAA-F-INS-055B CLASS'!BV22</f>
        <v>1.75</v>
      </c>
      <c r="G17" s="270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107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69" t="str">
        <f>IF(NOT(ISBLANK('Midterm OVPAA-F-INS-055A RAW SC'!G23)),'Midterm OVPAA-F-INS-055A RAW SC'!G23,"")</f>
        <v>Delfin, Kyle Arnie Jopson</v>
      </c>
      <c r="D18" s="260"/>
      <c r="E18" s="270"/>
      <c r="F18" s="271">
        <f>'MidTerm OVPAA-F-INS-055B CLASS'!BV23</f>
        <v>3</v>
      </c>
      <c r="G18" s="270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107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69" t="str">
        <f>IF(NOT(ISBLANK('Midterm OVPAA-F-INS-055A RAW SC'!G24)),'Midterm OVPAA-F-INS-055A RAW SC'!G24,"")</f>
        <v>Gumapac, Jannerie</v>
      </c>
      <c r="D19" s="260"/>
      <c r="E19" s="270"/>
      <c r="F19" s="271">
        <f>'MidTerm OVPAA-F-INS-055B CLASS'!BV24</f>
        <v>2.75</v>
      </c>
      <c r="G19" s="270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107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69" t="str">
        <f>IF(NOT(ISBLANK('Midterm OVPAA-F-INS-055A RAW SC'!G25)),'Midterm OVPAA-F-INS-055A RAW SC'!G25,"")</f>
        <v>Lantinay, Pol Edison</v>
      </c>
      <c r="D20" s="260"/>
      <c r="E20" s="270"/>
      <c r="F20" s="271">
        <f>'MidTerm OVPAA-F-INS-055B CLASS'!BV25</f>
        <v>2.25</v>
      </c>
      <c r="G20" s="270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107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69" t="str">
        <f>IF(NOT(ISBLANK('Midterm OVPAA-F-INS-055A RAW SC'!G26)),'Midterm OVPAA-F-INS-055A RAW SC'!G26,"")</f>
        <v>Lintawahan, Maria Elisabeth</v>
      </c>
      <c r="D21" s="260"/>
      <c r="E21" s="270"/>
      <c r="F21" s="271">
        <f>'MidTerm OVPAA-F-INS-055B CLASS'!BV26</f>
        <v>2</v>
      </c>
      <c r="G21" s="270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131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69" t="str">
        <f>IF(NOT(ISBLANK('Midterm OVPAA-F-INS-055A RAW SC'!G27)),'Midterm OVPAA-F-INS-055A RAW SC'!G27,"")</f>
        <v>Lisondra, Christian Earl</v>
      </c>
      <c r="D22" s="260"/>
      <c r="E22" s="270"/>
      <c r="F22" s="271">
        <f>'MidTerm OVPAA-F-INS-055B CLASS'!BV27</f>
        <v>2.25</v>
      </c>
      <c r="G22" s="270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107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69" t="str">
        <f>IF(NOT(ISBLANK('Midterm OVPAA-F-INS-055A RAW SC'!G28)),'Midterm OVPAA-F-INS-055A RAW SC'!G28,"")</f>
        <v>Magante, Jerson</v>
      </c>
      <c r="D23" s="260"/>
      <c r="E23" s="270"/>
      <c r="F23" s="271">
        <f>'MidTerm OVPAA-F-INS-055B CLASS'!BV28</f>
        <v>2</v>
      </c>
      <c r="G23" s="270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107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69" t="str">
        <f>IF(NOT(ISBLANK('Midterm OVPAA-F-INS-055A RAW SC'!G29)),'Midterm OVPAA-F-INS-055A RAW SC'!G29,"")</f>
        <v>Maraon, EJ Kate</v>
      </c>
      <c r="D24" s="260"/>
      <c r="E24" s="270"/>
      <c r="F24" s="271">
        <f>'MidTerm OVPAA-F-INS-055B CLASS'!BV29</f>
        <v>2.25</v>
      </c>
      <c r="G24" s="270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107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69" t="str">
        <f>IF(NOT(ISBLANK('Midterm OVPAA-F-INS-055A RAW SC'!G30)),'Midterm OVPAA-F-INS-055A RAW SC'!G30,"")</f>
        <v>Melendez, Jeter Giambi</v>
      </c>
      <c r="D25" s="260"/>
      <c r="E25" s="270"/>
      <c r="F25" s="271">
        <f>'MidTerm OVPAA-F-INS-055B CLASS'!BV30</f>
        <v>1.75</v>
      </c>
      <c r="G25" s="270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107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69" t="str">
        <f>IF(NOT(ISBLANK('Midterm OVPAA-F-INS-055A RAW SC'!G31)),'Midterm OVPAA-F-INS-055A RAW SC'!G31,"")</f>
        <v>Merina, Meljon G.</v>
      </c>
      <c r="D26" s="260"/>
      <c r="E26" s="270"/>
      <c r="F26" s="271">
        <f>'MidTerm OVPAA-F-INS-055B CLASS'!BV31</f>
        <v>1.25</v>
      </c>
      <c r="G26" s="270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107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69" t="str">
        <f>IF(NOT(ISBLANK('Midterm OVPAA-F-INS-055A RAW SC'!G32)),'Midterm OVPAA-F-INS-055A RAW SC'!G32,"")</f>
        <v>Neri, Jaira Greist</v>
      </c>
      <c r="D27" s="260"/>
      <c r="E27" s="270"/>
      <c r="F27" s="271">
        <f>'MidTerm OVPAA-F-INS-055B CLASS'!BV32</f>
        <v>1.5</v>
      </c>
      <c r="G27" s="270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107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69" t="str">
        <f>IF(NOT(ISBLANK('Midterm OVPAA-F-INS-055A RAW SC'!G33)),'Midterm OVPAA-F-INS-055A RAW SC'!G33,"")</f>
        <v>Noval, Miky</v>
      </c>
      <c r="D28" s="260"/>
      <c r="E28" s="270"/>
      <c r="F28" s="271">
        <f>'MidTerm OVPAA-F-INS-055B CLASS'!BV33</f>
        <v>1.75</v>
      </c>
      <c r="G28" s="270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107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69" t="str">
        <f>IF(NOT(ISBLANK('Midterm OVPAA-F-INS-055A RAW SC'!G34)),'Midterm OVPAA-F-INS-055A RAW SC'!G34,"")</f>
        <v>Nuer, Jaymarc</v>
      </c>
      <c r="D29" s="260"/>
      <c r="E29" s="270"/>
      <c r="F29" s="271">
        <f>'MidTerm OVPAA-F-INS-055B CLASS'!BV34</f>
        <v>2.5</v>
      </c>
      <c r="G29" s="270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107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69" t="str">
        <f>IF(NOT(ISBLANK('Midterm OVPAA-F-INS-055A RAW SC'!G35)),'Midterm OVPAA-F-INS-055A RAW SC'!G35,"")</f>
        <v>Publico, Rogelio</v>
      </c>
      <c r="D30" s="260"/>
      <c r="E30" s="270"/>
      <c r="F30" s="271">
        <f>'MidTerm OVPAA-F-INS-055B CLASS'!BV35</f>
        <v>1.5</v>
      </c>
      <c r="G30" s="270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107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69" t="str">
        <f>IF(NOT(ISBLANK('Midterm OVPAA-F-INS-055A RAW SC'!G36)),'Midterm OVPAA-F-INS-055A RAW SC'!G36,"")</f>
        <v>Rivera, Juvel</v>
      </c>
      <c r="D31" s="260"/>
      <c r="E31" s="270"/>
      <c r="F31" s="271">
        <f>'MidTerm OVPAA-F-INS-055B CLASS'!BV36</f>
        <v>1.5</v>
      </c>
      <c r="G31" s="270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107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69" t="str">
        <f>IF(NOT(ISBLANK('Midterm OVPAA-F-INS-055A RAW SC'!G37)),'Midterm OVPAA-F-INS-055A RAW SC'!G37,"")</f>
        <v>Rubio, Pia Pilar</v>
      </c>
      <c r="D32" s="260"/>
      <c r="E32" s="270"/>
      <c r="F32" s="271">
        <f>'MidTerm OVPAA-F-INS-055B CLASS'!BV37</f>
        <v>1.75</v>
      </c>
      <c r="G32" s="270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107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69" t="str">
        <f>IF(NOT(ISBLANK('Midterm OVPAA-F-INS-055A RAW SC'!G38)),'Midterm OVPAA-F-INS-055A RAW SC'!G38,"")</f>
        <v>Salto, Mary Natalie</v>
      </c>
      <c r="D33" s="260"/>
      <c r="E33" s="270"/>
      <c r="F33" s="271">
        <f>'MidTerm OVPAA-F-INS-055B CLASS'!BV38</f>
        <v>1.25</v>
      </c>
      <c r="G33" s="270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107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69" t="str">
        <f>IF(NOT(ISBLANK('Midterm OVPAA-F-INS-055A RAW SC'!G39)),'Midterm OVPAA-F-INS-055A RAW SC'!G39,"")</f>
        <v>Tilanduca, Khiara</v>
      </c>
      <c r="D34" s="260"/>
      <c r="E34" s="270"/>
      <c r="F34" s="271">
        <f>'MidTerm OVPAA-F-INS-055B CLASS'!BV39</f>
        <v>1.25</v>
      </c>
      <c r="G34" s="270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107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69" t="str">
        <f>IF(NOT(ISBLANK('Midterm OVPAA-F-INS-055A RAW SC'!G40)),'Midterm OVPAA-F-INS-055A RAW SC'!G40,"")</f>
        <v>Valdez, John Winchel</v>
      </c>
      <c r="D35" s="260"/>
      <c r="E35" s="270"/>
      <c r="F35" s="271">
        <f>'MidTerm OVPAA-F-INS-055B CLASS'!BV40</f>
        <v>1.5</v>
      </c>
      <c r="G35" s="270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107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69" t="str">
        <f>IF(NOT(ISBLANK('Midterm OVPAA-F-INS-055A RAW SC'!G41)),'Midterm OVPAA-F-INS-055A RAW SC'!G41,"")</f>
        <v/>
      </c>
      <c r="D36" s="260"/>
      <c r="E36" s="270"/>
      <c r="F36" s="271" t="str">
        <f>'MidTerm OVPAA-F-INS-055B CLASS'!BV41</f>
        <v/>
      </c>
      <c r="G36" s="270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69" t="str">
        <f>IF(NOT(ISBLANK('Midterm OVPAA-F-INS-055A RAW SC'!G42)),'Midterm OVPAA-F-INS-055A RAW SC'!G42,"")</f>
        <v/>
      </c>
      <c r="D37" s="260"/>
      <c r="E37" s="270"/>
      <c r="F37" s="271" t="str">
        <f>'MidTerm OVPAA-F-INS-055B CLASS'!BV42</f>
        <v/>
      </c>
      <c r="G37" s="270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69" t="str">
        <f>IF(NOT(ISBLANK('Midterm OVPAA-F-INS-055A RAW SC'!G43)),'Midterm OVPAA-F-INS-055A RAW SC'!G43,"")</f>
        <v/>
      </c>
      <c r="D38" s="260"/>
      <c r="E38" s="270"/>
      <c r="F38" s="271" t="str">
        <f>'MidTerm OVPAA-F-INS-055B CLASS'!BV43</f>
        <v/>
      </c>
      <c r="G38" s="270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69" t="str">
        <f>IF(NOT(ISBLANK('Midterm OVPAA-F-INS-055A RAW SC'!G44)),'Midterm OVPAA-F-INS-055A RAW SC'!G44,"")</f>
        <v/>
      </c>
      <c r="D39" s="260"/>
      <c r="E39" s="270"/>
      <c r="F39" s="271" t="str">
        <f>'MidTerm OVPAA-F-INS-055B CLASS'!BV44</f>
        <v/>
      </c>
      <c r="G39" s="270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69" t="str">
        <f>IF(NOT(ISBLANK('Midterm OVPAA-F-INS-055A RAW SC'!G45)),'Midterm OVPAA-F-INS-055A RAW SC'!G45,"")</f>
        <v/>
      </c>
      <c r="D40" s="260"/>
      <c r="E40" s="270"/>
      <c r="F40" s="271" t="str">
        <f>'MidTerm OVPAA-F-INS-055B CLASS'!BV45</f>
        <v/>
      </c>
      <c r="G40" s="270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69" t="str">
        <f>IF(NOT(ISBLANK('Midterm OVPAA-F-INS-055A RAW SC'!G46)),'Midterm OVPAA-F-INS-055A RAW SC'!G46,"")</f>
        <v/>
      </c>
      <c r="D41" s="260"/>
      <c r="E41" s="270"/>
      <c r="F41" s="271" t="str">
        <f>'MidTerm OVPAA-F-INS-055B CLASS'!BV46</f>
        <v/>
      </c>
      <c r="G41" s="270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69" t="str">
        <f>IF(NOT(ISBLANK('Midterm OVPAA-F-INS-055A RAW SC'!G47)),'Midterm OVPAA-F-INS-055A RAW SC'!G47,"")</f>
        <v/>
      </c>
      <c r="D42" s="260"/>
      <c r="E42" s="270"/>
      <c r="F42" s="271" t="str">
        <f>'MidTerm OVPAA-F-INS-055B CLASS'!BV47</f>
        <v/>
      </c>
      <c r="G42" s="270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69" t="str">
        <f>IF(NOT(ISBLANK('Midterm OVPAA-F-INS-055A RAW SC'!G48)),'Midterm OVPAA-F-INS-055A RAW SC'!G48,"")</f>
        <v/>
      </c>
      <c r="D43" s="260"/>
      <c r="E43" s="270"/>
      <c r="F43" s="271" t="str">
        <f>'MidTerm OVPAA-F-INS-055B CLASS'!BV48</f>
        <v/>
      </c>
      <c r="G43" s="270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69" t="str">
        <f>IF(NOT(ISBLANK('Midterm OVPAA-F-INS-055A RAW SC'!G49)),'Midterm OVPAA-F-INS-055A RAW SC'!G49,"")</f>
        <v/>
      </c>
      <c r="D44" s="260"/>
      <c r="E44" s="270"/>
      <c r="F44" s="271" t="str">
        <f>'MidTerm OVPAA-F-INS-055B CLASS'!BV49</f>
        <v/>
      </c>
      <c r="G44" s="270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69" t="str">
        <f>IF(NOT(ISBLANK('Midterm OVPAA-F-INS-055A RAW SC'!G50)),'Midterm OVPAA-F-INS-055A RAW SC'!G50,"")</f>
        <v/>
      </c>
      <c r="D45" s="260"/>
      <c r="E45" s="270"/>
      <c r="F45" s="271" t="str">
        <f>'MidTerm OVPAA-F-INS-055B CLASS'!BV50</f>
        <v/>
      </c>
      <c r="G45" s="270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69" t="str">
        <f>IF(NOT(ISBLANK('Midterm OVPAA-F-INS-055A RAW SC'!G51)),'Midterm OVPAA-F-INS-055A RAW SC'!G51,"")</f>
        <v/>
      </c>
      <c r="D46" s="260"/>
      <c r="E46" s="270"/>
      <c r="F46" s="271" t="str">
        <f>'MidTerm OVPAA-F-INS-055B CLASS'!BV51</f>
        <v/>
      </c>
      <c r="G46" s="270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69" t="str">
        <f>IF(NOT(ISBLANK('Midterm OVPAA-F-INS-055A RAW SC'!G52)),'Midterm OVPAA-F-INS-055A RAW SC'!G52,"")</f>
        <v/>
      </c>
      <c r="D47" s="260"/>
      <c r="E47" s="270"/>
      <c r="F47" s="271" t="str">
        <f>'MidTerm OVPAA-F-INS-055B CLASS'!BV52</f>
        <v/>
      </c>
      <c r="G47" s="270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69" t="str">
        <f>IF(NOT(ISBLANK('Midterm OVPAA-F-INS-055A RAW SC'!G53)),'Midterm OVPAA-F-INS-055A RAW SC'!G53,"")</f>
        <v/>
      </c>
      <c r="D48" s="260"/>
      <c r="E48" s="270"/>
      <c r="F48" s="271" t="str">
        <f>'MidTerm OVPAA-F-INS-055B CLASS'!BV53</f>
        <v/>
      </c>
      <c r="G48" s="270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69" t="str">
        <f>IF(NOT(ISBLANK('Midterm OVPAA-F-INS-055A RAW SC'!G54)),'Midterm OVPAA-F-INS-055A RAW SC'!G54,"")</f>
        <v/>
      </c>
      <c r="D49" s="260"/>
      <c r="E49" s="270"/>
      <c r="F49" s="271" t="str">
        <f>'MidTerm OVPAA-F-INS-055B CLASS'!BV54</f>
        <v/>
      </c>
      <c r="G49" s="270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69" t="str">
        <f>IF(NOT(ISBLANK('Midterm OVPAA-F-INS-055A RAW SC'!G55)),'Midterm OVPAA-F-INS-055A RAW SC'!G55,"")</f>
        <v/>
      </c>
      <c r="D50" s="260"/>
      <c r="E50" s="270"/>
      <c r="F50" s="271" t="str">
        <f>'MidTerm OVPAA-F-INS-055B CLASS'!BV55</f>
        <v/>
      </c>
      <c r="G50" s="270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69" t="str">
        <f>IF(NOT(ISBLANK('Midterm OVPAA-F-INS-055A RAW SC'!G56)),'Midterm OVPAA-F-INS-055A RAW SC'!G56,"")</f>
        <v/>
      </c>
      <c r="D51" s="260"/>
      <c r="E51" s="270"/>
      <c r="F51" s="271" t="str">
        <f>'MidTerm OVPAA-F-INS-055B CLASS'!BV56</f>
        <v/>
      </c>
      <c r="G51" s="270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69" t="str">
        <f>IF(NOT(ISBLANK('Midterm OVPAA-F-INS-055A RAW SC'!G57)),'Midterm OVPAA-F-INS-055A RAW SC'!G57,"")</f>
        <v/>
      </c>
      <c r="D52" s="260"/>
      <c r="E52" s="270"/>
      <c r="F52" s="271" t="str">
        <f>'MidTerm OVPAA-F-INS-055B CLASS'!BV57</f>
        <v/>
      </c>
      <c r="G52" s="270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69" t="str">
        <f>IF(NOT(ISBLANK('Midterm OVPAA-F-INS-055A RAW SC'!G58)),'Midterm OVPAA-F-INS-055A RAW SC'!G58,"")</f>
        <v/>
      </c>
      <c r="D53" s="260"/>
      <c r="E53" s="270"/>
      <c r="F53" s="271" t="str">
        <f>'MidTerm OVPAA-F-INS-055B CLASS'!BV58</f>
        <v/>
      </c>
      <c r="G53" s="270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69" t="str">
        <f>IF(NOT(ISBLANK('Midterm OVPAA-F-INS-055A RAW SC'!G59)),'Midterm OVPAA-F-INS-055A RAW SC'!G59,"")</f>
        <v/>
      </c>
      <c r="D54" s="260"/>
      <c r="E54" s="270"/>
      <c r="F54" s="271" t="str">
        <f>'MidTerm OVPAA-F-INS-055B CLASS'!BV59</f>
        <v/>
      </c>
      <c r="G54" s="270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69" t="str">
        <f>IF(NOT(ISBLANK('Midterm OVPAA-F-INS-055A RAW SC'!G60)),'Midterm OVPAA-F-INS-055A RAW SC'!G60,"")</f>
        <v/>
      </c>
      <c r="D55" s="260"/>
      <c r="E55" s="270"/>
      <c r="F55" s="271" t="str">
        <f>'MidTerm OVPAA-F-INS-055B CLASS'!BV60</f>
        <v/>
      </c>
      <c r="G55" s="270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69" t="str">
        <f>IF(NOT(ISBLANK('Midterm OVPAA-F-INS-055A RAW SC'!G61)),'Midterm OVPAA-F-INS-055A RAW SC'!G61,"")</f>
        <v/>
      </c>
      <c r="D56" s="260"/>
      <c r="E56" s="270"/>
      <c r="F56" s="271" t="str">
        <f>'MidTerm OVPAA-F-INS-055B CLASS'!BV61</f>
        <v/>
      </c>
      <c r="G56" s="270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69" t="str">
        <f>IF(NOT(ISBLANK('Midterm OVPAA-F-INS-055A RAW SC'!G62)),'Midterm OVPAA-F-INS-055A RAW SC'!G62,"")</f>
        <v/>
      </c>
      <c r="D57" s="260"/>
      <c r="E57" s="270"/>
      <c r="F57" s="271" t="str">
        <f>'MidTerm OVPAA-F-INS-055B CLASS'!BV62</f>
        <v/>
      </c>
      <c r="G57" s="270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69" t="str">
        <f>IF(NOT(ISBLANK('Midterm OVPAA-F-INS-055A RAW SC'!G63)),'Midterm OVPAA-F-INS-055A RAW SC'!G63,"")</f>
        <v/>
      </c>
      <c r="D58" s="260"/>
      <c r="E58" s="270"/>
      <c r="F58" s="271" t="str">
        <f>'MidTerm OVPAA-F-INS-055B CLASS'!BV63</f>
        <v/>
      </c>
      <c r="G58" s="270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69" t="str">
        <f>IF(NOT(ISBLANK('Midterm OVPAA-F-INS-055A RAW SC'!G64)),'Midterm OVPAA-F-INS-055A RAW SC'!G64,"")</f>
        <v/>
      </c>
      <c r="D59" s="260"/>
      <c r="E59" s="270"/>
      <c r="F59" s="271" t="str">
        <f>'MidTerm OVPAA-F-INS-055B CLASS'!BV64</f>
        <v/>
      </c>
      <c r="G59" s="270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69" t="str">
        <f>IF(NOT(ISBLANK('Midterm OVPAA-F-INS-055A RAW SC'!G65)),'Midterm OVPAA-F-INS-055A RAW SC'!G65,"")</f>
        <v/>
      </c>
      <c r="D60" s="260"/>
      <c r="E60" s="270"/>
      <c r="F60" s="271" t="str">
        <f>'MidTerm OVPAA-F-INS-055B CLASS'!BV65</f>
        <v/>
      </c>
      <c r="G60" s="270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69" t="str">
        <f>IF(NOT(ISBLANK('Midterm OVPAA-F-INS-055A RAW SC'!G66)),'Midterm OVPAA-F-INS-055A RAW SC'!G66,"")</f>
        <v/>
      </c>
      <c r="D61" s="260"/>
      <c r="E61" s="270"/>
      <c r="F61" s="271" t="str">
        <f>'MidTerm OVPAA-F-INS-055B CLASS'!BV66</f>
        <v/>
      </c>
      <c r="G61" s="270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69" t="str">
        <f>IF(NOT(ISBLANK('Midterm OVPAA-F-INS-055A RAW SC'!G67)),'Midterm OVPAA-F-INS-055A RAW SC'!G67,"")</f>
        <v/>
      </c>
      <c r="D62" s="260"/>
      <c r="E62" s="270"/>
      <c r="F62" s="271" t="str">
        <f>'MidTerm OVPAA-F-INS-055B CLASS'!BV67</f>
        <v/>
      </c>
      <c r="G62" s="270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69" t="str">
        <f>IF(NOT(ISBLANK('Midterm OVPAA-F-INS-055A RAW SC'!G68)),'Midterm OVPAA-F-INS-055A RAW SC'!G68,"")</f>
        <v/>
      </c>
      <c r="D63" s="260"/>
      <c r="E63" s="270"/>
      <c r="F63" s="271" t="str">
        <f>'MidTerm OVPAA-F-INS-055B CLASS'!BV68</f>
        <v/>
      </c>
      <c r="G63" s="270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69" t="str">
        <f>IF(NOT(ISBLANK('Midterm OVPAA-F-INS-055A RAW SC'!G69)),'Midterm OVPAA-F-INS-055A RAW SC'!G69,"")</f>
        <v/>
      </c>
      <c r="D64" s="260"/>
      <c r="E64" s="270"/>
      <c r="F64" s="271" t="str">
        <f>'MidTerm OVPAA-F-INS-055B CLASS'!BV69</f>
        <v/>
      </c>
      <c r="G64" s="270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69" t="str">
        <f>IF(NOT(ISBLANK('Midterm OVPAA-F-INS-055A RAW SC'!G70)),'Midterm OVPAA-F-INS-055A RAW SC'!G70,"")</f>
        <v/>
      </c>
      <c r="D65" s="260"/>
      <c r="E65" s="270"/>
      <c r="F65" s="271" t="str">
        <f>'MidTerm OVPAA-F-INS-055B CLASS'!BV70</f>
        <v/>
      </c>
      <c r="G65" s="270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69" t="str">
        <f>IF(NOT(ISBLANK('Midterm OVPAA-F-INS-055A RAW SC'!G71)),'Midterm OVPAA-F-INS-055A RAW SC'!G71,"")</f>
        <v/>
      </c>
      <c r="D66" s="260"/>
      <c r="E66" s="270"/>
      <c r="F66" s="271" t="str">
        <f>'MidTerm OVPAA-F-INS-055B CLASS'!BV71</f>
        <v/>
      </c>
      <c r="G66" s="270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69" t="str">
        <f>IF(NOT(ISBLANK('Midterm OVPAA-F-INS-055A RAW SC'!G72)),'Midterm OVPAA-F-INS-055A RAW SC'!G72,"")</f>
        <v/>
      </c>
      <c r="D67" s="260"/>
      <c r="E67" s="270"/>
      <c r="F67" s="271" t="str">
        <f>'MidTerm OVPAA-F-INS-055B CLASS'!BV72</f>
        <v/>
      </c>
      <c r="G67" s="270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69" t="str">
        <f>IF(NOT(ISBLANK('Midterm OVPAA-F-INS-055A RAW SC'!G73)),'Midterm OVPAA-F-INS-055A RAW SC'!G73,"")</f>
        <v/>
      </c>
      <c r="D68" s="260"/>
      <c r="E68" s="270"/>
      <c r="F68" s="271" t="str">
        <f>'MidTerm OVPAA-F-INS-055B CLASS'!BV73</f>
        <v/>
      </c>
      <c r="G68" s="270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69" t="str">
        <f>IF(NOT(ISBLANK('Midterm OVPAA-F-INS-055A RAW SC'!G74)),'Midterm OVPAA-F-INS-055A RAW SC'!G74,"")</f>
        <v/>
      </c>
      <c r="D69" s="260"/>
      <c r="E69" s="270"/>
      <c r="F69" s="271" t="str">
        <f>'MidTerm OVPAA-F-INS-055B CLASS'!BV74</f>
        <v/>
      </c>
      <c r="G69" s="270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69" t="str">
        <f>IF(NOT(ISBLANK('Midterm OVPAA-F-INS-055A RAW SC'!G75)),'Midterm OVPAA-F-INS-055A RAW SC'!G75,"")</f>
        <v/>
      </c>
      <c r="D70" s="260"/>
      <c r="E70" s="270"/>
      <c r="F70" s="271" t="str">
        <f>'MidTerm OVPAA-F-INS-055B CLASS'!BV75</f>
        <v/>
      </c>
      <c r="G70" s="270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69" t="str">
        <f>IF(NOT(ISBLANK('Midterm OVPAA-F-INS-055A RAW SC'!G76)),'Midterm OVPAA-F-INS-055A RAW SC'!G76,"")</f>
        <v/>
      </c>
      <c r="D71" s="260"/>
      <c r="E71" s="270"/>
      <c r="F71" s="271" t="str">
        <f>'MidTerm OVPAA-F-INS-055B CLASS'!BV76</f>
        <v/>
      </c>
      <c r="G71" s="270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69" t="str">
        <f>IF(NOT(ISBLANK('Midterm OVPAA-F-INS-055A RAW SC'!G77)),'Midterm OVPAA-F-INS-055A RAW SC'!G77,"")</f>
        <v/>
      </c>
      <c r="D72" s="260"/>
      <c r="E72" s="270"/>
      <c r="F72" s="271" t="str">
        <f>'MidTerm OVPAA-F-INS-055B CLASS'!BV77</f>
        <v/>
      </c>
      <c r="G72" s="270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69" t="str">
        <f>IF(NOT(ISBLANK('Midterm OVPAA-F-INS-055A RAW SC'!G78)),'Midterm OVPAA-F-INS-055A RAW SC'!G78,"")</f>
        <v/>
      </c>
      <c r="D73" s="260"/>
      <c r="E73" s="270"/>
      <c r="F73" s="271" t="str">
        <f>'MidTerm OVPAA-F-INS-055B CLASS'!BV78</f>
        <v/>
      </c>
      <c r="G73" s="270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69" t="str">
        <f>IF(NOT(ISBLANK('Midterm OVPAA-F-INS-055A RAW SC'!G79)),'Midterm OVPAA-F-INS-055A RAW SC'!G79,"")</f>
        <v/>
      </c>
      <c r="D74" s="260"/>
      <c r="E74" s="270"/>
      <c r="F74" s="271" t="str">
        <f>'MidTerm OVPAA-F-INS-055B CLASS'!BV79</f>
        <v/>
      </c>
      <c r="G74" s="270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69" t="str">
        <f>IF(NOT(ISBLANK('Midterm OVPAA-F-INS-055A RAW SC'!G80)),'Midterm OVPAA-F-INS-055A RAW SC'!G80,"")</f>
        <v/>
      </c>
      <c r="D75" s="260"/>
      <c r="E75" s="270"/>
      <c r="F75" s="271" t="str">
        <f>'MidTerm OVPAA-F-INS-055B CLASS'!BV80</f>
        <v/>
      </c>
      <c r="G75" s="270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69" t="str">
        <f>IF(NOT(ISBLANK('Midterm OVPAA-F-INS-055A RAW SC'!G81)),'Midterm OVPAA-F-INS-055A RAW SC'!G81,"")</f>
        <v/>
      </c>
      <c r="D76" s="260"/>
      <c r="E76" s="270"/>
      <c r="F76" s="271" t="str">
        <f>'MidTerm OVPAA-F-INS-055B CLASS'!BV81</f>
        <v/>
      </c>
      <c r="G76" s="270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69" t="str">
        <f>IF(NOT(ISBLANK('Midterm OVPAA-F-INS-055A RAW SC'!G82)),'Midterm OVPAA-F-INS-055A RAW SC'!G82,"")</f>
        <v/>
      </c>
      <c r="D77" s="260"/>
      <c r="E77" s="270"/>
      <c r="F77" s="271" t="str">
        <f>'MidTerm OVPAA-F-INS-055B CLASS'!BV82</f>
        <v/>
      </c>
      <c r="G77" s="270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69" t="str">
        <f>IF(NOT(ISBLANK('Midterm OVPAA-F-INS-055A RAW SC'!G83)),'Midterm OVPAA-F-INS-055A RAW SC'!G83,"")</f>
        <v/>
      </c>
      <c r="D78" s="260"/>
      <c r="E78" s="270"/>
      <c r="F78" s="271" t="str">
        <f>'MidTerm OVPAA-F-INS-055B CLASS'!BV83</f>
        <v/>
      </c>
      <c r="G78" s="270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69" t="str">
        <f>IF(NOT(ISBLANK('Midterm OVPAA-F-INS-055A RAW SC'!G84)),'Midterm OVPAA-F-INS-055A RAW SC'!G84,"")</f>
        <v/>
      </c>
      <c r="D79" s="260"/>
      <c r="E79" s="270"/>
      <c r="F79" s="271" t="str">
        <f>'MidTerm OVPAA-F-INS-055B CLASS'!BV84</f>
        <v/>
      </c>
      <c r="G79" s="270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69" t="str">
        <f>IF(NOT(ISBLANK('Midterm OVPAA-F-INS-055A RAW SC'!G85)),'Midterm OVPAA-F-INS-055A RAW SC'!G85,"")</f>
        <v/>
      </c>
      <c r="D80" s="260"/>
      <c r="E80" s="270"/>
      <c r="F80" s="271" t="str">
        <f>'MidTerm OVPAA-F-INS-055B CLASS'!BV85</f>
        <v/>
      </c>
      <c r="G80" s="270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69" t="str">
        <f>IF(NOT(ISBLANK('Midterm OVPAA-F-INS-055A RAW SC'!G86)),'Midterm OVPAA-F-INS-055A RAW SC'!G86,"")</f>
        <v/>
      </c>
      <c r="D81" s="260"/>
      <c r="E81" s="270"/>
      <c r="F81" s="271" t="str">
        <f>'MidTerm OVPAA-F-INS-055B CLASS'!BV86</f>
        <v/>
      </c>
      <c r="G81" s="270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69" t="str">
        <f>IF(NOT(ISBLANK('Midterm OVPAA-F-INS-055A RAW SC'!G87)),'Midterm OVPAA-F-INS-055A RAW SC'!G87,"")</f>
        <v/>
      </c>
      <c r="D82" s="260"/>
      <c r="E82" s="270"/>
      <c r="F82" s="271" t="str">
        <f>'MidTerm OVPAA-F-INS-055B CLASS'!BV87</f>
        <v/>
      </c>
      <c r="G82" s="270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69" t="str">
        <f>IF(NOT(ISBLANK('Midterm OVPAA-F-INS-055A RAW SC'!G88)),'Midterm OVPAA-F-INS-055A RAW SC'!G88,"")</f>
        <v/>
      </c>
      <c r="D83" s="260"/>
      <c r="E83" s="270"/>
      <c r="F83" s="271" t="str">
        <f>'MidTerm OVPAA-F-INS-055B CLASS'!BV88</f>
        <v/>
      </c>
      <c r="G83" s="270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69" t="str">
        <f>IF(NOT(ISBLANK('Midterm OVPAA-F-INS-055A RAW SC'!G89)),'Midterm OVPAA-F-INS-055A RAW SC'!G89,"")</f>
        <v/>
      </c>
      <c r="D84" s="260"/>
      <c r="E84" s="270"/>
      <c r="F84" s="271" t="str">
        <f>'MidTerm OVPAA-F-INS-055B CLASS'!BV89</f>
        <v/>
      </c>
      <c r="G84" s="270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69" t="str">
        <f>IF(NOT(ISBLANK('Midterm OVPAA-F-INS-055A RAW SC'!G90)),'Midterm OVPAA-F-INS-055A RAW SC'!G90,"")</f>
        <v/>
      </c>
      <c r="D85" s="260"/>
      <c r="E85" s="270"/>
      <c r="F85" s="271" t="str">
        <f>'MidTerm OVPAA-F-INS-055B CLASS'!BV90</f>
        <v/>
      </c>
      <c r="G85" s="270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69" t="str">
        <f>IF(NOT(ISBLANK('Midterm OVPAA-F-INS-055A RAW SC'!G91)),'Midterm OVPAA-F-INS-055A RAW SC'!G91,"")</f>
        <v/>
      </c>
      <c r="D86" s="260"/>
      <c r="E86" s="270"/>
      <c r="F86" s="271" t="str">
        <f>'MidTerm OVPAA-F-INS-055B CLASS'!BV91</f>
        <v/>
      </c>
      <c r="G86" s="270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69" t="str">
        <f>IF(NOT(ISBLANK('Midterm OVPAA-F-INS-055A RAW SC'!G92)),'Midterm OVPAA-F-INS-055A RAW SC'!G92,"")</f>
        <v/>
      </c>
      <c r="D87" s="260"/>
      <c r="E87" s="270"/>
      <c r="F87" s="271" t="str">
        <f>'MidTerm OVPAA-F-INS-055B CLASS'!BV92</f>
        <v/>
      </c>
      <c r="G87" s="270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69" t="str">
        <f>IF(NOT(ISBLANK('Midterm OVPAA-F-INS-055A RAW SC'!G93)),'Midterm OVPAA-F-INS-055A RAW SC'!G93,"")</f>
        <v/>
      </c>
      <c r="D88" s="260"/>
      <c r="E88" s="270"/>
      <c r="F88" s="271" t="str">
        <f>'MidTerm OVPAA-F-INS-055B CLASS'!BV93</f>
        <v/>
      </c>
      <c r="G88" s="270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69" t="str">
        <f>IF(NOT(ISBLANK('Midterm OVPAA-F-INS-055A RAW SC'!G94)),'Midterm OVPAA-F-INS-055A RAW SC'!G94,"")</f>
        <v/>
      </c>
      <c r="D89" s="260"/>
      <c r="E89" s="270"/>
      <c r="F89" s="271" t="str">
        <f>'MidTerm OVPAA-F-INS-055B CLASS'!BV94</f>
        <v/>
      </c>
      <c r="G89" s="270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69" t="str">
        <f>IF(NOT(ISBLANK('Midterm OVPAA-F-INS-055A RAW SC'!G95)),'Midterm OVPAA-F-INS-055A RAW SC'!G95,"")</f>
        <v/>
      </c>
      <c r="D90" s="260"/>
      <c r="E90" s="270"/>
      <c r="F90" s="271" t="str">
        <f>'MidTerm OVPAA-F-INS-055B CLASS'!BV95</f>
        <v/>
      </c>
      <c r="G90" s="270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69" t="str">
        <f>IF(NOT(ISBLANK('Midterm OVPAA-F-INS-055A RAW SC'!G96)),'Midterm OVPAA-F-INS-055A RAW SC'!G96,"")</f>
        <v/>
      </c>
      <c r="D91" s="260"/>
      <c r="E91" s="270"/>
      <c r="F91" s="271" t="str">
        <f>'MidTerm OVPAA-F-INS-055B CLASS'!BV96</f>
        <v/>
      </c>
      <c r="G91" s="270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69" t="str">
        <f>IF(NOT(ISBLANK('Midterm OVPAA-F-INS-055A RAW SC'!G97)),'Midterm OVPAA-F-INS-055A RAW SC'!G97,"")</f>
        <v/>
      </c>
      <c r="D92" s="260"/>
      <c r="E92" s="270"/>
      <c r="F92" s="271" t="str">
        <f>'MidTerm OVPAA-F-INS-055B CLASS'!BV97</f>
        <v/>
      </c>
      <c r="G92" s="270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69" t="str">
        <f>IF(NOT(ISBLANK('Midterm OVPAA-F-INS-055A RAW SC'!G98)),'Midterm OVPAA-F-INS-055A RAW SC'!G98,"")</f>
        <v/>
      </c>
      <c r="D93" s="260"/>
      <c r="E93" s="270"/>
      <c r="F93" s="271" t="str">
        <f>'MidTerm OVPAA-F-INS-055B CLASS'!BV98</f>
        <v/>
      </c>
      <c r="G93" s="270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69" t="str">
        <f>IF(NOT(ISBLANK('Midterm OVPAA-F-INS-055A RAW SC'!G99)),'Midterm OVPAA-F-INS-055A RAW SC'!G99,"")</f>
        <v/>
      </c>
      <c r="D94" s="260"/>
      <c r="E94" s="270"/>
      <c r="F94" s="271" t="str">
        <f>'MidTerm OVPAA-F-INS-055B CLASS'!BV99</f>
        <v/>
      </c>
      <c r="G94" s="270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69" t="str">
        <f>IF(NOT(ISBLANK('Midterm OVPAA-F-INS-055A RAW SC'!G100)),'Midterm OVPAA-F-INS-055A RAW SC'!G100,"")</f>
        <v/>
      </c>
      <c r="D95" s="260"/>
      <c r="E95" s="270"/>
      <c r="F95" s="271" t="str">
        <f>'MidTerm OVPAA-F-INS-055B CLASS'!BV100</f>
        <v/>
      </c>
      <c r="G95" s="270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69" t="str">
        <f>IF(NOT(ISBLANK('Midterm OVPAA-F-INS-055A RAW SC'!G101)),'Midterm OVPAA-F-INS-055A RAW SC'!G101,"")</f>
        <v/>
      </c>
      <c r="D96" s="260"/>
      <c r="E96" s="270"/>
      <c r="F96" s="271" t="str">
        <f>'MidTerm OVPAA-F-INS-055B CLASS'!BV101</f>
        <v/>
      </c>
      <c r="G96" s="270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69" t="str">
        <f>IF(NOT(ISBLANK('Midterm OVPAA-F-INS-055A RAW SC'!G102)),'Midterm OVPAA-F-INS-055A RAW SC'!G102,"")</f>
        <v/>
      </c>
      <c r="D97" s="260"/>
      <c r="E97" s="270"/>
      <c r="F97" s="271" t="str">
        <f>'MidTerm OVPAA-F-INS-055B CLASS'!BV102</f>
        <v/>
      </c>
      <c r="G97" s="270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69" t="str">
        <f>IF(NOT(ISBLANK('Midterm OVPAA-F-INS-055A RAW SC'!G103)),'Midterm OVPAA-F-INS-055A RAW SC'!G103,"")</f>
        <v/>
      </c>
      <c r="D98" s="260"/>
      <c r="E98" s="270"/>
      <c r="F98" s="271" t="str">
        <f>'MidTerm OVPAA-F-INS-055B CLASS'!BV103</f>
        <v/>
      </c>
      <c r="G98" s="270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69" t="str">
        <f>IF(NOT(ISBLANK('Midterm OVPAA-F-INS-055A RAW SC'!G104)),'Midterm OVPAA-F-INS-055A RAW SC'!G104,"")</f>
        <v/>
      </c>
      <c r="D99" s="260"/>
      <c r="E99" s="270"/>
      <c r="F99" s="271" t="str">
        <f>'MidTerm OVPAA-F-INS-055B CLASS'!BV104</f>
        <v/>
      </c>
      <c r="G99" s="270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69" t="str">
        <f>IF(NOT(ISBLANK('Midterm OVPAA-F-INS-055A RAW SC'!G105)),'Midterm OVPAA-F-INS-055A RAW SC'!G105,"")</f>
        <v/>
      </c>
      <c r="D100" s="260"/>
      <c r="E100" s="270"/>
      <c r="F100" s="271" t="str">
        <f>'MidTerm OVPAA-F-INS-055B CLASS'!BV105</f>
        <v/>
      </c>
      <c r="G100" s="270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69" t="str">
        <f>IF(NOT(ISBLANK('Midterm OVPAA-F-INS-055A RAW SC'!G106)),'Midterm OVPAA-F-INS-055A RAW SC'!G106,"")</f>
        <v/>
      </c>
      <c r="D101" s="260"/>
      <c r="E101" s="270"/>
      <c r="F101" s="271" t="str">
        <f>'MidTerm OVPAA-F-INS-055B CLASS'!BV106</f>
        <v/>
      </c>
      <c r="G101" s="270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69" t="str">
        <f>IF(NOT(ISBLANK('Midterm OVPAA-F-INS-055A RAW SC'!G107)),'Midterm OVPAA-F-INS-055A RAW SC'!G107,"")</f>
        <v/>
      </c>
      <c r="D102" s="260"/>
      <c r="E102" s="270"/>
      <c r="F102" s="271" t="str">
        <f>'MidTerm OVPAA-F-INS-055B CLASS'!BV107</f>
        <v/>
      </c>
      <c r="G102" s="270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69" t="str">
        <f>IF(NOT(ISBLANK('Midterm OVPAA-F-INS-055A RAW SC'!G108)),'Midterm OVPAA-F-INS-055A RAW SC'!G108,"")</f>
        <v/>
      </c>
      <c r="D103" s="260"/>
      <c r="E103" s="270"/>
      <c r="F103" s="271" t="str">
        <f>'MidTerm OVPAA-F-INS-055B CLASS'!BV108</f>
        <v/>
      </c>
      <c r="G103" s="270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69" t="str">
        <f>IF(NOT(ISBLANK('Midterm OVPAA-F-INS-055A RAW SC'!G109)),'Midterm OVPAA-F-INS-055A RAW SC'!G109,"")</f>
        <v/>
      </c>
      <c r="D104" s="260"/>
      <c r="E104" s="270"/>
      <c r="F104" s="271" t="str">
        <f>'MidTerm OVPAA-F-INS-055B CLASS'!BV109</f>
        <v/>
      </c>
      <c r="G104" s="270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69" t="str">
        <f>IF(NOT(ISBLANK('Midterm OVPAA-F-INS-055A RAW SC'!G110)),'Midterm OVPAA-F-INS-055A RAW SC'!G110,"")</f>
        <v/>
      </c>
      <c r="D105" s="260"/>
      <c r="E105" s="270"/>
      <c r="F105" s="271" t="str">
        <f>'MidTerm OVPAA-F-INS-055B CLASS'!BV110</f>
        <v/>
      </c>
      <c r="G105" s="270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69" t="str">
        <f>IF(NOT(ISBLANK('Midterm OVPAA-F-INS-055A RAW SC'!G111)),'Midterm OVPAA-F-INS-055A RAW SC'!G111,"")</f>
        <v/>
      </c>
      <c r="D106" s="260"/>
      <c r="E106" s="270"/>
      <c r="F106" s="271" t="str">
        <f>'MidTerm OVPAA-F-INS-055B CLASS'!BV111</f>
        <v/>
      </c>
      <c r="G106" s="270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69" t="str">
        <f>IF(NOT(ISBLANK('Midterm OVPAA-F-INS-055A RAW SC'!G112)),'Midterm OVPAA-F-INS-055A RAW SC'!G112,"")</f>
        <v/>
      </c>
      <c r="D107" s="260"/>
      <c r="E107" s="270"/>
      <c r="F107" s="271" t="str">
        <f>'MidTerm OVPAA-F-INS-055B CLASS'!BV112</f>
        <v/>
      </c>
      <c r="G107" s="270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69" t="str">
        <f>IF(NOT(ISBLANK('Midterm OVPAA-F-INS-055A RAW SC'!G113)),'Midterm OVPAA-F-INS-055A RAW SC'!G113,"")</f>
        <v/>
      </c>
      <c r="D108" s="260"/>
      <c r="E108" s="270"/>
      <c r="F108" s="271" t="str">
        <f>'MidTerm OVPAA-F-INS-055B CLASS'!BV113</f>
        <v/>
      </c>
      <c r="G108" s="270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69" t="str">
        <f>IF(NOT(ISBLANK('Midterm OVPAA-F-INS-055A RAW SC'!G114)),'Midterm OVPAA-F-INS-055A RAW SC'!G114,"")</f>
        <v/>
      </c>
      <c r="D109" s="260"/>
      <c r="E109" s="270"/>
      <c r="F109" s="271" t="str">
        <f>'MidTerm OVPAA-F-INS-055B CLASS'!BV114</f>
        <v/>
      </c>
      <c r="G109" s="270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69" t="str">
        <f>IF(NOT(ISBLANK('Midterm OVPAA-F-INS-055A RAW SC'!G115)),'Midterm OVPAA-F-INS-055A RAW SC'!G115,"")</f>
        <v/>
      </c>
      <c r="D110" s="260"/>
      <c r="E110" s="270"/>
      <c r="F110" s="271" t="str">
        <f>'MidTerm OVPAA-F-INS-055B CLASS'!BV115</f>
        <v/>
      </c>
      <c r="G110" s="270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69" t="str">
        <f>IF(NOT(ISBLANK('Midterm OVPAA-F-INS-055A RAW SC'!G116)),'Midterm OVPAA-F-INS-055A RAW SC'!G116,"")</f>
        <v/>
      </c>
      <c r="D111" s="260"/>
      <c r="E111" s="270"/>
      <c r="F111" s="271" t="str">
        <f>'MidTerm OVPAA-F-INS-055B CLASS'!BV116</f>
        <v/>
      </c>
      <c r="G111" s="270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69" t="str">
        <f>IF(NOT(ISBLANK('Midterm OVPAA-F-INS-055A RAW SC'!G117)),'Midterm OVPAA-F-INS-055A RAW SC'!G117,"")</f>
        <v/>
      </c>
      <c r="D112" s="260"/>
      <c r="E112" s="270"/>
      <c r="F112" s="271" t="str">
        <f>'MidTerm OVPAA-F-INS-055B CLASS'!BV117</f>
        <v/>
      </c>
      <c r="G112" s="270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81" t="s">
        <v>108</v>
      </c>
      <c r="B114" s="227"/>
      <c r="C114" s="181"/>
      <c r="D114" s="181" t="s">
        <v>109</v>
      </c>
      <c r="E114" s="181"/>
      <c r="F114" s="281"/>
      <c r="G114" s="227"/>
      <c r="H114" s="181"/>
      <c r="I114" s="177"/>
      <c r="J114" s="181"/>
      <c r="K114" s="181"/>
      <c r="L114" s="181" t="s">
        <v>110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66" t="str">
        <f>'Midterm OVPAA-F-INS-055A RAW SC'!G12</f>
        <v>Czarissa Louise A. Navidad</v>
      </c>
      <c r="B117" s="227"/>
      <c r="C117" s="227"/>
      <c r="D117" s="266" t="str">
        <f>'Midterm OVPAA-F-INS-055A RAW SC'!K11</f>
        <v>Dr. Sales G. Aribe, Jr.</v>
      </c>
      <c r="E117" s="227"/>
      <c r="F117" s="227"/>
      <c r="G117" s="227"/>
      <c r="H117" s="200"/>
      <c r="I117" s="266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67" t="s">
        <v>111</v>
      </c>
      <c r="B118" s="227"/>
      <c r="C118" s="227"/>
      <c r="D118" s="267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67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68" t="s">
        <v>112</v>
      </c>
      <c r="B119" s="227"/>
      <c r="C119" s="227"/>
      <c r="D119" s="268" t="s">
        <v>112</v>
      </c>
      <c r="E119" s="227"/>
      <c r="F119" s="227"/>
      <c r="G119" s="203"/>
      <c r="H119" s="203"/>
      <c r="I119" s="268" t="s">
        <v>112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79"/>
      <c r="B121" s="227"/>
      <c r="C121" s="227"/>
      <c r="D121" s="280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113</v>
      </c>
      <c r="B1" s="5" t="s">
        <v>114</v>
      </c>
      <c r="C1" s="5" t="s">
        <v>106</v>
      </c>
      <c r="D1" s="5" t="s">
        <v>115</v>
      </c>
      <c r="E1" s="5" t="s">
        <v>107</v>
      </c>
      <c r="F1" s="5" t="s">
        <v>116</v>
      </c>
    </row>
    <row r="2" spans="1:6" ht="14.5">
      <c r="A2" s="5" t="s">
        <v>13</v>
      </c>
      <c r="B2" s="5" t="s">
        <v>117</v>
      </c>
    </row>
    <row r="3" spans="1:6" ht="14.5">
      <c r="A3" s="5" t="s">
        <v>118</v>
      </c>
      <c r="B3" s="5" t="s">
        <v>119</v>
      </c>
      <c r="C3" s="2" t="s">
        <v>120</v>
      </c>
    </row>
    <row r="4" spans="1:6" ht="14.5">
      <c r="B4" s="5" t="s">
        <v>121</v>
      </c>
      <c r="C4" s="2" t="s">
        <v>122</v>
      </c>
    </row>
    <row r="5" spans="1:6" ht="14.5">
      <c r="C5" s="2" t="s">
        <v>123</v>
      </c>
    </row>
    <row r="6" spans="1:6" ht="14.5">
      <c r="C6" s="2" t="s">
        <v>116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124</v>
      </c>
      <c r="C1" s="227"/>
      <c r="D1" s="227"/>
      <c r="F1" s="282" t="s">
        <v>125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 ht="14.5">
      <c r="C3" s="3" t="s">
        <v>126</v>
      </c>
      <c r="D3" s="3" t="s">
        <v>127</v>
      </c>
      <c r="G3" s="3" t="s">
        <v>126</v>
      </c>
      <c r="H3" s="3" t="s">
        <v>127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128</v>
      </c>
      <c r="C19" s="5" t="s">
        <v>129</v>
      </c>
      <c r="E19" s="212"/>
    </row>
    <row r="20" spans="2:8" ht="6" customHeight="1"/>
    <row r="21" spans="2:8" ht="15.75" customHeight="1">
      <c r="B21" s="3" t="s">
        <v>126</v>
      </c>
      <c r="C21" s="3" t="s">
        <v>130</v>
      </c>
      <c r="D21" s="3" t="s">
        <v>127</v>
      </c>
      <c r="E21" s="213"/>
      <c r="F21" s="3" t="s">
        <v>126</v>
      </c>
      <c r="G21" s="3" t="s">
        <v>130</v>
      </c>
      <c r="H21" s="3" t="s">
        <v>127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2026-09-08T12:44:37Z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