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3E2F4C6F-A9E0-4B30-A5D7-BC2466ACE517}" xr6:coauthVersionLast="47" xr6:coauthVersionMax="47" xr10:uidLastSave="{00000000-0000-0000-0000-000000000000}"/>
  <bookViews>
    <workbookView xWindow="5240" yWindow="2610" windowWidth="19200" windowHeight="1051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E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K15" i="5" l="1"/>
  <c r="DG19" i="4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<sst xmlns="http://schemas.openxmlformats.org/spreadsheetml/2006/main" count="456" uniqueCount="136">
  <si>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</si>
  <si>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</si>
  <si>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</si>
  <si>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</si>
  <si>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</si>
  <si>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</si>
  <si>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</si>
  <si>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</si>
  <si>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</si>
  <si>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</si>
  <si>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</si>
  <si>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</si>
  <si>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</si>
  <si>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</si>
  <si>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</si>
  <si>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</si>
  <si>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</si>
  <si>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</si>
  <si>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</si>
  <si>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</si>
  <si>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</si>
  <si>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</si>
  <si>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</si>
  <si>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</si>
  <si>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</si>
  <si>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</si>
  <si>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</si>
  <si>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</si>
  <si>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</si>
  <si>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</si>
  <si>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</si>
  <si>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</si>
  <si>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</si>
  <si>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</si>
  <si>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</si>
  <si>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</si>
  <si>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</si>
  <si>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</si>
  <si>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</si>
  <si>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</si>
  <si>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</si>
  <si>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</si>
  <si>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</si>
  <si>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</si>
  <si>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</si>
  <si>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</si>
  <si>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</si>
  <si>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</si>
  <si>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</si>
  <si>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</si>
  <si>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</si>
  <si>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</si>
  <si>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</si>
  <si>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</si>
  <si>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</si>
  <si>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</si>
  <si>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</si>
  <si>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</si>
  <si>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</si>
  <si>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</si>
  <si>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</si>
  <si>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</si>
  <si>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</si>
  <si>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</si>
  <si>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</si>
  <si>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</si>
  <si>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</si>
  <si>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</si>
  <si>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</si>
  <si>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</si>
  <si>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</si>
  <si>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</si>
  <si>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</si>
  <si>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</si>
  <si>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</si>
  <si>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</si>
  <si>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</si>
  <si>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</si>
  <si>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</si>
  <si>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</si>
  <si>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</si>
  <si>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</si>
  <si>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</si>
  <si>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</si>
  <si>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</si>
  <si>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</si>
  <si>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</si>
  <si>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</si>
  <si>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</si>
  <si>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</si>
  <si>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</si>
  <si>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</si>
  <si>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</si>
  <si>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</si>
  <si>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</si>
  <si>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</si>
  <si>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</si>
  <si>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</si>
  <si>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</si>
  <si>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</si>
  <si>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</si>
  <si>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</si>
  <si>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</si>
  <si>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</si>
  <si>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</si>
  <si>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</si>
  <si>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</si>
  <si>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</si>
  <si>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</si>
  <si>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</si>
  <si>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</si>
  <si>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</si>
  <si>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</si>
  <si>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</si>
  <si>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</si>
  <si>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</si>
  <si>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</si>
  <si>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</si>
  <si>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</si>
  <si>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</si>
  <si>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</si>
  <si>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</si>
  <si>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</si>
  <si>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</si>
  <si>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</si>
  <si>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</si>
  <si>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</si>
  <si>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</si>
  <si>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</si>
  <si>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</si>
  <si>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</si>
  <si>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</si>
  <si>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Ampaafdaksndka</t>
  </si>
  <si>
    <t>Computer Programming 1</t>
  </si>
  <si>
    <t>Añonuevo, Thomas Franz</t>
  </si>
  <si>
    <t>Cabuco, Dean Krist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</si>
</sst>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3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2" zoomScale="79" workbookViewId="0">
      <selection activeCell="F19" sqref="F1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0" t="s">
        <v>3</v>
      </c>
      <c r="F7" s="223"/>
      <c r="G7" s="4" t="s">
        <v>129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30" t="s">
        <v>6</v>
      </c>
      <c r="F8" s="223"/>
      <c r="G8" s="7" t="s">
        <v>130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30" t="s">
        <v>9</v>
      </c>
      <c r="F9" s="223"/>
      <c r="G9" s="7" t="s">
        <v>133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30" t="s">
        <v>12</v>
      </c>
      <c r="F10" s="223"/>
      <c r="G10" s="7" t="s">
        <v>115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132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</v>
      </c>
      <c r="G19" s="221" t="s">
        <v>134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221" t="s">
        <v>135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 r:id="rId2"/>
  <headerFooter>
    <oddFooter>&amp;LDocument Code: OVPAA-F-INS-055A&amp;CRevision No.: 04                                                                     Issue Date: September 16, 2024&amp;R Page 1 of 1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63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64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65</v>
      </c>
      <c r="DF13" s="264"/>
      <c r="DG13" s="265"/>
      <c r="DH13" s="252" t="s">
        <v>66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67</v>
      </c>
      <c r="DF14" s="78" t="s">
        <v>68</v>
      </c>
      <c r="DG14" s="79" t="s">
        <v>69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70</v>
      </c>
      <c r="BV15" s="258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70</v>
      </c>
      <c r="DD15" s="26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Ampaafdaksndka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1</v>
      </c>
      <c r="G19" s="124" t="str">
        <f>IF(NOT(ISBLANK('Midterm OVPAA-F-INS-055A RAW SC'!G19)),'Midterm OVPAA-F-INS-055A RAW SC'!G19,"")</f>
        <v>Añonuevo, Thomas Franz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26" t="s">
        <v>63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2" t="s">
        <v>3</v>
      </c>
      <c r="F7" s="223"/>
      <c r="G7" s="5" t="s">
        <v>129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2" t="s">
        <v>6</v>
      </c>
      <c r="F8" s="223"/>
      <c r="G8" s="5" t="s">
        <v>130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2" t="s">
        <v>9</v>
      </c>
      <c r="F9" s="223"/>
      <c r="G9" s="5" t="s">
        <v>131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64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7"/>
      <c r="F16" s="237"/>
      <c r="G16" s="237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</v>
      </c>
      <c r="G19" s="124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63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64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65</v>
      </c>
      <c r="DF13" s="264"/>
      <c r="DG13" s="265"/>
      <c r="DH13" s="252" t="s">
        <v>86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67</v>
      </c>
      <c r="DF14" s="78" t="s">
        <v>68</v>
      </c>
      <c r="DG14" s="79" t="s">
        <v>69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70</v>
      </c>
      <c r="BV15" s="258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70</v>
      </c>
      <c r="DD15" s="26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1</v>
      </c>
      <c r="G19" s="124" t="str">
        <f>IF(NOT(ISBLANK('Midterm OVPAA-F-INS-055A RAW SC'!G19)),'Midterm OVPAA-F-INS-055A RAW SC'!G19,"")</f>
        <v>Añonuevo, Thomas Franz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11</v>
      </c>
      <c r="G20" s="124" t="str">
        <f>IF(NOT(ISBLANK('Midterm OVPAA-F-INS-055A RAW SC'!G20)),'Midterm OVPAA-F-INS-055A RAW SC'!G20,"")</f>
        <v>Cabuco, Dean Krist A.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75" t="s">
        <v>87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66" t="s">
        <v>3</v>
      </c>
      <c r="B7" s="267"/>
      <c r="C7" s="177" t="str">
        <f>IF('Midterm OVPAA-F-INS-055A RAW SC'!G7="","",'Midterm OVPAA-F-INS-055A RAW SC'!G7)</f>
        <v>T205</v>
      </c>
      <c r="D7" s="178"/>
      <c r="E7" s="178"/>
      <c r="F7" s="276" t="s">
        <v>88</v>
      </c>
      <c r="G7" s="247"/>
      <c r="H7" s="247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66" t="s">
        <v>6</v>
      </c>
      <c r="B8" s="267"/>
      <c r="C8" s="182" t="str">
        <f>IF('Midterm OVPAA-F-INS-055A RAW SC'!G8="","",'Midterm OVPAA-F-INS-055A RAW SC'!G8)</f>
        <v>BA 13131</v>
      </c>
      <c r="D8" s="183"/>
      <c r="E8" s="183"/>
      <c r="F8" s="276" t="s">
        <v>89</v>
      </c>
      <c r="G8" s="247"/>
      <c r="H8" s="247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66" t="s">
        <v>90</v>
      </c>
      <c r="B9" s="267"/>
      <c r="C9" s="182" t="str">
        <f>IF('Midterm OVPAA-F-INS-055A RAW SC'!G9="","",'Midterm OVPAA-F-INS-055A RAW SC'!G9)</f>
        <v>Computer Programming 1</v>
      </c>
      <c r="D9" s="183"/>
      <c r="E9" s="183"/>
      <c r="F9" s="277" t="s">
        <v>91</v>
      </c>
      <c r="G9" s="228"/>
      <c r="H9" s="278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66" t="s">
        <v>92</v>
      </c>
      <c r="B10" s="267"/>
      <c r="C10" s="177" t="str">
        <f>'Midterm OVPAA-F-INS-055A RAW SC'!G10&amp;"/"&amp;'Midterm OVPAA-F-INS-055A RAW SC'!G11</f>
        <v>2nd Sem/2025-2026</v>
      </c>
      <c r="D10" s="178"/>
      <c r="E10" s="185"/>
      <c r="F10" s="276"/>
      <c r="G10" s="247"/>
      <c r="H10" s="267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79" t="s">
        <v>93</v>
      </c>
      <c r="G11" s="247"/>
      <c r="H11" s="247"/>
      <c r="I11" s="247"/>
      <c r="J11" s="267"/>
      <c r="K11" s="279" t="s">
        <v>94</v>
      </c>
      <c r="L11" s="247"/>
      <c r="M11" s="247"/>
      <c r="N11" s="267"/>
      <c r="O11" s="280" t="s">
        <v>95</v>
      </c>
      <c r="P11" s="223"/>
      <c r="Q11" s="281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79" t="s">
        <v>98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66" t="str">
        <f>IF(NOT(ISBLANK('Midterm OVPAA-F-INS-055A RAW SC'!G18)),'Midterm OVPAA-F-INS-055A RAW SC'!G18,"")</f>
        <v>Ampaafdaksndka</v>
      </c>
      <c r="D13" s="247"/>
      <c r="E13" s="267"/>
      <c r="F13" s="268">
        <v>2.25</v>
      </c>
      <c r="G13" s="267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1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4</v>
      </c>
      <c r="G14" s="267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11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1.25</v>
      </c>
      <c r="G15" s="267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</v>
      </c>
      <c r="G16" s="267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1.5</v>
      </c>
      <c r="G18" s="267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</v>
      </c>
      <c r="G19" s="267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1.5</v>
      </c>
      <c r="G20" s="267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71" t="s">
        <v>105</v>
      </c>
      <c r="B114" s="223"/>
      <c r="C114" s="180"/>
      <c r="D114" s="180" t="s">
        <v>106</v>
      </c>
      <c r="E114" s="180"/>
      <c r="F114" s="271"/>
      <c r="G114" s="223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199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108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0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74" t="s">
        <v>109</v>
      </c>
      <c r="B119" s="223"/>
      <c r="C119" s="223"/>
      <c r="D119" s="274" t="s">
        <v>109</v>
      </c>
      <c r="E119" s="223"/>
      <c r="F119" s="223"/>
      <c r="G119" s="202"/>
      <c r="H119" s="202"/>
      <c r="I119" s="274" t="s">
        <v>109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121</v>
      </c>
      <c r="C1" s="223"/>
      <c r="D1" s="223"/>
      <c r="F1" s="282" t="s">
        <v>122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2026-09-10T02:55:26Z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