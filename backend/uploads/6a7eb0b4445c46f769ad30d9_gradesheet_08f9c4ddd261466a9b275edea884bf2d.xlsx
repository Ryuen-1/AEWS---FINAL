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endr\Desktop\stone\backend\uploads\"/>
    </mc:Choice>
  </mc:AlternateContent>
  <xr:revisionPtr revIDLastSave="0" documentId="13_ncr:1_{5B8AFE7C-F53C-4DFD-8EF1-98B82D14F4D1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DG25" i="2" l="1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BU33" i="2" s="1" a="1"/>
  <c r="BU33" i="2" s="1"/>
  <c r="BV33" i="2" s="1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s="1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19" i="2" l="1" a="1"/>
  <c r="CQ19" i="2" s="1"/>
  <c r="CR19" i="2" s="1"/>
  <c r="H14" i="5" s="1"/>
  <c r="CQ21" i="2" a="1"/>
  <c r="CQ21" i="2" s="1"/>
  <c r="CR21" i="2" s="1"/>
  <c r="CQ24" i="2" a="1"/>
  <c r="CQ24" i="2" s="1"/>
  <c r="CR24" i="2" s="1"/>
  <c r="CQ26" i="2" a="1"/>
  <c r="CQ26" i="2" s="1"/>
  <c r="CR26" i="2" s="1"/>
  <c r="CQ28" i="2" a="1"/>
  <c r="CQ28" i="2" s="1"/>
  <c r="CR28" i="2" s="1"/>
  <c r="CQ37" i="2" a="1"/>
  <c r="CQ37" i="2" s="1"/>
  <c r="CR37" i="2" s="1"/>
  <c r="BU37" i="2" a="1"/>
  <c r="BU37" i="2" s="1"/>
  <c r="BV37" i="2" s="1"/>
  <c r="BU36" i="2" a="1"/>
  <c r="BU36" i="2" s="1"/>
  <c r="BV36" i="2" s="1"/>
  <c r="BU34" i="2" a="1"/>
  <c r="BU34" i="2" s="1"/>
  <c r="BV34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I22" i="5"/>
  <c r="DG27" i="2"/>
  <c r="H24" i="5"/>
  <c r="DF29" i="2"/>
  <c r="H25" i="5"/>
  <c r="DF30" i="2"/>
  <c r="F26" i="5"/>
  <c r="DE31" i="2"/>
  <c r="I27" i="5"/>
  <c r="DG32" i="2"/>
  <c r="F20" i="5"/>
  <c r="DE25" i="2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H25" i="2" l="1"/>
  <c r="DI25" i="2" s="1"/>
  <c r="J20" i="5" s="1"/>
  <c r="O20" i="5" s="1"/>
  <c r="DH29" i="2"/>
  <c r="DI29" i="2" s="1"/>
  <c r="J24" i="5" s="1"/>
  <c r="O24" i="5" s="1"/>
  <c r="Q24" i="5" s="1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34" i="2" s="1"/>
  <c r="DI34" i="2" s="1"/>
  <c r="J29" i="5" s="1"/>
  <c r="O29" i="5" s="1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DH21" i="2"/>
  <c r="DI21" i="2" s="1"/>
  <c r="J16" i="5" s="1"/>
  <c r="O16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DH36" i="2" l="1"/>
  <c r="DI36" i="2" s="1"/>
  <c r="J31" i="5" s="1"/>
  <c r="O31" i="5" s="1"/>
  <c r="Q31" i="5" s="1"/>
  <c r="Q13" i="5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<sst xmlns="http://schemas.openxmlformats.org/spreadsheetml/2006/main" count="456" uniqueCount="138">
  <si>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</si>
  <si>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</si>
  <si>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</si>
  <si>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</si>
  <si>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</si>
  <si>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</si>
  <si>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</si>
  <si>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</si>
  <si>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</si>
  <si>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</si>
  <si>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</si>
  <si>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</si>
  <si>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</si>
  <si>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</si>
  <si>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</si>
  <si>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</si>
  <si>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</si>
  <si>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</si>
  <si>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</si>
  <si>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</si>
  <si>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</si>
  <si>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</si>
  <si>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</si>
  <si>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</si>
  <si>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</si>
  <si>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</si>
  <si>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</si>
  <si>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</si>
  <si>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</si>
  <si>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</si>
  <si>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</si>
  <si>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</si>
  <si>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</si>
  <si>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</si>
  <si>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</si>
  <si>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</si>
  <si>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</si>
  <si>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</si>
  <si>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</si>
  <si>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</si>
  <si>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</si>
  <si>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</si>
  <si>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</si>
  <si>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</si>
  <si>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</si>
  <si>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</si>
  <si>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</si>
  <si>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</si>
  <si>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</si>
  <si>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</si>
  <si>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</si>
  <si>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</si>
  <si>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</si>
  <si>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</si>
  <si>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</si>
  <si>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</si>
  <si>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</si>
  <si>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</si>
  <si>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</si>
  <si>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</si>
  <si>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</si>
  <si>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</si>
  <si>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</si>
  <si>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</si>
  <si>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</si>
  <si>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</si>
  <si>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</si>
  <si>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</si>
  <si>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</si>
  <si>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</si>
  <si>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</si>
  <si>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</si>
  <si>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</si>
  <si>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</si>
  <si>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</si>
  <si>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</si>
  <si>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</si>
  <si>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</si>
  <si>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</si>
  <si>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</si>
  <si>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</si>
  <si>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</si>
  <si>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</si>
  <si>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</si>
  <si>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</si>
  <si>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</si>
  <si>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</si>
  <si>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</si>
  <si>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</si>
  <si>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</si>
  <si>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</si>
  <si>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</si>
  <si>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</si>
  <si>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</si>
  <si>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</si>
  <si>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</si>
  <si>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</si>
  <si>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</si>
  <si>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</si>
  <si>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</si>
  <si>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</si>
  <si>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</si>
  <si>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</si>
  <si>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</si>
  <si>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</si>
  <si>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</si>
  <si>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</si>
  <si>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</si>
  <si>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</si>
  <si>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</si>
  <si>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</si>
  <si>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</si>
  <si>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</si>
  <si>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</si>
  <si>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</si>
  <si>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</si>
  <si>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</si>
  <si>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</si>
  <si>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</si>
  <si>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</si>
  <si>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</si>
  <si>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</si>
  <si>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</si>
  <si>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</si>
  <si>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</si>
  <si>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</si>
  <si>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</si>
  <si>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</si>
  <si>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</si>
  <si>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</si>
  <si>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</si>
  <si>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</si>
  <si>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</si>
  <si>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</si>
  <si>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Amparado, Kendrick</t>
  </si>
  <si>
    <t>T208</t>
  </si>
  <si>
    <t>BA 11111</t>
  </si>
  <si>
    <t>Computer Programming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</si>
</sst>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0" borderId="0" xfId="0" applyFont="1" applyAlignment="1">
      <alignment horizontal="left"/>
    </xf>
    <xf numFmtId="0" fontId="0" fillId="0" borderId="0" xfId="0"/>
    <xf numFmtId="0" fontId="1" fillId="5" borderId="8" xfId="0" applyFont="1" applyFill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3" xfId="0" applyFont="1" applyBorder="1"/>
    <xf numFmtId="0" fontId="7" fillId="0" borderId="13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6" fillId="0" borderId="0" xfId="0" applyFont="1"/>
    <xf numFmtId="0" fontId="1" fillId="0" borderId="1" xfId="0" applyFont="1" applyBorder="1"/>
    <xf numFmtId="0" fontId="7" fillId="0" borderId="1" xfId="0" applyFont="1" applyBorder="1"/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15" fillId="0" borderId="1" xfId="0" applyFont="1" applyBorder="1" applyAlignment="1">
      <alignment horizontal="center"/>
    </xf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3" zoomScale="79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50" t="s">
        <v>0</v>
      </c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</row>
    <row r="3" spans="5:102" ht="14.5">
      <c r="E3" s="251" t="s">
        <v>1</v>
      </c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</row>
    <row r="4" spans="5:102" ht="14.5">
      <c r="E4" s="252" t="s">
        <v>2</v>
      </c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53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</row>
    <row r="7" spans="5:102" ht="14.5">
      <c r="E7" s="256" t="s">
        <v>3</v>
      </c>
      <c r="F7" s="227"/>
      <c r="G7" s="4" t="s">
        <v>135</v>
      </c>
      <c r="H7" s="5"/>
      <c r="I7" s="3" t="s">
        <v>4</v>
      </c>
      <c r="J7" s="5"/>
      <c r="K7" s="257" t="s">
        <v>5</v>
      </c>
      <c r="L7" s="258"/>
      <c r="M7" s="258"/>
      <c r="N7" s="258"/>
      <c r="O7" s="258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6"/>
      <c r="AC7" s="226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56" t="s">
        <v>6</v>
      </c>
      <c r="F8" s="227"/>
      <c r="G8" s="7" t="s">
        <v>136</v>
      </c>
      <c r="H8" s="5"/>
      <c r="I8" s="3" t="s">
        <v>7</v>
      </c>
      <c r="J8" s="5"/>
      <c r="K8" s="257" t="s">
        <v>8</v>
      </c>
      <c r="L8" s="258"/>
      <c r="M8" s="258"/>
      <c r="N8" s="258"/>
      <c r="O8" s="258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6"/>
      <c r="AC8" s="226"/>
      <c r="AD8" s="227"/>
      <c r="AE8" s="227"/>
      <c r="AF8" s="227"/>
      <c r="AG8" s="227"/>
      <c r="AH8" s="227"/>
      <c r="AI8" s="227"/>
      <c r="AJ8" s="227"/>
      <c r="AK8" s="227"/>
      <c r="AL8" s="227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56" t="s">
        <v>9</v>
      </c>
      <c r="F9" s="227"/>
      <c r="G9" s="7" t="s">
        <v>137</v>
      </c>
      <c r="H9" s="5"/>
      <c r="I9" s="3" t="s">
        <v>10</v>
      </c>
      <c r="J9" s="5"/>
      <c r="K9" s="257" t="s">
        <v>11</v>
      </c>
      <c r="L9" s="258"/>
      <c r="M9" s="258"/>
      <c r="N9" s="258"/>
      <c r="O9" s="258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6"/>
      <c r="AC9" s="226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56" t="s">
        <v>12</v>
      </c>
      <c r="F10" s="227"/>
      <c r="G10" s="7" t="s">
        <v>117</v>
      </c>
      <c r="H10" s="5"/>
      <c r="I10" s="3" t="s">
        <v>14</v>
      </c>
      <c r="J10" s="5"/>
      <c r="K10" s="265">
        <v>3</v>
      </c>
      <c r="L10" s="258"/>
      <c r="M10" s="258"/>
      <c r="N10" s="258"/>
      <c r="O10" s="258"/>
      <c r="P10" s="5"/>
      <c r="Q10" s="2"/>
      <c r="R10" s="6"/>
      <c r="S10" s="254" t="s">
        <v>15</v>
      </c>
      <c r="T10" s="227"/>
      <c r="U10" s="227"/>
      <c r="V10" s="265" t="s">
        <v>16</v>
      </c>
      <c r="W10" s="258"/>
      <c r="X10" s="258"/>
      <c r="Y10" s="258"/>
      <c r="Z10" s="258"/>
      <c r="AA10" s="2"/>
      <c r="AB10" s="6"/>
      <c r="AC10" s="226"/>
      <c r="AD10" s="227"/>
      <c r="AE10" s="227"/>
      <c r="AF10" s="227"/>
      <c r="AG10" s="227"/>
      <c r="AH10" s="227"/>
      <c r="AI10" s="227"/>
      <c r="AJ10" s="227"/>
      <c r="AK10" s="227"/>
      <c r="AL10" s="227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56" t="s">
        <v>17</v>
      </c>
      <c r="F11" s="227"/>
      <c r="G11" s="7" t="s">
        <v>18</v>
      </c>
      <c r="H11" s="5"/>
      <c r="I11" s="3" t="s">
        <v>19</v>
      </c>
      <c r="J11" s="5"/>
      <c r="K11" s="257" t="s">
        <v>20</v>
      </c>
      <c r="L11" s="258"/>
      <c r="M11" s="258"/>
      <c r="N11" s="258"/>
      <c r="O11" s="258"/>
      <c r="P11" s="5"/>
      <c r="Q11" s="2"/>
      <c r="R11" s="6"/>
      <c r="S11" s="254" t="s">
        <v>21</v>
      </c>
      <c r="T11" s="227"/>
      <c r="U11" s="227"/>
      <c r="V11" s="259" t="s">
        <v>22</v>
      </c>
      <c r="W11" s="260"/>
      <c r="X11" s="260"/>
      <c r="Y11" s="260"/>
      <c r="Z11" s="260"/>
      <c r="AA11" s="2"/>
      <c r="AB11" s="254"/>
      <c r="AC11" s="227"/>
      <c r="AD11" s="227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55"/>
      <c r="BR11" s="227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62" t="s">
        <v>23</v>
      </c>
      <c r="F12" s="232"/>
      <c r="G12" s="11" t="s">
        <v>24</v>
      </c>
      <c r="H12" s="5"/>
      <c r="I12" s="10" t="s">
        <v>25</v>
      </c>
      <c r="J12" s="11"/>
      <c r="K12" s="263" t="s">
        <v>26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v>0.5</v>
      </c>
      <c r="X12" s="240"/>
      <c r="Y12" s="232"/>
      <c r="Z12" s="11"/>
      <c r="AA12" s="16"/>
      <c r="AB12" s="261"/>
      <c r="AC12" s="232"/>
      <c r="AD12" s="232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0"/>
      <c r="BR12" s="232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41" t="s">
        <v>28</v>
      </c>
      <c r="F13" s="241" t="s">
        <v>29</v>
      </c>
      <c r="G13" s="241" t="s">
        <v>30</v>
      </c>
      <c r="H13" s="26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30"/>
      <c r="BU13" s="246" t="s">
        <v>32</v>
      </c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8" t="s">
        <v>33</v>
      </c>
      <c r="CP13" s="229"/>
      <c r="CQ13" s="229"/>
      <c r="CR13" s="229"/>
      <c r="CS13" s="229"/>
      <c r="CT13" s="229"/>
      <c r="CU13" s="229"/>
      <c r="CV13" s="229"/>
      <c r="CW13" s="229"/>
      <c r="CX13" s="230"/>
    </row>
    <row r="14" spans="5:102" ht="15" customHeight="1">
      <c r="E14" s="242"/>
      <c r="F14" s="242"/>
      <c r="G14" s="242"/>
      <c r="H14" s="231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3"/>
      <c r="BU14" s="231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1"/>
      <c r="CP14" s="232"/>
      <c r="CQ14" s="232"/>
      <c r="CR14" s="232"/>
      <c r="CS14" s="232"/>
      <c r="CT14" s="232"/>
      <c r="CU14" s="232"/>
      <c r="CV14" s="232"/>
      <c r="CW14" s="232"/>
      <c r="CX14" s="233"/>
    </row>
    <row r="15" spans="5:102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42"/>
      <c r="F16" s="242"/>
      <c r="G16" s="242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43"/>
      <c r="F17" s="243"/>
      <c r="G17" s="243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2201102063</v>
      </c>
      <c r="G18" s="51" t="s">
        <v>134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2301100000</v>
      </c>
      <c r="G19" s="61" t="s">
        <v>42</v>
      </c>
      <c r="H19" s="62">
        <v>90</v>
      </c>
      <c r="I19" s="63">
        <v>90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200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2001102089</v>
      </c>
      <c r="G20" s="61" t="s">
        <v>43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44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90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45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46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47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90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48</v>
      </c>
      <c r="H25" s="62">
        <v>90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90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49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90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51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90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52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90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53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90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54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55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56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57</v>
      </c>
      <c r="H33" s="66">
        <v>90</v>
      </c>
      <c r="I33" s="60">
        <v>90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90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58</v>
      </c>
      <c r="H34" s="62">
        <v>90</v>
      </c>
      <c r="I34" s="63">
        <v>90</v>
      </c>
      <c r="J34" s="63">
        <v>50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90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59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60</v>
      </c>
      <c r="H36" s="66">
        <v>90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90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61</v>
      </c>
      <c r="H37" s="62">
        <v>90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62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63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64</v>
      </c>
      <c r="H40" s="62">
        <v>90</v>
      </c>
      <c r="I40" s="63">
        <v>92</v>
      </c>
      <c r="J40" s="63">
        <v>44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BZ16" zoomScale="78" workbookViewId="0">
      <selection activeCell="DK31" sqref="DK31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50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72"/>
    </row>
    <row r="3" spans="5:113" ht="14.5">
      <c r="F3" s="251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  <c r="DG3" s="227"/>
      <c r="DH3" s="227"/>
      <c r="DI3" s="73"/>
    </row>
    <row r="4" spans="5:113" ht="14.5">
      <c r="F4" s="252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53" t="s">
        <v>65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75"/>
    </row>
    <row r="7" spans="5:113" ht="14.5">
      <c r="E7" s="254" t="s">
        <v>3</v>
      </c>
      <c r="F7" s="227"/>
      <c r="G7" s="5" t="str">
        <f>'Midterm OVPAA-F-INS-055A RAW SC'!G7</f>
        <v>T208</v>
      </c>
      <c r="H7" s="6"/>
      <c r="I7" s="3" t="s">
        <v>4</v>
      </c>
      <c r="J7" s="5"/>
      <c r="K7" s="22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6"/>
      <c r="BM7" s="227"/>
      <c r="BN7" s="227"/>
      <c r="BO7" s="227"/>
      <c r="BP7" s="227"/>
      <c r="BQ7" s="5"/>
      <c r="BR7" s="5"/>
      <c r="BS7" s="5"/>
      <c r="BT7" s="2"/>
      <c r="BU7" s="6"/>
      <c r="BV7" s="22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6"/>
      <c r="DD7" s="227"/>
      <c r="DE7" s="227"/>
      <c r="DF7" s="227"/>
      <c r="DG7" s="227"/>
      <c r="DH7" s="5"/>
      <c r="DI7" s="5"/>
    </row>
    <row r="8" spans="5:113" ht="14.5">
      <c r="E8" s="254" t="s">
        <v>6</v>
      </c>
      <c r="F8" s="227"/>
      <c r="G8" s="5" t="str">
        <f>'Midterm OVPAA-F-INS-055A RAW SC'!G8</f>
        <v>BA 11111</v>
      </c>
      <c r="H8" s="6"/>
      <c r="I8" s="3" t="s">
        <v>7</v>
      </c>
      <c r="J8" s="5"/>
      <c r="K8" s="22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6"/>
      <c r="BM8" s="227"/>
      <c r="BN8" s="227"/>
      <c r="BO8" s="227"/>
      <c r="BP8" s="227"/>
      <c r="BQ8" s="5"/>
      <c r="BR8" s="5"/>
      <c r="BS8" s="5"/>
      <c r="BT8" s="2"/>
      <c r="BU8" s="6"/>
      <c r="BV8" s="22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6"/>
      <c r="DD8" s="227"/>
      <c r="DE8" s="227"/>
      <c r="DF8" s="227"/>
      <c r="DG8" s="227"/>
      <c r="DH8" s="5"/>
      <c r="DI8" s="5"/>
    </row>
    <row r="9" spans="5:113" ht="14.5">
      <c r="E9" s="254" t="s">
        <v>9</v>
      </c>
      <c r="F9" s="227"/>
      <c r="G9" s="5" t="str">
        <f>'Midterm OVPAA-F-INS-055A RAW SC'!G9</f>
        <v>Computer Programming 2</v>
      </c>
      <c r="H9" s="6"/>
      <c r="I9" s="3" t="s">
        <v>10</v>
      </c>
      <c r="J9" s="5"/>
      <c r="K9" s="22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6"/>
      <c r="BM9" s="227"/>
      <c r="BN9" s="227"/>
      <c r="BO9" s="227"/>
      <c r="BP9" s="227"/>
      <c r="BQ9" s="5"/>
      <c r="BR9" s="5"/>
      <c r="BS9" s="5"/>
      <c r="BT9" s="2"/>
      <c r="BU9" s="6"/>
      <c r="BV9" s="22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6"/>
      <c r="DD9" s="227"/>
      <c r="DE9" s="227"/>
      <c r="DF9" s="227"/>
      <c r="DG9" s="227"/>
      <c r="DH9" s="5"/>
      <c r="DI9" s="5"/>
    </row>
    <row r="10" spans="5:113" ht="14.5">
      <c r="E10" s="254" t="s">
        <v>12</v>
      </c>
      <c r="F10" s="227"/>
      <c r="G10" s="5" t="str">
        <f>'Midterm OVPAA-F-INS-055A RAW SC'!G10</f>
        <v>2nd Sem</v>
      </c>
      <c r="H10" s="6"/>
      <c r="I10" s="3" t="s">
        <v>14</v>
      </c>
      <c r="J10" s="5"/>
      <c r="K10" s="22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54" t="s">
        <v>15</v>
      </c>
      <c r="T10" s="227"/>
      <c r="U10" s="227"/>
      <c r="V10" s="22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6"/>
      <c r="BM10" s="227"/>
      <c r="BN10" s="227"/>
      <c r="BO10" s="227"/>
      <c r="BP10" s="227"/>
      <c r="BQ10" s="5"/>
      <c r="BR10" s="5"/>
      <c r="BS10" s="5"/>
      <c r="BT10" s="2"/>
      <c r="BU10" s="6"/>
      <c r="BV10" s="22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6"/>
      <c r="DD10" s="227"/>
      <c r="DE10" s="227"/>
      <c r="DF10" s="227"/>
      <c r="DG10" s="227"/>
      <c r="DH10" s="5"/>
      <c r="DI10" s="5"/>
    </row>
    <row r="11" spans="5:113" ht="14.5">
      <c r="E11" s="254" t="s">
        <v>17</v>
      </c>
      <c r="F11" s="227"/>
      <c r="G11" s="6" t="str">
        <f>'Midterm OVPAA-F-INS-055A RAW SC'!G11</f>
        <v>2025-2026</v>
      </c>
      <c r="H11" s="6"/>
      <c r="I11" s="3" t="s">
        <v>66</v>
      </c>
      <c r="J11" s="5"/>
      <c r="K11" s="22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54" t="s">
        <v>21</v>
      </c>
      <c r="T11" s="227"/>
      <c r="U11" s="227"/>
      <c r="V11" s="22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6"/>
      <c r="BM11" s="227"/>
      <c r="BN11" s="227"/>
      <c r="BO11" s="227"/>
      <c r="BP11" s="227"/>
      <c r="BQ11" s="255"/>
      <c r="BR11" s="227"/>
      <c r="BS11" s="5"/>
      <c r="BT11" s="2"/>
      <c r="BU11" s="6"/>
      <c r="BV11" s="22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55"/>
      <c r="CQ11" s="227"/>
      <c r="CR11" s="227"/>
      <c r="CS11" s="227"/>
      <c r="CT11" s="9"/>
      <c r="CU11" s="9"/>
      <c r="CV11" s="9"/>
      <c r="CW11" s="9"/>
      <c r="CX11" s="5"/>
      <c r="CY11" s="5"/>
      <c r="CZ11" s="5"/>
      <c r="DA11" s="2"/>
      <c r="DB11" s="6"/>
      <c r="DC11" s="226"/>
      <c r="DD11" s="227"/>
      <c r="DE11" s="227"/>
      <c r="DF11" s="227"/>
      <c r="DG11" s="227"/>
      <c r="DH11" s="255"/>
      <c r="DI11" s="227"/>
    </row>
    <row r="12" spans="5:113" ht="14.5">
      <c r="E12" s="238" t="s">
        <v>23</v>
      </c>
      <c r="F12" s="232"/>
      <c r="G12" s="11" t="str">
        <f>'Midterm OVPAA-F-INS-055A RAW SC'!G12</f>
        <v>Czarissa Louise A. Navidad</v>
      </c>
      <c r="H12" s="2"/>
      <c r="I12" s="10" t="s">
        <v>25</v>
      </c>
      <c r="J12" s="11"/>
      <c r="K12" s="239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0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39"/>
      <c r="BM12" s="232"/>
      <c r="BN12" s="232"/>
      <c r="BO12" s="232"/>
      <c r="BP12" s="232"/>
      <c r="BQ12" s="240"/>
      <c r="BR12" s="232"/>
      <c r="BS12" s="11"/>
      <c r="BT12" s="16"/>
      <c r="BU12" s="76"/>
      <c r="BV12" s="239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0"/>
      <c r="CQ12" s="232"/>
      <c r="CR12" s="232"/>
      <c r="CS12" s="232"/>
      <c r="CT12" s="15"/>
      <c r="CU12" s="15"/>
      <c r="CV12" s="15"/>
      <c r="CW12" s="15"/>
      <c r="CX12" s="11"/>
      <c r="CY12" s="11"/>
      <c r="CZ12" s="11"/>
      <c r="DA12" s="16"/>
      <c r="DB12" s="76"/>
      <c r="DC12" s="239"/>
      <c r="DD12" s="232"/>
      <c r="DE12" s="232"/>
      <c r="DF12" s="232"/>
      <c r="DG12" s="232"/>
      <c r="DH12" s="240"/>
      <c r="DI12" s="232"/>
    </row>
    <row r="13" spans="5:113" ht="15" customHeight="1">
      <c r="E13" s="241" t="s">
        <v>28</v>
      </c>
      <c r="F13" s="241" t="s">
        <v>29</v>
      </c>
      <c r="G13" s="241" t="s">
        <v>30</v>
      </c>
      <c r="H13" s="24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30"/>
      <c r="BW13" s="246" t="s">
        <v>32</v>
      </c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29"/>
      <c r="CQ13" s="229"/>
      <c r="CR13" s="230"/>
      <c r="CS13" s="228" t="s">
        <v>33</v>
      </c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30"/>
      <c r="DE13" s="234" t="s">
        <v>67</v>
      </c>
      <c r="DF13" s="235"/>
      <c r="DG13" s="236"/>
      <c r="DH13" s="237" t="s">
        <v>68</v>
      </c>
      <c r="DI13" s="230"/>
    </row>
    <row r="14" spans="5:113" ht="15" customHeight="1">
      <c r="E14" s="242"/>
      <c r="F14" s="242"/>
      <c r="G14" s="242"/>
      <c r="H14" s="245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3"/>
      <c r="BW14" s="231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2"/>
      <c r="CQ14" s="232"/>
      <c r="CR14" s="233"/>
      <c r="CS14" s="231"/>
      <c r="CT14" s="232"/>
      <c r="CU14" s="232"/>
      <c r="CV14" s="232"/>
      <c r="CW14" s="232"/>
      <c r="CX14" s="232"/>
      <c r="CY14" s="232"/>
      <c r="CZ14" s="232"/>
      <c r="DA14" s="232"/>
      <c r="DB14" s="232"/>
      <c r="DC14" s="232"/>
      <c r="DD14" s="233"/>
      <c r="DE14" s="77" t="s">
        <v>69</v>
      </c>
      <c r="DF14" s="78" t="s">
        <v>70</v>
      </c>
      <c r="DG14" s="79" t="s">
        <v>71</v>
      </c>
      <c r="DH14" s="231"/>
      <c r="DI14" s="233"/>
    </row>
    <row r="15" spans="5:113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7" t="s">
        <v>72</v>
      </c>
      <c r="BV15" s="248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22" t="s">
        <v>72</v>
      </c>
      <c r="DD15" s="224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42"/>
      <c r="F16" s="242"/>
      <c r="G16" s="242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23"/>
      <c r="BV16" s="225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23"/>
      <c r="CR16" s="88" t="s">
        <v>76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23"/>
      <c r="DD16" s="225"/>
      <c r="DE16" s="90"/>
      <c r="DF16" s="91"/>
      <c r="DG16" s="92"/>
      <c r="DH16" s="93"/>
      <c r="DI16" s="94"/>
    </row>
    <row r="17" spans="5:113" ht="14.5">
      <c r="E17" s="243"/>
      <c r="F17" s="243"/>
      <c r="G17" s="243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2301102644</v>
      </c>
      <c r="G18" s="51" t="str">
        <f>IF(NOT(ISBLANK('Midterm OVPAA-F-INS-055A RAW SC'!G18)),'Midterm OVPAA-F-INS-055A RAW SC'!G18,"")</f>
        <v>Amparado, Kendrick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5">
      <c r="E19" s="59">
        <v>2</v>
      </c>
      <c r="F19" s="124">
        <v>2301100000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90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82</v>
      </c>
      <c r="BV19" s="128">
        <f>IF(BU19="","",VLOOKUP(BU19,IF('Midterm OVPAA-F-INS-055A RAW SC'!$V$12=0.5,TRANSMUTATION!$C$4:$D$17,TRANSMUTATION!$G$4:$H$17),2,TRUE))</f>
        <v>1.75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200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123.33333333333333</v>
      </c>
      <c r="CR19" s="132">
        <f>IF(CQ19="","",VLOOKUP(CQ19,IF('Midterm OVPAA-F-INS-055A RAW SC'!$V$12=0.5,TRANSMUTATION!$C$4:$D$17,TRANSMUTATION!$G$4:$H$17),2,TRUE))</f>
        <v>1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0.52500000000000002</v>
      </c>
      <c r="DF19" s="137">
        <f t="shared" si="2"/>
        <v>0.3</v>
      </c>
      <c r="DG19" s="138">
        <f t="shared" si="3"/>
        <v>1.2000000000000002</v>
      </c>
      <c r="DH19" s="136">
        <f t="shared" si="4"/>
        <v>2.0250000000000004</v>
      </c>
      <c r="DI19" s="123" t="str">
        <f t="shared" si="5"/>
        <v>2.00</v>
      </c>
    </row>
    <row r="20" spans="5:113" ht="15.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90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93.333333333333329</v>
      </c>
      <c r="CR21" s="132">
        <f>IF(CQ21="","",VLOOKUP(CQ21,IF('Midterm OVPAA-F-INS-055A RAW SC'!$V$12=0.5,TRANSMUTATION!$C$4:$D$17,TRANSMUTATION!$G$4:$H$17),2,TRUE))</f>
        <v>1.25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0.375</v>
      </c>
      <c r="DG21" s="138">
        <f t="shared" si="3"/>
        <v>0.9</v>
      </c>
      <c r="DH21" s="136">
        <f t="shared" si="4"/>
        <v>1.9499999999999997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90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90</v>
      </c>
      <c r="CR24" s="132">
        <f>IF(CQ24="","",VLOOKUP(CQ24,IF('Midterm OVPAA-F-INS-055A RAW SC'!$V$12=0.5,TRANSMUTATION!$C$4:$D$17,TRANSMUTATION!$G$4:$H$17),2,TRUE))</f>
        <v>1.5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0.44999999999999996</v>
      </c>
      <c r="DG24" s="138">
        <f t="shared" si="3"/>
        <v>0.9</v>
      </c>
      <c r="DH24" s="136">
        <f t="shared" si="4"/>
        <v>2.1749999999999998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70</v>
      </c>
      <c r="I25" s="126">
        <v>70</v>
      </c>
      <c r="J25" s="126">
        <v>90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76.666666666666671</v>
      </c>
      <c r="BV25" s="128">
        <f>IF(BU25="","",VLOOKUP(BU25,IF('Midterm OVPAA-F-INS-055A RAW SC'!$V$12=0.5,TRANSMUTATION!$C$4:$D$17,TRANSMUTATION!$G$4:$H$17),2,TRUE))</f>
        <v>2</v>
      </c>
      <c r="BW25" s="129">
        <f>IF('Midterm OVPAA-F-INS-055A RAW SC'!BU25="","",'Midterm OVPAA-F-INS-055A RAW SC'!BU25/'Midterm OVPAA-F-INS-055A RAW SC'!BU$17*100)</f>
        <v>90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96.666666666666671</v>
      </c>
      <c r="CR25" s="132">
        <f>IF(CQ25="","",VLOOKUP(CQ25,IF('Midterm OVPAA-F-INS-055A RAW SC'!$V$12=0.5,TRANSMUTATION!$C$4:$D$17,TRANSMUTATION!$G$4:$H$17),2,TRUE))</f>
        <v>1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</v>
      </c>
      <c r="DF25" s="137">
        <f t="shared" si="2"/>
        <v>0.3</v>
      </c>
      <c r="DG25" s="138">
        <f>IF(DD25="","",(DD25*DG$15))</f>
        <v>0.60000000000000009</v>
      </c>
      <c r="DH25" s="136">
        <f t="shared" si="4"/>
        <v>1.5</v>
      </c>
      <c r="DI25" s="123" t="str">
        <f t="shared" si="5"/>
        <v>1.50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90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88.333333333333329</v>
      </c>
      <c r="CR26" s="132">
        <f>IF(CQ26="","",VLOOKUP(CQ26,IF('Midterm OVPAA-F-INS-055A RAW SC'!$V$12=0.5,TRANSMUTATION!$C$4:$D$17,TRANSMUTATION!$G$4:$H$17),2,TRUE))</f>
        <v>1.5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0.44999999999999996</v>
      </c>
      <c r="DG26" s="138">
        <f t="shared" si="3"/>
        <v>0.70000000000000007</v>
      </c>
      <c r="DH26" s="136">
        <f t="shared" si="4"/>
        <v>2.2000000000000002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90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90</v>
      </c>
      <c r="CR27" s="132">
        <f>IF(CQ27="","",VLOOKUP(CQ27,IF('Midterm OVPAA-F-INS-055A RAW SC'!$V$12=0.5,TRANSMUTATION!$C$4:$D$17,TRANSMUTATION!$G$4:$H$17),2,TRUE))</f>
        <v>1.5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0.44999999999999996</v>
      </c>
      <c r="DG27" s="138">
        <f t="shared" si="3"/>
        <v>0.9</v>
      </c>
      <c r="DH27" s="136">
        <f t="shared" si="4"/>
        <v>2.0249999999999999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90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88.333333333333329</v>
      </c>
      <c r="CR28" s="132">
        <f>IF(CQ28="","",VLOOKUP(CQ28,IF('Midterm OVPAA-F-INS-055A RAW SC'!$V$12=0.5,TRANSMUTATION!$C$4:$D$17,TRANSMUTATION!$G$4:$H$17),2,TRUE))</f>
        <v>1.5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0.44999999999999996</v>
      </c>
      <c r="DG28" s="138">
        <f t="shared" si="3"/>
        <v>0.8</v>
      </c>
      <c r="DH28" s="136">
        <f t="shared" si="4"/>
        <v>2.2249999999999996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70</v>
      </c>
      <c r="I29" s="126">
        <v>60</v>
      </c>
      <c r="J29" s="126">
        <v>80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90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90</v>
      </c>
      <c r="CR29" s="132">
        <f>IF(CQ29="","",VLOOKUP(CQ29,IF('Midterm OVPAA-F-INS-055A RAW SC'!$V$12=0.5,TRANSMUTATION!$C$4:$D$17,TRANSMUTATION!$G$4:$H$17),2,TRUE))</f>
        <v>1.5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0.44999999999999996</v>
      </c>
      <c r="DG29" s="138">
        <f t="shared" si="3"/>
        <v>0.8</v>
      </c>
      <c r="DH29" s="136">
        <f t="shared" si="4"/>
        <v>1.925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90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86.666666666666671</v>
      </c>
      <c r="BV33" s="128">
        <f>IF(BU33="","",VLOOKUP(BU33,IF('Midterm OVPAA-F-INS-055A RAW SC'!$V$12=0.5,TRANSMUTATION!$C$4:$D$17,TRANSMUTATION!$G$4:$H$17),2,TRUE))</f>
        <v>1.5</v>
      </c>
      <c r="BW33" s="129">
        <f>IF('Midterm OVPAA-F-INS-055A RAW SC'!BU33="","",'Midterm OVPAA-F-INS-055A RAW SC'!BU33/'Midterm OVPAA-F-INS-055A RAW SC'!BU$17*100)</f>
        <v>90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88.333333333333329</v>
      </c>
      <c r="CR33" s="132">
        <f>IF(CQ33="","",VLOOKUP(CQ33,IF('Midterm OVPAA-F-INS-055A RAW SC'!$V$12=0.5,TRANSMUTATION!$C$4:$D$17,TRANSMUTATION!$G$4:$H$17),2,TRUE))</f>
        <v>1.5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0.44999999999999996</v>
      </c>
      <c r="DF33" s="137">
        <f t="shared" si="2"/>
        <v>0.44999999999999996</v>
      </c>
      <c r="DG33" s="138">
        <f t="shared" si="3"/>
        <v>0.8</v>
      </c>
      <c r="DH33" s="136">
        <f t="shared" si="4"/>
        <v>1.7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90</v>
      </c>
      <c r="I34" s="126">
        <f>IF('Midterm OVPAA-F-INS-055A RAW SC'!I34="","",'Midterm OVPAA-F-INS-055A RAW SC'!I34/'Midterm OVPAA-F-INS-055A RAW SC'!I$17*100)</f>
        <v>90</v>
      </c>
      <c r="J34" s="126">
        <f>IF('Midterm OVPAA-F-INS-055A RAW SC'!J34="","",'Midterm OVPAA-F-INS-055A RAW SC'!J34/'Midterm OVPAA-F-INS-055A RAW SC'!J$17*100)</f>
        <v>100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93.333333333333329</v>
      </c>
      <c r="BV34" s="128">
        <f>IF(BU34="","",VLOOKUP(BU34,IF('Midterm OVPAA-F-INS-055A RAW SC'!$V$12=0.5,TRANSMUTATION!$C$4:$D$17,TRANSMUTATION!$G$4:$H$17),2,TRUE))</f>
        <v>1.25</v>
      </c>
      <c r="BW34" s="129">
        <f>IF('Midterm OVPAA-F-INS-055A RAW SC'!BU34="","",'Midterm OVPAA-F-INS-055A RAW SC'!BU34/'Midterm OVPAA-F-INS-055A RAW SC'!BU$17*100)</f>
        <v>90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88.333333333333329</v>
      </c>
      <c r="CR34" s="132">
        <f>IF(CQ34="","",VLOOKUP(CQ34,IF('Midterm OVPAA-F-INS-055A RAW SC'!$V$12=0.5,TRANSMUTATION!$C$4:$D$17,TRANSMUTATION!$G$4:$H$17),2,TRUE))</f>
        <v>1.5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0.375</v>
      </c>
      <c r="DF34" s="137">
        <f t="shared" si="2"/>
        <v>0.44999999999999996</v>
      </c>
      <c r="DG34" s="138">
        <f t="shared" si="3"/>
        <v>0.9</v>
      </c>
      <c r="DH34" s="136">
        <f t="shared" si="4"/>
        <v>1.7250000000000001</v>
      </c>
      <c r="DI34" s="123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90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93.333333333333329</v>
      </c>
      <c r="BV36" s="128">
        <f>IF(BU36="","",VLOOKUP(BU36,IF('Midterm OVPAA-F-INS-055A RAW SC'!$V$12=0.5,TRANSMUTATION!$C$4:$D$17,TRANSMUTATION!$G$4:$H$17),2,TRUE))</f>
        <v>1.25</v>
      </c>
      <c r="BW36" s="129">
        <f>IF('Midterm OVPAA-F-INS-055A RAW SC'!BU36="","",'Midterm OVPAA-F-INS-055A RAW SC'!BU36/'Midterm OVPAA-F-INS-055A RAW SC'!BU$17*100)</f>
        <v>90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90</v>
      </c>
      <c r="CR36" s="132">
        <f>IF(CQ36="","",VLOOKUP(CQ36,IF('Midterm OVPAA-F-INS-055A RAW SC'!$V$12=0.5,TRANSMUTATION!$C$4:$D$17,TRANSMUTATION!$G$4:$H$17),2,TRUE))</f>
        <v>1.5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0.375</v>
      </c>
      <c r="DF36" s="137">
        <f t="shared" si="2"/>
        <v>0.44999999999999996</v>
      </c>
      <c r="DG36" s="138">
        <f t="shared" si="3"/>
        <v>0.9</v>
      </c>
      <c r="DH36" s="136">
        <f t="shared" si="4"/>
        <v>1.7250000000000001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90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89.333333333333329</v>
      </c>
      <c r="BV37" s="128">
        <f>IF(BU37="","",VLOOKUP(BU37,IF('Midterm OVPAA-F-INS-055A RAW SC'!$V$12=0.5,TRANSMUTATION!$C$4:$D$17,TRANSMUTATION!$G$4:$H$17),2,TRUE))</f>
        <v>1.5</v>
      </c>
      <c r="BW37" s="129">
        <f>IF('Midterm OVPAA-F-INS-055A RAW SC'!BU37="","",'Midterm OVPAA-F-INS-055A RAW SC'!BU37/'Midterm OVPAA-F-INS-055A RAW SC'!BU$17*100)</f>
        <v>90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96.666666666666671</v>
      </c>
      <c r="CR37" s="132">
        <f>IF(CQ37="","",VLOOKUP(CQ37,IF('Midterm OVPAA-F-INS-055A RAW SC'!$V$12=0.5,TRANSMUTATION!$C$4:$D$17,TRANSMUTATION!$G$4:$H$17),2,TRUE))</f>
        <v>1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0.44999999999999996</v>
      </c>
      <c r="DF37" s="137">
        <f t="shared" si="2"/>
        <v>0.3</v>
      </c>
      <c r="DG37" s="138">
        <f t="shared" si="3"/>
        <v>0.70000000000000007</v>
      </c>
      <c r="DH37" s="136">
        <f t="shared" si="4"/>
        <v>1.4500000000000002</v>
      </c>
      <c r="DI37" s="123" t="str">
        <f t="shared" si="5"/>
        <v>1.50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90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88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90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90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96.666666666666671</v>
      </c>
      <c r="CR40" s="132">
        <f>IF(CQ40="","",VLOOKUP(CQ40,IF('Midterm OVPAA-F-INS-055A RAW SC'!$V$12=0.5,TRANSMUTATION!$C$4:$D$17,TRANSMUTATION!$G$4:$H$17),2,TRUE))</f>
        <v>1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</v>
      </c>
      <c r="DG40" s="138">
        <f t="shared" si="3"/>
        <v>0.8</v>
      </c>
      <c r="DH40" s="136">
        <f t="shared" si="4"/>
        <v>1.55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50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</row>
    <row r="3" spans="5:102" ht="14.5">
      <c r="F3" s="251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</row>
    <row r="4" spans="5:102" ht="14.5">
      <c r="F4" s="252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53" t="s">
        <v>65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</row>
    <row r="7" spans="5:102" ht="14.5">
      <c r="E7" s="254" t="s">
        <v>3</v>
      </c>
      <c r="F7" s="227"/>
      <c r="G7" s="5" t="s">
        <v>131</v>
      </c>
      <c r="H7" s="6"/>
      <c r="I7" s="3" t="s">
        <v>4</v>
      </c>
      <c r="J7" s="5"/>
      <c r="K7" s="22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6"/>
      <c r="BM7" s="227"/>
      <c r="BN7" s="227"/>
      <c r="BO7" s="227"/>
      <c r="BP7" s="227"/>
      <c r="BQ7" s="5"/>
      <c r="BR7" s="5"/>
      <c r="BS7" s="5"/>
      <c r="BT7" s="2"/>
      <c r="BU7" s="6"/>
      <c r="BV7" s="22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54" t="s">
        <v>6</v>
      </c>
      <c r="F8" s="227"/>
      <c r="G8" s="5" t="s">
        <v>132</v>
      </c>
      <c r="H8" s="6"/>
      <c r="I8" s="3" t="s">
        <v>7</v>
      </c>
      <c r="J8" s="5"/>
      <c r="K8" s="22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6"/>
      <c r="BM8" s="227"/>
      <c r="BN8" s="227"/>
      <c r="BO8" s="227"/>
      <c r="BP8" s="227"/>
      <c r="BQ8" s="5"/>
      <c r="BR8" s="5"/>
      <c r="BS8" s="5"/>
      <c r="BT8" s="2"/>
      <c r="BU8" s="6"/>
      <c r="BV8" s="22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54" t="s">
        <v>9</v>
      </c>
      <c r="F9" s="227"/>
      <c r="G9" s="5" t="s">
        <v>133</v>
      </c>
      <c r="H9" s="6"/>
      <c r="I9" s="3" t="s">
        <v>10</v>
      </c>
      <c r="J9" s="5"/>
      <c r="K9" s="22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6"/>
      <c r="BM9" s="227"/>
      <c r="BN9" s="227"/>
      <c r="BO9" s="227"/>
      <c r="BP9" s="227"/>
      <c r="BQ9" s="5"/>
      <c r="BR9" s="5"/>
      <c r="BS9" s="5"/>
      <c r="BT9" s="2"/>
      <c r="BU9" s="6"/>
      <c r="BV9" s="22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54" t="s">
        <v>12</v>
      </c>
      <c r="F10" s="227"/>
      <c r="G10" s="5" t="str">
        <f>'Midterm OVPAA-F-INS-055A RAW SC'!G10</f>
        <v>2nd Sem</v>
      </c>
      <c r="H10" s="6"/>
      <c r="I10" s="3" t="s">
        <v>14</v>
      </c>
      <c r="J10" s="5"/>
      <c r="K10" s="22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54" t="s">
        <v>15</v>
      </c>
      <c r="T10" s="227"/>
      <c r="U10" s="227"/>
      <c r="V10" s="22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6"/>
      <c r="BM10" s="227"/>
      <c r="BN10" s="227"/>
      <c r="BO10" s="227"/>
      <c r="BP10" s="227"/>
      <c r="BQ10" s="5"/>
      <c r="BR10" s="5"/>
      <c r="BS10" s="5"/>
      <c r="BT10" s="2"/>
      <c r="BU10" s="6"/>
      <c r="BV10" s="22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54" t="s">
        <v>17</v>
      </c>
      <c r="F11" s="227"/>
      <c r="G11" s="6" t="str">
        <f>'Midterm OVPAA-F-INS-055A RAW SC'!G11</f>
        <v>2025-2026</v>
      </c>
      <c r="H11" s="6"/>
      <c r="I11" s="3" t="s">
        <v>66</v>
      </c>
      <c r="J11" s="5"/>
      <c r="K11" s="22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54" t="s">
        <v>21</v>
      </c>
      <c r="T11" s="227"/>
      <c r="U11" s="227"/>
      <c r="V11" s="22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6"/>
      <c r="BM11" s="227"/>
      <c r="BN11" s="227"/>
      <c r="BO11" s="227"/>
      <c r="BP11" s="227"/>
      <c r="BQ11" s="255"/>
      <c r="BR11" s="227"/>
      <c r="BS11" s="5"/>
      <c r="BT11" s="2"/>
      <c r="BU11" s="6"/>
      <c r="BV11" s="22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55"/>
      <c r="CQ11" s="227"/>
      <c r="CR11" s="227"/>
      <c r="CS11" s="227"/>
      <c r="CT11" s="9"/>
      <c r="CU11" s="9"/>
      <c r="CV11" s="9"/>
      <c r="CW11" s="9"/>
      <c r="CX11" s="5"/>
    </row>
    <row r="12" spans="5:102" ht="14.5">
      <c r="E12" s="238" t="s">
        <v>23</v>
      </c>
      <c r="F12" s="232"/>
      <c r="G12" s="11" t="str">
        <f>'Midterm OVPAA-F-INS-055A RAW SC'!G12</f>
        <v>Czarissa Louise A. Navidad</v>
      </c>
      <c r="H12" s="2"/>
      <c r="I12" s="10" t="s">
        <v>25</v>
      </c>
      <c r="J12" s="11"/>
      <c r="K12" s="239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0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39"/>
      <c r="BM12" s="232"/>
      <c r="BN12" s="232"/>
      <c r="BO12" s="232"/>
      <c r="BP12" s="232"/>
      <c r="BQ12" s="240"/>
      <c r="BR12" s="232"/>
      <c r="BS12" s="11"/>
      <c r="BT12" s="16"/>
      <c r="BU12" s="76"/>
      <c r="BV12" s="239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0"/>
      <c r="CQ12" s="232"/>
      <c r="CR12" s="232"/>
      <c r="CS12" s="232"/>
      <c r="CT12" s="15"/>
      <c r="CU12" s="15"/>
      <c r="CV12" s="15"/>
      <c r="CW12" s="15"/>
      <c r="CX12" s="11"/>
    </row>
    <row r="13" spans="5:102" ht="15" customHeight="1">
      <c r="E13" s="241" t="s">
        <v>28</v>
      </c>
      <c r="F13" s="241" t="s">
        <v>29</v>
      </c>
      <c r="G13" s="241" t="s">
        <v>30</v>
      </c>
      <c r="H13" s="26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30"/>
      <c r="BU13" s="246" t="s">
        <v>32</v>
      </c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8" t="s">
        <v>33</v>
      </c>
      <c r="CP13" s="229"/>
      <c r="CQ13" s="229"/>
      <c r="CR13" s="229"/>
      <c r="CS13" s="229"/>
      <c r="CT13" s="229"/>
      <c r="CU13" s="229"/>
      <c r="CV13" s="229"/>
      <c r="CW13" s="229"/>
      <c r="CX13" s="230"/>
    </row>
    <row r="14" spans="5:102" ht="15" customHeight="1">
      <c r="E14" s="242"/>
      <c r="F14" s="242"/>
      <c r="G14" s="242"/>
      <c r="H14" s="231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3"/>
      <c r="BU14" s="231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1"/>
      <c r="CP14" s="232"/>
      <c r="CQ14" s="232"/>
      <c r="CR14" s="232"/>
      <c r="CS14" s="232"/>
      <c r="CT14" s="232"/>
      <c r="CU14" s="232"/>
      <c r="CV14" s="232"/>
      <c r="CW14" s="232"/>
      <c r="CX14" s="233"/>
    </row>
    <row r="15" spans="5:102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42"/>
      <c r="F16" s="242"/>
      <c r="G16" s="242"/>
      <c r="H16" s="28" t="s">
        <v>78</v>
      </c>
      <c r="I16" s="28" t="s">
        <v>79</v>
      </c>
      <c r="J16" s="28" t="s">
        <v>80</v>
      </c>
      <c r="K16" s="28" t="s">
        <v>81</v>
      </c>
      <c r="L16" s="28" t="s">
        <v>82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83</v>
      </c>
      <c r="BV16" s="33" t="s">
        <v>84</v>
      </c>
      <c r="BW16" s="33" t="s">
        <v>85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86</v>
      </c>
      <c r="CP16" s="34" t="s">
        <v>87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43"/>
      <c r="F17" s="243"/>
      <c r="G17" s="243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50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72"/>
    </row>
    <row r="3" spans="5:113" ht="14.5">
      <c r="F3" s="251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  <c r="DG3" s="227"/>
      <c r="DH3" s="227"/>
      <c r="DI3" s="73"/>
    </row>
    <row r="4" spans="5:113" ht="14.5">
      <c r="F4" s="252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53" t="s">
        <v>65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75"/>
    </row>
    <row r="7" spans="5:113" ht="14.5">
      <c r="E7" s="254" t="s">
        <v>3</v>
      </c>
      <c r="F7" s="227"/>
      <c r="G7" s="5" t="str">
        <f>'Midterm OVPAA-F-INS-055A RAW SC'!G7</f>
        <v>T208</v>
      </c>
      <c r="H7" s="6"/>
      <c r="I7" s="3" t="s">
        <v>4</v>
      </c>
      <c r="J7" s="5"/>
      <c r="K7" s="22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6"/>
      <c r="BM7" s="227"/>
      <c r="BN7" s="227"/>
      <c r="BO7" s="227"/>
      <c r="BP7" s="227"/>
      <c r="BQ7" s="5"/>
      <c r="BR7" s="5"/>
      <c r="BS7" s="5"/>
      <c r="BT7" s="2"/>
      <c r="BU7" s="6"/>
      <c r="BV7" s="22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6"/>
      <c r="DD7" s="227"/>
      <c r="DE7" s="227"/>
      <c r="DF7" s="227"/>
      <c r="DG7" s="227"/>
      <c r="DH7" s="5"/>
      <c r="DI7" s="5"/>
    </row>
    <row r="8" spans="5:113" ht="14.5">
      <c r="E8" s="254" t="s">
        <v>6</v>
      </c>
      <c r="F8" s="227"/>
      <c r="G8" s="5" t="str">
        <f>'Midterm OVPAA-F-INS-055A RAW SC'!G8</f>
        <v>BA 11111</v>
      </c>
      <c r="H8" s="6"/>
      <c r="I8" s="3" t="s">
        <v>7</v>
      </c>
      <c r="J8" s="5"/>
      <c r="K8" s="22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6"/>
      <c r="BM8" s="227"/>
      <c r="BN8" s="227"/>
      <c r="BO8" s="227"/>
      <c r="BP8" s="227"/>
      <c r="BQ8" s="5"/>
      <c r="BR8" s="5"/>
      <c r="BS8" s="5"/>
      <c r="BT8" s="2"/>
      <c r="BU8" s="6"/>
      <c r="BV8" s="22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6"/>
      <c r="DD8" s="227"/>
      <c r="DE8" s="227"/>
      <c r="DF8" s="227"/>
      <c r="DG8" s="227"/>
      <c r="DH8" s="5"/>
      <c r="DI8" s="5"/>
    </row>
    <row r="9" spans="5:113" ht="14.5">
      <c r="E9" s="254" t="s">
        <v>9</v>
      </c>
      <c r="F9" s="227"/>
      <c r="G9" s="5" t="str">
        <f>'Midterm OVPAA-F-INS-055A RAW SC'!G9</f>
        <v>Computer Programming 2</v>
      </c>
      <c r="H9" s="6"/>
      <c r="I9" s="3" t="s">
        <v>10</v>
      </c>
      <c r="J9" s="5"/>
      <c r="K9" s="22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6"/>
      <c r="BM9" s="227"/>
      <c r="BN9" s="227"/>
      <c r="BO9" s="227"/>
      <c r="BP9" s="227"/>
      <c r="BQ9" s="5"/>
      <c r="BR9" s="5"/>
      <c r="BS9" s="5"/>
      <c r="BT9" s="2"/>
      <c r="BU9" s="6"/>
      <c r="BV9" s="22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6"/>
      <c r="DD9" s="227"/>
      <c r="DE9" s="227"/>
      <c r="DF9" s="227"/>
      <c r="DG9" s="227"/>
      <c r="DH9" s="5"/>
      <c r="DI9" s="5"/>
    </row>
    <row r="10" spans="5:113" ht="14.5">
      <c r="E10" s="254" t="s">
        <v>12</v>
      </c>
      <c r="F10" s="227"/>
      <c r="G10" s="5" t="str">
        <f>'Midterm OVPAA-F-INS-055A RAW SC'!G10</f>
        <v>2nd Sem</v>
      </c>
      <c r="H10" s="6"/>
      <c r="I10" s="3" t="s">
        <v>14</v>
      </c>
      <c r="J10" s="5"/>
      <c r="K10" s="22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54" t="s">
        <v>15</v>
      </c>
      <c r="T10" s="227"/>
      <c r="U10" s="227"/>
      <c r="V10" s="22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6"/>
      <c r="BM10" s="227"/>
      <c r="BN10" s="227"/>
      <c r="BO10" s="227"/>
      <c r="BP10" s="227"/>
      <c r="BQ10" s="5"/>
      <c r="BR10" s="5"/>
      <c r="BS10" s="5"/>
      <c r="BT10" s="2"/>
      <c r="BU10" s="6"/>
      <c r="BV10" s="22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6"/>
      <c r="DD10" s="227"/>
      <c r="DE10" s="227"/>
      <c r="DF10" s="227"/>
      <c r="DG10" s="227"/>
      <c r="DH10" s="5"/>
      <c r="DI10" s="5"/>
    </row>
    <row r="11" spans="5:113" ht="14.5">
      <c r="E11" s="254" t="s">
        <v>17</v>
      </c>
      <c r="F11" s="227"/>
      <c r="G11" s="6" t="str">
        <f>'Midterm OVPAA-F-INS-055A RAW SC'!G11</f>
        <v>2025-2026</v>
      </c>
      <c r="H11" s="6"/>
      <c r="I11" s="3" t="s">
        <v>66</v>
      </c>
      <c r="J11" s="5"/>
      <c r="K11" s="22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54" t="s">
        <v>21</v>
      </c>
      <c r="T11" s="227"/>
      <c r="U11" s="227"/>
      <c r="V11" s="22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6"/>
      <c r="BM11" s="227"/>
      <c r="BN11" s="227"/>
      <c r="BO11" s="227"/>
      <c r="BP11" s="227"/>
      <c r="BQ11" s="255"/>
      <c r="BR11" s="227"/>
      <c r="BS11" s="5"/>
      <c r="BT11" s="2"/>
      <c r="BU11" s="6"/>
      <c r="BV11" s="22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55"/>
      <c r="CQ11" s="227"/>
      <c r="CR11" s="227"/>
      <c r="CS11" s="227"/>
      <c r="CT11" s="9"/>
      <c r="CU11" s="9"/>
      <c r="CV11" s="9"/>
      <c r="CW11" s="9"/>
      <c r="CX11" s="5"/>
      <c r="CY11" s="5"/>
      <c r="CZ11" s="5"/>
      <c r="DA11" s="2"/>
      <c r="DB11" s="6"/>
      <c r="DC11" s="226"/>
      <c r="DD11" s="227"/>
      <c r="DE11" s="227"/>
      <c r="DF11" s="227"/>
      <c r="DG11" s="227"/>
      <c r="DH11" s="255"/>
      <c r="DI11" s="227"/>
    </row>
    <row r="12" spans="5:113" ht="14.5">
      <c r="E12" s="238" t="s">
        <v>23</v>
      </c>
      <c r="F12" s="232"/>
      <c r="G12" s="11" t="str">
        <f>'Midterm OVPAA-F-INS-055A RAW SC'!G12</f>
        <v>Czarissa Louise A. Navidad</v>
      </c>
      <c r="H12" s="2"/>
      <c r="I12" s="10" t="s">
        <v>25</v>
      </c>
      <c r="J12" s="11"/>
      <c r="K12" s="239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0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39"/>
      <c r="BM12" s="232"/>
      <c r="BN12" s="232"/>
      <c r="BO12" s="232"/>
      <c r="BP12" s="232"/>
      <c r="BQ12" s="240"/>
      <c r="BR12" s="232"/>
      <c r="BS12" s="11"/>
      <c r="BT12" s="16"/>
      <c r="BU12" s="76"/>
      <c r="BV12" s="239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0"/>
      <c r="CQ12" s="232"/>
      <c r="CR12" s="232"/>
      <c r="CS12" s="232"/>
      <c r="CT12" s="15"/>
      <c r="CU12" s="15"/>
      <c r="CV12" s="15"/>
      <c r="CW12" s="15"/>
      <c r="CX12" s="11"/>
      <c r="CY12" s="11"/>
      <c r="CZ12" s="11"/>
      <c r="DA12" s="16"/>
      <c r="DB12" s="76"/>
      <c r="DC12" s="239"/>
      <c r="DD12" s="232"/>
      <c r="DE12" s="232"/>
      <c r="DF12" s="232"/>
      <c r="DG12" s="232"/>
      <c r="DH12" s="240"/>
      <c r="DI12" s="232"/>
    </row>
    <row r="13" spans="5:113" ht="15" customHeight="1">
      <c r="E13" s="241" t="s">
        <v>28</v>
      </c>
      <c r="F13" s="241" t="s">
        <v>29</v>
      </c>
      <c r="G13" s="241" t="s">
        <v>30</v>
      </c>
      <c r="H13" s="24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30"/>
      <c r="BW13" s="246" t="s">
        <v>32</v>
      </c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29"/>
      <c r="CQ13" s="229"/>
      <c r="CR13" s="230"/>
      <c r="CS13" s="228" t="s">
        <v>33</v>
      </c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30"/>
      <c r="DE13" s="234" t="s">
        <v>67</v>
      </c>
      <c r="DF13" s="235"/>
      <c r="DG13" s="236"/>
      <c r="DH13" s="237" t="s">
        <v>88</v>
      </c>
      <c r="DI13" s="230"/>
    </row>
    <row r="14" spans="5:113" ht="15" customHeight="1">
      <c r="E14" s="242"/>
      <c r="F14" s="242"/>
      <c r="G14" s="242"/>
      <c r="H14" s="245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3"/>
      <c r="BW14" s="231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2"/>
      <c r="CQ14" s="232"/>
      <c r="CR14" s="233"/>
      <c r="CS14" s="231"/>
      <c r="CT14" s="232"/>
      <c r="CU14" s="232"/>
      <c r="CV14" s="232"/>
      <c r="CW14" s="232"/>
      <c r="CX14" s="232"/>
      <c r="CY14" s="232"/>
      <c r="CZ14" s="232"/>
      <c r="DA14" s="232"/>
      <c r="DB14" s="232"/>
      <c r="DC14" s="232"/>
      <c r="DD14" s="233"/>
      <c r="DE14" s="77" t="s">
        <v>69</v>
      </c>
      <c r="DF14" s="78" t="s">
        <v>70</v>
      </c>
      <c r="DG14" s="79" t="s">
        <v>71</v>
      </c>
      <c r="DH14" s="231"/>
      <c r="DI14" s="233"/>
    </row>
    <row r="15" spans="5:113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7" t="s">
        <v>72</v>
      </c>
      <c r="BV15" s="248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22" t="s">
        <v>72</v>
      </c>
      <c r="DD15" s="224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42"/>
      <c r="F16" s="242"/>
      <c r="G16" s="242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23"/>
      <c r="BV16" s="225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23"/>
      <c r="CR16" s="88" t="s">
        <v>76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23"/>
      <c r="DD16" s="225"/>
      <c r="DE16" s="90"/>
      <c r="DF16" s="91"/>
      <c r="DG16" s="92"/>
      <c r="DH16" s="93"/>
      <c r="DI16" s="94"/>
    </row>
    <row r="17" spans="5:113" ht="14.5">
      <c r="E17" s="243"/>
      <c r="F17" s="243"/>
      <c r="G17" s="243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4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 ht="14.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4" t="s">
        <v>50</v>
      </c>
    </row>
    <row r="2" spans="1:33" ht="14.5">
      <c r="B2" s="250" t="s">
        <v>0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</row>
    <row r="3" spans="1:33" ht="14.5">
      <c r="B3" s="251" t="s">
        <v>1</v>
      </c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</row>
    <row r="4" spans="1:33" ht="14.5">
      <c r="B4" s="252" t="s">
        <v>2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</row>
    <row r="5" spans="1:33" ht="14.5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">
      <c r="A6" s="177"/>
      <c r="B6" s="276" t="s">
        <v>89</v>
      </c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">
      <c r="A7" s="269" t="s">
        <v>3</v>
      </c>
      <c r="B7" s="270"/>
      <c r="C7" s="178" t="str">
        <f>IF('Midterm OVPAA-F-INS-055A RAW SC'!G7="","",'Midterm OVPAA-F-INS-055A RAW SC'!G7)</f>
        <v>T208</v>
      </c>
      <c r="D7" s="179"/>
      <c r="E7" s="179"/>
      <c r="F7" s="272" t="s">
        <v>90</v>
      </c>
      <c r="G7" s="260"/>
      <c r="H7" s="260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">
      <c r="A8" s="269" t="s">
        <v>6</v>
      </c>
      <c r="B8" s="270"/>
      <c r="C8" s="183" t="str">
        <f>IF('Midterm OVPAA-F-INS-055A RAW SC'!G8="","",'Midterm OVPAA-F-INS-055A RAW SC'!G8)</f>
        <v>BA 11111</v>
      </c>
      <c r="D8" s="184"/>
      <c r="E8" s="184"/>
      <c r="F8" s="272" t="s">
        <v>91</v>
      </c>
      <c r="G8" s="260"/>
      <c r="H8" s="260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">
      <c r="A9" s="269" t="s">
        <v>92</v>
      </c>
      <c r="B9" s="270"/>
      <c r="C9" s="183" t="str">
        <f>IF('Midterm OVPAA-F-INS-055A RAW SC'!G9="","",'Midterm OVPAA-F-INS-055A RAW SC'!G9)</f>
        <v>Computer Programming 2</v>
      </c>
      <c r="D9" s="184"/>
      <c r="E9" s="184"/>
      <c r="F9" s="277" t="s">
        <v>93</v>
      </c>
      <c r="G9" s="258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">
      <c r="A10" s="269" t="s">
        <v>94</v>
      </c>
      <c r="B10" s="270"/>
      <c r="C10" s="178" t="str">
        <f>'Midterm OVPAA-F-INS-055A RAW SC'!G10&amp;"/"&amp;'Midterm OVPAA-F-INS-055A RAW SC'!G11</f>
        <v>2nd Sem/2025-2026</v>
      </c>
      <c r="D10" s="179"/>
      <c r="E10" s="186"/>
      <c r="F10" s="272"/>
      <c r="G10" s="260"/>
      <c r="H10" s="270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">
      <c r="A11" s="189"/>
      <c r="B11" s="189"/>
      <c r="C11" s="181"/>
      <c r="D11" s="181"/>
      <c r="E11" s="181"/>
      <c r="F11" s="273" t="s">
        <v>95</v>
      </c>
      <c r="G11" s="260"/>
      <c r="H11" s="260"/>
      <c r="I11" s="260"/>
      <c r="J11" s="270"/>
      <c r="K11" s="273" t="s">
        <v>96</v>
      </c>
      <c r="L11" s="260"/>
      <c r="M11" s="260"/>
      <c r="N11" s="270"/>
      <c r="O11" s="274" t="s">
        <v>97</v>
      </c>
      <c r="P11" s="227"/>
      <c r="Q11" s="275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">
      <c r="A12" s="191" t="s">
        <v>98</v>
      </c>
      <c r="B12" s="191" t="s">
        <v>99</v>
      </c>
      <c r="C12" s="273" t="s">
        <v>100</v>
      </c>
      <c r="D12" s="260"/>
      <c r="E12" s="270"/>
      <c r="F12" s="273" t="str">
        <f>_xlfn.CONCAT(_xlfn.CONCAT("CS (",'Finalterm OVPAA-F-INS-055B CLAS'!DE15*100),"%)")</f>
        <v>CS (30%)</v>
      </c>
      <c r="G12" s="270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101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102</v>
      </c>
      <c r="O12" s="191" t="s">
        <v>103</v>
      </c>
      <c r="P12" s="191" t="s">
        <v>104</v>
      </c>
      <c r="Q12" s="191" t="s">
        <v>75</v>
      </c>
      <c r="R12" s="191" t="s">
        <v>105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">
      <c r="A13" s="193">
        <v>1</v>
      </c>
      <c r="B13" s="193">
        <f>IF(NOT(ISBLANK('Midterm OVPAA-F-INS-055A RAW SC'!F18)),'Midterm OVPAA-F-INS-055A RAW SC'!F18,"")</f>
        <v>2201102063</v>
      </c>
      <c r="C13" s="269" t="str">
        <f>IF(NOT(ISBLANK('Midterm OVPAA-F-INS-055A RAW SC'!G18)),'Midterm OVPAA-F-INS-055A RAW SC'!G18,"")</f>
        <v>Amparado, Kendrick</v>
      </c>
      <c r="D13" s="260"/>
      <c r="E13" s="270"/>
      <c r="F13" s="271">
        <f>'MidTerm OVPAA-F-INS-055B CLASS'!BV18</f>
        <v>5</v>
      </c>
      <c r="G13" s="270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">
      <c r="A14" s="193">
        <v>2</v>
      </c>
      <c r="B14" s="193">
        <f>IF(NOT(ISBLANK('Midterm OVPAA-F-INS-055A RAW SC'!F19)),'Midterm OVPAA-F-INS-055A RAW SC'!F19,"")</f>
        <v>2301100000</v>
      </c>
      <c r="C14" s="269" t="str">
        <f>IF(NOT(ISBLANK('Midterm OVPAA-F-INS-055A RAW SC'!G19)),'Midterm OVPAA-F-INS-055A RAW SC'!G19,"")</f>
        <v>Añonuevo, Thomas Franz</v>
      </c>
      <c r="D14" s="260"/>
      <c r="E14" s="270"/>
      <c r="F14" s="271">
        <f>'MidTerm OVPAA-F-INS-055B CLASS'!BV19</f>
        <v>1.75</v>
      </c>
      <c r="G14" s="270"/>
      <c r="H14" s="194">
        <f>'MidTerm OVPAA-F-INS-055B CLASS'!CR19</f>
        <v>1</v>
      </c>
      <c r="I14" s="195">
        <f>'MidTerm OVPAA-F-INS-055B CLASS'!DD19</f>
        <v>3</v>
      </c>
      <c r="J14" s="195" t="str">
        <f>'MidTerm OVPAA-F-INS-055B CLASS'!DI19</f>
        <v>2.00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2.00</v>
      </c>
      <c r="P14" s="195" t="str">
        <f t="shared" si="1"/>
        <v>3.00</v>
      </c>
      <c r="Q14" s="195" t="str">
        <f t="shared" si="2"/>
        <v>2.75</v>
      </c>
      <c r="R14" s="196" t="s">
        <v>106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">
      <c r="A15" s="193">
        <v>3</v>
      </c>
      <c r="B15" s="193">
        <f>IF(NOT(ISBLANK('Midterm OVPAA-F-INS-055A RAW SC'!F20)),'Midterm OVPAA-F-INS-055A RAW SC'!F20,"")</f>
        <v>2001102089</v>
      </c>
      <c r="C15" s="269" t="str">
        <f>IF(NOT(ISBLANK('Midterm OVPAA-F-INS-055A RAW SC'!G20)),'Midterm OVPAA-F-INS-055A RAW SC'!G20,"")</f>
        <v>Cabuco, Dean Krist A.</v>
      </c>
      <c r="D15" s="260"/>
      <c r="E15" s="270"/>
      <c r="F15" s="271">
        <f>'MidTerm OVPAA-F-INS-055B CLASS'!BV20</f>
        <v>2.75</v>
      </c>
      <c r="G15" s="270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106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">
      <c r="A16" s="193">
        <v>4</v>
      </c>
      <c r="B16" s="193">
        <f>IF(NOT(ISBLANK('Midterm OVPAA-F-INS-055A RAW SC'!F21)),'Midterm OVPAA-F-INS-055A RAW SC'!F21,"")</f>
        <v>2201105829</v>
      </c>
      <c r="C16" s="269" t="str">
        <f>IF(NOT(ISBLANK('Midterm OVPAA-F-INS-055A RAW SC'!G21)),'Midterm OVPAA-F-INS-055A RAW SC'!G21,"")</f>
        <v>De Guzman, Jim Dale Manong</v>
      </c>
      <c r="D16" s="260"/>
      <c r="E16" s="270"/>
      <c r="F16" s="271">
        <f>'MidTerm OVPAA-F-INS-055B CLASS'!BV21</f>
        <v>2.25</v>
      </c>
      <c r="G16" s="270"/>
      <c r="H16" s="194">
        <f>'MidTerm OVPAA-F-INS-055B CLASS'!CR21</f>
        <v>1.25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106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">
      <c r="A17" s="193">
        <v>5</v>
      </c>
      <c r="B17" s="193">
        <f>IF(NOT(ISBLANK('Midterm OVPAA-F-INS-055A RAW SC'!F22)),'Midterm OVPAA-F-INS-055A RAW SC'!F22,"")</f>
        <v>2201103056</v>
      </c>
      <c r="C17" s="269" t="str">
        <f>IF(NOT(ISBLANK('Midterm OVPAA-F-INS-055A RAW SC'!G22)),'Midterm OVPAA-F-INS-055A RAW SC'!G22,"")</f>
        <v>Dela Cerna, Johann Derek Javier</v>
      </c>
      <c r="D17" s="260"/>
      <c r="E17" s="270"/>
      <c r="F17" s="271">
        <f>'MidTerm OVPAA-F-INS-055B CLASS'!BV22</f>
        <v>1.75</v>
      </c>
      <c r="G17" s="270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106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">
      <c r="A18" s="193">
        <v>6</v>
      </c>
      <c r="B18" s="193">
        <f>IF(NOT(ISBLANK('Midterm OVPAA-F-INS-055A RAW SC'!F23)),'Midterm OVPAA-F-INS-055A RAW SC'!F23,"")</f>
        <v>2201100446</v>
      </c>
      <c r="C18" s="269" t="str">
        <f>IF(NOT(ISBLANK('Midterm OVPAA-F-INS-055A RAW SC'!G23)),'Midterm OVPAA-F-INS-055A RAW SC'!G23,"")</f>
        <v>Delfin, Kyle Arnie Jopson</v>
      </c>
      <c r="D18" s="260"/>
      <c r="E18" s="270"/>
      <c r="F18" s="271">
        <f>'MidTerm OVPAA-F-INS-055B CLASS'!BV23</f>
        <v>3</v>
      </c>
      <c r="G18" s="270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106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">
      <c r="A19" s="193">
        <v>7</v>
      </c>
      <c r="B19" s="193">
        <f>IF(NOT(ISBLANK('Midterm OVPAA-F-INS-055A RAW SC'!F24)),'Midterm OVPAA-F-INS-055A RAW SC'!F24,"")</f>
        <v>1801101449</v>
      </c>
      <c r="C19" s="269" t="str">
        <f>IF(NOT(ISBLANK('Midterm OVPAA-F-INS-055A RAW SC'!G24)),'Midterm OVPAA-F-INS-055A RAW SC'!G24,"")</f>
        <v>Gumapac, Jannerie</v>
      </c>
      <c r="D19" s="260"/>
      <c r="E19" s="270"/>
      <c r="F19" s="271">
        <f>'MidTerm OVPAA-F-INS-055B CLASS'!BV24</f>
        <v>2.75</v>
      </c>
      <c r="G19" s="270"/>
      <c r="H19" s="194">
        <f>'MidTerm OVPAA-F-INS-055B CLASS'!CR24</f>
        <v>1.5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106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">
      <c r="A20" s="193">
        <v>8</v>
      </c>
      <c r="B20" s="193">
        <f>IF(NOT(ISBLANK('Midterm OVPAA-F-INS-055A RAW SC'!F25)),'Midterm OVPAA-F-INS-055A RAW SC'!F25,"")</f>
        <v>2201104090</v>
      </c>
      <c r="C20" s="269" t="str">
        <f>IF(NOT(ISBLANK('Midterm OVPAA-F-INS-055A RAW SC'!G25)),'Midterm OVPAA-F-INS-055A RAW SC'!G25,"")</f>
        <v>Lantinay, Pol Edison</v>
      </c>
      <c r="D20" s="260"/>
      <c r="E20" s="270"/>
      <c r="F20" s="271">
        <f>'MidTerm OVPAA-F-INS-055B CLASS'!BV25</f>
        <v>2</v>
      </c>
      <c r="G20" s="270"/>
      <c r="H20" s="194">
        <f>'MidTerm OVPAA-F-INS-055B CLASS'!CR25</f>
        <v>1</v>
      </c>
      <c r="I20" s="195">
        <f>'MidTerm OVPAA-F-INS-055B CLASS'!DD25</f>
        <v>1.5</v>
      </c>
      <c r="J20" s="195" t="str">
        <f>'MidTerm OVPAA-F-INS-055B CLASS'!DI25</f>
        <v>1.50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1.50</v>
      </c>
      <c r="P20" s="195" t="str">
        <f t="shared" si="1"/>
        <v>2.25</v>
      </c>
      <c r="Q20" s="195" t="str">
        <f t="shared" si="2"/>
        <v>2.00</v>
      </c>
      <c r="R20" s="196" t="s">
        <v>106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9" t="str">
        <f>IF(NOT(ISBLANK('Midterm OVPAA-F-INS-055A RAW SC'!G26)),'Midterm OVPAA-F-INS-055A RAW SC'!G26,"")</f>
        <v>Lintawahan, Maria Elisabeth</v>
      </c>
      <c r="D21" s="260"/>
      <c r="E21" s="270"/>
      <c r="F21" s="271">
        <f>'MidTerm OVPAA-F-INS-055B CLASS'!BV26</f>
        <v>3.5</v>
      </c>
      <c r="G21" s="270"/>
      <c r="H21" s="194">
        <f>'MidTerm OVPAA-F-INS-055B CLASS'!CR26</f>
        <v>1.5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9" t="str">
        <f>IF(NOT(ISBLANK('Midterm OVPAA-F-INS-055A RAW SC'!G27)),'Midterm OVPAA-F-INS-055A RAW SC'!G27,"")</f>
        <v>Lisondra, Christian Earl</v>
      </c>
      <c r="D22" s="260"/>
      <c r="E22" s="270"/>
      <c r="F22" s="271">
        <f>'MidTerm OVPAA-F-INS-055B CLASS'!BV27</f>
        <v>2.25</v>
      </c>
      <c r="G22" s="270"/>
      <c r="H22" s="194">
        <f>'MidTerm OVPAA-F-INS-055B CLASS'!CR27</f>
        <v>1.5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106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9" t="str">
        <f>IF(NOT(ISBLANK('Midterm OVPAA-F-INS-055A RAW SC'!G28)),'Midterm OVPAA-F-INS-055A RAW SC'!G28,"")</f>
        <v>Magante, Jerson</v>
      </c>
      <c r="D23" s="260"/>
      <c r="E23" s="270"/>
      <c r="F23" s="271">
        <f>'MidTerm OVPAA-F-INS-055B CLASS'!BV28</f>
        <v>3.25</v>
      </c>
      <c r="G23" s="270"/>
      <c r="H23" s="194">
        <f>'MidTerm OVPAA-F-INS-055B CLASS'!CR28</f>
        <v>1.5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106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9" t="str">
        <f>IF(NOT(ISBLANK('Midterm OVPAA-F-INS-055A RAW SC'!G29)),'Midterm OVPAA-F-INS-055A RAW SC'!G29,"")</f>
        <v>Maraon, EJ Kate</v>
      </c>
      <c r="D24" s="260"/>
      <c r="E24" s="270"/>
      <c r="F24" s="271">
        <f>'MidTerm OVPAA-F-INS-055B CLASS'!BV29</f>
        <v>2.25</v>
      </c>
      <c r="G24" s="270"/>
      <c r="H24" s="194">
        <f>'MidTerm OVPAA-F-INS-055B CLASS'!CR29</f>
        <v>1.5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106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9" t="str">
        <f>IF(NOT(ISBLANK('Midterm OVPAA-F-INS-055A RAW SC'!G30)),'Midterm OVPAA-F-INS-055A RAW SC'!G30,"")</f>
        <v>Melendez, Jeter Giambi</v>
      </c>
      <c r="D25" s="260"/>
      <c r="E25" s="270"/>
      <c r="F25" s="271">
        <f>'MidTerm OVPAA-F-INS-055B CLASS'!BV30</f>
        <v>1.75</v>
      </c>
      <c r="G25" s="270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106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9" t="str">
        <f>IF(NOT(ISBLANK('Midterm OVPAA-F-INS-055A RAW SC'!G31)),'Midterm OVPAA-F-INS-055A RAW SC'!G31,"")</f>
        <v>Merina, Meljon G.</v>
      </c>
      <c r="D26" s="260"/>
      <c r="E26" s="270"/>
      <c r="F26" s="271">
        <f>'MidTerm OVPAA-F-INS-055B CLASS'!BV31</f>
        <v>1.25</v>
      </c>
      <c r="G26" s="270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106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9" t="str">
        <f>IF(NOT(ISBLANK('Midterm OVPAA-F-INS-055A RAW SC'!G32)),'Midterm OVPAA-F-INS-055A RAW SC'!G32,"")</f>
        <v>Neri, Jaira Greist</v>
      </c>
      <c r="D27" s="260"/>
      <c r="E27" s="270"/>
      <c r="F27" s="271">
        <f>'MidTerm OVPAA-F-INS-055B CLASS'!BV32</f>
        <v>4</v>
      </c>
      <c r="G27" s="270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106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9" t="str">
        <f>IF(NOT(ISBLANK('Midterm OVPAA-F-INS-055A RAW SC'!G33)),'Midterm OVPAA-F-INS-055A RAW SC'!G33,"")</f>
        <v>Noval, Miky</v>
      </c>
      <c r="D28" s="260"/>
      <c r="E28" s="270"/>
      <c r="F28" s="271">
        <f>'MidTerm OVPAA-F-INS-055B CLASS'!BV33</f>
        <v>1.5</v>
      </c>
      <c r="G28" s="270"/>
      <c r="H28" s="194">
        <f>'MidTerm OVPAA-F-INS-055B CLASS'!CR33</f>
        <v>1.5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106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9" t="str">
        <f>IF(NOT(ISBLANK('Midterm OVPAA-F-INS-055A RAW SC'!G34)),'Midterm OVPAA-F-INS-055A RAW SC'!G34,"")</f>
        <v>Nuer, Jaymarc</v>
      </c>
      <c r="D29" s="260"/>
      <c r="E29" s="270"/>
      <c r="F29" s="271">
        <f>'MidTerm OVPAA-F-INS-055B CLASS'!BV34</f>
        <v>1.25</v>
      </c>
      <c r="G29" s="270"/>
      <c r="H29" s="194">
        <f>'MidTerm OVPAA-F-INS-055B CLASS'!CR34</f>
        <v>1.5</v>
      </c>
      <c r="I29" s="195">
        <f>'MidTerm OVPAA-F-INS-055B CLASS'!DD34</f>
        <v>2.25</v>
      </c>
      <c r="J29" s="195" t="str">
        <f>'MidTerm OVPAA-F-INS-055B CLASS'!DI34</f>
        <v>1.75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1.75</v>
      </c>
      <c r="P29" s="195" t="str">
        <f t="shared" si="1"/>
        <v>1.75</v>
      </c>
      <c r="Q29" s="195" t="str">
        <f t="shared" si="2"/>
        <v>1.75</v>
      </c>
      <c r="R29" s="196" t="s">
        <v>106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9" t="str">
        <f>IF(NOT(ISBLANK('Midterm OVPAA-F-INS-055A RAW SC'!G35)),'Midterm OVPAA-F-INS-055A RAW SC'!G35,"")</f>
        <v>Publico, Rogelio</v>
      </c>
      <c r="D30" s="260"/>
      <c r="E30" s="270"/>
      <c r="F30" s="271">
        <f>'MidTerm OVPAA-F-INS-055B CLASS'!BV35</f>
        <v>1.5</v>
      </c>
      <c r="G30" s="270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106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9" t="str">
        <f>IF(NOT(ISBLANK('Midterm OVPAA-F-INS-055A RAW SC'!G36)),'Midterm OVPAA-F-INS-055A RAW SC'!G36,"")</f>
        <v>Rivera, Juvel</v>
      </c>
      <c r="D31" s="260"/>
      <c r="E31" s="270"/>
      <c r="F31" s="271">
        <f>'MidTerm OVPAA-F-INS-055B CLASS'!BV36</f>
        <v>1.25</v>
      </c>
      <c r="G31" s="270"/>
      <c r="H31" s="194">
        <f>'MidTerm OVPAA-F-INS-055B CLASS'!CR36</f>
        <v>1.5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106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9" t="str">
        <f>IF(NOT(ISBLANK('Midterm OVPAA-F-INS-055A RAW SC'!G37)),'Midterm OVPAA-F-INS-055A RAW SC'!G37,"")</f>
        <v>Rubio, Pia Pilar</v>
      </c>
      <c r="D32" s="260"/>
      <c r="E32" s="270"/>
      <c r="F32" s="271">
        <f>'MidTerm OVPAA-F-INS-055B CLASS'!BV37</f>
        <v>1.5</v>
      </c>
      <c r="G32" s="270"/>
      <c r="H32" s="194">
        <f>'MidTerm OVPAA-F-INS-055B CLASS'!CR37</f>
        <v>1</v>
      </c>
      <c r="I32" s="195">
        <f>'MidTerm OVPAA-F-INS-055B CLASS'!DD37</f>
        <v>1.75</v>
      </c>
      <c r="J32" s="195" t="str">
        <f>'MidTerm OVPAA-F-INS-055B CLASS'!DI37</f>
        <v>1.50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1.50</v>
      </c>
      <c r="P32" s="195" t="str">
        <f t="shared" si="1"/>
        <v>1.25</v>
      </c>
      <c r="Q32" s="195" t="str">
        <f t="shared" si="2"/>
        <v>1.25</v>
      </c>
      <c r="R32" s="196" t="s">
        <v>106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9" t="str">
        <f>IF(NOT(ISBLANK('Midterm OVPAA-F-INS-055A RAW SC'!G38)),'Midterm OVPAA-F-INS-055A RAW SC'!G38,"")</f>
        <v>Salto, Mary Natalie</v>
      </c>
      <c r="D33" s="260"/>
      <c r="E33" s="270"/>
      <c r="F33" s="271">
        <f>'MidTerm OVPAA-F-INS-055B CLASS'!BV38</f>
        <v>1.25</v>
      </c>
      <c r="G33" s="270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106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9" t="str">
        <f>IF(NOT(ISBLANK('Midterm OVPAA-F-INS-055A RAW SC'!G39)),'Midterm OVPAA-F-INS-055A RAW SC'!G39,"")</f>
        <v>Tilanduca, Khiara</v>
      </c>
      <c r="D34" s="260"/>
      <c r="E34" s="270"/>
      <c r="F34" s="271">
        <f>'MidTerm OVPAA-F-INS-055B CLASS'!BV39</f>
        <v>1.25</v>
      </c>
      <c r="G34" s="270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106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9" t="str">
        <f>IF(NOT(ISBLANK('Midterm OVPAA-F-INS-055A RAW SC'!G40)),'Midterm OVPAA-F-INS-055A RAW SC'!G40,"")</f>
        <v>Valdez, John Winchel</v>
      </c>
      <c r="D35" s="260"/>
      <c r="E35" s="270"/>
      <c r="F35" s="271">
        <f>'MidTerm OVPAA-F-INS-055B CLASS'!BV40</f>
        <v>1.5</v>
      </c>
      <c r="G35" s="270"/>
      <c r="H35" s="194">
        <f>'MidTerm OVPAA-F-INS-055B CLASS'!CR40</f>
        <v>1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106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9" t="str">
        <f>IF(NOT(ISBLANK('Midterm OVPAA-F-INS-055A RAW SC'!G41)),'Midterm OVPAA-F-INS-055A RAW SC'!G41,"")</f>
        <v/>
      </c>
      <c r="D36" s="260"/>
      <c r="E36" s="270"/>
      <c r="F36" s="271" t="str">
        <f>'MidTerm OVPAA-F-INS-055B CLASS'!BV41</f>
        <v/>
      </c>
      <c r="G36" s="270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9" t="str">
        <f>IF(NOT(ISBLANK('Midterm OVPAA-F-INS-055A RAW SC'!G42)),'Midterm OVPAA-F-INS-055A RAW SC'!G42,"")</f>
        <v/>
      </c>
      <c r="D37" s="260"/>
      <c r="E37" s="270"/>
      <c r="F37" s="271" t="str">
        <f>'MidTerm OVPAA-F-INS-055B CLASS'!BV42</f>
        <v/>
      </c>
      <c r="G37" s="270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9" t="str">
        <f>IF(NOT(ISBLANK('Midterm OVPAA-F-INS-055A RAW SC'!G43)),'Midterm OVPAA-F-INS-055A RAW SC'!G43,"")</f>
        <v/>
      </c>
      <c r="D38" s="260"/>
      <c r="E38" s="270"/>
      <c r="F38" s="271" t="str">
        <f>'MidTerm OVPAA-F-INS-055B CLASS'!BV43</f>
        <v/>
      </c>
      <c r="G38" s="270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9" t="str">
        <f>IF(NOT(ISBLANK('Midterm OVPAA-F-INS-055A RAW SC'!G44)),'Midterm OVPAA-F-INS-055A RAW SC'!G44,"")</f>
        <v/>
      </c>
      <c r="D39" s="260"/>
      <c r="E39" s="270"/>
      <c r="F39" s="271" t="str">
        <f>'MidTerm OVPAA-F-INS-055B CLASS'!BV44</f>
        <v/>
      </c>
      <c r="G39" s="270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9" t="str">
        <f>IF(NOT(ISBLANK('Midterm OVPAA-F-INS-055A RAW SC'!G45)),'Midterm OVPAA-F-INS-055A RAW SC'!G45,"")</f>
        <v/>
      </c>
      <c r="D40" s="260"/>
      <c r="E40" s="270"/>
      <c r="F40" s="271" t="str">
        <f>'MidTerm OVPAA-F-INS-055B CLASS'!BV45</f>
        <v/>
      </c>
      <c r="G40" s="270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9" t="str">
        <f>IF(NOT(ISBLANK('Midterm OVPAA-F-INS-055A RAW SC'!G46)),'Midterm OVPAA-F-INS-055A RAW SC'!G46,"")</f>
        <v/>
      </c>
      <c r="D41" s="260"/>
      <c r="E41" s="270"/>
      <c r="F41" s="271" t="str">
        <f>'MidTerm OVPAA-F-INS-055B CLASS'!BV46</f>
        <v/>
      </c>
      <c r="G41" s="270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9" t="str">
        <f>IF(NOT(ISBLANK('Midterm OVPAA-F-INS-055A RAW SC'!G47)),'Midterm OVPAA-F-INS-055A RAW SC'!G47,"")</f>
        <v/>
      </c>
      <c r="D42" s="260"/>
      <c r="E42" s="270"/>
      <c r="F42" s="271" t="str">
        <f>'MidTerm OVPAA-F-INS-055B CLASS'!BV47</f>
        <v/>
      </c>
      <c r="G42" s="270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9" t="str">
        <f>IF(NOT(ISBLANK('Midterm OVPAA-F-INS-055A RAW SC'!G48)),'Midterm OVPAA-F-INS-055A RAW SC'!G48,"")</f>
        <v/>
      </c>
      <c r="D43" s="260"/>
      <c r="E43" s="270"/>
      <c r="F43" s="271" t="str">
        <f>'MidTerm OVPAA-F-INS-055B CLASS'!BV48</f>
        <v/>
      </c>
      <c r="G43" s="270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9" t="str">
        <f>IF(NOT(ISBLANK('Midterm OVPAA-F-INS-055A RAW SC'!G49)),'Midterm OVPAA-F-INS-055A RAW SC'!G49,"")</f>
        <v/>
      </c>
      <c r="D44" s="260"/>
      <c r="E44" s="270"/>
      <c r="F44" s="271" t="str">
        <f>'MidTerm OVPAA-F-INS-055B CLASS'!BV49</f>
        <v/>
      </c>
      <c r="G44" s="270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9" t="str">
        <f>IF(NOT(ISBLANK('Midterm OVPAA-F-INS-055A RAW SC'!G50)),'Midterm OVPAA-F-INS-055A RAW SC'!G50,"")</f>
        <v/>
      </c>
      <c r="D45" s="260"/>
      <c r="E45" s="270"/>
      <c r="F45" s="271" t="str">
        <f>'MidTerm OVPAA-F-INS-055B CLASS'!BV50</f>
        <v/>
      </c>
      <c r="G45" s="270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9" t="str">
        <f>IF(NOT(ISBLANK('Midterm OVPAA-F-INS-055A RAW SC'!G51)),'Midterm OVPAA-F-INS-055A RAW SC'!G51,"")</f>
        <v/>
      </c>
      <c r="D46" s="260"/>
      <c r="E46" s="270"/>
      <c r="F46" s="271" t="str">
        <f>'MidTerm OVPAA-F-INS-055B CLASS'!BV51</f>
        <v/>
      </c>
      <c r="G46" s="270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9" t="str">
        <f>IF(NOT(ISBLANK('Midterm OVPAA-F-INS-055A RAW SC'!G52)),'Midterm OVPAA-F-INS-055A RAW SC'!G52,"")</f>
        <v/>
      </c>
      <c r="D47" s="260"/>
      <c r="E47" s="270"/>
      <c r="F47" s="271" t="str">
        <f>'MidTerm OVPAA-F-INS-055B CLASS'!BV52</f>
        <v/>
      </c>
      <c r="G47" s="270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9" t="str">
        <f>IF(NOT(ISBLANK('Midterm OVPAA-F-INS-055A RAW SC'!G53)),'Midterm OVPAA-F-INS-055A RAW SC'!G53,"")</f>
        <v/>
      </c>
      <c r="D48" s="260"/>
      <c r="E48" s="270"/>
      <c r="F48" s="271" t="str">
        <f>'MidTerm OVPAA-F-INS-055B CLASS'!BV53</f>
        <v/>
      </c>
      <c r="G48" s="270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9" t="str">
        <f>IF(NOT(ISBLANK('Midterm OVPAA-F-INS-055A RAW SC'!G54)),'Midterm OVPAA-F-INS-055A RAW SC'!G54,"")</f>
        <v/>
      </c>
      <c r="D49" s="260"/>
      <c r="E49" s="270"/>
      <c r="F49" s="271" t="str">
        <f>'MidTerm OVPAA-F-INS-055B CLASS'!BV54</f>
        <v/>
      </c>
      <c r="G49" s="270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9" t="str">
        <f>IF(NOT(ISBLANK('Midterm OVPAA-F-INS-055A RAW SC'!G55)),'Midterm OVPAA-F-INS-055A RAW SC'!G55,"")</f>
        <v/>
      </c>
      <c r="D50" s="260"/>
      <c r="E50" s="270"/>
      <c r="F50" s="271" t="str">
        <f>'MidTerm OVPAA-F-INS-055B CLASS'!BV55</f>
        <v/>
      </c>
      <c r="G50" s="270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9" t="str">
        <f>IF(NOT(ISBLANK('Midterm OVPAA-F-INS-055A RAW SC'!G56)),'Midterm OVPAA-F-INS-055A RAW SC'!G56,"")</f>
        <v/>
      </c>
      <c r="D51" s="260"/>
      <c r="E51" s="270"/>
      <c r="F51" s="271" t="str">
        <f>'MidTerm OVPAA-F-INS-055B CLASS'!BV56</f>
        <v/>
      </c>
      <c r="G51" s="270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9" t="str">
        <f>IF(NOT(ISBLANK('Midterm OVPAA-F-INS-055A RAW SC'!G57)),'Midterm OVPAA-F-INS-055A RAW SC'!G57,"")</f>
        <v/>
      </c>
      <c r="D52" s="260"/>
      <c r="E52" s="270"/>
      <c r="F52" s="271" t="str">
        <f>'MidTerm OVPAA-F-INS-055B CLASS'!BV57</f>
        <v/>
      </c>
      <c r="G52" s="270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9" t="str">
        <f>IF(NOT(ISBLANK('Midterm OVPAA-F-INS-055A RAW SC'!G58)),'Midterm OVPAA-F-INS-055A RAW SC'!G58,"")</f>
        <v/>
      </c>
      <c r="D53" s="260"/>
      <c r="E53" s="270"/>
      <c r="F53" s="271" t="str">
        <f>'MidTerm OVPAA-F-INS-055B CLASS'!BV58</f>
        <v/>
      </c>
      <c r="G53" s="270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9" t="str">
        <f>IF(NOT(ISBLANK('Midterm OVPAA-F-INS-055A RAW SC'!G59)),'Midterm OVPAA-F-INS-055A RAW SC'!G59,"")</f>
        <v/>
      </c>
      <c r="D54" s="260"/>
      <c r="E54" s="270"/>
      <c r="F54" s="271" t="str">
        <f>'MidTerm OVPAA-F-INS-055B CLASS'!BV59</f>
        <v/>
      </c>
      <c r="G54" s="270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9" t="str">
        <f>IF(NOT(ISBLANK('Midterm OVPAA-F-INS-055A RAW SC'!G60)),'Midterm OVPAA-F-INS-055A RAW SC'!G60,"")</f>
        <v/>
      </c>
      <c r="D55" s="260"/>
      <c r="E55" s="270"/>
      <c r="F55" s="271" t="str">
        <f>'MidTerm OVPAA-F-INS-055B CLASS'!BV60</f>
        <v/>
      </c>
      <c r="G55" s="270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9" t="str">
        <f>IF(NOT(ISBLANK('Midterm OVPAA-F-INS-055A RAW SC'!G61)),'Midterm OVPAA-F-INS-055A RAW SC'!G61,"")</f>
        <v/>
      </c>
      <c r="D56" s="260"/>
      <c r="E56" s="270"/>
      <c r="F56" s="271" t="str">
        <f>'MidTerm OVPAA-F-INS-055B CLASS'!BV61</f>
        <v/>
      </c>
      <c r="G56" s="270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9" t="str">
        <f>IF(NOT(ISBLANK('Midterm OVPAA-F-INS-055A RAW SC'!G62)),'Midterm OVPAA-F-INS-055A RAW SC'!G62,"")</f>
        <v/>
      </c>
      <c r="D57" s="260"/>
      <c r="E57" s="270"/>
      <c r="F57" s="271" t="str">
        <f>'MidTerm OVPAA-F-INS-055B CLASS'!BV62</f>
        <v/>
      </c>
      <c r="G57" s="270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9" t="str">
        <f>IF(NOT(ISBLANK('Midterm OVPAA-F-INS-055A RAW SC'!G63)),'Midterm OVPAA-F-INS-055A RAW SC'!G63,"")</f>
        <v/>
      </c>
      <c r="D58" s="260"/>
      <c r="E58" s="270"/>
      <c r="F58" s="271" t="str">
        <f>'MidTerm OVPAA-F-INS-055B CLASS'!BV63</f>
        <v/>
      </c>
      <c r="G58" s="270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9" t="str">
        <f>IF(NOT(ISBLANK('Midterm OVPAA-F-INS-055A RAW SC'!G64)),'Midterm OVPAA-F-INS-055A RAW SC'!G64,"")</f>
        <v/>
      </c>
      <c r="D59" s="260"/>
      <c r="E59" s="270"/>
      <c r="F59" s="271" t="str">
        <f>'MidTerm OVPAA-F-INS-055B CLASS'!BV64</f>
        <v/>
      </c>
      <c r="G59" s="270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9" t="str">
        <f>IF(NOT(ISBLANK('Midterm OVPAA-F-INS-055A RAW SC'!G65)),'Midterm OVPAA-F-INS-055A RAW SC'!G65,"")</f>
        <v/>
      </c>
      <c r="D60" s="260"/>
      <c r="E60" s="270"/>
      <c r="F60" s="271" t="str">
        <f>'MidTerm OVPAA-F-INS-055B CLASS'!BV65</f>
        <v/>
      </c>
      <c r="G60" s="270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9" t="str">
        <f>IF(NOT(ISBLANK('Midterm OVPAA-F-INS-055A RAW SC'!G66)),'Midterm OVPAA-F-INS-055A RAW SC'!G66,"")</f>
        <v/>
      </c>
      <c r="D61" s="260"/>
      <c r="E61" s="270"/>
      <c r="F61" s="271" t="str">
        <f>'MidTerm OVPAA-F-INS-055B CLASS'!BV66</f>
        <v/>
      </c>
      <c r="G61" s="270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9" t="str">
        <f>IF(NOT(ISBLANK('Midterm OVPAA-F-INS-055A RAW SC'!G67)),'Midterm OVPAA-F-INS-055A RAW SC'!G67,"")</f>
        <v/>
      </c>
      <c r="D62" s="260"/>
      <c r="E62" s="270"/>
      <c r="F62" s="271" t="str">
        <f>'MidTerm OVPAA-F-INS-055B CLASS'!BV67</f>
        <v/>
      </c>
      <c r="G62" s="270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9" t="str">
        <f>IF(NOT(ISBLANK('Midterm OVPAA-F-INS-055A RAW SC'!G68)),'Midterm OVPAA-F-INS-055A RAW SC'!G68,"")</f>
        <v/>
      </c>
      <c r="D63" s="260"/>
      <c r="E63" s="270"/>
      <c r="F63" s="271" t="str">
        <f>'MidTerm OVPAA-F-INS-055B CLASS'!BV68</f>
        <v/>
      </c>
      <c r="G63" s="270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9" t="str">
        <f>IF(NOT(ISBLANK('Midterm OVPAA-F-INS-055A RAW SC'!G69)),'Midterm OVPAA-F-INS-055A RAW SC'!G69,"")</f>
        <v/>
      </c>
      <c r="D64" s="260"/>
      <c r="E64" s="270"/>
      <c r="F64" s="271" t="str">
        <f>'MidTerm OVPAA-F-INS-055B CLASS'!BV69</f>
        <v/>
      </c>
      <c r="G64" s="270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9" t="str">
        <f>IF(NOT(ISBLANK('Midterm OVPAA-F-INS-055A RAW SC'!G70)),'Midterm OVPAA-F-INS-055A RAW SC'!G70,"")</f>
        <v/>
      </c>
      <c r="D65" s="260"/>
      <c r="E65" s="270"/>
      <c r="F65" s="271" t="str">
        <f>'MidTerm OVPAA-F-INS-055B CLASS'!BV70</f>
        <v/>
      </c>
      <c r="G65" s="270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9" t="str">
        <f>IF(NOT(ISBLANK('Midterm OVPAA-F-INS-055A RAW SC'!G71)),'Midterm OVPAA-F-INS-055A RAW SC'!G71,"")</f>
        <v/>
      </c>
      <c r="D66" s="260"/>
      <c r="E66" s="270"/>
      <c r="F66" s="271" t="str">
        <f>'MidTerm OVPAA-F-INS-055B CLASS'!BV71</f>
        <v/>
      </c>
      <c r="G66" s="270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9" t="str">
        <f>IF(NOT(ISBLANK('Midterm OVPAA-F-INS-055A RAW SC'!G72)),'Midterm OVPAA-F-INS-055A RAW SC'!G72,"")</f>
        <v/>
      </c>
      <c r="D67" s="260"/>
      <c r="E67" s="270"/>
      <c r="F67" s="271" t="str">
        <f>'MidTerm OVPAA-F-INS-055B CLASS'!BV72</f>
        <v/>
      </c>
      <c r="G67" s="270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9" t="str">
        <f>IF(NOT(ISBLANK('Midterm OVPAA-F-INS-055A RAW SC'!G73)),'Midterm OVPAA-F-INS-055A RAW SC'!G73,"")</f>
        <v/>
      </c>
      <c r="D68" s="260"/>
      <c r="E68" s="270"/>
      <c r="F68" s="271" t="str">
        <f>'MidTerm OVPAA-F-INS-055B CLASS'!BV73</f>
        <v/>
      </c>
      <c r="G68" s="270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9" t="str">
        <f>IF(NOT(ISBLANK('Midterm OVPAA-F-INS-055A RAW SC'!G74)),'Midterm OVPAA-F-INS-055A RAW SC'!G74,"")</f>
        <v/>
      </c>
      <c r="D69" s="260"/>
      <c r="E69" s="270"/>
      <c r="F69" s="271" t="str">
        <f>'MidTerm OVPAA-F-INS-055B CLASS'!BV74</f>
        <v/>
      </c>
      <c r="G69" s="270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9" t="str">
        <f>IF(NOT(ISBLANK('Midterm OVPAA-F-INS-055A RAW SC'!G75)),'Midterm OVPAA-F-INS-055A RAW SC'!G75,"")</f>
        <v/>
      </c>
      <c r="D70" s="260"/>
      <c r="E70" s="270"/>
      <c r="F70" s="271" t="str">
        <f>'MidTerm OVPAA-F-INS-055B CLASS'!BV75</f>
        <v/>
      </c>
      <c r="G70" s="270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9" t="str">
        <f>IF(NOT(ISBLANK('Midterm OVPAA-F-INS-055A RAW SC'!G76)),'Midterm OVPAA-F-INS-055A RAW SC'!G76,"")</f>
        <v/>
      </c>
      <c r="D71" s="260"/>
      <c r="E71" s="270"/>
      <c r="F71" s="271" t="str">
        <f>'MidTerm OVPAA-F-INS-055B CLASS'!BV76</f>
        <v/>
      </c>
      <c r="G71" s="270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9" t="str">
        <f>IF(NOT(ISBLANK('Midterm OVPAA-F-INS-055A RAW SC'!G77)),'Midterm OVPAA-F-INS-055A RAW SC'!G77,"")</f>
        <v/>
      </c>
      <c r="D72" s="260"/>
      <c r="E72" s="270"/>
      <c r="F72" s="271" t="str">
        <f>'MidTerm OVPAA-F-INS-055B CLASS'!BV77</f>
        <v/>
      </c>
      <c r="G72" s="270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9" t="str">
        <f>IF(NOT(ISBLANK('Midterm OVPAA-F-INS-055A RAW SC'!G78)),'Midterm OVPAA-F-INS-055A RAW SC'!G78,"")</f>
        <v/>
      </c>
      <c r="D73" s="260"/>
      <c r="E73" s="270"/>
      <c r="F73" s="271" t="str">
        <f>'MidTerm OVPAA-F-INS-055B CLASS'!BV78</f>
        <v/>
      </c>
      <c r="G73" s="270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9" t="str">
        <f>IF(NOT(ISBLANK('Midterm OVPAA-F-INS-055A RAW SC'!G79)),'Midterm OVPAA-F-INS-055A RAW SC'!G79,"")</f>
        <v/>
      </c>
      <c r="D74" s="260"/>
      <c r="E74" s="270"/>
      <c r="F74" s="271" t="str">
        <f>'MidTerm OVPAA-F-INS-055B CLASS'!BV79</f>
        <v/>
      </c>
      <c r="G74" s="270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9" t="str">
        <f>IF(NOT(ISBLANK('Midterm OVPAA-F-INS-055A RAW SC'!G80)),'Midterm OVPAA-F-INS-055A RAW SC'!G80,"")</f>
        <v/>
      </c>
      <c r="D75" s="260"/>
      <c r="E75" s="270"/>
      <c r="F75" s="271" t="str">
        <f>'MidTerm OVPAA-F-INS-055B CLASS'!BV80</f>
        <v/>
      </c>
      <c r="G75" s="270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9" t="str">
        <f>IF(NOT(ISBLANK('Midterm OVPAA-F-INS-055A RAW SC'!G81)),'Midterm OVPAA-F-INS-055A RAW SC'!G81,"")</f>
        <v/>
      </c>
      <c r="D76" s="260"/>
      <c r="E76" s="270"/>
      <c r="F76" s="271" t="str">
        <f>'MidTerm OVPAA-F-INS-055B CLASS'!BV81</f>
        <v/>
      </c>
      <c r="G76" s="270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9" t="str">
        <f>IF(NOT(ISBLANK('Midterm OVPAA-F-INS-055A RAW SC'!G82)),'Midterm OVPAA-F-INS-055A RAW SC'!G82,"")</f>
        <v/>
      </c>
      <c r="D77" s="260"/>
      <c r="E77" s="270"/>
      <c r="F77" s="271" t="str">
        <f>'MidTerm OVPAA-F-INS-055B CLASS'!BV82</f>
        <v/>
      </c>
      <c r="G77" s="270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9" t="str">
        <f>IF(NOT(ISBLANK('Midterm OVPAA-F-INS-055A RAW SC'!G83)),'Midterm OVPAA-F-INS-055A RAW SC'!G83,"")</f>
        <v/>
      </c>
      <c r="D78" s="260"/>
      <c r="E78" s="270"/>
      <c r="F78" s="271" t="str">
        <f>'MidTerm OVPAA-F-INS-055B CLASS'!BV83</f>
        <v/>
      </c>
      <c r="G78" s="270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9" t="str">
        <f>IF(NOT(ISBLANK('Midterm OVPAA-F-INS-055A RAW SC'!G84)),'Midterm OVPAA-F-INS-055A RAW SC'!G84,"")</f>
        <v/>
      </c>
      <c r="D79" s="260"/>
      <c r="E79" s="270"/>
      <c r="F79" s="271" t="str">
        <f>'MidTerm OVPAA-F-INS-055B CLASS'!BV84</f>
        <v/>
      </c>
      <c r="G79" s="270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9" t="str">
        <f>IF(NOT(ISBLANK('Midterm OVPAA-F-INS-055A RAW SC'!G85)),'Midterm OVPAA-F-INS-055A RAW SC'!G85,"")</f>
        <v/>
      </c>
      <c r="D80" s="260"/>
      <c r="E80" s="270"/>
      <c r="F80" s="271" t="str">
        <f>'MidTerm OVPAA-F-INS-055B CLASS'!BV85</f>
        <v/>
      </c>
      <c r="G80" s="270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9" t="str">
        <f>IF(NOT(ISBLANK('Midterm OVPAA-F-INS-055A RAW SC'!G86)),'Midterm OVPAA-F-INS-055A RAW SC'!G86,"")</f>
        <v/>
      </c>
      <c r="D81" s="260"/>
      <c r="E81" s="270"/>
      <c r="F81" s="271" t="str">
        <f>'MidTerm OVPAA-F-INS-055B CLASS'!BV86</f>
        <v/>
      </c>
      <c r="G81" s="270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9" t="str">
        <f>IF(NOT(ISBLANK('Midterm OVPAA-F-INS-055A RAW SC'!G87)),'Midterm OVPAA-F-INS-055A RAW SC'!G87,"")</f>
        <v/>
      </c>
      <c r="D82" s="260"/>
      <c r="E82" s="270"/>
      <c r="F82" s="271" t="str">
        <f>'MidTerm OVPAA-F-INS-055B CLASS'!BV87</f>
        <v/>
      </c>
      <c r="G82" s="270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9" t="str">
        <f>IF(NOT(ISBLANK('Midterm OVPAA-F-INS-055A RAW SC'!G88)),'Midterm OVPAA-F-INS-055A RAW SC'!G88,"")</f>
        <v/>
      </c>
      <c r="D83" s="260"/>
      <c r="E83" s="270"/>
      <c r="F83" s="271" t="str">
        <f>'MidTerm OVPAA-F-INS-055B CLASS'!BV88</f>
        <v/>
      </c>
      <c r="G83" s="270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9" t="str">
        <f>IF(NOT(ISBLANK('Midterm OVPAA-F-INS-055A RAW SC'!G89)),'Midterm OVPAA-F-INS-055A RAW SC'!G89,"")</f>
        <v/>
      </c>
      <c r="D84" s="260"/>
      <c r="E84" s="270"/>
      <c r="F84" s="271" t="str">
        <f>'MidTerm OVPAA-F-INS-055B CLASS'!BV89</f>
        <v/>
      </c>
      <c r="G84" s="270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9" t="str">
        <f>IF(NOT(ISBLANK('Midterm OVPAA-F-INS-055A RAW SC'!G90)),'Midterm OVPAA-F-INS-055A RAW SC'!G90,"")</f>
        <v/>
      </c>
      <c r="D85" s="260"/>
      <c r="E85" s="270"/>
      <c r="F85" s="271" t="str">
        <f>'MidTerm OVPAA-F-INS-055B CLASS'!BV90</f>
        <v/>
      </c>
      <c r="G85" s="270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9" t="str">
        <f>IF(NOT(ISBLANK('Midterm OVPAA-F-INS-055A RAW SC'!G91)),'Midterm OVPAA-F-INS-055A RAW SC'!G91,"")</f>
        <v/>
      </c>
      <c r="D86" s="260"/>
      <c r="E86" s="270"/>
      <c r="F86" s="271" t="str">
        <f>'MidTerm OVPAA-F-INS-055B CLASS'!BV91</f>
        <v/>
      </c>
      <c r="G86" s="270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9" t="str">
        <f>IF(NOT(ISBLANK('Midterm OVPAA-F-INS-055A RAW SC'!G92)),'Midterm OVPAA-F-INS-055A RAW SC'!G92,"")</f>
        <v/>
      </c>
      <c r="D87" s="260"/>
      <c r="E87" s="270"/>
      <c r="F87" s="271" t="str">
        <f>'MidTerm OVPAA-F-INS-055B CLASS'!BV92</f>
        <v/>
      </c>
      <c r="G87" s="270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9" t="str">
        <f>IF(NOT(ISBLANK('Midterm OVPAA-F-INS-055A RAW SC'!G93)),'Midterm OVPAA-F-INS-055A RAW SC'!G93,"")</f>
        <v/>
      </c>
      <c r="D88" s="260"/>
      <c r="E88" s="270"/>
      <c r="F88" s="271" t="str">
        <f>'MidTerm OVPAA-F-INS-055B CLASS'!BV93</f>
        <v/>
      </c>
      <c r="G88" s="270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9" t="str">
        <f>IF(NOT(ISBLANK('Midterm OVPAA-F-INS-055A RAW SC'!G94)),'Midterm OVPAA-F-INS-055A RAW SC'!G94,"")</f>
        <v/>
      </c>
      <c r="D89" s="260"/>
      <c r="E89" s="270"/>
      <c r="F89" s="271" t="str">
        <f>'MidTerm OVPAA-F-INS-055B CLASS'!BV94</f>
        <v/>
      </c>
      <c r="G89" s="270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9" t="str">
        <f>IF(NOT(ISBLANK('Midterm OVPAA-F-INS-055A RAW SC'!G95)),'Midterm OVPAA-F-INS-055A RAW SC'!G95,"")</f>
        <v/>
      </c>
      <c r="D90" s="260"/>
      <c r="E90" s="270"/>
      <c r="F90" s="271" t="str">
        <f>'MidTerm OVPAA-F-INS-055B CLASS'!BV95</f>
        <v/>
      </c>
      <c r="G90" s="270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9" t="str">
        <f>IF(NOT(ISBLANK('Midterm OVPAA-F-INS-055A RAW SC'!G96)),'Midterm OVPAA-F-INS-055A RAW SC'!G96,"")</f>
        <v/>
      </c>
      <c r="D91" s="260"/>
      <c r="E91" s="270"/>
      <c r="F91" s="271" t="str">
        <f>'MidTerm OVPAA-F-INS-055B CLASS'!BV96</f>
        <v/>
      </c>
      <c r="G91" s="270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9" t="str">
        <f>IF(NOT(ISBLANK('Midterm OVPAA-F-INS-055A RAW SC'!G97)),'Midterm OVPAA-F-INS-055A RAW SC'!G97,"")</f>
        <v/>
      </c>
      <c r="D92" s="260"/>
      <c r="E92" s="270"/>
      <c r="F92" s="271" t="str">
        <f>'MidTerm OVPAA-F-INS-055B CLASS'!BV97</f>
        <v/>
      </c>
      <c r="G92" s="270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9" t="str">
        <f>IF(NOT(ISBLANK('Midterm OVPAA-F-INS-055A RAW SC'!G98)),'Midterm OVPAA-F-INS-055A RAW SC'!G98,"")</f>
        <v/>
      </c>
      <c r="D93" s="260"/>
      <c r="E93" s="270"/>
      <c r="F93" s="271" t="str">
        <f>'MidTerm OVPAA-F-INS-055B CLASS'!BV98</f>
        <v/>
      </c>
      <c r="G93" s="270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9" t="str">
        <f>IF(NOT(ISBLANK('Midterm OVPAA-F-INS-055A RAW SC'!G99)),'Midterm OVPAA-F-INS-055A RAW SC'!G99,"")</f>
        <v/>
      </c>
      <c r="D94" s="260"/>
      <c r="E94" s="270"/>
      <c r="F94" s="271" t="str">
        <f>'MidTerm OVPAA-F-INS-055B CLASS'!BV99</f>
        <v/>
      </c>
      <c r="G94" s="270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9" t="str">
        <f>IF(NOT(ISBLANK('Midterm OVPAA-F-INS-055A RAW SC'!G100)),'Midterm OVPAA-F-INS-055A RAW SC'!G100,"")</f>
        <v/>
      </c>
      <c r="D95" s="260"/>
      <c r="E95" s="270"/>
      <c r="F95" s="271" t="str">
        <f>'MidTerm OVPAA-F-INS-055B CLASS'!BV100</f>
        <v/>
      </c>
      <c r="G95" s="270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9" t="str">
        <f>IF(NOT(ISBLANK('Midterm OVPAA-F-INS-055A RAW SC'!G101)),'Midterm OVPAA-F-INS-055A RAW SC'!G101,"")</f>
        <v/>
      </c>
      <c r="D96" s="260"/>
      <c r="E96" s="270"/>
      <c r="F96" s="271" t="str">
        <f>'MidTerm OVPAA-F-INS-055B CLASS'!BV101</f>
        <v/>
      </c>
      <c r="G96" s="270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9" t="str">
        <f>IF(NOT(ISBLANK('Midterm OVPAA-F-INS-055A RAW SC'!G102)),'Midterm OVPAA-F-INS-055A RAW SC'!G102,"")</f>
        <v/>
      </c>
      <c r="D97" s="260"/>
      <c r="E97" s="270"/>
      <c r="F97" s="271" t="str">
        <f>'MidTerm OVPAA-F-INS-055B CLASS'!BV102</f>
        <v/>
      </c>
      <c r="G97" s="270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9" t="str">
        <f>IF(NOT(ISBLANK('Midterm OVPAA-F-INS-055A RAW SC'!G103)),'Midterm OVPAA-F-INS-055A RAW SC'!G103,"")</f>
        <v/>
      </c>
      <c r="D98" s="260"/>
      <c r="E98" s="270"/>
      <c r="F98" s="271" t="str">
        <f>'MidTerm OVPAA-F-INS-055B CLASS'!BV103</f>
        <v/>
      </c>
      <c r="G98" s="270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9" t="str">
        <f>IF(NOT(ISBLANK('Midterm OVPAA-F-INS-055A RAW SC'!G104)),'Midterm OVPAA-F-INS-055A RAW SC'!G104,"")</f>
        <v/>
      </c>
      <c r="D99" s="260"/>
      <c r="E99" s="270"/>
      <c r="F99" s="271" t="str">
        <f>'MidTerm OVPAA-F-INS-055B CLASS'!BV104</f>
        <v/>
      </c>
      <c r="G99" s="270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9" t="str">
        <f>IF(NOT(ISBLANK('Midterm OVPAA-F-INS-055A RAW SC'!G105)),'Midterm OVPAA-F-INS-055A RAW SC'!G105,"")</f>
        <v/>
      </c>
      <c r="D100" s="260"/>
      <c r="E100" s="270"/>
      <c r="F100" s="271" t="str">
        <f>'MidTerm OVPAA-F-INS-055B CLASS'!BV105</f>
        <v/>
      </c>
      <c r="G100" s="270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9" t="str">
        <f>IF(NOT(ISBLANK('Midterm OVPAA-F-INS-055A RAW SC'!G106)),'Midterm OVPAA-F-INS-055A RAW SC'!G106,"")</f>
        <v/>
      </c>
      <c r="D101" s="260"/>
      <c r="E101" s="270"/>
      <c r="F101" s="271" t="str">
        <f>'MidTerm OVPAA-F-INS-055B CLASS'!BV106</f>
        <v/>
      </c>
      <c r="G101" s="270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9" t="str">
        <f>IF(NOT(ISBLANK('Midterm OVPAA-F-INS-055A RAW SC'!G107)),'Midterm OVPAA-F-INS-055A RAW SC'!G107,"")</f>
        <v/>
      </c>
      <c r="D102" s="260"/>
      <c r="E102" s="270"/>
      <c r="F102" s="271" t="str">
        <f>'MidTerm OVPAA-F-INS-055B CLASS'!BV107</f>
        <v/>
      </c>
      <c r="G102" s="270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9" t="str">
        <f>IF(NOT(ISBLANK('Midterm OVPAA-F-INS-055A RAW SC'!G108)),'Midterm OVPAA-F-INS-055A RAW SC'!G108,"")</f>
        <v/>
      </c>
      <c r="D103" s="260"/>
      <c r="E103" s="270"/>
      <c r="F103" s="271" t="str">
        <f>'MidTerm OVPAA-F-INS-055B CLASS'!BV108</f>
        <v/>
      </c>
      <c r="G103" s="270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9" t="str">
        <f>IF(NOT(ISBLANK('Midterm OVPAA-F-INS-055A RAW SC'!G109)),'Midterm OVPAA-F-INS-055A RAW SC'!G109,"")</f>
        <v/>
      </c>
      <c r="D104" s="260"/>
      <c r="E104" s="270"/>
      <c r="F104" s="271" t="str">
        <f>'MidTerm OVPAA-F-INS-055B CLASS'!BV109</f>
        <v/>
      </c>
      <c r="G104" s="270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9" t="str">
        <f>IF(NOT(ISBLANK('Midterm OVPAA-F-INS-055A RAW SC'!G110)),'Midterm OVPAA-F-INS-055A RAW SC'!G110,"")</f>
        <v/>
      </c>
      <c r="D105" s="260"/>
      <c r="E105" s="270"/>
      <c r="F105" s="271" t="str">
        <f>'MidTerm OVPAA-F-INS-055B CLASS'!BV110</f>
        <v/>
      </c>
      <c r="G105" s="270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9" t="str">
        <f>IF(NOT(ISBLANK('Midterm OVPAA-F-INS-055A RAW SC'!G111)),'Midterm OVPAA-F-INS-055A RAW SC'!G111,"")</f>
        <v/>
      </c>
      <c r="D106" s="260"/>
      <c r="E106" s="270"/>
      <c r="F106" s="271" t="str">
        <f>'MidTerm OVPAA-F-INS-055B CLASS'!BV111</f>
        <v/>
      </c>
      <c r="G106" s="270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9" t="str">
        <f>IF(NOT(ISBLANK('Midterm OVPAA-F-INS-055A RAW SC'!G112)),'Midterm OVPAA-F-INS-055A RAW SC'!G112,"")</f>
        <v/>
      </c>
      <c r="D107" s="260"/>
      <c r="E107" s="270"/>
      <c r="F107" s="271" t="str">
        <f>'MidTerm OVPAA-F-INS-055B CLASS'!BV112</f>
        <v/>
      </c>
      <c r="G107" s="270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9" t="str">
        <f>IF(NOT(ISBLANK('Midterm OVPAA-F-INS-055A RAW SC'!G113)),'Midterm OVPAA-F-INS-055A RAW SC'!G113,"")</f>
        <v/>
      </c>
      <c r="D108" s="260"/>
      <c r="E108" s="270"/>
      <c r="F108" s="271" t="str">
        <f>'MidTerm OVPAA-F-INS-055B CLASS'!BV113</f>
        <v/>
      </c>
      <c r="G108" s="270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9" t="str">
        <f>IF(NOT(ISBLANK('Midterm OVPAA-F-INS-055A RAW SC'!G114)),'Midterm OVPAA-F-INS-055A RAW SC'!G114,"")</f>
        <v/>
      </c>
      <c r="D109" s="260"/>
      <c r="E109" s="270"/>
      <c r="F109" s="271" t="str">
        <f>'MidTerm OVPAA-F-INS-055B CLASS'!BV114</f>
        <v/>
      </c>
      <c r="G109" s="270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9" t="str">
        <f>IF(NOT(ISBLANK('Midterm OVPAA-F-INS-055A RAW SC'!G115)),'Midterm OVPAA-F-INS-055A RAW SC'!G115,"")</f>
        <v/>
      </c>
      <c r="D110" s="260"/>
      <c r="E110" s="270"/>
      <c r="F110" s="271" t="str">
        <f>'MidTerm OVPAA-F-INS-055B CLASS'!BV115</f>
        <v/>
      </c>
      <c r="G110" s="270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9" t="str">
        <f>IF(NOT(ISBLANK('Midterm OVPAA-F-INS-055A RAW SC'!G116)),'Midterm OVPAA-F-INS-055A RAW SC'!G116,"")</f>
        <v/>
      </c>
      <c r="D111" s="260"/>
      <c r="E111" s="270"/>
      <c r="F111" s="271" t="str">
        <f>'MidTerm OVPAA-F-INS-055B CLASS'!BV116</f>
        <v/>
      </c>
      <c r="G111" s="270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9" t="str">
        <f>IF(NOT(ISBLANK('Midterm OVPAA-F-INS-055A RAW SC'!G117)),'Midterm OVPAA-F-INS-055A RAW SC'!G117,"")</f>
        <v/>
      </c>
      <c r="D112" s="260"/>
      <c r="E112" s="270"/>
      <c r="F112" s="271" t="str">
        <f>'MidTerm OVPAA-F-INS-055B CLASS'!BV117</f>
        <v/>
      </c>
      <c r="G112" s="270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81" t="s">
        <v>107</v>
      </c>
      <c r="B114" s="227"/>
      <c r="C114" s="181"/>
      <c r="D114" s="181" t="s">
        <v>108</v>
      </c>
      <c r="E114" s="181"/>
      <c r="F114" s="281"/>
      <c r="G114" s="227"/>
      <c r="H114" s="181"/>
      <c r="I114" s="177"/>
      <c r="J114" s="181"/>
      <c r="K114" s="181"/>
      <c r="L114" s="181" t="s">
        <v>109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66" t="str">
        <f>'Midterm OVPAA-F-INS-055A RAW SC'!G12</f>
        <v>Czarissa Louise A. Navidad</v>
      </c>
      <c r="B117" s="227"/>
      <c r="C117" s="227"/>
      <c r="D117" s="266" t="str">
        <f>'Midterm OVPAA-F-INS-055A RAW SC'!K11</f>
        <v>Dr. Sales G. Aribe, Jr.</v>
      </c>
      <c r="E117" s="227"/>
      <c r="F117" s="227"/>
      <c r="G117" s="227"/>
      <c r="H117" s="200"/>
      <c r="I117" s="266" t="str">
        <f>'Midterm OVPAA-F-INS-055A RAW SC'!K12</f>
        <v>Dr. Marilou O. Espina</v>
      </c>
      <c r="J117" s="227"/>
      <c r="K117" s="227"/>
      <c r="L117" s="227"/>
      <c r="M117" s="227"/>
      <c r="N117" s="227"/>
      <c r="O117" s="227"/>
      <c r="P117" s="227"/>
      <c r="Q117" s="227"/>
      <c r="R117" s="227"/>
    </row>
    <row r="118" spans="1:33" ht="35.25" customHeight="1">
      <c r="A118" s="267" t="s">
        <v>110</v>
      </c>
      <c r="B118" s="227"/>
      <c r="C118" s="227"/>
      <c r="D118" s="267" t="str">
        <f>CONCATENATE("Department Head, ",'Midterm OVPAA-F-INS-055A RAW SC'!V10)</f>
        <v>Department Head, Information Technology</v>
      </c>
      <c r="E118" s="227"/>
      <c r="F118" s="227"/>
      <c r="G118" s="227"/>
      <c r="H118" s="201"/>
      <c r="I118" s="267" t="str">
        <f>CONCATENATE("Dean, ",'Midterm OVPAA-F-INS-055A RAW SC'!V11)</f>
        <v>Dean, College of Technologies</v>
      </c>
      <c r="J118" s="227"/>
      <c r="K118" s="227"/>
      <c r="L118" s="227"/>
      <c r="M118" s="227"/>
      <c r="N118" s="227"/>
      <c r="O118" s="227"/>
      <c r="P118" s="227"/>
      <c r="Q118" s="227"/>
      <c r="R118" s="227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68" t="s">
        <v>111</v>
      </c>
      <c r="B119" s="227"/>
      <c r="C119" s="227"/>
      <c r="D119" s="268" t="s">
        <v>111</v>
      </c>
      <c r="E119" s="227"/>
      <c r="F119" s="227"/>
      <c r="G119" s="203"/>
      <c r="H119" s="203"/>
      <c r="I119" s="268" t="s">
        <v>111</v>
      </c>
      <c r="J119" s="227"/>
      <c r="K119" s="227"/>
      <c r="L119" s="227"/>
      <c r="M119" s="227"/>
      <c r="N119" s="227"/>
      <c r="O119" s="227"/>
      <c r="P119" s="227"/>
      <c r="Q119" s="227"/>
      <c r="R119" s="227"/>
    </row>
    <row r="120" spans="1:33" ht="15.75" customHeight="1"/>
    <row r="121" spans="1:33" ht="15.75" customHeight="1">
      <c r="A121" s="279"/>
      <c r="B121" s="227"/>
      <c r="C121" s="227"/>
      <c r="D121" s="280"/>
      <c r="E121" s="227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112</v>
      </c>
      <c r="B1" s="5" t="s">
        <v>113</v>
      </c>
      <c r="C1" s="5" t="s">
        <v>105</v>
      </c>
      <c r="D1" s="5" t="s">
        <v>114</v>
      </c>
      <c r="E1" s="5" t="s">
        <v>106</v>
      </c>
      <c r="F1" s="5" t="s">
        <v>115</v>
      </c>
    </row>
    <row r="2" spans="1:6" ht="14.5">
      <c r="A2" s="5" t="s">
        <v>13</v>
      </c>
      <c r="B2" s="5" t="s">
        <v>116</v>
      </c>
    </row>
    <row r="3" spans="1:6" ht="14.5">
      <c r="A3" s="5" t="s">
        <v>117</v>
      </c>
      <c r="B3" s="5" t="s">
        <v>118</v>
      </c>
      <c r="C3" s="2" t="s">
        <v>119</v>
      </c>
    </row>
    <row r="4" spans="1:6" ht="14.5">
      <c r="B4" s="5" t="s">
        <v>120</v>
      </c>
      <c r="C4" s="2" t="s">
        <v>121</v>
      </c>
    </row>
    <row r="5" spans="1:6" ht="14.5">
      <c r="C5" s="2" t="s">
        <v>122</v>
      </c>
    </row>
    <row r="6" spans="1:6" ht="14.5">
      <c r="C6" s="2" t="s">
        <v>115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2" t="s">
        <v>123</v>
      </c>
      <c r="C1" s="227"/>
      <c r="D1" s="227"/>
      <c r="F1" s="282" t="s">
        <v>124</v>
      </c>
      <c r="G1" s="227"/>
      <c r="H1" s="227"/>
    </row>
    <row r="2" spans="2:8" ht="15" customHeight="1">
      <c r="B2" s="227"/>
      <c r="C2" s="227"/>
      <c r="D2" s="227"/>
      <c r="F2" s="227"/>
      <c r="G2" s="227"/>
      <c r="H2" s="227"/>
    </row>
    <row r="3" spans="2:8" ht="14.5">
      <c r="C3" s="3" t="s">
        <v>125</v>
      </c>
      <c r="D3" s="3" t="s">
        <v>126</v>
      </c>
      <c r="G3" s="3" t="s">
        <v>125</v>
      </c>
      <c r="H3" s="3" t="s">
        <v>126</v>
      </c>
    </row>
    <row r="4" spans="2:8" ht="14.5">
      <c r="C4" s="205">
        <v>0</v>
      </c>
      <c r="D4" s="206">
        <v>5</v>
      </c>
      <c r="G4" s="205">
        <v>0</v>
      </c>
      <c r="H4" s="207">
        <v>5</v>
      </c>
    </row>
    <row r="5" spans="2:8" ht="14.5">
      <c r="C5" s="64">
        <v>26</v>
      </c>
      <c r="D5" s="208">
        <v>4</v>
      </c>
      <c r="G5" s="64">
        <v>40</v>
      </c>
      <c r="H5" s="209">
        <v>4</v>
      </c>
    </row>
    <row r="6" spans="2:8" ht="14.5">
      <c r="C6" s="64">
        <v>32</v>
      </c>
      <c r="D6" s="208">
        <v>3.75</v>
      </c>
      <c r="G6" s="64">
        <v>45</v>
      </c>
      <c r="H6" s="209">
        <v>3.75</v>
      </c>
    </row>
    <row r="7" spans="2:8" ht="14.5">
      <c r="C7" s="64">
        <v>38</v>
      </c>
      <c r="D7" s="208">
        <v>3.5</v>
      </c>
      <c r="G7" s="64">
        <v>50</v>
      </c>
      <c r="H7" s="209">
        <v>3.5</v>
      </c>
    </row>
    <row r="8" spans="2:8" ht="14.5">
      <c r="C8" s="64">
        <v>44</v>
      </c>
      <c r="D8" s="208">
        <v>3.25</v>
      </c>
      <c r="G8" s="64">
        <v>55</v>
      </c>
      <c r="H8" s="209">
        <v>3.25</v>
      </c>
    </row>
    <row r="9" spans="2:8" ht="14.5">
      <c r="C9" s="64">
        <v>50</v>
      </c>
      <c r="D9" s="208">
        <v>3</v>
      </c>
      <c r="G9" s="64">
        <v>60</v>
      </c>
      <c r="H9" s="209">
        <v>3</v>
      </c>
    </row>
    <row r="10" spans="2:8" ht="14.5">
      <c r="C10" s="64">
        <v>56</v>
      </c>
      <c r="D10" s="208">
        <v>2.75</v>
      </c>
      <c r="G10" s="64">
        <v>65</v>
      </c>
      <c r="H10" s="209">
        <v>2.75</v>
      </c>
    </row>
    <row r="11" spans="2:8" ht="14.5">
      <c r="C11" s="64">
        <v>62</v>
      </c>
      <c r="D11" s="208">
        <v>2.5</v>
      </c>
      <c r="G11" s="64">
        <v>70</v>
      </c>
      <c r="H11" s="209">
        <v>2.5</v>
      </c>
    </row>
    <row r="12" spans="2:8" ht="14.5">
      <c r="C12" s="64">
        <v>68</v>
      </c>
      <c r="D12" s="208">
        <v>2.25</v>
      </c>
      <c r="G12" s="64">
        <v>75</v>
      </c>
      <c r="H12" s="209">
        <v>2.25</v>
      </c>
    </row>
    <row r="13" spans="2:8" ht="14.5">
      <c r="C13" s="64">
        <v>74</v>
      </c>
      <c r="D13" s="208">
        <v>2</v>
      </c>
      <c r="G13" s="64">
        <v>80</v>
      </c>
      <c r="H13" s="209">
        <v>2</v>
      </c>
    </row>
    <row r="14" spans="2:8" ht="14.5">
      <c r="C14" s="64">
        <v>80</v>
      </c>
      <c r="D14" s="208">
        <v>1.75</v>
      </c>
      <c r="G14" s="64">
        <v>85</v>
      </c>
      <c r="H14" s="209">
        <v>1.75</v>
      </c>
    </row>
    <row r="15" spans="2:8" ht="14.5">
      <c r="C15" s="64">
        <v>86</v>
      </c>
      <c r="D15" s="208">
        <v>1.5</v>
      </c>
      <c r="G15" s="64">
        <v>89</v>
      </c>
      <c r="H15" s="209">
        <v>1.5</v>
      </c>
    </row>
    <row r="16" spans="2:8" ht="14.5">
      <c r="C16" s="64">
        <v>91</v>
      </c>
      <c r="D16" s="208">
        <v>1.25</v>
      </c>
      <c r="G16" s="64">
        <v>93</v>
      </c>
      <c r="H16" s="209">
        <v>1.25</v>
      </c>
    </row>
    <row r="17" spans="2:8" ht="14.5">
      <c r="C17" s="63">
        <v>96</v>
      </c>
      <c r="D17" s="210">
        <v>1</v>
      </c>
      <c r="G17" s="63">
        <v>97</v>
      </c>
      <c r="H17" s="211">
        <v>1</v>
      </c>
    </row>
    <row r="19" spans="2:8" ht="14.5">
      <c r="B19" s="3" t="s">
        <v>127</v>
      </c>
      <c r="C19" s="5" t="s">
        <v>128</v>
      </c>
      <c r="E19" s="212"/>
    </row>
    <row r="20" spans="2:8" ht="6" customHeight="1"/>
    <row r="21" spans="2:8" ht="15.75" customHeight="1">
      <c r="B21" s="3" t="s">
        <v>125</v>
      </c>
      <c r="C21" s="3" t="s">
        <v>129</v>
      </c>
      <c r="D21" s="3" t="s">
        <v>126</v>
      </c>
      <c r="E21" s="213"/>
      <c r="F21" s="3" t="s">
        <v>125</v>
      </c>
      <c r="G21" s="3" t="s">
        <v>129</v>
      </c>
      <c r="H21" s="3" t="s">
        <v>126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2026-08-14T06:07:31Z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